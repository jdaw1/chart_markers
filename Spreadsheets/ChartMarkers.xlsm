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20685F38-60A7-B749-B308-AB000EFC6954}" xr6:coauthVersionLast="45" xr6:coauthVersionMax="45" xr10:uidLastSave="{00000000-0000-0000-0000-000000000000}"/>
  <bookViews>
    <workbookView xWindow="7880" yWindow="440" windowWidth="2826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ChartFormats!$O$6:$O$280</definedName>
    <definedName name="ChartLines.G">ChartFormats!$N$6:$N$280</definedName>
    <definedName name="ChartLines.Hex6">ChartFormats!$H$6:$H$280</definedName>
    <definedName name="ChartLines.ID">ChartFormats!$G$6:$G$280</definedName>
    <definedName name="ChartLines.InstanceNum">ChartFormats!$K$6:$K$280</definedName>
    <definedName name="ChartLines.NumInstances">ChartFormats!$J$6:$J$280</definedName>
    <definedName name="ChartLines.R">ChartFormats!$M$6:$M$280</definedName>
    <definedName name="ChartLines.RowNum">ChartFormats!$P$6:$P$280</definedName>
    <definedName name="ChartLines.ThicknessText">ChartFormats!$L$6:$L$280</definedName>
    <definedName name="ChartMarkers.Directory">ChartFormats!$C$2</definedName>
    <definedName name="ChartMarkers.Suffix">ChartFormats!$C$3</definedName>
    <definedName name="SeriesFormatAlias.ID">ChartFormats!$C$6:$C$376</definedName>
    <definedName name="SeriesFormatAlias.SeriesName">ChartFormats!$B$6:$B$376</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1" i="2" l="1"/>
  <c r="C124" i="2"/>
  <c r="J244" i="2"/>
  <c r="P244" i="2" a="1"/>
  <c r="P244" i="2" s="1"/>
  <c r="J245" i="2"/>
  <c r="M245" i="2"/>
  <c r="N245" i="2"/>
  <c r="O245" i="2"/>
  <c r="P245" i="2" a="1"/>
  <c r="P245" i="2" s="1"/>
  <c r="K245" i="2" s="1"/>
  <c r="J246" i="2"/>
  <c r="P246" i="2" a="1"/>
  <c r="P246" i="2" s="1"/>
  <c r="J247" i="2"/>
  <c r="P247" i="2" a="1"/>
  <c r="P247" i="2" s="1"/>
  <c r="J248" i="2"/>
  <c r="M248" i="2"/>
  <c r="N248" i="2"/>
  <c r="O248" i="2"/>
  <c r="P248" i="2" a="1"/>
  <c r="P248" i="2" s="1"/>
  <c r="K248" i="2" s="1"/>
  <c r="J249" i="2"/>
  <c r="M249" i="2"/>
  <c r="N249" i="2"/>
  <c r="O249" i="2"/>
  <c r="P249" i="2" a="1"/>
  <c r="P249" i="2" s="1"/>
  <c r="K249" i="2" s="1"/>
  <c r="J250" i="2"/>
  <c r="M250" i="2"/>
  <c r="N250" i="2"/>
  <c r="O250" i="2"/>
  <c r="P250" i="2" a="1"/>
  <c r="P250" i="2" s="1"/>
  <c r="J251" i="2"/>
  <c r="K251" i="2"/>
  <c r="M251" i="2"/>
  <c r="N251" i="2"/>
  <c r="O251" i="2"/>
  <c r="P251" i="2" a="1"/>
  <c r="P251" i="2" s="1"/>
  <c r="J252" i="2"/>
  <c r="M252" i="2"/>
  <c r="N252" i="2"/>
  <c r="O252" i="2"/>
  <c r="P252" i="2" a="1"/>
  <c r="P252" i="2" s="1"/>
  <c r="K252" i="2" s="1"/>
  <c r="J253" i="2"/>
  <c r="K253" i="2"/>
  <c r="M253" i="2"/>
  <c r="N253" i="2"/>
  <c r="O253" i="2"/>
  <c r="P253" i="2" a="1"/>
  <c r="P253" i="2" s="1"/>
  <c r="J254" i="2"/>
  <c r="M254" i="2"/>
  <c r="N254" i="2"/>
  <c r="O254" i="2"/>
  <c r="P254" i="2" a="1"/>
  <c r="P254" i="2" s="1"/>
  <c r="J255" i="2"/>
  <c r="M255" i="2"/>
  <c r="N255" i="2"/>
  <c r="O255" i="2"/>
  <c r="P255" i="2" a="1"/>
  <c r="P255" i="2" s="1"/>
  <c r="J256" i="2"/>
  <c r="P256" i="2" a="1"/>
  <c r="P256" i="2" s="1"/>
  <c r="J257" i="2"/>
  <c r="M257" i="2"/>
  <c r="N257" i="2"/>
  <c r="O257" i="2"/>
  <c r="P257" i="2" a="1"/>
  <c r="P257" i="2" s="1"/>
  <c r="J258" i="2"/>
  <c r="P258" i="2" a="1"/>
  <c r="P258" i="2" s="1"/>
  <c r="J259" i="2"/>
  <c r="P259" i="2" a="1"/>
  <c r="P259" i="2" s="1"/>
  <c r="J260" i="2"/>
  <c r="M260" i="2"/>
  <c r="N260" i="2"/>
  <c r="O260" i="2"/>
  <c r="P260" i="2" a="1"/>
  <c r="P260" i="2" s="1"/>
  <c r="H244" i="2"/>
  <c r="M244" i="2" s="1"/>
  <c r="K254" i="2" l="1"/>
  <c r="L254" i="2" s="1" a="1"/>
  <c r="L254" i="2" s="1"/>
  <c r="K257" i="2"/>
  <c r="K250" i="2"/>
  <c r="L250" i="2" s="1" a="1"/>
  <c r="L250" i="2" s="1"/>
  <c r="L251" i="2" a="1"/>
  <c r="L251" i="2" s="1"/>
  <c r="K244" i="2"/>
  <c r="K246" i="2"/>
  <c r="L246" i="2" s="1" a="1"/>
  <c r="L246" i="2" s="1"/>
  <c r="O244" i="2"/>
  <c r="K247" i="2"/>
  <c r="N244" i="2"/>
  <c r="K259" i="2"/>
  <c r="L259" i="2" s="1" a="1"/>
  <c r="L259" i="2" s="1"/>
  <c r="K255" i="2"/>
  <c r="L255" i="2" s="1" a="1"/>
  <c r="L255" i="2" s="1"/>
  <c r="L253" i="2" a="1"/>
  <c r="L253" i="2" s="1"/>
  <c r="L257" i="2" a="1"/>
  <c r="L257" i="2" s="1"/>
  <c r="K256" i="2"/>
  <c r="L252" i="2" a="1"/>
  <c r="L252" i="2" s="1"/>
  <c r="L248" i="2" a="1"/>
  <c r="L248" i="2" s="1"/>
  <c r="K258" i="2"/>
  <c r="L258" i="2" s="1" a="1"/>
  <c r="L258" i="2" s="1"/>
  <c r="L256" i="2" a="1"/>
  <c r="L256" i="2" s="1"/>
  <c r="L245" i="2" a="1"/>
  <c r="L245" i="2" s="1"/>
  <c r="L249" i="2" a="1"/>
  <c r="L249" i="2" s="1"/>
  <c r="L247" i="2" a="1"/>
  <c r="L247" i="2" s="1"/>
  <c r="L244" i="2" a="1"/>
  <c r="L244" i="2" s="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80" i="2" a="1"/>
  <c r="P280" i="2" s="1"/>
  <c r="K280" i="2" s="1"/>
  <c r="O280" i="2"/>
  <c r="N280" i="2"/>
  <c r="M280" i="2"/>
  <c r="J280" i="2"/>
  <c r="L280" i="2" s="1" a="1"/>
  <c r="L280" i="2" s="1"/>
  <c r="P279" i="2" a="1"/>
  <c r="P279" i="2" s="1"/>
  <c r="O279" i="2"/>
  <c r="N279" i="2"/>
  <c r="M279" i="2"/>
  <c r="J279" i="2"/>
  <c r="P278" i="2" a="1"/>
  <c r="P278" i="2" s="1"/>
  <c r="J278" i="2"/>
  <c r="H278" i="2"/>
  <c r="M278" i="2" s="1"/>
  <c r="P277" i="2" a="1"/>
  <c r="P277" i="2" s="1"/>
  <c r="K277" i="2" s="1"/>
  <c r="O277" i="2"/>
  <c r="N277" i="2"/>
  <c r="M277" i="2"/>
  <c r="J277" i="2"/>
  <c r="P276" i="2" a="1"/>
  <c r="P276" i="2" s="1"/>
  <c r="J276" i="2"/>
  <c r="H276" i="2"/>
  <c r="M276" i="2" s="1"/>
  <c r="P275" i="2" a="1"/>
  <c r="P275" i="2" s="1"/>
  <c r="J275" i="2"/>
  <c r="H275" i="2"/>
  <c r="O275" i="2" s="1"/>
  <c r="P274" i="2" a="1"/>
  <c r="P274" i="2" s="1"/>
  <c r="O274" i="2"/>
  <c r="N274" i="2"/>
  <c r="M274" i="2"/>
  <c r="K274" i="2"/>
  <c r="J274" i="2"/>
  <c r="P273" i="2" a="1"/>
  <c r="P273" i="2" s="1"/>
  <c r="O273" i="2"/>
  <c r="N273" i="2"/>
  <c r="M273" i="2"/>
  <c r="K273" i="2"/>
  <c r="J273" i="2"/>
  <c r="P272" i="2" a="1"/>
  <c r="P272" i="2" s="1"/>
  <c r="K272" i="2" s="1"/>
  <c r="O272" i="2"/>
  <c r="N272" i="2"/>
  <c r="M272" i="2"/>
  <c r="J272" i="2"/>
  <c r="L272" i="2" s="1" a="1"/>
  <c r="L272" i="2" s="1"/>
  <c r="P271" i="2" a="1"/>
  <c r="P271" i="2" s="1"/>
  <c r="O271" i="2"/>
  <c r="N271" i="2"/>
  <c r="M271" i="2"/>
  <c r="J271" i="2"/>
  <c r="P270" i="2" a="1"/>
  <c r="P270" i="2" s="1"/>
  <c r="K270" i="2" s="1"/>
  <c r="J270" i="2"/>
  <c r="H270" i="2"/>
  <c r="O270" i="2" s="1"/>
  <c r="P269" i="2" a="1"/>
  <c r="P269" i="2" s="1"/>
  <c r="O269" i="2"/>
  <c r="N269" i="2"/>
  <c r="M269" i="2"/>
  <c r="J269" i="2"/>
  <c r="P268" i="2" a="1"/>
  <c r="P268" i="2" s="1"/>
  <c r="K268" i="2" s="1"/>
  <c r="J268" i="2"/>
  <c r="H268" i="2"/>
  <c r="O268" i="2" s="1"/>
  <c r="P267" i="2" a="1"/>
  <c r="P267" i="2" s="1"/>
  <c r="O267" i="2"/>
  <c r="N267" i="2"/>
  <c r="M267" i="2"/>
  <c r="J267" i="2"/>
  <c r="P266" i="2" a="1"/>
  <c r="P266" i="2" s="1"/>
  <c r="O266" i="2"/>
  <c r="N266" i="2"/>
  <c r="M266" i="2"/>
  <c r="J266" i="2"/>
  <c r="P265" i="2" a="1"/>
  <c r="P265" i="2" s="1"/>
  <c r="O265" i="2"/>
  <c r="N265" i="2"/>
  <c r="M265" i="2"/>
  <c r="J265" i="2"/>
  <c r="P264" i="2" a="1"/>
  <c r="P264" i="2" s="1"/>
  <c r="O264" i="2"/>
  <c r="N264" i="2"/>
  <c r="M264" i="2"/>
  <c r="J264" i="2"/>
  <c r="P263" i="2" a="1"/>
  <c r="P263" i="2" s="1"/>
  <c r="O263" i="2"/>
  <c r="N263" i="2"/>
  <c r="M263" i="2"/>
  <c r="J263" i="2"/>
  <c r="P262" i="2" a="1"/>
  <c r="P262" i="2" s="1"/>
  <c r="J262" i="2"/>
  <c r="H262" i="2"/>
  <c r="O262" i="2" s="1"/>
  <c r="P261" i="2" a="1"/>
  <c r="P261" i="2" s="1"/>
  <c r="K260" i="2" s="1"/>
  <c r="L260" i="2" s="1" a="1"/>
  <c r="L260" i="2" s="1"/>
  <c r="O261" i="2"/>
  <c r="N261" i="2"/>
  <c r="M261" i="2"/>
  <c r="J261" i="2"/>
  <c r="H259" i="2"/>
  <c r="H258" i="2"/>
  <c r="H256" i="2"/>
  <c r="H247" i="2"/>
  <c r="H246" i="2"/>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M215" i="2"/>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J190" i="2"/>
  <c r="H190" i="2"/>
  <c r="N190" i="2" s="1"/>
  <c r="P189" i="2" a="1"/>
  <c r="P189" i="2" s="1"/>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J163" i="2"/>
  <c r="H163" i="2"/>
  <c r="O163" i="2" s="1"/>
  <c r="P162" i="2" a="1"/>
  <c r="P162" i="2" s="1"/>
  <c r="J162" i="2"/>
  <c r="H162" i="2"/>
  <c r="P161" i="2" a="1"/>
  <c r="P161" i="2" s="1"/>
  <c r="O161" i="2"/>
  <c r="N161" i="2"/>
  <c r="M161" i="2"/>
  <c r="J161" i="2"/>
  <c r="P160" i="2" a="1"/>
  <c r="P160" i="2" s="1"/>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H106" i="2"/>
  <c r="O106" i="2" s="1"/>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H60" i="2"/>
  <c r="O60" i="2" s="1"/>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8" i="2"/>
  <c r="C137" i="2"/>
  <c r="C136" i="2"/>
  <c r="C135" i="2"/>
  <c r="C134" i="2"/>
  <c r="C133" i="2"/>
  <c r="C132" i="2"/>
  <c r="C131" i="2"/>
  <c r="C130" i="2"/>
  <c r="C129" i="2"/>
  <c r="C128" i="2"/>
  <c r="C127" i="2"/>
  <c r="C126" i="2"/>
  <c r="C125" i="2"/>
  <c r="C123" i="2"/>
  <c r="C122"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178" i="2" l="1"/>
  <c r="M189" i="2"/>
  <c r="O190" i="2"/>
  <c r="N22" i="2"/>
  <c r="N256" i="2"/>
  <c r="O256" i="2"/>
  <c r="M256" i="2"/>
  <c r="O258" i="2"/>
  <c r="M258" i="2"/>
  <c r="N258" i="2"/>
  <c r="M246" i="2"/>
  <c r="N246" i="2"/>
  <c r="O246" i="2"/>
  <c r="N259" i="2"/>
  <c r="M259" i="2"/>
  <c r="O259" i="2"/>
  <c r="O247" i="2"/>
  <c r="M247" i="2"/>
  <c r="N247" i="2"/>
  <c r="K184" i="2"/>
  <c r="N130" i="2"/>
  <c r="K161" i="2"/>
  <c r="O115" i="2"/>
  <c r="M22" i="2"/>
  <c r="M29" i="2"/>
  <c r="M76" i="2"/>
  <c r="N66" i="2"/>
  <c r="M160" i="2"/>
  <c r="N163" i="2"/>
  <c r="N278" i="2"/>
  <c r="N219" i="2"/>
  <c r="K49" i="2"/>
  <c r="K176" i="2"/>
  <c r="K233" i="2"/>
  <c r="M66" i="2"/>
  <c r="N73" i="2"/>
  <c r="M106" i="2"/>
  <c r="M169" i="2"/>
  <c r="M178" i="2"/>
  <c r="N180" i="2"/>
  <c r="M205" i="2"/>
  <c r="N205" i="2"/>
  <c r="O205" i="2"/>
  <c r="N242" i="2"/>
  <c r="M207" i="2"/>
  <c r="N207" i="2"/>
  <c r="O207" i="2"/>
  <c r="K271" i="2"/>
  <c r="O278" i="2"/>
  <c r="N29" i="2"/>
  <c r="M270" i="2"/>
  <c r="N6" i="2"/>
  <c r="N17" i="2"/>
  <c r="O31" i="2"/>
  <c r="M73" i="2"/>
  <c r="N155" i="2"/>
  <c r="O229" i="2"/>
  <c r="M242" i="2"/>
  <c r="N270" i="2"/>
  <c r="L279" i="2" a="1"/>
  <c r="L279" i="2" s="1"/>
  <c r="K279" i="2"/>
  <c r="K275" i="2"/>
  <c r="K22" i="2"/>
  <c r="K27" i="2"/>
  <c r="K112" i="2"/>
  <c r="L112" i="2" s="1" a="1"/>
  <c r="L112" i="2" s="1"/>
  <c r="K131" i="2"/>
  <c r="AA6" i="2" a="1"/>
  <c r="AA6" i="2" s="1"/>
  <c r="AB6" i="2" s="1" a="1"/>
  <c r="AB6" i="2" s="1"/>
  <c r="K134" i="2"/>
  <c r="L134" i="2" s="1" a="1"/>
  <c r="L134" i="2" s="1"/>
  <c r="K64" i="2"/>
  <c r="K61" i="2"/>
  <c r="K267" i="2"/>
  <c r="L273" i="2" a="1"/>
  <c r="L273" i="2" s="1"/>
  <c r="O6" i="2"/>
  <c r="N76" i="2"/>
  <c r="N106" i="2"/>
  <c r="O130" i="2"/>
  <c r="N160" i="2"/>
  <c r="N169" i="2"/>
  <c r="K172" i="2"/>
  <c r="O180" i="2"/>
  <c r="N189" i="2"/>
  <c r="O219" i="2"/>
  <c r="M10" i="2"/>
  <c r="M20" i="2"/>
  <c r="M60" i="2"/>
  <c r="M158" i="2"/>
  <c r="M194" i="2"/>
  <c r="M233" i="2"/>
  <c r="M235" i="2"/>
  <c r="N10" i="2"/>
  <c r="M17" i="2"/>
  <c r="N20" i="2"/>
  <c r="N60" i="2"/>
  <c r="K100" i="2"/>
  <c r="N115" i="2"/>
  <c r="M155" i="2"/>
  <c r="N158" i="2"/>
  <c r="M163" i="2"/>
  <c r="N194" i="2"/>
  <c r="O199" i="2"/>
  <c r="M211" i="2"/>
  <c r="N211" i="2"/>
  <c r="O211" i="2"/>
  <c r="N233" i="2"/>
  <c r="N235" i="2"/>
  <c r="M268" i="2"/>
  <c r="N276" i="2"/>
  <c r="K29" i="2"/>
  <c r="L29" i="2" s="1" a="1"/>
  <c r="L29" i="2" s="1"/>
  <c r="K67" i="2"/>
  <c r="K71" i="2"/>
  <c r="K77" i="2"/>
  <c r="K110" i="2"/>
  <c r="K116" i="2"/>
  <c r="K235" i="2"/>
  <c r="K138" i="2"/>
  <c r="L138" i="2" s="1" a="1"/>
  <c r="L138" i="2" s="1"/>
  <c r="K213" i="2"/>
  <c r="K224" i="2"/>
  <c r="K58" i="2"/>
  <c r="L79" i="2" a="1"/>
  <c r="L79" i="2" s="1"/>
  <c r="K120" i="2"/>
  <c r="K124" i="2"/>
  <c r="K142" i="2"/>
  <c r="K181" i="2"/>
  <c r="L181" i="2" s="1" a="1"/>
  <c r="L181" i="2" s="1"/>
  <c r="K216" i="2"/>
  <c r="K219" i="2"/>
  <c r="K225" i="2"/>
  <c r="K41" i="2"/>
  <c r="L41" i="2" s="1" a="1"/>
  <c r="L41" i="2" s="1"/>
  <c r="K117" i="2"/>
  <c r="K121" i="2"/>
  <c r="K158" i="2"/>
  <c r="K217" i="2"/>
  <c r="L217" i="2" s="1" a="1"/>
  <c r="L217" i="2" s="1"/>
  <c r="K240" i="2"/>
  <c r="L240" i="2" s="1" a="1"/>
  <c r="L240" i="2" s="1"/>
  <c r="K68" i="2"/>
  <c r="K72" i="2"/>
  <c r="K99" i="2"/>
  <c r="L99" i="2" s="1" a="1"/>
  <c r="L99" i="2" s="1"/>
  <c r="K140" i="2"/>
  <c r="K152" i="2"/>
  <c r="K156" i="2"/>
  <c r="K189" i="2"/>
  <c r="L189" i="2" s="1" a="1"/>
  <c r="L189" i="2" s="1"/>
  <c r="K192" i="2"/>
  <c r="K228" i="2"/>
  <c r="K229" i="2"/>
  <c r="L229" i="2" s="1" a="1"/>
  <c r="L229" i="2" s="1"/>
  <c r="K243" i="2"/>
  <c r="L243" i="2" s="1" a="1"/>
  <c r="L243" i="2" s="1"/>
  <c r="L8" i="2" a="1"/>
  <c r="L8" i="2" s="1"/>
  <c r="K73" i="2"/>
  <c r="L73" i="2" s="1" a="1"/>
  <c r="L73" i="2" s="1"/>
  <c r="K147" i="2"/>
  <c r="L147" i="2" s="1" a="1"/>
  <c r="L147" i="2" s="1"/>
  <c r="K175" i="2"/>
  <c r="K54" i="2"/>
  <c r="L54" i="2" s="1" a="1"/>
  <c r="L54" i="2" s="1"/>
  <c r="K63" i="2"/>
  <c r="K86" i="2"/>
  <c r="K136" i="2"/>
  <c r="K149" i="2"/>
  <c r="K153" i="2"/>
  <c r="K173" i="2"/>
  <c r="K183" i="2"/>
  <c r="L183" i="2" s="1" a="1"/>
  <c r="L183" i="2" s="1"/>
  <c r="K262" i="2"/>
  <c r="L262" i="2" s="1" a="1"/>
  <c r="L262" i="2" s="1"/>
  <c r="K93" i="2"/>
  <c r="K125" i="2"/>
  <c r="K128" i="2"/>
  <c r="L128" i="2" s="1" a="1"/>
  <c r="L128" i="2" s="1"/>
  <c r="K194" i="2"/>
  <c r="L194" i="2" s="1" a="1"/>
  <c r="L194" i="2" s="1"/>
  <c r="K214" i="2"/>
  <c r="K221" i="2"/>
  <c r="K266" i="2"/>
  <c r="L266" i="2" s="1" a="1"/>
  <c r="L266" i="2" s="1"/>
  <c r="K180" i="2"/>
  <c r="L180" i="2" s="1" a="1"/>
  <c r="L180" i="2" s="1"/>
  <c r="K264" i="2"/>
  <c r="L264" i="2" s="1" a="1"/>
  <c r="L264" i="2" s="1"/>
  <c r="L84" i="2" a="1"/>
  <c r="L84" i="2" s="1"/>
  <c r="L136" i="2" a="1"/>
  <c r="L136" i="2" s="1"/>
  <c r="L140" i="2" a="1"/>
  <c r="L140" i="2" s="1"/>
  <c r="L144" i="2" a="1"/>
  <c r="L144" i="2" s="1"/>
  <c r="L239" i="2" a="1"/>
  <c r="L239" i="2" s="1"/>
  <c r="L63" i="2" a="1"/>
  <c r="L63" i="2" s="1"/>
  <c r="L94" i="2" a="1"/>
  <c r="L94" i="2" s="1"/>
  <c r="L275" i="2" a="1"/>
  <c r="L275" i="2" s="1"/>
  <c r="L6" i="2" a="1"/>
  <c r="L6" i="2" s="1"/>
  <c r="L98" i="2" a="1"/>
  <c r="L98" i="2" s="1"/>
  <c r="L172" i="2" a="1"/>
  <c r="L172" i="2" s="1"/>
  <c r="L22" i="2" a="1"/>
  <c r="L22" i="2" s="1"/>
  <c r="L7" i="2" a="1"/>
  <c r="L7" i="2" s="1"/>
  <c r="L9" i="2" a="1"/>
  <c r="L9" i="2" s="1"/>
  <c r="L97" i="2" a="1"/>
  <c r="L97" i="2" s="1"/>
  <c r="L127" i="2" a="1"/>
  <c r="L127" i="2" s="1"/>
  <c r="L175" i="2" a="1"/>
  <c r="L175"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L57" i="2" s="1" a="1"/>
  <c r="L57" i="2" s="1"/>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63" i="2"/>
  <c r="L263" i="2" s="1" a="1"/>
  <c r="L263"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K222" i="2"/>
  <c r="L222" i="2" s="1" a="1"/>
  <c r="L222" i="2" s="1"/>
  <c r="K265" i="2"/>
  <c r="L265" i="2" s="1" a="1"/>
  <c r="L265" i="2" s="1"/>
  <c r="K269" i="2"/>
  <c r="L269" i="2" s="1" a="1"/>
  <c r="L269" i="2" s="1"/>
  <c r="L274" i="2" a="1"/>
  <c r="L274" i="2" s="1"/>
  <c r="K278" i="2"/>
  <c r="L278" i="2" s="1" a="1"/>
  <c r="L278" i="2" s="1"/>
  <c r="L11" i="2" a="1"/>
  <c r="L11" i="2" s="1"/>
  <c r="L13" i="2" a="1"/>
  <c r="L13" i="2" s="1"/>
  <c r="K15" i="2"/>
  <c r="K18" i="2"/>
  <c r="K21" i="2"/>
  <c r="K25" i="2"/>
  <c r="L25" i="2" s="1" a="1"/>
  <c r="L25" i="2" s="1"/>
  <c r="L27" i="2" a="1"/>
  <c r="L27" i="2" s="1"/>
  <c r="L49" i="2" a="1"/>
  <c r="L49" i="2" s="1"/>
  <c r="L53" i="2" a="1"/>
  <c r="L53"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L107" i="2" s="1" a="1"/>
  <c r="L107" i="2" s="1"/>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L241" i="2" s="1" a="1"/>
  <c r="L241" i="2" s="1"/>
  <c r="L267" i="2" a="1"/>
  <c r="L267" i="2" s="1"/>
  <c r="L270" i="2" a="1"/>
  <c r="L270"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L21" i="2" a="1"/>
  <c r="L21"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32" i="2" a="1"/>
  <c r="L132" i="2" s="1"/>
  <c r="L142" i="2" a="1"/>
  <c r="L142" i="2" s="1"/>
  <c r="K179" i="2"/>
  <c r="L179" i="2" s="1" a="1"/>
  <c r="L179" i="2" s="1"/>
  <c r="K178" i="2"/>
  <c r="L178" i="2" s="1" a="1"/>
  <c r="L178" i="2" s="1"/>
  <c r="K187" i="2"/>
  <c r="L187" i="2" s="1" a="1"/>
  <c r="L187" i="2" s="1"/>
  <c r="K186" i="2"/>
  <c r="L186" i="2" s="1" a="1"/>
  <c r="L186"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M190" i="2"/>
  <c r="M199" i="2"/>
  <c r="O215" i="2"/>
  <c r="N229" i="2"/>
  <c r="K230" i="2"/>
  <c r="L230" i="2" s="1" a="1"/>
  <c r="L230" i="2" s="1"/>
  <c r="K234" i="2"/>
  <c r="L234" i="2" s="1" a="1"/>
  <c r="L234" i="2" s="1"/>
  <c r="N236" i="2"/>
  <c r="M236" i="2"/>
  <c r="O236" i="2"/>
  <c r="O241" i="2"/>
  <c r="N241" i="2"/>
  <c r="M241" i="2"/>
  <c r="L268" i="2" a="1"/>
  <c r="L268" i="2" s="1"/>
  <c r="K218" i="2"/>
  <c r="L218" i="2" s="1" a="1"/>
  <c r="L218" i="2" s="1"/>
  <c r="L233" i="2" a="1"/>
  <c r="L233" i="2" s="1"/>
  <c r="K261" i="2"/>
  <c r="L261" i="2" s="1" a="1"/>
  <c r="L261" i="2" s="1"/>
  <c r="L271" i="2" a="1"/>
  <c r="L271" i="2" s="1"/>
  <c r="K276" i="2"/>
  <c r="L276" i="2" s="1" a="1"/>
  <c r="L276" i="2" s="1"/>
  <c r="O238" i="2"/>
  <c r="N238" i="2"/>
  <c r="L277" i="2" a="1"/>
  <c r="L277" i="2" s="1"/>
  <c r="M262" i="2"/>
  <c r="N268" i="2"/>
  <c r="M275" i="2"/>
  <c r="O276" i="2"/>
  <c r="N262" i="2"/>
  <c r="N275"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<sst xmlns="http://schemas.openxmlformats.org/spreadsheetml/2006/main" count="1150" uniqueCount="579">
  <si>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</si>
  <si>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</si>
  <si>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</si>
  <si>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</si>
  <si>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</si>
  <si>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</si>
  <si>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</si>
  <si>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</si>
  <si>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</si>
  <si>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</si>
  <si>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</si>
  <si>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</si>
  <si>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</si>
  <si>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</si>
  <si>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</si>
  <si>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</si>
  <si>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</si>
  <si>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</si>
  <si>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</si>
  <si>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</si>
  <si>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</si>
  <si>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</si>
  <si>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</si>
  <si>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</si>
  <si>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</si>
  <si>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</si>
  <si>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</si>
  <si>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</si>
  <si>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</si>
  <si>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</si>
  <si>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</si>
  <si>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</si>
  <si>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</si>
  <si>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</si>
  <si>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</si>
  <si>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</si>
  <si>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</si>
  <si>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</si>
  <si>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</si>
  <si>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</si>
  <si>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</si>
  <si>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</si>
  <si>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</si>
  <si>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</si>
  <si>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</si>
  <si>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</si>
  <si>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</si>
  <si>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</si>
  <si>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</si>
  <si>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</si>
  <si>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</si>
  <si>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</si>
  <si>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</si>
  <si>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</si>
  <si>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</si>
  <si>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</si>
  <si>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</si>
  <si>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</si>
  <si>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</si>
  <si>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</si>
  <si>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</si>
  <si>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</si>
  <si>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</si>
  <si>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</si>
  <si>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</si>
  <si>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</si>
  <si>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</si>
  <si>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</si>
  <si>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</si>
  <si>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</si>
  <si>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</si>
  <si>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</si>
  <si>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</si>
  <si>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</si>
  <si>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</si>
  <si>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</si>
  <si>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</si>
  <si>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</si>
  <si>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</si>
  <si>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</si>
  <si>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</si>
  <si>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</si>
  <si>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</si>
  <si>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</si>
  <si>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</si>
  <si>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</si>
  <si>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</si>
  <si>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</si>
  <si>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</si>
  <si>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</si>
  <si>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</si>
  <si>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</si>
  <si>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</si>
  <si>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</si>
  <si>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</si>
  <si>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</si>
  <si>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</si>
  <si>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</si>
  <si>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</si>
  <si>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</si>
  <si>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</si>
  <si>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</si>
  <si>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</si>
  <si>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</si>
  <si>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</si>
  <si>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</si>
  <si>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</si>
  <si>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</si>
  <si>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</si>
  <si>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</si>
  <si>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</si>
  <si>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</si>
  <si>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</si>
  <si>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</si>
  <si>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</si>
  <si>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</si>
  <si>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</si>
  <si>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</si>
  <si>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</si>
  <si>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</si>
  <si>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</si>
  <si>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</si>
  <si>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</si>
  <si>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</si>
  <si>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</si>
  <si>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</si>
  <si>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</si>
  <si>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</si>
  <si>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</si>
  <si>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</si>
  <si>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</si>
  <si>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</si>
  <si>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</si>
  <si>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</si>
  <si>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</si>
  <si>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</si>
  <si>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</si>
  <si>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</si>
  <si>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</si>
  <si>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</si>
  <si>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</si>
  <si>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</si>
  <si>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</si>
  <si>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</si>
  <si>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</si>
  <si>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</si>
  <si>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</si>
  <si>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</si>
  <si>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</si>
  <si>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</si>
  <si>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</si>
  <si>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</si>
  <si>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</si>
  <si>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</si>
  <si>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</si>
  <si>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</si>
  <si>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</si>
  <si>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</si>
  <si>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</si>
  <si>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</si>
  <si>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</si>
  <si>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</si>
  <si>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</si>
  <si>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</si>
  <si>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</si>
  <si>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</si>
  <si>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</si>
  <si>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</si>
  <si>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</si>
  <si>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</si>
  <si>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</si>
  <si>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</si>
  <si>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</si>
  <si>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</si>
  <si>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</si>
  <si>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</si>
  <si>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</si>
  <si>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</si>
  <si>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</si>
  <si>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</si>
  <si>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</si>
  <si>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</si>
  <si>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</si>
  <si>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</si>
  <si>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</si>
  <si>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</si>
  <si>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</si>
  <si>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</si>
  <si>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</si>
  <si>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</si>
  <si>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</si>
  <si>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</si>
  <si>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</si>
  <si>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</si>
  <si>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</si>
  <si>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</si>
  <si>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</si>
  <si>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</si>
  <si>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</si>
  <si>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</si>
  <si>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</si>
  <si>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</si>
  <si>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</si>
  <si>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</si>
  <si>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</si>
  <si>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</si>
  <si>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</si>
  <si>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</si>
  <si>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</si>
  <si>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</si>
  <si>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</si>
  <si>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</si>
  <si>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</si>
  <si>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</si>
  <si>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</si>
  <si>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</si>
  <si>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</si>
  <si>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</si>
  <si>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</si>
  <si>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</si>
  <si>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</si>
  <si>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</si>
  <si>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</si>
  <si>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</si>
  <si>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</si>
  <si>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</si>
  <si>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</si>
  <si>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</si>
  <si>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</si>
  <si>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</si>
  <si>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</si>
  <si>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</si>
  <si>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</si>
  <si>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</si>
  <si>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</si>
  <si>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</si>
  <si>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</si>
  <si>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</si>
  <si>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</si>
  <si>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</si>
  <si>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</si>
  <si>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</si>
  <si>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</si>
  <si>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</si>
  <si>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</si>
  <si>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</si>
  <si>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</si>
  <si>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</si>
  <si>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</si>
  <si>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</si>
  <si>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</si>
  <si>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</si>
  <si>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</si>
  <si>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</si>
  <si>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</si>
  <si>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</si>
  <si>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</si>
  <si>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</si>
  <si>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</si>
  <si>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</si>
  <si>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</si>
  <si>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</si>
  <si>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</si>
  <si>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</si>
  <si>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</si>
  <si>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</si>
  <si>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</si>
  <si>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</si>
  <si>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</si>
  <si>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</si>
  <si>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</si>
  <si>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</si>
  <si>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</si>
  <si>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</si>
  <si>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</si>
  <si>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</si>
  <si>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</si>
  <si>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</si>
  <si>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</si>
  <si>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</si>
  <si>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</si>
  <si>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</si>
  <si>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</si>
  <si>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</si>
  <si>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</si>
  <si>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</si>
  <si>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</si>
  <si>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</si>
  <si>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</si>
  <si>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</si>
  <si>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</si>
  <si>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</si>
  <si>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</si>
  <si>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</si>
  <si>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</si>
  <si>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</si>
  <si>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</si>
  <si>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</si>
  <si>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</si>
  <si>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</si>
  <si>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</si>
  <si>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</si>
  <si>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</si>
  <si>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</si>
  <si>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</si>
  <si>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</si>
  <si>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</si>
  <si>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</si>
  <si>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</si>
  <si>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</si>
  <si>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</si>
  <si>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</si>
  <si>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</si>
  <si>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</si>
  <si>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</si>
  <si>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</si>
  <si>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</si>
  <si>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</si>
  <si>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</si>
  <si>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</si>
  <si>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</si>
  <si>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</si>
  <si>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</si>
  <si>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</si>
  <si>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</si>
  <si>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</si>
  <si>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</si>
  <si>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</si>
  <si>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</si>
  <si>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</si>
  <si>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</si>
  <si>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</si>
  <si>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</si>
  <si>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</si>
  <si>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</si>
  <si>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</si>
  <si>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</si>
  <si>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</si>
  <si>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</si>
  <si>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</si>
  <si>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</si>
  <si>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</si>
  <si>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</si>
  <si>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</si>
  <si>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</si>
  <si>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</si>
  <si>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</si>
  <si>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</si>
  <si>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</si>
  <si>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</si>
  <si>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</si>
  <si>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</si>
  <si>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</si>
  <si>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</si>
  <si>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</si>
  <si>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</si>
  <si>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</si>
  <si>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</si>
  <si>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</si>
  <si>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</si>
  <si>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</si>
  <si>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</si>
  <si>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</si>
  <si>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</si>
  <si>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</si>
  <si>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</si>
  <si>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</si>
  <si>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</si>
  <si>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</si>
  <si>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</si>
  <si>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</si>
  <si>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</si>
  <si>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</si>
  <si>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</si>
  <si>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</si>
  <si>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</si>
  <si>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</si>
  <si>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</si>
  <si>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</si>
  <si>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</si>
  <si>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</si>
  <si>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</si>
  <si>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</si>
  <si>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</si>
  <si>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</si>
  <si>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</si>
  <si>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</si>
  <si>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</si>
  <si>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</si>
  <si>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</si>
  <si>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</si>
  <si>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</si>
  <si>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</si>
  <si>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</si>
  <si>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</si>
  <si>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</si>
  <si>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</si>
  <si>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</si>
  <si>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</si>
  <si>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</si>
  <si>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</si>
  <si>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</si>
  <si>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</si>
  <si>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</si>
  <si>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</si>
  <si>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</si>
  <si>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</si>
  <si>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</si>
  <si>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</si>
  <si>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</si>
  <si>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</si>
  <si>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</si>
  <si>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</si>
  <si>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</si>
  <si>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</si>
  <si>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</si>
  <si>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</si>
  <si>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</si>
  <si>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</si>
  <si>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</si>
  <si>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</si>
  <si>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</si>
  <si>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</si>
  <si>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</si>
  <si>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</si>
  <si>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</si>
  <si>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</si>
  <si>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</si>
  <si>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</si>
  <si>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</si>
  <si>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</si>
  <si>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</si>
  <si>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</si>
  <si>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</si>
  <si>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</si>
  <si>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</si>
  <si>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</si>
  <si>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</si>
  <si>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</si>
  <si>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</si>
  <si>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046A38</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</si>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</sst>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NL</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1.3391342287939099</c:v>
                </c:pt>
                <c:pt idx="2">
                  <c:v>1.6624971585515393</c:v>
                </c:pt>
                <c:pt idx="3">
                  <c:v>1.8837245056934204</c:v>
                </c:pt>
                <c:pt idx="4">
                  <c:v>2.0618960674060247</c:v>
                </c:pt>
                <c:pt idx="5">
                  <c:v>2.3980486793669296</c:v>
                </c:pt>
                <c:pt idx="6">
                  <c:v>2.8592337229158362</c:v>
                </c:pt>
                <c:pt idx="7">
                  <c:v>3.4198046857659086</c:v>
                </c:pt>
                <c:pt idx="8">
                  <c:v>3.689746522801268</c:v>
                </c:pt>
                <c:pt idx="9">
                  <c:v>4.1621276733268839</c:v>
                </c:pt>
                <c:pt idx="10">
                  <c:v>4.3990778083905058</c:v>
                </c:pt>
                <c:pt idx="11">
                  <c:v>4.9482537339305992</c:v>
                </c:pt>
                <c:pt idx="12">
                  <c:v>5.4112987253332721</c:v>
                </c:pt>
                <c:pt idx="13">
                  <c:v>6.199193661270515</c:v>
                </c:pt>
                <c:pt idx="14">
                  <c:v>6.6095124828780065</c:v>
                </c:pt>
                <c:pt idx="15">
                  <c:v>7.1857037521258809</c:v>
                </c:pt>
                <c:pt idx="16">
                  <c:v>8.5427530712152215</c:v>
                </c:pt>
                <c:pt idx="17">
                  <c:v>9.9280738738776524</c:v>
                </c:pt>
                <c:pt idx="18">
                  <c:v>11.763574159197232</c:v>
                </c:pt>
                <c:pt idx="19">
                  <c:v>12.542583429401896</c:v>
                </c:pt>
                <c:pt idx="20">
                  <c:v>12.772947986047956</c:v>
                </c:pt>
                <c:pt idx="21">
                  <c:v>14.708132986319058</c:v>
                </c:pt>
                <c:pt idx="22">
                  <c:v>16.828661674325101</c:v>
                </c:pt>
                <c:pt idx="23">
                  <c:v>17.817131231112999</c:v>
                </c:pt>
                <c:pt idx="24">
                  <c:v>19.883812577582784</c:v>
                </c:pt>
                <c:pt idx="25">
                  <c:v>23.515908351121212</c:v>
                </c:pt>
                <c:pt idx="26">
                  <c:v>27.752281204818384</c:v>
                </c:pt>
                <c:pt idx="27">
                  <c:v>31.635928340130757</c:v>
                </c:pt>
                <c:pt idx="28">
                  <c:v>33.931200294854982</c:v>
                </c:pt>
                <c:pt idx="29">
                  <c:v>34.456558456539852</c:v>
                </c:pt>
                <c:pt idx="30">
                  <c:v>38.695297120387345</c:v>
                </c:pt>
                <c:pt idx="31">
                  <c:v>41.515650269506558</c:v>
                </c:pt>
              </c:numCache>
            </c:numRef>
          </c:xVal>
          <c:yVal>
            <c:numRef>
              <c:f>[0]!TestData.01Y</c:f>
              <c:numCache>
                <c:formatCode>General</c:formatCode>
                <c:ptCount val="32"/>
                <c:pt idx="0">
                  <c:v>172.32748106666949</c:v>
                </c:pt>
                <c:pt idx="1">
                  <c:v>175.81486485923062</c:v>
                </c:pt>
                <c:pt idx="2">
                  <c:v>179.74416969790485</c:v>
                </c:pt>
                <c:pt idx="3">
                  <c:v>180.13540505399109</c:v>
                </c:pt>
                <c:pt idx="4">
                  <c:v>182.26473327699685</c:v>
                </c:pt>
                <c:pt idx="5">
                  <c:v>187.29611919159288</c:v>
                </c:pt>
                <c:pt idx="6">
                  <c:v>190.54165609759025</c:v>
                </c:pt>
                <c:pt idx="7">
                  <c:v>193.48292821698342</c:v>
                </c:pt>
                <c:pt idx="8">
                  <c:v>195.65933475074004</c:v>
                </c:pt>
                <c:pt idx="9">
                  <c:v>201.04839267673054</c:v>
                </c:pt>
                <c:pt idx="10">
                  <c:v>201.10885577601783</c:v>
                </c:pt>
                <c:pt idx="11">
                  <c:v>202.27808672204682</c:v>
                </c:pt>
                <c:pt idx="12">
                  <c:v>204.20259047661054</c:v>
                </c:pt>
                <c:pt idx="13">
                  <c:v>208.35612964665927</c:v>
                </c:pt>
                <c:pt idx="14">
                  <c:v>212.70646751556015</c:v>
                </c:pt>
                <c:pt idx="15">
                  <c:v>212.64827709137825</c:v>
                </c:pt>
                <c:pt idx="16">
                  <c:v>216.31893506956948</c:v>
                </c:pt>
                <c:pt idx="17">
                  <c:v>218.93849935331653</c:v>
                </c:pt>
                <c:pt idx="18">
                  <c:v>219.71315050856427</c:v>
                </c:pt>
                <c:pt idx="19">
                  <c:v>219.32636245926929</c:v>
                </c:pt>
                <c:pt idx="20">
                  <c:v>218.89656946446544</c:v>
                </c:pt>
                <c:pt idx="21">
                  <c:v>220.21896098152024</c:v>
                </c:pt>
                <c:pt idx="22">
                  <c:v>220.03361002049161</c:v>
                </c:pt>
                <c:pt idx="23">
                  <c:v>217.37587247668276</c:v>
                </c:pt>
                <c:pt idx="24">
                  <c:v>216.02309193311186</c:v>
                </c:pt>
                <c:pt idx="25">
                  <c:v>212.45934502075443</c:v>
                </c:pt>
                <c:pt idx="26">
                  <c:v>207.45326870153366</c:v>
                </c:pt>
                <c:pt idx="27">
                  <c:v>203.81977926983691</c:v>
                </c:pt>
                <c:pt idx="28">
                  <c:v>202.64735161530811</c:v>
                </c:pt>
                <c:pt idx="29">
                  <c:v>203.82533248369452</c:v>
                </c:pt>
                <c:pt idx="30">
                  <c:v>198.03726535702469</c:v>
                </c:pt>
                <c:pt idx="31">
                  <c:v>196.57882031575156</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NL</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1.3391342287939099</c:v>
                </c:pt>
                <c:pt idx="2">
                  <c:v>1.6624971585515393</c:v>
                </c:pt>
                <c:pt idx="3">
                  <c:v>1.8837245056934204</c:v>
                </c:pt>
                <c:pt idx="4">
                  <c:v>2.0618960674060247</c:v>
                </c:pt>
                <c:pt idx="5">
                  <c:v>2.3980486793669296</c:v>
                </c:pt>
                <c:pt idx="6">
                  <c:v>2.8592337229158362</c:v>
                </c:pt>
                <c:pt idx="7">
                  <c:v>3.4198046857659086</c:v>
                </c:pt>
                <c:pt idx="8">
                  <c:v>3.689746522801268</c:v>
                </c:pt>
                <c:pt idx="9">
                  <c:v>4.1621276733268839</c:v>
                </c:pt>
                <c:pt idx="10">
                  <c:v>4.3990778083905058</c:v>
                </c:pt>
                <c:pt idx="11">
                  <c:v>4.9482537339305992</c:v>
                </c:pt>
                <c:pt idx="12">
                  <c:v>5.4112987253332721</c:v>
                </c:pt>
                <c:pt idx="13">
                  <c:v>6.199193661270515</c:v>
                </c:pt>
                <c:pt idx="14">
                  <c:v>6.6095124828780065</c:v>
                </c:pt>
                <c:pt idx="15">
                  <c:v>7.1857037521258809</c:v>
                </c:pt>
                <c:pt idx="16">
                  <c:v>8.5427530712152215</c:v>
                </c:pt>
                <c:pt idx="17">
                  <c:v>9.9280738738776524</c:v>
                </c:pt>
                <c:pt idx="18">
                  <c:v>11.763574159197232</c:v>
                </c:pt>
                <c:pt idx="19">
                  <c:v>12.542583429401896</c:v>
                </c:pt>
                <c:pt idx="20">
                  <c:v>12.772947986047956</c:v>
                </c:pt>
                <c:pt idx="21">
                  <c:v>14.708132986319058</c:v>
                </c:pt>
                <c:pt idx="22">
                  <c:v>16.828661674325101</c:v>
                </c:pt>
                <c:pt idx="23">
                  <c:v>17.817131231112999</c:v>
                </c:pt>
                <c:pt idx="24">
                  <c:v>19.883812577582784</c:v>
                </c:pt>
                <c:pt idx="25">
                  <c:v>23.515908351121212</c:v>
                </c:pt>
                <c:pt idx="26">
                  <c:v>27.752281204818384</c:v>
                </c:pt>
                <c:pt idx="27">
                  <c:v>31.635928340130757</c:v>
                </c:pt>
                <c:pt idx="28">
                  <c:v>33.931200294854982</c:v>
                </c:pt>
                <c:pt idx="29">
                  <c:v>34.456558456539852</c:v>
                </c:pt>
                <c:pt idx="30">
                  <c:v>38.695297120387345</c:v>
                </c:pt>
                <c:pt idx="31">
                  <c:v>41.515650269506558</c:v>
                </c:pt>
              </c:numCache>
            </c:numRef>
          </c:xVal>
          <c:yVal>
            <c:numRef>
              <c:f>[0]!TestData.01Y</c:f>
              <c:numCache>
                <c:formatCode>General</c:formatCode>
                <c:ptCount val="32"/>
                <c:pt idx="0">
                  <c:v>172.32748106666949</c:v>
                </c:pt>
                <c:pt idx="1">
                  <c:v>175.81486485923062</c:v>
                </c:pt>
                <c:pt idx="2">
                  <c:v>179.74416969790485</c:v>
                </c:pt>
                <c:pt idx="3">
                  <c:v>180.13540505399109</c:v>
                </c:pt>
                <c:pt idx="4">
                  <c:v>182.26473327699685</c:v>
                </c:pt>
                <c:pt idx="5">
                  <c:v>187.29611919159288</c:v>
                </c:pt>
                <c:pt idx="6">
                  <c:v>190.54165609759025</c:v>
                </c:pt>
                <c:pt idx="7">
                  <c:v>193.48292821698342</c:v>
                </c:pt>
                <c:pt idx="8">
                  <c:v>195.65933475074004</c:v>
                </c:pt>
                <c:pt idx="9">
                  <c:v>201.04839267673054</c:v>
                </c:pt>
                <c:pt idx="10">
                  <c:v>201.10885577601783</c:v>
                </c:pt>
                <c:pt idx="11">
                  <c:v>202.27808672204682</c:v>
                </c:pt>
                <c:pt idx="12">
                  <c:v>204.20259047661054</c:v>
                </c:pt>
                <c:pt idx="13">
                  <c:v>208.35612964665927</c:v>
                </c:pt>
                <c:pt idx="14">
                  <c:v>212.70646751556015</c:v>
                </c:pt>
                <c:pt idx="15">
                  <c:v>212.64827709137825</c:v>
                </c:pt>
                <c:pt idx="16">
                  <c:v>216.31893506956948</c:v>
                </c:pt>
                <c:pt idx="17">
                  <c:v>218.93849935331653</c:v>
                </c:pt>
                <c:pt idx="18">
                  <c:v>219.71315050856427</c:v>
                </c:pt>
                <c:pt idx="19">
                  <c:v>219.32636245926929</c:v>
                </c:pt>
                <c:pt idx="20">
                  <c:v>218.89656946446544</c:v>
                </c:pt>
                <c:pt idx="21">
                  <c:v>220.21896098152024</c:v>
                </c:pt>
                <c:pt idx="22">
                  <c:v>220.03361002049161</c:v>
                </c:pt>
                <c:pt idx="23">
                  <c:v>217.37587247668276</c:v>
                </c:pt>
                <c:pt idx="24">
                  <c:v>216.02309193311186</c:v>
                </c:pt>
                <c:pt idx="25">
                  <c:v>212.45934502075443</c:v>
                </c:pt>
                <c:pt idx="26">
                  <c:v>207.45326870153366</c:v>
                </c:pt>
                <c:pt idx="27">
                  <c:v>203.81977926983691</c:v>
                </c:pt>
                <c:pt idx="28">
                  <c:v>202.64735161530811</c:v>
                </c:pt>
                <c:pt idx="29">
                  <c:v>203.82533248369452</c:v>
                </c:pt>
                <c:pt idx="30">
                  <c:v>198.03726535702469</c:v>
                </c:pt>
                <c:pt idx="31">
                  <c:v>196.57882031575156</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NL</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1.3391342287939099</c:v>
                </c:pt>
                <c:pt idx="2">
                  <c:v>1.6624971585515393</c:v>
                </c:pt>
                <c:pt idx="3">
                  <c:v>1.8837245056934204</c:v>
                </c:pt>
                <c:pt idx="4">
                  <c:v>2.0618960674060247</c:v>
                </c:pt>
                <c:pt idx="5">
                  <c:v>2.3980486793669296</c:v>
                </c:pt>
                <c:pt idx="6">
                  <c:v>2.8592337229158362</c:v>
                </c:pt>
                <c:pt idx="7">
                  <c:v>3.4198046857659086</c:v>
                </c:pt>
                <c:pt idx="8">
                  <c:v>3.689746522801268</c:v>
                </c:pt>
                <c:pt idx="9">
                  <c:v>4.1621276733268839</c:v>
                </c:pt>
                <c:pt idx="10">
                  <c:v>4.3990778083905058</c:v>
                </c:pt>
                <c:pt idx="11">
                  <c:v>4.9482537339305992</c:v>
                </c:pt>
                <c:pt idx="12">
                  <c:v>5.4112987253332721</c:v>
                </c:pt>
                <c:pt idx="13">
                  <c:v>6.199193661270515</c:v>
                </c:pt>
                <c:pt idx="14">
                  <c:v>6.6095124828780065</c:v>
                </c:pt>
                <c:pt idx="15">
                  <c:v>7.1857037521258809</c:v>
                </c:pt>
                <c:pt idx="16">
                  <c:v>8.5427530712152215</c:v>
                </c:pt>
                <c:pt idx="17">
                  <c:v>9.9280738738776524</c:v>
                </c:pt>
                <c:pt idx="18">
                  <c:v>11.763574159197232</c:v>
                </c:pt>
                <c:pt idx="19">
                  <c:v>12.542583429401896</c:v>
                </c:pt>
                <c:pt idx="20">
                  <c:v>12.772947986047956</c:v>
                </c:pt>
                <c:pt idx="21">
                  <c:v>14.708132986319058</c:v>
                </c:pt>
                <c:pt idx="22">
                  <c:v>16.828661674325101</c:v>
                </c:pt>
                <c:pt idx="23">
                  <c:v>17.817131231112999</c:v>
                </c:pt>
                <c:pt idx="24">
                  <c:v>19.883812577582784</c:v>
                </c:pt>
                <c:pt idx="25">
                  <c:v>23.515908351121212</c:v>
                </c:pt>
                <c:pt idx="26">
                  <c:v>27.752281204818384</c:v>
                </c:pt>
                <c:pt idx="27">
                  <c:v>31.635928340130757</c:v>
                </c:pt>
                <c:pt idx="28">
                  <c:v>33.931200294854982</c:v>
                </c:pt>
                <c:pt idx="29">
                  <c:v>34.456558456539852</c:v>
                </c:pt>
                <c:pt idx="30">
                  <c:v>38.695297120387345</c:v>
                </c:pt>
                <c:pt idx="31">
                  <c:v>41.515650269506558</c:v>
                </c:pt>
              </c:numCache>
            </c:numRef>
          </c:xVal>
          <c:yVal>
            <c:numRef>
              <c:f>[0]!TestData.01Y</c:f>
              <c:numCache>
                <c:formatCode>General</c:formatCode>
                <c:ptCount val="32"/>
                <c:pt idx="0">
                  <c:v>172.32748106666949</c:v>
                </c:pt>
                <c:pt idx="1">
                  <c:v>175.81486485923062</c:v>
                </c:pt>
                <c:pt idx="2">
                  <c:v>179.74416969790485</c:v>
                </c:pt>
                <c:pt idx="3">
                  <c:v>180.13540505399109</c:v>
                </c:pt>
                <c:pt idx="4">
                  <c:v>182.26473327699685</c:v>
                </c:pt>
                <c:pt idx="5">
                  <c:v>187.29611919159288</c:v>
                </c:pt>
                <c:pt idx="6">
                  <c:v>190.54165609759025</c:v>
                </c:pt>
                <c:pt idx="7">
                  <c:v>193.48292821698342</c:v>
                </c:pt>
                <c:pt idx="8">
                  <c:v>195.65933475074004</c:v>
                </c:pt>
                <c:pt idx="9">
                  <c:v>201.04839267673054</c:v>
                </c:pt>
                <c:pt idx="10">
                  <c:v>201.10885577601783</c:v>
                </c:pt>
                <c:pt idx="11">
                  <c:v>202.27808672204682</c:v>
                </c:pt>
                <c:pt idx="12">
                  <c:v>204.20259047661054</c:v>
                </c:pt>
                <c:pt idx="13">
                  <c:v>208.35612964665927</c:v>
                </c:pt>
                <c:pt idx="14">
                  <c:v>212.70646751556015</c:v>
                </c:pt>
                <c:pt idx="15">
                  <c:v>212.64827709137825</c:v>
                </c:pt>
                <c:pt idx="16">
                  <c:v>216.31893506956948</c:v>
                </c:pt>
                <c:pt idx="17">
                  <c:v>218.93849935331653</c:v>
                </c:pt>
                <c:pt idx="18">
                  <c:v>219.71315050856427</c:v>
                </c:pt>
                <c:pt idx="19">
                  <c:v>219.32636245926929</c:v>
                </c:pt>
                <c:pt idx="20">
                  <c:v>218.89656946446544</c:v>
                </c:pt>
                <c:pt idx="21">
                  <c:v>220.21896098152024</c:v>
                </c:pt>
                <c:pt idx="22">
                  <c:v>220.03361002049161</c:v>
                </c:pt>
                <c:pt idx="23">
                  <c:v>217.37587247668276</c:v>
                </c:pt>
                <c:pt idx="24">
                  <c:v>216.02309193311186</c:v>
                </c:pt>
                <c:pt idx="25">
                  <c:v>212.45934502075443</c:v>
                </c:pt>
                <c:pt idx="26">
                  <c:v>207.45326870153366</c:v>
                </c:pt>
                <c:pt idx="27">
                  <c:v>203.81977926983691</c:v>
                </c:pt>
                <c:pt idx="28">
                  <c:v>202.64735161530811</c:v>
                </c:pt>
                <c:pt idx="29">
                  <c:v>203.82533248369452</c:v>
                </c:pt>
                <c:pt idx="30">
                  <c:v>198.03726535702469</c:v>
                </c:pt>
                <c:pt idx="31">
                  <c:v>196.57882031575156</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BE</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1.3062880650617072</c:v>
                </c:pt>
                <c:pt idx="2">
                  <c:v>1.6825711513020256</c:v>
                </c:pt>
                <c:pt idx="3">
                  <c:v>1.9476155633194105</c:v>
                </c:pt>
                <c:pt idx="4">
                  <c:v>2.3479689753730963</c:v>
                </c:pt>
                <c:pt idx="5">
                  <c:v>2.5411348005114824</c:v>
                </c:pt>
                <c:pt idx="6">
                  <c:v>3.1134760696446815</c:v>
                </c:pt>
                <c:pt idx="7">
                  <c:v>3.3865461005325233</c:v>
                </c:pt>
                <c:pt idx="8">
                  <c:v>3.9931862510064637</c:v>
                </c:pt>
                <c:pt idx="9">
                  <c:v>4.2921409205508949</c:v>
                </c:pt>
                <c:pt idx="10">
                  <c:v>5.1873408653108015</c:v>
                </c:pt>
                <c:pt idx="11">
                  <c:v>6.0541972499353953</c:v>
                </c:pt>
                <c:pt idx="12">
                  <c:v>6.2532709345679516</c:v>
                </c:pt>
                <c:pt idx="13">
                  <c:v>7.4545514895033183</c:v>
                </c:pt>
                <c:pt idx="14">
                  <c:v>8.3852561654183848</c:v>
                </c:pt>
                <c:pt idx="15">
                  <c:v>9.7750226590982781</c:v>
                </c:pt>
                <c:pt idx="16">
                  <c:v>9.9556311361977503</c:v>
                </c:pt>
                <c:pt idx="17">
                  <c:v>10.718315093063643</c:v>
                </c:pt>
                <c:pt idx="18">
                  <c:v>12.556342661581374</c:v>
                </c:pt>
                <c:pt idx="19">
                  <c:v>12.981550298436261</c:v>
                </c:pt>
                <c:pt idx="20">
                  <c:v>14.910321493190954</c:v>
                </c:pt>
                <c:pt idx="21">
                  <c:v>16.928394254735672</c:v>
                </c:pt>
                <c:pt idx="22">
                  <c:v>19.694460870350447</c:v>
                </c:pt>
                <c:pt idx="23">
                  <c:v>21.363437865162638</c:v>
                </c:pt>
                <c:pt idx="24">
                  <c:v>21.960924060999808</c:v>
                </c:pt>
                <c:pt idx="25">
                  <c:v>25.085066192798021</c:v>
                </c:pt>
                <c:pt idx="26">
                  <c:v>27.855010555941035</c:v>
                </c:pt>
                <c:pt idx="27">
                  <c:v>29.256755334447398</c:v>
                </c:pt>
                <c:pt idx="28">
                  <c:v>30.472417220103797</c:v>
                </c:pt>
                <c:pt idx="29">
                  <c:v>31.176470855796442</c:v>
                </c:pt>
                <c:pt idx="30">
                  <c:v>32.830915475386497</c:v>
                </c:pt>
                <c:pt idx="31">
                  <c:v>38.224018814746941</c:v>
                </c:pt>
              </c:numCache>
            </c:numRef>
          </c:xVal>
          <c:yVal>
            <c:numRef>
              <c:f>[0]!TestData.02Y</c:f>
              <c:numCache>
                <c:formatCode>General</c:formatCode>
                <c:ptCount val="32"/>
                <c:pt idx="0">
                  <c:v>192.80716942831322</c:v>
                </c:pt>
                <c:pt idx="1">
                  <c:v>195.46527452321737</c:v>
                </c:pt>
                <c:pt idx="2">
                  <c:v>201.26332336508901</c:v>
                </c:pt>
                <c:pt idx="3">
                  <c:v>203.36543259374216</c:v>
                </c:pt>
                <c:pt idx="4">
                  <c:v>206.73068167450282</c:v>
                </c:pt>
                <c:pt idx="5">
                  <c:v>207.36735960921965</c:v>
                </c:pt>
                <c:pt idx="6">
                  <c:v>212.07790364707014</c:v>
                </c:pt>
                <c:pt idx="7">
                  <c:v>214.073610504474</c:v>
                </c:pt>
                <c:pt idx="8">
                  <c:v>218.59638125601589</c:v>
                </c:pt>
                <c:pt idx="9">
                  <c:v>219.88646856682374</c:v>
                </c:pt>
                <c:pt idx="10">
                  <c:v>224.29053732449961</c:v>
                </c:pt>
                <c:pt idx="11">
                  <c:v>227.45917839614424</c:v>
                </c:pt>
                <c:pt idx="12">
                  <c:v>226.50316041971945</c:v>
                </c:pt>
                <c:pt idx="13">
                  <c:v>232.1905075689636</c:v>
                </c:pt>
                <c:pt idx="14">
                  <c:v>231.3005695497537</c:v>
                </c:pt>
                <c:pt idx="15">
                  <c:v>235.55050750127884</c:v>
                </c:pt>
                <c:pt idx="16">
                  <c:v>234.52275152927436</c:v>
                </c:pt>
                <c:pt idx="17">
                  <c:v>235.63674989521181</c:v>
                </c:pt>
                <c:pt idx="18">
                  <c:v>237.73742133371454</c:v>
                </c:pt>
                <c:pt idx="19">
                  <c:v>238.53935478429582</c:v>
                </c:pt>
                <c:pt idx="20">
                  <c:v>236.95398363308416</c:v>
                </c:pt>
                <c:pt idx="21">
                  <c:v>238.24570721308447</c:v>
                </c:pt>
                <c:pt idx="22">
                  <c:v>236.33348895685873</c:v>
                </c:pt>
                <c:pt idx="23">
                  <c:v>237.76437056528715</c:v>
                </c:pt>
                <c:pt idx="24">
                  <c:v>233.97419570492519</c:v>
                </c:pt>
                <c:pt idx="25">
                  <c:v>232.04769226834844</c:v>
                </c:pt>
                <c:pt idx="26">
                  <c:v>232.80790691118818</c:v>
                </c:pt>
                <c:pt idx="27">
                  <c:v>232.426823124305</c:v>
                </c:pt>
                <c:pt idx="28">
                  <c:v>228.62374461423434</c:v>
                </c:pt>
                <c:pt idx="29">
                  <c:v>229.05081323226412</c:v>
                </c:pt>
                <c:pt idx="30">
                  <c:v>229.81732086839597</c:v>
                </c:pt>
                <c:pt idx="31">
                  <c:v>228.076403980219</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BE</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1.3062880650617072</c:v>
                </c:pt>
                <c:pt idx="2">
                  <c:v>1.6825711513020256</c:v>
                </c:pt>
                <c:pt idx="3">
                  <c:v>1.9476155633194105</c:v>
                </c:pt>
                <c:pt idx="4">
                  <c:v>2.3479689753730963</c:v>
                </c:pt>
                <c:pt idx="5">
                  <c:v>2.5411348005114824</c:v>
                </c:pt>
                <c:pt idx="6">
                  <c:v>3.1134760696446815</c:v>
                </c:pt>
                <c:pt idx="7">
                  <c:v>3.3865461005325233</c:v>
                </c:pt>
                <c:pt idx="8">
                  <c:v>3.9931862510064637</c:v>
                </c:pt>
                <c:pt idx="9">
                  <c:v>4.2921409205508949</c:v>
                </c:pt>
                <c:pt idx="10">
                  <c:v>5.1873408653108015</c:v>
                </c:pt>
                <c:pt idx="11">
                  <c:v>6.0541972499353953</c:v>
                </c:pt>
                <c:pt idx="12">
                  <c:v>6.2532709345679516</c:v>
                </c:pt>
                <c:pt idx="13">
                  <c:v>7.4545514895033183</c:v>
                </c:pt>
                <c:pt idx="14">
                  <c:v>8.3852561654183848</c:v>
                </c:pt>
                <c:pt idx="15">
                  <c:v>9.7750226590982781</c:v>
                </c:pt>
                <c:pt idx="16">
                  <c:v>9.9556311361977503</c:v>
                </c:pt>
                <c:pt idx="17">
                  <c:v>10.718315093063643</c:v>
                </c:pt>
                <c:pt idx="18">
                  <c:v>12.556342661581374</c:v>
                </c:pt>
                <c:pt idx="19">
                  <c:v>12.981550298436261</c:v>
                </c:pt>
                <c:pt idx="20">
                  <c:v>14.910321493190954</c:v>
                </c:pt>
                <c:pt idx="21">
                  <c:v>16.928394254735672</c:v>
                </c:pt>
                <c:pt idx="22">
                  <c:v>19.694460870350447</c:v>
                </c:pt>
                <c:pt idx="23">
                  <c:v>21.363437865162638</c:v>
                </c:pt>
                <c:pt idx="24">
                  <c:v>21.960924060999808</c:v>
                </c:pt>
                <c:pt idx="25">
                  <c:v>25.085066192798021</c:v>
                </c:pt>
                <c:pt idx="26">
                  <c:v>27.855010555941035</c:v>
                </c:pt>
                <c:pt idx="27">
                  <c:v>29.256755334447398</c:v>
                </c:pt>
                <c:pt idx="28">
                  <c:v>30.472417220103797</c:v>
                </c:pt>
                <c:pt idx="29">
                  <c:v>31.176470855796442</c:v>
                </c:pt>
                <c:pt idx="30">
                  <c:v>32.830915475386497</c:v>
                </c:pt>
                <c:pt idx="31">
                  <c:v>38.224018814746941</c:v>
                </c:pt>
              </c:numCache>
            </c:numRef>
          </c:xVal>
          <c:yVal>
            <c:numRef>
              <c:f>[0]!TestData.02Y</c:f>
              <c:numCache>
                <c:formatCode>General</c:formatCode>
                <c:ptCount val="32"/>
                <c:pt idx="0">
                  <c:v>192.80716942831322</c:v>
                </c:pt>
                <c:pt idx="1">
                  <c:v>195.46527452321737</c:v>
                </c:pt>
                <c:pt idx="2">
                  <c:v>201.26332336508901</c:v>
                </c:pt>
                <c:pt idx="3">
                  <c:v>203.36543259374216</c:v>
                </c:pt>
                <c:pt idx="4">
                  <c:v>206.73068167450282</c:v>
                </c:pt>
                <c:pt idx="5">
                  <c:v>207.36735960921965</c:v>
                </c:pt>
                <c:pt idx="6">
                  <c:v>212.07790364707014</c:v>
                </c:pt>
                <c:pt idx="7">
                  <c:v>214.073610504474</c:v>
                </c:pt>
                <c:pt idx="8">
                  <c:v>218.59638125601589</c:v>
                </c:pt>
                <c:pt idx="9">
                  <c:v>219.88646856682374</c:v>
                </c:pt>
                <c:pt idx="10">
                  <c:v>224.29053732449961</c:v>
                </c:pt>
                <c:pt idx="11">
                  <c:v>227.45917839614424</c:v>
                </c:pt>
                <c:pt idx="12">
                  <c:v>226.50316041971945</c:v>
                </c:pt>
                <c:pt idx="13">
                  <c:v>232.1905075689636</c:v>
                </c:pt>
                <c:pt idx="14">
                  <c:v>231.3005695497537</c:v>
                </c:pt>
                <c:pt idx="15">
                  <c:v>235.55050750127884</c:v>
                </c:pt>
                <c:pt idx="16">
                  <c:v>234.52275152927436</c:v>
                </c:pt>
                <c:pt idx="17">
                  <c:v>235.63674989521181</c:v>
                </c:pt>
                <c:pt idx="18">
                  <c:v>237.73742133371454</c:v>
                </c:pt>
                <c:pt idx="19">
                  <c:v>238.53935478429582</c:v>
                </c:pt>
                <c:pt idx="20">
                  <c:v>236.95398363308416</c:v>
                </c:pt>
                <c:pt idx="21">
                  <c:v>238.24570721308447</c:v>
                </c:pt>
                <c:pt idx="22">
                  <c:v>236.33348895685873</c:v>
                </c:pt>
                <c:pt idx="23">
                  <c:v>237.76437056528715</c:v>
                </c:pt>
                <c:pt idx="24">
                  <c:v>233.97419570492519</c:v>
                </c:pt>
                <c:pt idx="25">
                  <c:v>232.04769226834844</c:v>
                </c:pt>
                <c:pt idx="26">
                  <c:v>232.80790691118818</c:v>
                </c:pt>
                <c:pt idx="27">
                  <c:v>232.426823124305</c:v>
                </c:pt>
                <c:pt idx="28">
                  <c:v>228.62374461423434</c:v>
                </c:pt>
                <c:pt idx="29">
                  <c:v>229.05081323226412</c:v>
                </c:pt>
                <c:pt idx="30">
                  <c:v>229.81732086839597</c:v>
                </c:pt>
                <c:pt idx="31">
                  <c:v>228.076403980219</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BE</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1.3062880650617072</c:v>
                </c:pt>
                <c:pt idx="2">
                  <c:v>1.6825711513020256</c:v>
                </c:pt>
                <c:pt idx="3">
                  <c:v>1.9476155633194105</c:v>
                </c:pt>
                <c:pt idx="4">
                  <c:v>2.3479689753730963</c:v>
                </c:pt>
                <c:pt idx="5">
                  <c:v>2.5411348005114824</c:v>
                </c:pt>
                <c:pt idx="6">
                  <c:v>3.1134760696446815</c:v>
                </c:pt>
                <c:pt idx="7">
                  <c:v>3.3865461005325233</c:v>
                </c:pt>
                <c:pt idx="8">
                  <c:v>3.9931862510064637</c:v>
                </c:pt>
                <c:pt idx="9">
                  <c:v>4.2921409205508949</c:v>
                </c:pt>
                <c:pt idx="10">
                  <c:v>5.1873408653108015</c:v>
                </c:pt>
                <c:pt idx="11">
                  <c:v>6.0541972499353953</c:v>
                </c:pt>
                <c:pt idx="12">
                  <c:v>6.2532709345679516</c:v>
                </c:pt>
                <c:pt idx="13">
                  <c:v>7.4545514895033183</c:v>
                </c:pt>
                <c:pt idx="14">
                  <c:v>8.3852561654183848</c:v>
                </c:pt>
                <c:pt idx="15">
                  <c:v>9.7750226590982781</c:v>
                </c:pt>
                <c:pt idx="16">
                  <c:v>9.9556311361977503</c:v>
                </c:pt>
                <c:pt idx="17">
                  <c:v>10.718315093063643</c:v>
                </c:pt>
                <c:pt idx="18">
                  <c:v>12.556342661581374</c:v>
                </c:pt>
                <c:pt idx="19">
                  <c:v>12.981550298436261</c:v>
                </c:pt>
                <c:pt idx="20">
                  <c:v>14.910321493190954</c:v>
                </c:pt>
                <c:pt idx="21">
                  <c:v>16.928394254735672</c:v>
                </c:pt>
                <c:pt idx="22">
                  <c:v>19.694460870350447</c:v>
                </c:pt>
                <c:pt idx="23">
                  <c:v>21.363437865162638</c:v>
                </c:pt>
                <c:pt idx="24">
                  <c:v>21.960924060999808</c:v>
                </c:pt>
                <c:pt idx="25">
                  <c:v>25.085066192798021</c:v>
                </c:pt>
                <c:pt idx="26">
                  <c:v>27.855010555941035</c:v>
                </c:pt>
                <c:pt idx="27">
                  <c:v>29.256755334447398</c:v>
                </c:pt>
                <c:pt idx="28">
                  <c:v>30.472417220103797</c:v>
                </c:pt>
                <c:pt idx="29">
                  <c:v>31.176470855796442</c:v>
                </c:pt>
                <c:pt idx="30">
                  <c:v>32.830915475386497</c:v>
                </c:pt>
                <c:pt idx="31">
                  <c:v>38.224018814746941</c:v>
                </c:pt>
              </c:numCache>
            </c:numRef>
          </c:xVal>
          <c:yVal>
            <c:numRef>
              <c:f>[0]!TestData.02Y</c:f>
              <c:numCache>
                <c:formatCode>General</c:formatCode>
                <c:ptCount val="32"/>
                <c:pt idx="0">
                  <c:v>192.80716942831322</c:v>
                </c:pt>
                <c:pt idx="1">
                  <c:v>195.46527452321737</c:v>
                </c:pt>
                <c:pt idx="2">
                  <c:v>201.26332336508901</c:v>
                </c:pt>
                <c:pt idx="3">
                  <c:v>203.36543259374216</c:v>
                </c:pt>
                <c:pt idx="4">
                  <c:v>206.73068167450282</c:v>
                </c:pt>
                <c:pt idx="5">
                  <c:v>207.36735960921965</c:v>
                </c:pt>
                <c:pt idx="6">
                  <c:v>212.07790364707014</c:v>
                </c:pt>
                <c:pt idx="7">
                  <c:v>214.073610504474</c:v>
                </c:pt>
                <c:pt idx="8">
                  <c:v>218.59638125601589</c:v>
                </c:pt>
                <c:pt idx="9">
                  <c:v>219.88646856682374</c:v>
                </c:pt>
                <c:pt idx="10">
                  <c:v>224.29053732449961</c:v>
                </c:pt>
                <c:pt idx="11">
                  <c:v>227.45917839614424</c:v>
                </c:pt>
                <c:pt idx="12">
                  <c:v>226.50316041971945</c:v>
                </c:pt>
                <c:pt idx="13">
                  <c:v>232.1905075689636</c:v>
                </c:pt>
                <c:pt idx="14">
                  <c:v>231.3005695497537</c:v>
                </c:pt>
                <c:pt idx="15">
                  <c:v>235.55050750127884</c:v>
                </c:pt>
                <c:pt idx="16">
                  <c:v>234.52275152927436</c:v>
                </c:pt>
                <c:pt idx="17">
                  <c:v>235.63674989521181</c:v>
                </c:pt>
                <c:pt idx="18">
                  <c:v>237.73742133371454</c:v>
                </c:pt>
                <c:pt idx="19">
                  <c:v>238.53935478429582</c:v>
                </c:pt>
                <c:pt idx="20">
                  <c:v>236.95398363308416</c:v>
                </c:pt>
                <c:pt idx="21">
                  <c:v>238.24570721308447</c:v>
                </c:pt>
                <c:pt idx="22">
                  <c:v>236.33348895685873</c:v>
                </c:pt>
                <c:pt idx="23">
                  <c:v>237.76437056528715</c:v>
                </c:pt>
                <c:pt idx="24">
                  <c:v>233.97419570492519</c:v>
                </c:pt>
                <c:pt idx="25">
                  <c:v>232.04769226834844</c:v>
                </c:pt>
                <c:pt idx="26">
                  <c:v>232.80790691118818</c:v>
                </c:pt>
                <c:pt idx="27">
                  <c:v>232.426823124305</c:v>
                </c:pt>
                <c:pt idx="28">
                  <c:v>228.62374461423434</c:v>
                </c:pt>
                <c:pt idx="29">
                  <c:v>229.05081323226412</c:v>
                </c:pt>
                <c:pt idx="30">
                  <c:v>229.81732086839597</c:v>
                </c:pt>
                <c:pt idx="31">
                  <c:v>228.076403980219</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AT</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1.3406098319036535</c:v>
                </c:pt>
                <c:pt idx="2">
                  <c:v>1.7166787795498448</c:v>
                </c:pt>
                <c:pt idx="3">
                  <c:v>2.1715140324489814</c:v>
                </c:pt>
                <c:pt idx="4">
                  <c:v>2.5220524292076107</c:v>
                </c:pt>
                <c:pt idx="5">
                  <c:v>2.7129170900628576</c:v>
                </c:pt>
                <c:pt idx="6">
                  <c:v>3.1442254146699127</c:v>
                </c:pt>
                <c:pt idx="7">
                  <c:v>3.838224251714272</c:v>
                </c:pt>
                <c:pt idx="8">
                  <c:v>4.3198803687038332</c:v>
                </c:pt>
                <c:pt idx="9">
                  <c:v>4.5977744882304084</c:v>
                </c:pt>
                <c:pt idx="10">
                  <c:v>5.3804067761695071</c:v>
                </c:pt>
                <c:pt idx="11">
                  <c:v>6.3448519105978605</c:v>
                </c:pt>
                <c:pt idx="12">
                  <c:v>7.1335925102697946</c:v>
                </c:pt>
                <c:pt idx="13">
                  <c:v>7.7084053230838787</c:v>
                </c:pt>
                <c:pt idx="14">
                  <c:v>8.3313622768995277</c:v>
                </c:pt>
                <c:pt idx="15">
                  <c:v>9.8023406139465976</c:v>
                </c:pt>
                <c:pt idx="16">
                  <c:v>10.714382180263936</c:v>
                </c:pt>
                <c:pt idx="17">
                  <c:v>11.359614824384431</c:v>
                </c:pt>
                <c:pt idx="18">
                  <c:v>12.018014882214841</c:v>
                </c:pt>
                <c:pt idx="19">
                  <c:v>12.423060625486372</c:v>
                </c:pt>
                <c:pt idx="20">
                  <c:v>14.302909577816841</c:v>
                </c:pt>
                <c:pt idx="21">
                  <c:v>16.132337593416615</c:v>
                </c:pt>
                <c:pt idx="22">
                  <c:v>16.906782526267325</c:v>
                </c:pt>
                <c:pt idx="23">
                  <c:v>18.386350697528353</c:v>
                </c:pt>
                <c:pt idx="24">
                  <c:v>18.870810251043753</c:v>
                </c:pt>
                <c:pt idx="25">
                  <c:v>20.034489145768195</c:v>
                </c:pt>
                <c:pt idx="26">
                  <c:v>23.544278253452639</c:v>
                </c:pt>
                <c:pt idx="27">
                  <c:v>26.785603679357592</c:v>
                </c:pt>
                <c:pt idx="28">
                  <c:v>27.099905082167489</c:v>
                </c:pt>
                <c:pt idx="29">
                  <c:v>31.774922361196989</c:v>
                </c:pt>
                <c:pt idx="30">
                  <c:v>34.234514549541359</c:v>
                </c:pt>
                <c:pt idx="31">
                  <c:v>34.656689015671738</c:v>
                </c:pt>
              </c:numCache>
            </c:numRef>
          </c:xVal>
          <c:yVal>
            <c:numRef>
              <c:f>[0]!TestData.03Y</c:f>
              <c:numCache>
                <c:formatCode>General</c:formatCode>
                <c:ptCount val="32"/>
                <c:pt idx="0">
                  <c:v>191.55272035808787</c:v>
                </c:pt>
                <c:pt idx="1">
                  <c:v>195.47111216208776</c:v>
                </c:pt>
                <c:pt idx="2">
                  <c:v>198.37473634403338</c:v>
                </c:pt>
                <c:pt idx="3">
                  <c:v>202.73881891107123</c:v>
                </c:pt>
                <c:pt idx="4">
                  <c:v>205.65706004065234</c:v>
                </c:pt>
                <c:pt idx="5">
                  <c:v>208.55018941052802</c:v>
                </c:pt>
                <c:pt idx="6">
                  <c:v>211.83983616717194</c:v>
                </c:pt>
                <c:pt idx="7">
                  <c:v>213.78134181432611</c:v>
                </c:pt>
                <c:pt idx="8">
                  <c:v>218.99753637982749</c:v>
                </c:pt>
                <c:pt idx="9">
                  <c:v>217.85763030273006</c:v>
                </c:pt>
                <c:pt idx="10">
                  <c:v>220.43250472226561</c:v>
                </c:pt>
                <c:pt idx="11">
                  <c:v>226.89708269033906</c:v>
                </c:pt>
                <c:pt idx="12">
                  <c:v>225.64149205417743</c:v>
                </c:pt>
                <c:pt idx="13">
                  <c:v>228.79593289975804</c:v>
                </c:pt>
                <c:pt idx="14">
                  <c:v>228.36841457911567</c:v>
                </c:pt>
                <c:pt idx="15">
                  <c:v>232.77069892600849</c:v>
                </c:pt>
                <c:pt idx="16">
                  <c:v>231.72409342546348</c:v>
                </c:pt>
                <c:pt idx="17">
                  <c:v>232.02272233547413</c:v>
                </c:pt>
                <c:pt idx="18">
                  <c:v>232.37034397927221</c:v>
                </c:pt>
                <c:pt idx="19">
                  <c:v>230.95793895737165</c:v>
                </c:pt>
                <c:pt idx="20">
                  <c:v>233.15473814219371</c:v>
                </c:pt>
                <c:pt idx="21">
                  <c:v>230.34604685474173</c:v>
                </c:pt>
                <c:pt idx="22">
                  <c:v>230.32048518354799</c:v>
                </c:pt>
                <c:pt idx="23">
                  <c:v>227.73723268313739</c:v>
                </c:pt>
                <c:pt idx="24">
                  <c:v>229.98684587135241</c:v>
                </c:pt>
                <c:pt idx="25">
                  <c:v>226.49659937564078</c:v>
                </c:pt>
                <c:pt idx="26">
                  <c:v>224.53490871120906</c:v>
                </c:pt>
                <c:pt idx="27">
                  <c:v>221.47922228863942</c:v>
                </c:pt>
                <c:pt idx="28">
                  <c:v>222.79481188442429</c:v>
                </c:pt>
                <c:pt idx="29">
                  <c:v>218.53430257247862</c:v>
                </c:pt>
                <c:pt idx="30">
                  <c:v>217.82228549042441</c:v>
                </c:pt>
                <c:pt idx="31">
                  <c:v>217.44875588798232</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AT</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1.3406098319036535</c:v>
                </c:pt>
                <c:pt idx="2">
                  <c:v>1.7166787795498448</c:v>
                </c:pt>
                <c:pt idx="3">
                  <c:v>2.1715140324489814</c:v>
                </c:pt>
                <c:pt idx="4">
                  <c:v>2.5220524292076107</c:v>
                </c:pt>
                <c:pt idx="5">
                  <c:v>2.7129170900628576</c:v>
                </c:pt>
                <c:pt idx="6">
                  <c:v>3.1442254146699127</c:v>
                </c:pt>
                <c:pt idx="7">
                  <c:v>3.838224251714272</c:v>
                </c:pt>
                <c:pt idx="8">
                  <c:v>4.3198803687038332</c:v>
                </c:pt>
                <c:pt idx="9">
                  <c:v>4.5977744882304084</c:v>
                </c:pt>
                <c:pt idx="10">
                  <c:v>5.3804067761695071</c:v>
                </c:pt>
                <c:pt idx="11">
                  <c:v>6.3448519105978605</c:v>
                </c:pt>
                <c:pt idx="12">
                  <c:v>7.1335925102697946</c:v>
                </c:pt>
                <c:pt idx="13">
                  <c:v>7.7084053230838787</c:v>
                </c:pt>
                <c:pt idx="14">
                  <c:v>8.3313622768995277</c:v>
                </c:pt>
                <c:pt idx="15">
                  <c:v>9.8023406139465976</c:v>
                </c:pt>
                <c:pt idx="16">
                  <c:v>10.714382180263936</c:v>
                </c:pt>
                <c:pt idx="17">
                  <c:v>11.359614824384431</c:v>
                </c:pt>
                <c:pt idx="18">
                  <c:v>12.018014882214841</c:v>
                </c:pt>
                <c:pt idx="19">
                  <c:v>12.423060625486372</c:v>
                </c:pt>
                <c:pt idx="20">
                  <c:v>14.302909577816841</c:v>
                </c:pt>
                <c:pt idx="21">
                  <c:v>16.132337593416615</c:v>
                </c:pt>
                <c:pt idx="22">
                  <c:v>16.906782526267325</c:v>
                </c:pt>
                <c:pt idx="23">
                  <c:v>18.386350697528353</c:v>
                </c:pt>
                <c:pt idx="24">
                  <c:v>18.870810251043753</c:v>
                </c:pt>
                <c:pt idx="25">
                  <c:v>20.034489145768195</c:v>
                </c:pt>
                <c:pt idx="26">
                  <c:v>23.544278253452639</c:v>
                </c:pt>
                <c:pt idx="27">
                  <c:v>26.785603679357592</c:v>
                </c:pt>
                <c:pt idx="28">
                  <c:v>27.099905082167489</c:v>
                </c:pt>
                <c:pt idx="29">
                  <c:v>31.774922361196989</c:v>
                </c:pt>
                <c:pt idx="30">
                  <c:v>34.234514549541359</c:v>
                </c:pt>
                <c:pt idx="31">
                  <c:v>34.656689015671738</c:v>
                </c:pt>
              </c:numCache>
            </c:numRef>
          </c:xVal>
          <c:yVal>
            <c:numRef>
              <c:f>[0]!TestData.03Y</c:f>
              <c:numCache>
                <c:formatCode>General</c:formatCode>
                <c:ptCount val="32"/>
                <c:pt idx="0">
                  <c:v>191.55272035808787</c:v>
                </c:pt>
                <c:pt idx="1">
                  <c:v>195.47111216208776</c:v>
                </c:pt>
                <c:pt idx="2">
                  <c:v>198.37473634403338</c:v>
                </c:pt>
                <c:pt idx="3">
                  <c:v>202.73881891107123</c:v>
                </c:pt>
                <c:pt idx="4">
                  <c:v>205.65706004065234</c:v>
                </c:pt>
                <c:pt idx="5">
                  <c:v>208.55018941052802</c:v>
                </c:pt>
                <c:pt idx="6">
                  <c:v>211.83983616717194</c:v>
                </c:pt>
                <c:pt idx="7">
                  <c:v>213.78134181432611</c:v>
                </c:pt>
                <c:pt idx="8">
                  <c:v>218.99753637982749</c:v>
                </c:pt>
                <c:pt idx="9">
                  <c:v>217.85763030273006</c:v>
                </c:pt>
                <c:pt idx="10">
                  <c:v>220.43250472226561</c:v>
                </c:pt>
                <c:pt idx="11">
                  <c:v>226.89708269033906</c:v>
                </c:pt>
                <c:pt idx="12">
                  <c:v>225.64149205417743</c:v>
                </c:pt>
                <c:pt idx="13">
                  <c:v>228.79593289975804</c:v>
                </c:pt>
                <c:pt idx="14">
                  <c:v>228.36841457911567</c:v>
                </c:pt>
                <c:pt idx="15">
                  <c:v>232.77069892600849</c:v>
                </c:pt>
                <c:pt idx="16">
                  <c:v>231.72409342546348</c:v>
                </c:pt>
                <c:pt idx="17">
                  <c:v>232.02272233547413</c:v>
                </c:pt>
                <c:pt idx="18">
                  <c:v>232.37034397927221</c:v>
                </c:pt>
                <c:pt idx="19">
                  <c:v>230.95793895737165</c:v>
                </c:pt>
                <c:pt idx="20">
                  <c:v>233.15473814219371</c:v>
                </c:pt>
                <c:pt idx="21">
                  <c:v>230.34604685474173</c:v>
                </c:pt>
                <c:pt idx="22">
                  <c:v>230.32048518354799</c:v>
                </c:pt>
                <c:pt idx="23">
                  <c:v>227.73723268313739</c:v>
                </c:pt>
                <c:pt idx="24">
                  <c:v>229.98684587135241</c:v>
                </c:pt>
                <c:pt idx="25">
                  <c:v>226.49659937564078</c:v>
                </c:pt>
                <c:pt idx="26">
                  <c:v>224.53490871120906</c:v>
                </c:pt>
                <c:pt idx="27">
                  <c:v>221.47922228863942</c:v>
                </c:pt>
                <c:pt idx="28">
                  <c:v>222.79481188442429</c:v>
                </c:pt>
                <c:pt idx="29">
                  <c:v>218.53430257247862</c:v>
                </c:pt>
                <c:pt idx="30">
                  <c:v>217.82228549042441</c:v>
                </c:pt>
                <c:pt idx="31">
                  <c:v>217.44875588798232</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AT</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1.3406098319036535</c:v>
                </c:pt>
                <c:pt idx="2">
                  <c:v>1.7166787795498448</c:v>
                </c:pt>
                <c:pt idx="3">
                  <c:v>2.1715140324489814</c:v>
                </c:pt>
                <c:pt idx="4">
                  <c:v>2.5220524292076107</c:v>
                </c:pt>
                <c:pt idx="5">
                  <c:v>2.7129170900628576</c:v>
                </c:pt>
                <c:pt idx="6">
                  <c:v>3.1442254146699127</c:v>
                </c:pt>
                <c:pt idx="7">
                  <c:v>3.838224251714272</c:v>
                </c:pt>
                <c:pt idx="8">
                  <c:v>4.3198803687038332</c:v>
                </c:pt>
                <c:pt idx="9">
                  <c:v>4.5977744882304084</c:v>
                </c:pt>
                <c:pt idx="10">
                  <c:v>5.3804067761695071</c:v>
                </c:pt>
                <c:pt idx="11">
                  <c:v>6.3448519105978605</c:v>
                </c:pt>
                <c:pt idx="12">
                  <c:v>7.1335925102697946</c:v>
                </c:pt>
                <c:pt idx="13">
                  <c:v>7.7084053230838787</c:v>
                </c:pt>
                <c:pt idx="14">
                  <c:v>8.3313622768995277</c:v>
                </c:pt>
                <c:pt idx="15">
                  <c:v>9.8023406139465976</c:v>
                </c:pt>
                <c:pt idx="16">
                  <c:v>10.714382180263936</c:v>
                </c:pt>
                <c:pt idx="17">
                  <c:v>11.359614824384431</c:v>
                </c:pt>
                <c:pt idx="18">
                  <c:v>12.018014882214841</c:v>
                </c:pt>
                <c:pt idx="19">
                  <c:v>12.423060625486372</c:v>
                </c:pt>
                <c:pt idx="20">
                  <c:v>14.302909577816841</c:v>
                </c:pt>
                <c:pt idx="21">
                  <c:v>16.132337593416615</c:v>
                </c:pt>
                <c:pt idx="22">
                  <c:v>16.906782526267325</c:v>
                </c:pt>
                <c:pt idx="23">
                  <c:v>18.386350697528353</c:v>
                </c:pt>
                <c:pt idx="24">
                  <c:v>18.870810251043753</c:v>
                </c:pt>
                <c:pt idx="25">
                  <c:v>20.034489145768195</c:v>
                </c:pt>
                <c:pt idx="26">
                  <c:v>23.544278253452639</c:v>
                </c:pt>
                <c:pt idx="27">
                  <c:v>26.785603679357592</c:v>
                </c:pt>
                <c:pt idx="28">
                  <c:v>27.099905082167489</c:v>
                </c:pt>
                <c:pt idx="29">
                  <c:v>31.774922361196989</c:v>
                </c:pt>
                <c:pt idx="30">
                  <c:v>34.234514549541359</c:v>
                </c:pt>
                <c:pt idx="31">
                  <c:v>34.656689015671738</c:v>
                </c:pt>
              </c:numCache>
            </c:numRef>
          </c:xVal>
          <c:yVal>
            <c:numRef>
              <c:f>[0]!TestData.03Y</c:f>
              <c:numCache>
                <c:formatCode>General</c:formatCode>
                <c:ptCount val="32"/>
                <c:pt idx="0">
                  <c:v>191.55272035808787</c:v>
                </c:pt>
                <c:pt idx="1">
                  <c:v>195.47111216208776</c:v>
                </c:pt>
                <c:pt idx="2">
                  <c:v>198.37473634403338</c:v>
                </c:pt>
                <c:pt idx="3">
                  <c:v>202.73881891107123</c:v>
                </c:pt>
                <c:pt idx="4">
                  <c:v>205.65706004065234</c:v>
                </c:pt>
                <c:pt idx="5">
                  <c:v>208.55018941052802</c:v>
                </c:pt>
                <c:pt idx="6">
                  <c:v>211.83983616717194</c:v>
                </c:pt>
                <c:pt idx="7">
                  <c:v>213.78134181432611</c:v>
                </c:pt>
                <c:pt idx="8">
                  <c:v>218.99753637982749</c:v>
                </c:pt>
                <c:pt idx="9">
                  <c:v>217.85763030273006</c:v>
                </c:pt>
                <c:pt idx="10">
                  <c:v>220.43250472226561</c:v>
                </c:pt>
                <c:pt idx="11">
                  <c:v>226.89708269033906</c:v>
                </c:pt>
                <c:pt idx="12">
                  <c:v>225.64149205417743</c:v>
                </c:pt>
                <c:pt idx="13">
                  <c:v>228.79593289975804</c:v>
                </c:pt>
                <c:pt idx="14">
                  <c:v>228.36841457911567</c:v>
                </c:pt>
                <c:pt idx="15">
                  <c:v>232.77069892600849</c:v>
                </c:pt>
                <c:pt idx="16">
                  <c:v>231.72409342546348</c:v>
                </c:pt>
                <c:pt idx="17">
                  <c:v>232.02272233547413</c:v>
                </c:pt>
                <c:pt idx="18">
                  <c:v>232.37034397927221</c:v>
                </c:pt>
                <c:pt idx="19">
                  <c:v>230.95793895737165</c:v>
                </c:pt>
                <c:pt idx="20">
                  <c:v>233.15473814219371</c:v>
                </c:pt>
                <c:pt idx="21">
                  <c:v>230.34604685474173</c:v>
                </c:pt>
                <c:pt idx="22">
                  <c:v>230.32048518354799</c:v>
                </c:pt>
                <c:pt idx="23">
                  <c:v>227.73723268313739</c:v>
                </c:pt>
                <c:pt idx="24">
                  <c:v>229.98684587135241</c:v>
                </c:pt>
                <c:pt idx="25">
                  <c:v>226.49659937564078</c:v>
                </c:pt>
                <c:pt idx="26">
                  <c:v>224.53490871120906</c:v>
                </c:pt>
                <c:pt idx="27">
                  <c:v>221.47922228863942</c:v>
                </c:pt>
                <c:pt idx="28">
                  <c:v>222.79481188442429</c:v>
                </c:pt>
                <c:pt idx="29">
                  <c:v>218.53430257247862</c:v>
                </c:pt>
                <c:pt idx="30">
                  <c:v>217.82228549042441</c:v>
                </c:pt>
                <c:pt idx="31">
                  <c:v>217.44875588798232</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FI</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1.2448483953248988</c:v>
                </c:pt>
                <c:pt idx="2">
                  <c:v>1.4602244931568575</c:v>
                </c:pt>
                <c:pt idx="3">
                  <c:v>1.6815030489105842</c:v>
                </c:pt>
                <c:pt idx="4">
                  <c:v>1.9589301764919498</c:v>
                </c:pt>
                <c:pt idx="5">
                  <c:v>2.4316072537805167</c:v>
                </c:pt>
                <c:pt idx="6">
                  <c:v>2.8468440642833586</c:v>
                </c:pt>
                <c:pt idx="7">
                  <c:v>3.2875820638266444</c:v>
                </c:pt>
                <c:pt idx="8">
                  <c:v>3.8123137398714726</c:v>
                </c:pt>
                <c:pt idx="9">
                  <c:v>4.1993196923447229</c:v>
                </c:pt>
                <c:pt idx="10">
                  <c:v>4.7997521127868126</c:v>
                </c:pt>
                <c:pt idx="11">
                  <c:v>5.6530383381686136</c:v>
                </c:pt>
                <c:pt idx="12">
                  <c:v>6.7610836442293856</c:v>
                </c:pt>
                <c:pt idx="13">
                  <c:v>6.9763103473997745</c:v>
                </c:pt>
                <c:pt idx="14">
                  <c:v>7.3329529330466299</c:v>
                </c:pt>
                <c:pt idx="15">
                  <c:v>8.4331032552684615</c:v>
                </c:pt>
                <c:pt idx="16">
                  <c:v>9.6804222614184976</c:v>
                </c:pt>
                <c:pt idx="17">
                  <c:v>10.070799609569967</c:v>
                </c:pt>
                <c:pt idx="18">
                  <c:v>10.379219984781567</c:v>
                </c:pt>
                <c:pt idx="19">
                  <c:v>12.292940486501857</c:v>
                </c:pt>
                <c:pt idx="20">
                  <c:v>12.870908513365565</c:v>
                </c:pt>
                <c:pt idx="21">
                  <c:v>13.075063843084575</c:v>
                </c:pt>
                <c:pt idx="22">
                  <c:v>15.005494715886838</c:v>
                </c:pt>
                <c:pt idx="23">
                  <c:v>17.513576662639796</c:v>
                </c:pt>
                <c:pt idx="24">
                  <c:v>20.67161999674428</c:v>
                </c:pt>
                <c:pt idx="25">
                  <c:v>21.957312603846308</c:v>
                </c:pt>
                <c:pt idx="26">
                  <c:v>22.334915636876907</c:v>
                </c:pt>
                <c:pt idx="27">
                  <c:v>26.102720665609617</c:v>
                </c:pt>
                <c:pt idx="28">
                  <c:v>29.84643365579014</c:v>
                </c:pt>
                <c:pt idx="29">
                  <c:v>30.368825244183778</c:v>
                </c:pt>
                <c:pt idx="30">
                  <c:v>31.861131722606903</c:v>
                </c:pt>
                <c:pt idx="31">
                  <c:v>32.559806418917738</c:v>
                </c:pt>
              </c:numCache>
            </c:numRef>
          </c:xVal>
          <c:yVal>
            <c:numRef>
              <c:f>[0]!TestData.04Y</c:f>
              <c:numCache>
                <c:formatCode>General</c:formatCode>
                <c:ptCount val="32"/>
                <c:pt idx="0">
                  <c:v>188.45944797695219</c:v>
                </c:pt>
                <c:pt idx="1">
                  <c:v>192.72364779082</c:v>
                </c:pt>
                <c:pt idx="2">
                  <c:v>194.15453997574727</c:v>
                </c:pt>
                <c:pt idx="3">
                  <c:v>197.21123118060299</c:v>
                </c:pt>
                <c:pt idx="4">
                  <c:v>199.10288335008218</c:v>
                </c:pt>
                <c:pt idx="5">
                  <c:v>204.68549415106483</c:v>
                </c:pt>
                <c:pt idx="6">
                  <c:v>206.36101265444415</c:v>
                </c:pt>
                <c:pt idx="7">
                  <c:v>209.13721109649816</c:v>
                </c:pt>
                <c:pt idx="8">
                  <c:v>215.02172458101688</c:v>
                </c:pt>
                <c:pt idx="9">
                  <c:v>215.19882585125919</c:v>
                </c:pt>
                <c:pt idx="10">
                  <c:v>219.88855840149023</c:v>
                </c:pt>
                <c:pt idx="11">
                  <c:v>224.17583893463521</c:v>
                </c:pt>
                <c:pt idx="12">
                  <c:v>227.04171600102271</c:v>
                </c:pt>
                <c:pt idx="13">
                  <c:v>227.19264491324387</c:v>
                </c:pt>
                <c:pt idx="14">
                  <c:v>228.9575120599452</c:v>
                </c:pt>
                <c:pt idx="15">
                  <c:v>233.10620920654526</c:v>
                </c:pt>
                <c:pt idx="16">
                  <c:v>233.98418795764093</c:v>
                </c:pt>
                <c:pt idx="17">
                  <c:v>235.309110545377</c:v>
                </c:pt>
                <c:pt idx="18">
                  <c:v>236.76399646867509</c:v>
                </c:pt>
                <c:pt idx="19">
                  <c:v>238.7592851105058</c:v>
                </c:pt>
                <c:pt idx="20">
                  <c:v>239.46122006681276</c:v>
                </c:pt>
                <c:pt idx="21">
                  <c:v>237.5543428129422</c:v>
                </c:pt>
                <c:pt idx="22">
                  <c:v>238.36576253754538</c:v>
                </c:pt>
                <c:pt idx="23">
                  <c:v>236.76286821547706</c:v>
                </c:pt>
                <c:pt idx="24">
                  <c:v>236.91553168137557</c:v>
                </c:pt>
                <c:pt idx="25">
                  <c:v>236.07737764195562</c:v>
                </c:pt>
                <c:pt idx="26">
                  <c:v>233.66021219203174</c:v>
                </c:pt>
                <c:pt idx="27">
                  <c:v>233.30154471939187</c:v>
                </c:pt>
                <c:pt idx="28">
                  <c:v>232.72276581008475</c:v>
                </c:pt>
                <c:pt idx="29">
                  <c:v>229.85231650115418</c:v>
                </c:pt>
                <c:pt idx="30">
                  <c:v>229.66720895634344</c:v>
                </c:pt>
                <c:pt idx="31">
                  <c:v>229.42674937875074</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FI</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1.2448483953248988</c:v>
                </c:pt>
                <c:pt idx="2">
                  <c:v>1.4602244931568575</c:v>
                </c:pt>
                <c:pt idx="3">
                  <c:v>1.6815030489105842</c:v>
                </c:pt>
                <c:pt idx="4">
                  <c:v>1.9589301764919498</c:v>
                </c:pt>
                <c:pt idx="5">
                  <c:v>2.4316072537805167</c:v>
                </c:pt>
                <c:pt idx="6">
                  <c:v>2.8468440642833586</c:v>
                </c:pt>
                <c:pt idx="7">
                  <c:v>3.2875820638266444</c:v>
                </c:pt>
                <c:pt idx="8">
                  <c:v>3.8123137398714726</c:v>
                </c:pt>
                <c:pt idx="9">
                  <c:v>4.1993196923447229</c:v>
                </c:pt>
                <c:pt idx="10">
                  <c:v>4.7997521127868126</c:v>
                </c:pt>
                <c:pt idx="11">
                  <c:v>5.6530383381686136</c:v>
                </c:pt>
                <c:pt idx="12">
                  <c:v>6.7610836442293856</c:v>
                </c:pt>
                <c:pt idx="13">
                  <c:v>6.9763103473997745</c:v>
                </c:pt>
                <c:pt idx="14">
                  <c:v>7.3329529330466299</c:v>
                </c:pt>
                <c:pt idx="15">
                  <c:v>8.4331032552684615</c:v>
                </c:pt>
                <c:pt idx="16">
                  <c:v>9.6804222614184976</c:v>
                </c:pt>
                <c:pt idx="17">
                  <c:v>10.070799609569967</c:v>
                </c:pt>
                <c:pt idx="18">
                  <c:v>10.379219984781567</c:v>
                </c:pt>
                <c:pt idx="19">
                  <c:v>12.292940486501857</c:v>
                </c:pt>
                <c:pt idx="20">
                  <c:v>12.870908513365565</c:v>
                </c:pt>
                <c:pt idx="21">
                  <c:v>13.075063843084575</c:v>
                </c:pt>
                <c:pt idx="22">
                  <c:v>15.005494715886838</c:v>
                </c:pt>
                <c:pt idx="23">
                  <c:v>17.513576662639796</c:v>
                </c:pt>
                <c:pt idx="24">
                  <c:v>20.67161999674428</c:v>
                </c:pt>
                <c:pt idx="25">
                  <c:v>21.957312603846308</c:v>
                </c:pt>
                <c:pt idx="26">
                  <c:v>22.334915636876907</c:v>
                </c:pt>
                <c:pt idx="27">
                  <c:v>26.102720665609617</c:v>
                </c:pt>
                <c:pt idx="28">
                  <c:v>29.84643365579014</c:v>
                </c:pt>
                <c:pt idx="29">
                  <c:v>30.368825244183778</c:v>
                </c:pt>
                <c:pt idx="30">
                  <c:v>31.861131722606903</c:v>
                </c:pt>
                <c:pt idx="31">
                  <c:v>32.559806418917738</c:v>
                </c:pt>
              </c:numCache>
            </c:numRef>
          </c:xVal>
          <c:yVal>
            <c:numRef>
              <c:f>[0]!TestData.04Y</c:f>
              <c:numCache>
                <c:formatCode>General</c:formatCode>
                <c:ptCount val="32"/>
                <c:pt idx="0">
                  <c:v>188.45944797695219</c:v>
                </c:pt>
                <c:pt idx="1">
                  <c:v>192.72364779082</c:v>
                </c:pt>
                <c:pt idx="2">
                  <c:v>194.15453997574727</c:v>
                </c:pt>
                <c:pt idx="3">
                  <c:v>197.21123118060299</c:v>
                </c:pt>
                <c:pt idx="4">
                  <c:v>199.10288335008218</c:v>
                </c:pt>
                <c:pt idx="5">
                  <c:v>204.68549415106483</c:v>
                </c:pt>
                <c:pt idx="6">
                  <c:v>206.36101265444415</c:v>
                </c:pt>
                <c:pt idx="7">
                  <c:v>209.13721109649816</c:v>
                </c:pt>
                <c:pt idx="8">
                  <c:v>215.02172458101688</c:v>
                </c:pt>
                <c:pt idx="9">
                  <c:v>215.19882585125919</c:v>
                </c:pt>
                <c:pt idx="10">
                  <c:v>219.88855840149023</c:v>
                </c:pt>
                <c:pt idx="11">
                  <c:v>224.17583893463521</c:v>
                </c:pt>
                <c:pt idx="12">
                  <c:v>227.04171600102271</c:v>
                </c:pt>
                <c:pt idx="13">
                  <c:v>227.19264491324387</c:v>
                </c:pt>
                <c:pt idx="14">
                  <c:v>228.9575120599452</c:v>
                </c:pt>
                <c:pt idx="15">
                  <c:v>233.10620920654526</c:v>
                </c:pt>
                <c:pt idx="16">
                  <c:v>233.98418795764093</c:v>
                </c:pt>
                <c:pt idx="17">
                  <c:v>235.309110545377</c:v>
                </c:pt>
                <c:pt idx="18">
                  <c:v>236.76399646867509</c:v>
                </c:pt>
                <c:pt idx="19">
                  <c:v>238.7592851105058</c:v>
                </c:pt>
                <c:pt idx="20">
                  <c:v>239.46122006681276</c:v>
                </c:pt>
                <c:pt idx="21">
                  <c:v>237.5543428129422</c:v>
                </c:pt>
                <c:pt idx="22">
                  <c:v>238.36576253754538</c:v>
                </c:pt>
                <c:pt idx="23">
                  <c:v>236.76286821547706</c:v>
                </c:pt>
                <c:pt idx="24">
                  <c:v>236.91553168137557</c:v>
                </c:pt>
                <c:pt idx="25">
                  <c:v>236.07737764195562</c:v>
                </c:pt>
                <c:pt idx="26">
                  <c:v>233.66021219203174</c:v>
                </c:pt>
                <c:pt idx="27">
                  <c:v>233.30154471939187</c:v>
                </c:pt>
                <c:pt idx="28">
                  <c:v>232.72276581008475</c:v>
                </c:pt>
                <c:pt idx="29">
                  <c:v>229.85231650115418</c:v>
                </c:pt>
                <c:pt idx="30">
                  <c:v>229.66720895634344</c:v>
                </c:pt>
                <c:pt idx="31">
                  <c:v>229.42674937875074</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FI</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1.2448483953248988</c:v>
                </c:pt>
                <c:pt idx="2">
                  <c:v>1.4602244931568575</c:v>
                </c:pt>
                <c:pt idx="3">
                  <c:v>1.6815030489105842</c:v>
                </c:pt>
                <c:pt idx="4">
                  <c:v>1.9589301764919498</c:v>
                </c:pt>
                <c:pt idx="5">
                  <c:v>2.4316072537805167</c:v>
                </c:pt>
                <c:pt idx="6">
                  <c:v>2.8468440642833586</c:v>
                </c:pt>
                <c:pt idx="7">
                  <c:v>3.2875820638266444</c:v>
                </c:pt>
                <c:pt idx="8">
                  <c:v>3.8123137398714726</c:v>
                </c:pt>
                <c:pt idx="9">
                  <c:v>4.1993196923447229</c:v>
                </c:pt>
                <c:pt idx="10">
                  <c:v>4.7997521127868126</c:v>
                </c:pt>
                <c:pt idx="11">
                  <c:v>5.6530383381686136</c:v>
                </c:pt>
                <c:pt idx="12">
                  <c:v>6.7610836442293856</c:v>
                </c:pt>
                <c:pt idx="13">
                  <c:v>6.9763103473997745</c:v>
                </c:pt>
                <c:pt idx="14">
                  <c:v>7.3329529330466299</c:v>
                </c:pt>
                <c:pt idx="15">
                  <c:v>8.4331032552684615</c:v>
                </c:pt>
                <c:pt idx="16">
                  <c:v>9.6804222614184976</c:v>
                </c:pt>
                <c:pt idx="17">
                  <c:v>10.070799609569967</c:v>
                </c:pt>
                <c:pt idx="18">
                  <c:v>10.379219984781567</c:v>
                </c:pt>
                <c:pt idx="19">
                  <c:v>12.292940486501857</c:v>
                </c:pt>
                <c:pt idx="20">
                  <c:v>12.870908513365565</c:v>
                </c:pt>
                <c:pt idx="21">
                  <c:v>13.075063843084575</c:v>
                </c:pt>
                <c:pt idx="22">
                  <c:v>15.005494715886838</c:v>
                </c:pt>
                <c:pt idx="23">
                  <c:v>17.513576662639796</c:v>
                </c:pt>
                <c:pt idx="24">
                  <c:v>20.67161999674428</c:v>
                </c:pt>
                <c:pt idx="25">
                  <c:v>21.957312603846308</c:v>
                </c:pt>
                <c:pt idx="26">
                  <c:v>22.334915636876907</c:v>
                </c:pt>
                <c:pt idx="27">
                  <c:v>26.102720665609617</c:v>
                </c:pt>
                <c:pt idx="28">
                  <c:v>29.84643365579014</c:v>
                </c:pt>
                <c:pt idx="29">
                  <c:v>30.368825244183778</c:v>
                </c:pt>
                <c:pt idx="30">
                  <c:v>31.861131722606903</c:v>
                </c:pt>
                <c:pt idx="31">
                  <c:v>32.559806418917738</c:v>
                </c:pt>
              </c:numCache>
            </c:numRef>
          </c:xVal>
          <c:yVal>
            <c:numRef>
              <c:f>[0]!TestData.04Y</c:f>
              <c:numCache>
                <c:formatCode>General</c:formatCode>
                <c:ptCount val="32"/>
                <c:pt idx="0">
                  <c:v>188.45944797695219</c:v>
                </c:pt>
                <c:pt idx="1">
                  <c:v>192.72364779082</c:v>
                </c:pt>
                <c:pt idx="2">
                  <c:v>194.15453997574727</c:v>
                </c:pt>
                <c:pt idx="3">
                  <c:v>197.21123118060299</c:v>
                </c:pt>
                <c:pt idx="4">
                  <c:v>199.10288335008218</c:v>
                </c:pt>
                <c:pt idx="5">
                  <c:v>204.68549415106483</c:v>
                </c:pt>
                <c:pt idx="6">
                  <c:v>206.36101265444415</c:v>
                </c:pt>
                <c:pt idx="7">
                  <c:v>209.13721109649816</c:v>
                </c:pt>
                <c:pt idx="8">
                  <c:v>215.02172458101688</c:v>
                </c:pt>
                <c:pt idx="9">
                  <c:v>215.19882585125919</c:v>
                </c:pt>
                <c:pt idx="10">
                  <c:v>219.88855840149023</c:v>
                </c:pt>
                <c:pt idx="11">
                  <c:v>224.17583893463521</c:v>
                </c:pt>
                <c:pt idx="12">
                  <c:v>227.04171600102271</c:v>
                </c:pt>
                <c:pt idx="13">
                  <c:v>227.19264491324387</c:v>
                </c:pt>
                <c:pt idx="14">
                  <c:v>228.9575120599452</c:v>
                </c:pt>
                <c:pt idx="15">
                  <c:v>233.10620920654526</c:v>
                </c:pt>
                <c:pt idx="16">
                  <c:v>233.98418795764093</c:v>
                </c:pt>
                <c:pt idx="17">
                  <c:v>235.309110545377</c:v>
                </c:pt>
                <c:pt idx="18">
                  <c:v>236.76399646867509</c:v>
                </c:pt>
                <c:pt idx="19">
                  <c:v>238.7592851105058</c:v>
                </c:pt>
                <c:pt idx="20">
                  <c:v>239.46122006681276</c:v>
                </c:pt>
                <c:pt idx="21">
                  <c:v>237.5543428129422</c:v>
                </c:pt>
                <c:pt idx="22">
                  <c:v>238.36576253754538</c:v>
                </c:pt>
                <c:pt idx="23">
                  <c:v>236.76286821547706</c:v>
                </c:pt>
                <c:pt idx="24">
                  <c:v>236.91553168137557</c:v>
                </c:pt>
                <c:pt idx="25">
                  <c:v>236.07737764195562</c:v>
                </c:pt>
                <c:pt idx="26">
                  <c:v>233.66021219203174</c:v>
                </c:pt>
                <c:pt idx="27">
                  <c:v>233.30154471939187</c:v>
                </c:pt>
                <c:pt idx="28">
                  <c:v>232.72276581008475</c:v>
                </c:pt>
                <c:pt idx="29">
                  <c:v>229.85231650115418</c:v>
                </c:pt>
                <c:pt idx="30">
                  <c:v>229.66720895634344</c:v>
                </c:pt>
                <c:pt idx="31">
                  <c:v>229.42674937875074</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GR</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1.2367681285765786</c:v>
                </c:pt>
                <c:pt idx="2">
                  <c:v>1.569939266935225</c:v>
                </c:pt>
                <c:pt idx="3">
                  <c:v>1.9069522121591462</c:v>
                </c:pt>
                <c:pt idx="4">
                  <c:v>2.34786284655527</c:v>
                </c:pt>
                <c:pt idx="5">
                  <c:v>2.7034782917343425</c:v>
                </c:pt>
                <c:pt idx="6">
                  <c:v>3.1263802955748403</c:v>
                </c:pt>
                <c:pt idx="7">
                  <c:v>3.6367466065507843</c:v>
                </c:pt>
                <c:pt idx="8">
                  <c:v>3.8236616334810498</c:v>
                </c:pt>
                <c:pt idx="9">
                  <c:v>4.4205283440432535</c:v>
                </c:pt>
                <c:pt idx="10">
                  <c:v>4.8635618030683272</c:v>
                </c:pt>
                <c:pt idx="11">
                  <c:v>5.1306809625291994</c:v>
                </c:pt>
                <c:pt idx="12">
                  <c:v>5.9234270697474356</c:v>
                </c:pt>
                <c:pt idx="13">
                  <c:v>6.7932376462026003</c:v>
                </c:pt>
                <c:pt idx="14">
                  <c:v>7.8192036986070077</c:v>
                </c:pt>
                <c:pt idx="15">
                  <c:v>8.8622937272442073</c:v>
                </c:pt>
                <c:pt idx="16">
                  <c:v>9.3209526033336392</c:v>
                </c:pt>
                <c:pt idx="17">
                  <c:v>11.111559664972059</c:v>
                </c:pt>
                <c:pt idx="18">
                  <c:v>12.281132547307765</c:v>
                </c:pt>
                <c:pt idx="19">
                  <c:v>13.580674740575343</c:v>
                </c:pt>
                <c:pt idx="20">
                  <c:v>14.79907887453772</c:v>
                </c:pt>
                <c:pt idx="21">
                  <c:v>16.821802396459958</c:v>
                </c:pt>
                <c:pt idx="22">
                  <c:v>18.764172614839111</c:v>
                </c:pt>
                <c:pt idx="23">
                  <c:v>20.411945564746429</c:v>
                </c:pt>
                <c:pt idx="24">
                  <c:v>21.17210196029593</c:v>
                </c:pt>
                <c:pt idx="25">
                  <c:v>24.692910891125855</c:v>
                </c:pt>
                <c:pt idx="26">
                  <c:v>26.463467631601596</c:v>
                </c:pt>
                <c:pt idx="27">
                  <c:v>29.703325305035527</c:v>
                </c:pt>
                <c:pt idx="28">
                  <c:v>32.192719024454682</c:v>
                </c:pt>
                <c:pt idx="29">
                  <c:v>33.300358502591301</c:v>
                </c:pt>
                <c:pt idx="30">
                  <c:v>37.08824641349316</c:v>
                </c:pt>
                <c:pt idx="31">
                  <c:v>42.398491961847988</c:v>
                </c:pt>
              </c:numCache>
            </c:numRef>
          </c:xVal>
          <c:yVal>
            <c:numRef>
              <c:f>[0]!TestData.05Y</c:f>
              <c:numCache>
                <c:formatCode>General</c:formatCode>
                <c:ptCount val="32"/>
                <c:pt idx="0">
                  <c:v>134.72509935274914</c:v>
                </c:pt>
                <c:pt idx="1">
                  <c:v>140.3133900008246</c:v>
                </c:pt>
                <c:pt idx="2">
                  <c:v>143.64795669427741</c:v>
                </c:pt>
                <c:pt idx="3">
                  <c:v>145.46322707666928</c:v>
                </c:pt>
                <c:pt idx="4">
                  <c:v>150.58704277382174</c:v>
                </c:pt>
                <c:pt idx="5">
                  <c:v>156.82062573390002</c:v>
                </c:pt>
                <c:pt idx="6">
                  <c:v>161.54608913822565</c:v>
                </c:pt>
                <c:pt idx="7">
                  <c:v>165.84239994293566</c:v>
                </c:pt>
                <c:pt idx="8">
                  <c:v>166.72253836571576</c:v>
                </c:pt>
                <c:pt idx="9">
                  <c:v>169.29628525177233</c:v>
                </c:pt>
                <c:pt idx="10">
                  <c:v>175.74660327037751</c:v>
                </c:pt>
                <c:pt idx="11">
                  <c:v>174.32370414917008</c:v>
                </c:pt>
                <c:pt idx="12">
                  <c:v>180.95592885331286</c:v>
                </c:pt>
                <c:pt idx="13">
                  <c:v>184.73315872621527</c:v>
                </c:pt>
                <c:pt idx="14">
                  <c:v>187.26190272245574</c:v>
                </c:pt>
                <c:pt idx="15">
                  <c:v>193.63291242774821</c:v>
                </c:pt>
                <c:pt idx="16">
                  <c:v>195.07579379687067</c:v>
                </c:pt>
                <c:pt idx="17">
                  <c:v>198.84342419442183</c:v>
                </c:pt>
                <c:pt idx="18">
                  <c:v>200.37644276115276</c:v>
                </c:pt>
                <c:pt idx="19">
                  <c:v>201.051524738002</c:v>
                </c:pt>
                <c:pt idx="20">
                  <c:v>199.88250991857961</c:v>
                </c:pt>
                <c:pt idx="21">
                  <c:v>201.95597750699338</c:v>
                </c:pt>
                <c:pt idx="22">
                  <c:v>200.1614710444413</c:v>
                </c:pt>
                <c:pt idx="23">
                  <c:v>201.65207189211512</c:v>
                </c:pt>
                <c:pt idx="24">
                  <c:v>199.25375186589011</c:v>
                </c:pt>
                <c:pt idx="25">
                  <c:v>201.21949817458241</c:v>
                </c:pt>
                <c:pt idx="26">
                  <c:v>200.41827305519197</c:v>
                </c:pt>
                <c:pt idx="27">
                  <c:v>195.81658927517839</c:v>
                </c:pt>
                <c:pt idx="28">
                  <c:v>195.95940195225367</c:v>
                </c:pt>
                <c:pt idx="29">
                  <c:v>193.96038432225723</c:v>
                </c:pt>
                <c:pt idx="30">
                  <c:v>196.13079583556831</c:v>
                </c:pt>
                <c:pt idx="31">
                  <c:v>193.9816343669635</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GR</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1.2367681285765786</c:v>
                </c:pt>
                <c:pt idx="2">
                  <c:v>1.569939266935225</c:v>
                </c:pt>
                <c:pt idx="3">
                  <c:v>1.9069522121591462</c:v>
                </c:pt>
                <c:pt idx="4">
                  <c:v>2.34786284655527</c:v>
                </c:pt>
                <c:pt idx="5">
                  <c:v>2.7034782917343425</c:v>
                </c:pt>
                <c:pt idx="6">
                  <c:v>3.1263802955748403</c:v>
                </c:pt>
                <c:pt idx="7">
                  <c:v>3.6367466065507843</c:v>
                </c:pt>
                <c:pt idx="8">
                  <c:v>3.8236616334810498</c:v>
                </c:pt>
                <c:pt idx="9">
                  <c:v>4.4205283440432535</c:v>
                </c:pt>
                <c:pt idx="10">
                  <c:v>4.8635618030683272</c:v>
                </c:pt>
                <c:pt idx="11">
                  <c:v>5.1306809625291994</c:v>
                </c:pt>
                <c:pt idx="12">
                  <c:v>5.9234270697474356</c:v>
                </c:pt>
                <c:pt idx="13">
                  <c:v>6.7932376462026003</c:v>
                </c:pt>
                <c:pt idx="14">
                  <c:v>7.8192036986070077</c:v>
                </c:pt>
                <c:pt idx="15">
                  <c:v>8.8622937272442073</c:v>
                </c:pt>
                <c:pt idx="16">
                  <c:v>9.3209526033336392</c:v>
                </c:pt>
                <c:pt idx="17">
                  <c:v>11.111559664972059</c:v>
                </c:pt>
                <c:pt idx="18">
                  <c:v>12.281132547307765</c:v>
                </c:pt>
                <c:pt idx="19">
                  <c:v>13.580674740575343</c:v>
                </c:pt>
                <c:pt idx="20">
                  <c:v>14.79907887453772</c:v>
                </c:pt>
                <c:pt idx="21">
                  <c:v>16.821802396459958</c:v>
                </c:pt>
                <c:pt idx="22">
                  <c:v>18.764172614839111</c:v>
                </c:pt>
                <c:pt idx="23">
                  <c:v>20.411945564746429</c:v>
                </c:pt>
                <c:pt idx="24">
                  <c:v>21.17210196029593</c:v>
                </c:pt>
                <c:pt idx="25">
                  <c:v>24.692910891125855</c:v>
                </c:pt>
                <c:pt idx="26">
                  <c:v>26.463467631601596</c:v>
                </c:pt>
                <c:pt idx="27">
                  <c:v>29.703325305035527</c:v>
                </c:pt>
                <c:pt idx="28">
                  <c:v>32.192719024454682</c:v>
                </c:pt>
                <c:pt idx="29">
                  <c:v>33.300358502591301</c:v>
                </c:pt>
                <c:pt idx="30">
                  <c:v>37.08824641349316</c:v>
                </c:pt>
                <c:pt idx="31">
                  <c:v>42.398491961847988</c:v>
                </c:pt>
              </c:numCache>
            </c:numRef>
          </c:xVal>
          <c:yVal>
            <c:numRef>
              <c:f>[0]!TestData.05Y</c:f>
              <c:numCache>
                <c:formatCode>General</c:formatCode>
                <c:ptCount val="32"/>
                <c:pt idx="0">
                  <c:v>134.72509935274914</c:v>
                </c:pt>
                <c:pt idx="1">
                  <c:v>140.3133900008246</c:v>
                </c:pt>
                <c:pt idx="2">
                  <c:v>143.64795669427741</c:v>
                </c:pt>
                <c:pt idx="3">
                  <c:v>145.46322707666928</c:v>
                </c:pt>
                <c:pt idx="4">
                  <c:v>150.58704277382174</c:v>
                </c:pt>
                <c:pt idx="5">
                  <c:v>156.82062573390002</c:v>
                </c:pt>
                <c:pt idx="6">
                  <c:v>161.54608913822565</c:v>
                </c:pt>
                <c:pt idx="7">
                  <c:v>165.84239994293566</c:v>
                </c:pt>
                <c:pt idx="8">
                  <c:v>166.72253836571576</c:v>
                </c:pt>
                <c:pt idx="9">
                  <c:v>169.29628525177233</c:v>
                </c:pt>
                <c:pt idx="10">
                  <c:v>175.74660327037751</c:v>
                </c:pt>
                <c:pt idx="11">
                  <c:v>174.32370414917008</c:v>
                </c:pt>
                <c:pt idx="12">
                  <c:v>180.95592885331286</c:v>
                </c:pt>
                <c:pt idx="13">
                  <c:v>184.73315872621527</c:v>
                </c:pt>
                <c:pt idx="14">
                  <c:v>187.26190272245574</c:v>
                </c:pt>
                <c:pt idx="15">
                  <c:v>193.63291242774821</c:v>
                </c:pt>
                <c:pt idx="16">
                  <c:v>195.07579379687067</c:v>
                </c:pt>
                <c:pt idx="17">
                  <c:v>198.84342419442183</c:v>
                </c:pt>
                <c:pt idx="18">
                  <c:v>200.37644276115276</c:v>
                </c:pt>
                <c:pt idx="19">
                  <c:v>201.051524738002</c:v>
                </c:pt>
                <c:pt idx="20">
                  <c:v>199.88250991857961</c:v>
                </c:pt>
                <c:pt idx="21">
                  <c:v>201.95597750699338</c:v>
                </c:pt>
                <c:pt idx="22">
                  <c:v>200.1614710444413</c:v>
                </c:pt>
                <c:pt idx="23">
                  <c:v>201.65207189211512</c:v>
                </c:pt>
                <c:pt idx="24">
                  <c:v>199.25375186589011</c:v>
                </c:pt>
                <c:pt idx="25">
                  <c:v>201.21949817458241</c:v>
                </c:pt>
                <c:pt idx="26">
                  <c:v>200.41827305519197</c:v>
                </c:pt>
                <c:pt idx="27">
                  <c:v>195.81658927517839</c:v>
                </c:pt>
                <c:pt idx="28">
                  <c:v>195.95940195225367</c:v>
                </c:pt>
                <c:pt idx="29">
                  <c:v>193.96038432225723</c:v>
                </c:pt>
                <c:pt idx="30">
                  <c:v>196.13079583556831</c:v>
                </c:pt>
                <c:pt idx="31">
                  <c:v>193.9816343669635</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GR</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1.2367681285765786</c:v>
                </c:pt>
                <c:pt idx="2">
                  <c:v>1.569939266935225</c:v>
                </c:pt>
                <c:pt idx="3">
                  <c:v>1.9069522121591462</c:v>
                </c:pt>
                <c:pt idx="4">
                  <c:v>2.34786284655527</c:v>
                </c:pt>
                <c:pt idx="5">
                  <c:v>2.7034782917343425</c:v>
                </c:pt>
                <c:pt idx="6">
                  <c:v>3.1263802955748403</c:v>
                </c:pt>
                <c:pt idx="7">
                  <c:v>3.6367466065507843</c:v>
                </c:pt>
                <c:pt idx="8">
                  <c:v>3.8236616334810498</c:v>
                </c:pt>
                <c:pt idx="9">
                  <c:v>4.4205283440432535</c:v>
                </c:pt>
                <c:pt idx="10">
                  <c:v>4.8635618030683272</c:v>
                </c:pt>
                <c:pt idx="11">
                  <c:v>5.1306809625291994</c:v>
                </c:pt>
                <c:pt idx="12">
                  <c:v>5.9234270697474356</c:v>
                </c:pt>
                <c:pt idx="13">
                  <c:v>6.7932376462026003</c:v>
                </c:pt>
                <c:pt idx="14">
                  <c:v>7.8192036986070077</c:v>
                </c:pt>
                <c:pt idx="15">
                  <c:v>8.8622937272442073</c:v>
                </c:pt>
                <c:pt idx="16">
                  <c:v>9.3209526033336392</c:v>
                </c:pt>
                <c:pt idx="17">
                  <c:v>11.111559664972059</c:v>
                </c:pt>
                <c:pt idx="18">
                  <c:v>12.281132547307765</c:v>
                </c:pt>
                <c:pt idx="19">
                  <c:v>13.580674740575343</c:v>
                </c:pt>
                <c:pt idx="20">
                  <c:v>14.79907887453772</c:v>
                </c:pt>
                <c:pt idx="21">
                  <c:v>16.821802396459958</c:v>
                </c:pt>
                <c:pt idx="22">
                  <c:v>18.764172614839111</c:v>
                </c:pt>
                <c:pt idx="23">
                  <c:v>20.411945564746429</c:v>
                </c:pt>
                <c:pt idx="24">
                  <c:v>21.17210196029593</c:v>
                </c:pt>
                <c:pt idx="25">
                  <c:v>24.692910891125855</c:v>
                </c:pt>
                <c:pt idx="26">
                  <c:v>26.463467631601596</c:v>
                </c:pt>
                <c:pt idx="27">
                  <c:v>29.703325305035527</c:v>
                </c:pt>
                <c:pt idx="28">
                  <c:v>32.192719024454682</c:v>
                </c:pt>
                <c:pt idx="29">
                  <c:v>33.300358502591301</c:v>
                </c:pt>
                <c:pt idx="30">
                  <c:v>37.08824641349316</c:v>
                </c:pt>
                <c:pt idx="31">
                  <c:v>42.398491961847988</c:v>
                </c:pt>
              </c:numCache>
            </c:numRef>
          </c:xVal>
          <c:yVal>
            <c:numRef>
              <c:f>[0]!TestData.05Y</c:f>
              <c:numCache>
                <c:formatCode>General</c:formatCode>
                <c:ptCount val="32"/>
                <c:pt idx="0">
                  <c:v>134.72509935274914</c:v>
                </c:pt>
                <c:pt idx="1">
                  <c:v>140.3133900008246</c:v>
                </c:pt>
                <c:pt idx="2">
                  <c:v>143.64795669427741</c:v>
                </c:pt>
                <c:pt idx="3">
                  <c:v>145.46322707666928</c:v>
                </c:pt>
                <c:pt idx="4">
                  <c:v>150.58704277382174</c:v>
                </c:pt>
                <c:pt idx="5">
                  <c:v>156.82062573390002</c:v>
                </c:pt>
                <c:pt idx="6">
                  <c:v>161.54608913822565</c:v>
                </c:pt>
                <c:pt idx="7">
                  <c:v>165.84239994293566</c:v>
                </c:pt>
                <c:pt idx="8">
                  <c:v>166.72253836571576</c:v>
                </c:pt>
                <c:pt idx="9">
                  <c:v>169.29628525177233</c:v>
                </c:pt>
                <c:pt idx="10">
                  <c:v>175.74660327037751</c:v>
                </c:pt>
                <c:pt idx="11">
                  <c:v>174.32370414917008</c:v>
                </c:pt>
                <c:pt idx="12">
                  <c:v>180.95592885331286</c:v>
                </c:pt>
                <c:pt idx="13">
                  <c:v>184.73315872621527</c:v>
                </c:pt>
                <c:pt idx="14">
                  <c:v>187.26190272245574</c:v>
                </c:pt>
                <c:pt idx="15">
                  <c:v>193.63291242774821</c:v>
                </c:pt>
                <c:pt idx="16">
                  <c:v>195.07579379687067</c:v>
                </c:pt>
                <c:pt idx="17">
                  <c:v>198.84342419442183</c:v>
                </c:pt>
                <c:pt idx="18">
                  <c:v>200.37644276115276</c:v>
                </c:pt>
                <c:pt idx="19">
                  <c:v>201.051524738002</c:v>
                </c:pt>
                <c:pt idx="20">
                  <c:v>199.88250991857961</c:v>
                </c:pt>
                <c:pt idx="21">
                  <c:v>201.95597750699338</c:v>
                </c:pt>
                <c:pt idx="22">
                  <c:v>200.1614710444413</c:v>
                </c:pt>
                <c:pt idx="23">
                  <c:v>201.65207189211512</c:v>
                </c:pt>
                <c:pt idx="24">
                  <c:v>199.25375186589011</c:v>
                </c:pt>
                <c:pt idx="25">
                  <c:v>201.21949817458241</c:v>
                </c:pt>
                <c:pt idx="26">
                  <c:v>200.41827305519197</c:v>
                </c:pt>
                <c:pt idx="27">
                  <c:v>195.81658927517839</c:v>
                </c:pt>
                <c:pt idx="28">
                  <c:v>195.95940195225367</c:v>
                </c:pt>
                <c:pt idx="29">
                  <c:v>193.96038432225723</c:v>
                </c:pt>
                <c:pt idx="30">
                  <c:v>196.13079583556831</c:v>
                </c:pt>
                <c:pt idx="31">
                  <c:v>193.9816343669635</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PT</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1.3063073027442786</c:v>
                </c:pt>
                <c:pt idx="2">
                  <c:v>1.663731210011502</c:v>
                </c:pt>
                <c:pt idx="3">
                  <c:v>1.8907078484113027</c:v>
                </c:pt>
                <c:pt idx="4">
                  <c:v>2.372437145587218</c:v>
                </c:pt>
                <c:pt idx="5">
                  <c:v>2.5957975145573871</c:v>
                </c:pt>
                <c:pt idx="6">
                  <c:v>3.052925489094136</c:v>
                </c:pt>
                <c:pt idx="7">
                  <c:v>3.7118241584528846</c:v>
                </c:pt>
                <c:pt idx="8">
                  <c:v>4.1889007473064517</c:v>
                </c:pt>
                <c:pt idx="9">
                  <c:v>4.9062743727706941</c:v>
                </c:pt>
                <c:pt idx="10">
                  <c:v>5.4780805970123012</c:v>
                </c:pt>
                <c:pt idx="11">
                  <c:v>5.7536370877084595</c:v>
                </c:pt>
                <c:pt idx="12">
                  <c:v>6.7546670287178472</c:v>
                </c:pt>
                <c:pt idx="13">
                  <c:v>7.8332539396392891</c:v>
                </c:pt>
                <c:pt idx="14">
                  <c:v>8.6854542504558321</c:v>
                </c:pt>
                <c:pt idx="15">
                  <c:v>10.356498695254245</c:v>
                </c:pt>
                <c:pt idx="16">
                  <c:v>10.958479895364881</c:v>
                </c:pt>
                <c:pt idx="17">
                  <c:v>11.378539213027436</c:v>
                </c:pt>
                <c:pt idx="18">
                  <c:v>12.400814819948872</c:v>
                </c:pt>
                <c:pt idx="19">
                  <c:v>13.88733833049495</c:v>
                </c:pt>
                <c:pt idx="20">
                  <c:v>16.265158028360393</c:v>
                </c:pt>
                <c:pt idx="21">
                  <c:v>17.381015558599014</c:v>
                </c:pt>
                <c:pt idx="22">
                  <c:v>18.439346020509177</c:v>
                </c:pt>
                <c:pt idx="23">
                  <c:v>20.372147829022516</c:v>
                </c:pt>
                <c:pt idx="24">
                  <c:v>21.138618795918525</c:v>
                </c:pt>
                <c:pt idx="25">
                  <c:v>22.600000743159598</c:v>
                </c:pt>
                <c:pt idx="26">
                  <c:v>25.89767850447414</c:v>
                </c:pt>
                <c:pt idx="27">
                  <c:v>27.232784710000946</c:v>
                </c:pt>
                <c:pt idx="28">
                  <c:v>31.612279789933279</c:v>
                </c:pt>
                <c:pt idx="29">
                  <c:v>33.037415569830181</c:v>
                </c:pt>
                <c:pt idx="30">
                  <c:v>34.520738210434899</c:v>
                </c:pt>
                <c:pt idx="31">
                  <c:v>37.440039725117607</c:v>
                </c:pt>
              </c:numCache>
            </c:numRef>
          </c:xVal>
          <c:yVal>
            <c:numRef>
              <c:f>[0]!TestData.06Y</c:f>
              <c:numCache>
                <c:formatCode>General</c:formatCode>
                <c:ptCount val="32"/>
                <c:pt idx="0">
                  <c:v>193.45234155062175</c:v>
                </c:pt>
                <c:pt idx="1">
                  <c:v>197.31992131337532</c:v>
                </c:pt>
                <c:pt idx="2">
                  <c:v>199.99981774036661</c:v>
                </c:pt>
                <c:pt idx="3">
                  <c:v>203.23445048084375</c:v>
                </c:pt>
                <c:pt idx="4">
                  <c:v>206.23579155830438</c:v>
                </c:pt>
                <c:pt idx="5">
                  <c:v>207.88976192683629</c:v>
                </c:pt>
                <c:pt idx="6">
                  <c:v>210.12021026326366</c:v>
                </c:pt>
                <c:pt idx="7">
                  <c:v>213.54737433352511</c:v>
                </c:pt>
                <c:pt idx="8">
                  <c:v>216.16110230605616</c:v>
                </c:pt>
                <c:pt idx="9">
                  <c:v>221.37913293601181</c:v>
                </c:pt>
                <c:pt idx="10">
                  <c:v>222.08827524002999</c:v>
                </c:pt>
                <c:pt idx="11">
                  <c:v>224.90581078064776</c:v>
                </c:pt>
                <c:pt idx="12">
                  <c:v>227.44924776863118</c:v>
                </c:pt>
                <c:pt idx="13">
                  <c:v>231.211163514644</c:v>
                </c:pt>
                <c:pt idx="14">
                  <c:v>231.14806252933039</c:v>
                </c:pt>
                <c:pt idx="15">
                  <c:v>236.27757742259067</c:v>
                </c:pt>
                <c:pt idx="16">
                  <c:v>234.27527458594466</c:v>
                </c:pt>
                <c:pt idx="17">
                  <c:v>236.17987206044873</c:v>
                </c:pt>
                <c:pt idx="18">
                  <c:v>236.61256412606505</c:v>
                </c:pt>
                <c:pt idx="19">
                  <c:v>238.37139065692401</c:v>
                </c:pt>
                <c:pt idx="20">
                  <c:v>237.77416685516326</c:v>
                </c:pt>
                <c:pt idx="21">
                  <c:v>236.80796922136264</c:v>
                </c:pt>
                <c:pt idx="22">
                  <c:v>238.12561557530387</c:v>
                </c:pt>
                <c:pt idx="23">
                  <c:v>234.50670028019195</c:v>
                </c:pt>
                <c:pt idx="24">
                  <c:v>236.03296979112588</c:v>
                </c:pt>
                <c:pt idx="25">
                  <c:v>236.11469770756074</c:v>
                </c:pt>
                <c:pt idx="26">
                  <c:v>231.16139200718402</c:v>
                </c:pt>
                <c:pt idx="27">
                  <c:v>231.99436015334683</c:v>
                </c:pt>
                <c:pt idx="28">
                  <c:v>231.41763155021619</c:v>
                </c:pt>
                <c:pt idx="29">
                  <c:v>228.94712773179759</c:v>
                </c:pt>
                <c:pt idx="30">
                  <c:v>226.69411847832791</c:v>
                </c:pt>
                <c:pt idx="31">
                  <c:v>225.05007910098684</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PT</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1.3063073027442786</c:v>
                </c:pt>
                <c:pt idx="2">
                  <c:v>1.663731210011502</c:v>
                </c:pt>
                <c:pt idx="3">
                  <c:v>1.8907078484113027</c:v>
                </c:pt>
                <c:pt idx="4">
                  <c:v>2.372437145587218</c:v>
                </c:pt>
                <c:pt idx="5">
                  <c:v>2.5957975145573871</c:v>
                </c:pt>
                <c:pt idx="6">
                  <c:v>3.052925489094136</c:v>
                </c:pt>
                <c:pt idx="7">
                  <c:v>3.7118241584528846</c:v>
                </c:pt>
                <c:pt idx="8">
                  <c:v>4.1889007473064517</c:v>
                </c:pt>
                <c:pt idx="9">
                  <c:v>4.9062743727706941</c:v>
                </c:pt>
                <c:pt idx="10">
                  <c:v>5.4780805970123012</c:v>
                </c:pt>
                <c:pt idx="11">
                  <c:v>5.7536370877084595</c:v>
                </c:pt>
                <c:pt idx="12">
                  <c:v>6.7546670287178472</c:v>
                </c:pt>
                <c:pt idx="13">
                  <c:v>7.8332539396392891</c:v>
                </c:pt>
                <c:pt idx="14">
                  <c:v>8.6854542504558321</c:v>
                </c:pt>
                <c:pt idx="15">
                  <c:v>10.356498695254245</c:v>
                </c:pt>
                <c:pt idx="16">
                  <c:v>10.958479895364881</c:v>
                </c:pt>
                <c:pt idx="17">
                  <c:v>11.378539213027436</c:v>
                </c:pt>
                <c:pt idx="18">
                  <c:v>12.400814819948872</c:v>
                </c:pt>
                <c:pt idx="19">
                  <c:v>13.88733833049495</c:v>
                </c:pt>
                <c:pt idx="20">
                  <c:v>16.265158028360393</c:v>
                </c:pt>
                <c:pt idx="21">
                  <c:v>17.381015558599014</c:v>
                </c:pt>
                <c:pt idx="22">
                  <c:v>18.439346020509177</c:v>
                </c:pt>
                <c:pt idx="23">
                  <c:v>20.372147829022516</c:v>
                </c:pt>
                <c:pt idx="24">
                  <c:v>21.138618795918525</c:v>
                </c:pt>
                <c:pt idx="25">
                  <c:v>22.600000743159598</c:v>
                </c:pt>
                <c:pt idx="26">
                  <c:v>25.89767850447414</c:v>
                </c:pt>
                <c:pt idx="27">
                  <c:v>27.232784710000946</c:v>
                </c:pt>
                <c:pt idx="28">
                  <c:v>31.612279789933279</c:v>
                </c:pt>
                <c:pt idx="29">
                  <c:v>33.037415569830181</c:v>
                </c:pt>
                <c:pt idx="30">
                  <c:v>34.520738210434899</c:v>
                </c:pt>
                <c:pt idx="31">
                  <c:v>37.440039725117607</c:v>
                </c:pt>
              </c:numCache>
            </c:numRef>
          </c:xVal>
          <c:yVal>
            <c:numRef>
              <c:f>[0]!TestData.06Y</c:f>
              <c:numCache>
                <c:formatCode>General</c:formatCode>
                <c:ptCount val="32"/>
                <c:pt idx="0">
                  <c:v>193.45234155062175</c:v>
                </c:pt>
                <c:pt idx="1">
                  <c:v>197.31992131337532</c:v>
                </c:pt>
                <c:pt idx="2">
                  <c:v>199.99981774036661</c:v>
                </c:pt>
                <c:pt idx="3">
                  <c:v>203.23445048084375</c:v>
                </c:pt>
                <c:pt idx="4">
                  <c:v>206.23579155830438</c:v>
                </c:pt>
                <c:pt idx="5">
                  <c:v>207.88976192683629</c:v>
                </c:pt>
                <c:pt idx="6">
                  <c:v>210.12021026326366</c:v>
                </c:pt>
                <c:pt idx="7">
                  <c:v>213.54737433352511</c:v>
                </c:pt>
                <c:pt idx="8">
                  <c:v>216.16110230605616</c:v>
                </c:pt>
                <c:pt idx="9">
                  <c:v>221.37913293601181</c:v>
                </c:pt>
                <c:pt idx="10">
                  <c:v>222.08827524002999</c:v>
                </c:pt>
                <c:pt idx="11">
                  <c:v>224.90581078064776</c:v>
                </c:pt>
                <c:pt idx="12">
                  <c:v>227.44924776863118</c:v>
                </c:pt>
                <c:pt idx="13">
                  <c:v>231.211163514644</c:v>
                </c:pt>
                <c:pt idx="14">
                  <c:v>231.14806252933039</c:v>
                </c:pt>
                <c:pt idx="15">
                  <c:v>236.27757742259067</c:v>
                </c:pt>
                <c:pt idx="16">
                  <c:v>234.27527458594466</c:v>
                </c:pt>
                <c:pt idx="17">
                  <c:v>236.17987206044873</c:v>
                </c:pt>
                <c:pt idx="18">
                  <c:v>236.61256412606505</c:v>
                </c:pt>
                <c:pt idx="19">
                  <c:v>238.37139065692401</c:v>
                </c:pt>
                <c:pt idx="20">
                  <c:v>237.77416685516326</c:v>
                </c:pt>
                <c:pt idx="21">
                  <c:v>236.80796922136264</c:v>
                </c:pt>
                <c:pt idx="22">
                  <c:v>238.12561557530387</c:v>
                </c:pt>
                <c:pt idx="23">
                  <c:v>234.50670028019195</c:v>
                </c:pt>
                <c:pt idx="24">
                  <c:v>236.03296979112588</c:v>
                </c:pt>
                <c:pt idx="25">
                  <c:v>236.11469770756074</c:v>
                </c:pt>
                <c:pt idx="26">
                  <c:v>231.16139200718402</c:v>
                </c:pt>
                <c:pt idx="27">
                  <c:v>231.99436015334683</c:v>
                </c:pt>
                <c:pt idx="28">
                  <c:v>231.41763155021619</c:v>
                </c:pt>
                <c:pt idx="29">
                  <c:v>228.94712773179759</c:v>
                </c:pt>
                <c:pt idx="30">
                  <c:v>226.69411847832791</c:v>
                </c:pt>
                <c:pt idx="31">
                  <c:v>225.05007910098684</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PT</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1.3063073027442786</c:v>
                </c:pt>
                <c:pt idx="2">
                  <c:v>1.663731210011502</c:v>
                </c:pt>
                <c:pt idx="3">
                  <c:v>1.8907078484113027</c:v>
                </c:pt>
                <c:pt idx="4">
                  <c:v>2.372437145587218</c:v>
                </c:pt>
                <c:pt idx="5">
                  <c:v>2.5957975145573871</c:v>
                </c:pt>
                <c:pt idx="6">
                  <c:v>3.052925489094136</c:v>
                </c:pt>
                <c:pt idx="7">
                  <c:v>3.7118241584528846</c:v>
                </c:pt>
                <c:pt idx="8">
                  <c:v>4.1889007473064517</c:v>
                </c:pt>
                <c:pt idx="9">
                  <c:v>4.9062743727706941</c:v>
                </c:pt>
                <c:pt idx="10">
                  <c:v>5.4780805970123012</c:v>
                </c:pt>
                <c:pt idx="11">
                  <c:v>5.7536370877084595</c:v>
                </c:pt>
                <c:pt idx="12">
                  <c:v>6.7546670287178472</c:v>
                </c:pt>
                <c:pt idx="13">
                  <c:v>7.8332539396392891</c:v>
                </c:pt>
                <c:pt idx="14">
                  <c:v>8.6854542504558321</c:v>
                </c:pt>
                <c:pt idx="15">
                  <c:v>10.356498695254245</c:v>
                </c:pt>
                <c:pt idx="16">
                  <c:v>10.958479895364881</c:v>
                </c:pt>
                <c:pt idx="17">
                  <c:v>11.378539213027436</c:v>
                </c:pt>
                <c:pt idx="18">
                  <c:v>12.400814819948872</c:v>
                </c:pt>
                <c:pt idx="19">
                  <c:v>13.88733833049495</c:v>
                </c:pt>
                <c:pt idx="20">
                  <c:v>16.265158028360393</c:v>
                </c:pt>
                <c:pt idx="21">
                  <c:v>17.381015558599014</c:v>
                </c:pt>
                <c:pt idx="22">
                  <c:v>18.439346020509177</c:v>
                </c:pt>
                <c:pt idx="23">
                  <c:v>20.372147829022516</c:v>
                </c:pt>
                <c:pt idx="24">
                  <c:v>21.138618795918525</c:v>
                </c:pt>
                <c:pt idx="25">
                  <c:v>22.600000743159598</c:v>
                </c:pt>
                <c:pt idx="26">
                  <c:v>25.89767850447414</c:v>
                </c:pt>
                <c:pt idx="27">
                  <c:v>27.232784710000946</c:v>
                </c:pt>
                <c:pt idx="28">
                  <c:v>31.612279789933279</c:v>
                </c:pt>
                <c:pt idx="29">
                  <c:v>33.037415569830181</c:v>
                </c:pt>
                <c:pt idx="30">
                  <c:v>34.520738210434899</c:v>
                </c:pt>
                <c:pt idx="31">
                  <c:v>37.440039725117607</c:v>
                </c:pt>
              </c:numCache>
            </c:numRef>
          </c:xVal>
          <c:yVal>
            <c:numRef>
              <c:f>[0]!TestData.06Y</c:f>
              <c:numCache>
                <c:formatCode>General</c:formatCode>
                <c:ptCount val="32"/>
                <c:pt idx="0">
                  <c:v>193.45234155062175</c:v>
                </c:pt>
                <c:pt idx="1">
                  <c:v>197.31992131337532</c:v>
                </c:pt>
                <c:pt idx="2">
                  <c:v>199.99981774036661</c:v>
                </c:pt>
                <c:pt idx="3">
                  <c:v>203.23445048084375</c:v>
                </c:pt>
                <c:pt idx="4">
                  <c:v>206.23579155830438</c:v>
                </c:pt>
                <c:pt idx="5">
                  <c:v>207.88976192683629</c:v>
                </c:pt>
                <c:pt idx="6">
                  <c:v>210.12021026326366</c:v>
                </c:pt>
                <c:pt idx="7">
                  <c:v>213.54737433352511</c:v>
                </c:pt>
                <c:pt idx="8">
                  <c:v>216.16110230605616</c:v>
                </c:pt>
                <c:pt idx="9">
                  <c:v>221.37913293601181</c:v>
                </c:pt>
                <c:pt idx="10">
                  <c:v>222.08827524002999</c:v>
                </c:pt>
                <c:pt idx="11">
                  <c:v>224.90581078064776</c:v>
                </c:pt>
                <c:pt idx="12">
                  <c:v>227.44924776863118</c:v>
                </c:pt>
                <c:pt idx="13">
                  <c:v>231.211163514644</c:v>
                </c:pt>
                <c:pt idx="14">
                  <c:v>231.14806252933039</c:v>
                </c:pt>
                <c:pt idx="15">
                  <c:v>236.27757742259067</c:v>
                </c:pt>
                <c:pt idx="16">
                  <c:v>234.27527458594466</c:v>
                </c:pt>
                <c:pt idx="17">
                  <c:v>236.17987206044873</c:v>
                </c:pt>
                <c:pt idx="18">
                  <c:v>236.61256412606505</c:v>
                </c:pt>
                <c:pt idx="19">
                  <c:v>238.37139065692401</c:v>
                </c:pt>
                <c:pt idx="20">
                  <c:v>237.77416685516326</c:v>
                </c:pt>
                <c:pt idx="21">
                  <c:v>236.80796922136264</c:v>
                </c:pt>
                <c:pt idx="22">
                  <c:v>238.12561557530387</c:v>
                </c:pt>
                <c:pt idx="23">
                  <c:v>234.50670028019195</c:v>
                </c:pt>
                <c:pt idx="24">
                  <c:v>236.03296979112588</c:v>
                </c:pt>
                <c:pt idx="25">
                  <c:v>236.11469770756074</c:v>
                </c:pt>
                <c:pt idx="26">
                  <c:v>231.16139200718402</c:v>
                </c:pt>
                <c:pt idx="27">
                  <c:v>231.99436015334683</c:v>
                </c:pt>
                <c:pt idx="28">
                  <c:v>231.41763155021619</c:v>
                </c:pt>
                <c:pt idx="29">
                  <c:v>228.94712773179759</c:v>
                </c:pt>
                <c:pt idx="30">
                  <c:v>226.69411847832791</c:v>
                </c:pt>
                <c:pt idx="31">
                  <c:v>225.05007910098684</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IE</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1.2429651969807987</c:v>
                </c:pt>
                <c:pt idx="2">
                  <c:v>1.5731782726172656</c:v>
                </c:pt>
                <c:pt idx="3">
                  <c:v>1.8767183505941052</c:v>
                </c:pt>
                <c:pt idx="4">
                  <c:v>2.3379538579300423</c:v>
                </c:pt>
                <c:pt idx="5">
                  <c:v>2.535656458366752</c:v>
                </c:pt>
                <c:pt idx="6">
                  <c:v>2.9263872868669925</c:v>
                </c:pt>
                <c:pt idx="7">
                  <c:v>3.5544211375604666</c:v>
                </c:pt>
                <c:pt idx="8">
                  <c:v>4.2134717154382244</c:v>
                </c:pt>
                <c:pt idx="9">
                  <c:v>4.6190628356895633</c:v>
                </c:pt>
                <c:pt idx="10">
                  <c:v>5.5875662414238612</c:v>
                </c:pt>
                <c:pt idx="11">
                  <c:v>6.6620635229668057</c:v>
                </c:pt>
                <c:pt idx="12">
                  <c:v>7.1226208412778806</c:v>
                </c:pt>
                <c:pt idx="13">
                  <c:v>7.6013468180096719</c:v>
                </c:pt>
                <c:pt idx="14">
                  <c:v>8.5891974875809076</c:v>
                </c:pt>
                <c:pt idx="15">
                  <c:v>9.444207312419076</c:v>
                </c:pt>
                <c:pt idx="16">
                  <c:v>9.9491507799809344</c:v>
                </c:pt>
                <c:pt idx="17">
                  <c:v>10.234947541143979</c:v>
                </c:pt>
                <c:pt idx="18">
                  <c:v>10.919116033557472</c:v>
                </c:pt>
                <c:pt idx="19">
                  <c:v>12.783794637367548</c:v>
                </c:pt>
                <c:pt idx="20">
                  <c:v>14.45864033059329</c:v>
                </c:pt>
                <c:pt idx="21">
                  <c:v>15.622909149090106</c:v>
                </c:pt>
                <c:pt idx="22">
                  <c:v>16.875190988365844</c:v>
                </c:pt>
                <c:pt idx="23">
                  <c:v>19.612783299328637</c:v>
                </c:pt>
                <c:pt idx="24">
                  <c:v>20.19487354567973</c:v>
                </c:pt>
                <c:pt idx="25">
                  <c:v>22.481776167908144</c:v>
                </c:pt>
                <c:pt idx="26">
                  <c:v>25.207654371479375</c:v>
                </c:pt>
                <c:pt idx="27">
                  <c:v>28.480091058519182</c:v>
                </c:pt>
                <c:pt idx="28">
                  <c:v>33.191678770106435</c:v>
                </c:pt>
                <c:pt idx="29">
                  <c:v>36.976247716614331</c:v>
                </c:pt>
                <c:pt idx="30">
                  <c:v>42.756431258117878</c:v>
                </c:pt>
                <c:pt idx="31">
                  <c:v>45.564935117782248</c:v>
                </c:pt>
              </c:numCache>
            </c:numRef>
          </c:xVal>
          <c:yVal>
            <c:numRef>
              <c:f>[0]!TestData.07Y</c:f>
              <c:numCache>
                <c:formatCode>General</c:formatCode>
                <c:ptCount val="32"/>
                <c:pt idx="0">
                  <c:v>173.95730071488282</c:v>
                </c:pt>
                <c:pt idx="1">
                  <c:v>176.67745563407163</c:v>
                </c:pt>
                <c:pt idx="2">
                  <c:v>179.28191333583226</c:v>
                </c:pt>
                <c:pt idx="3">
                  <c:v>182.39023233603177</c:v>
                </c:pt>
                <c:pt idx="4">
                  <c:v>185.6921588349694</c:v>
                </c:pt>
                <c:pt idx="5">
                  <c:v>187.96034482389507</c:v>
                </c:pt>
                <c:pt idx="6">
                  <c:v>190.21450403083557</c:v>
                </c:pt>
                <c:pt idx="7">
                  <c:v>198.73915978540208</c:v>
                </c:pt>
                <c:pt idx="8">
                  <c:v>199.25060129352272</c:v>
                </c:pt>
                <c:pt idx="9">
                  <c:v>204.28390636384597</c:v>
                </c:pt>
                <c:pt idx="10">
                  <c:v>209.71678186527762</c:v>
                </c:pt>
                <c:pt idx="11">
                  <c:v>214.58664327658221</c:v>
                </c:pt>
                <c:pt idx="12">
                  <c:v>212.23057985528877</c:v>
                </c:pt>
                <c:pt idx="13">
                  <c:v>214.83651603001323</c:v>
                </c:pt>
                <c:pt idx="14">
                  <c:v>216.40495123786033</c:v>
                </c:pt>
                <c:pt idx="15">
                  <c:v>218.74925161526113</c:v>
                </c:pt>
                <c:pt idx="16">
                  <c:v>220.59471398489569</c:v>
                </c:pt>
                <c:pt idx="17">
                  <c:v>222.13684657425802</c:v>
                </c:pt>
                <c:pt idx="18">
                  <c:v>221.03522310957334</c:v>
                </c:pt>
                <c:pt idx="19">
                  <c:v>222.03163883984195</c:v>
                </c:pt>
                <c:pt idx="20">
                  <c:v>220.72245083795698</c:v>
                </c:pt>
                <c:pt idx="21">
                  <c:v>220.15521864888041</c:v>
                </c:pt>
                <c:pt idx="22">
                  <c:v>221.20354540406439</c:v>
                </c:pt>
                <c:pt idx="23">
                  <c:v>219.99043899086428</c:v>
                </c:pt>
                <c:pt idx="24">
                  <c:v>219.40482980624532</c:v>
                </c:pt>
                <c:pt idx="25">
                  <c:v>214.79343295913469</c:v>
                </c:pt>
                <c:pt idx="26">
                  <c:v>213.37810544289206</c:v>
                </c:pt>
                <c:pt idx="27">
                  <c:v>212.65415104332106</c:v>
                </c:pt>
                <c:pt idx="28">
                  <c:v>205.97021557990453</c:v>
                </c:pt>
                <c:pt idx="29">
                  <c:v>202.9950985656674</c:v>
                </c:pt>
                <c:pt idx="30">
                  <c:v>200.12825924542923</c:v>
                </c:pt>
                <c:pt idx="31">
                  <c:v>199.35211679218057</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IE</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1.2429651969807987</c:v>
                </c:pt>
                <c:pt idx="2">
                  <c:v>1.5731782726172656</c:v>
                </c:pt>
                <c:pt idx="3">
                  <c:v>1.8767183505941052</c:v>
                </c:pt>
                <c:pt idx="4">
                  <c:v>2.3379538579300423</c:v>
                </c:pt>
                <c:pt idx="5">
                  <c:v>2.535656458366752</c:v>
                </c:pt>
                <c:pt idx="6">
                  <c:v>2.9263872868669925</c:v>
                </c:pt>
                <c:pt idx="7">
                  <c:v>3.5544211375604666</c:v>
                </c:pt>
                <c:pt idx="8">
                  <c:v>4.2134717154382244</c:v>
                </c:pt>
                <c:pt idx="9">
                  <c:v>4.6190628356895633</c:v>
                </c:pt>
                <c:pt idx="10">
                  <c:v>5.5875662414238612</c:v>
                </c:pt>
                <c:pt idx="11">
                  <c:v>6.6620635229668057</c:v>
                </c:pt>
                <c:pt idx="12">
                  <c:v>7.1226208412778806</c:v>
                </c:pt>
                <c:pt idx="13">
                  <c:v>7.6013468180096719</c:v>
                </c:pt>
                <c:pt idx="14">
                  <c:v>8.5891974875809076</c:v>
                </c:pt>
                <c:pt idx="15">
                  <c:v>9.444207312419076</c:v>
                </c:pt>
                <c:pt idx="16">
                  <c:v>9.9491507799809344</c:v>
                </c:pt>
                <c:pt idx="17">
                  <c:v>10.234947541143979</c:v>
                </c:pt>
                <c:pt idx="18">
                  <c:v>10.919116033557472</c:v>
                </c:pt>
                <c:pt idx="19">
                  <c:v>12.783794637367548</c:v>
                </c:pt>
                <c:pt idx="20">
                  <c:v>14.45864033059329</c:v>
                </c:pt>
                <c:pt idx="21">
                  <c:v>15.622909149090106</c:v>
                </c:pt>
                <c:pt idx="22">
                  <c:v>16.875190988365844</c:v>
                </c:pt>
                <c:pt idx="23">
                  <c:v>19.612783299328637</c:v>
                </c:pt>
                <c:pt idx="24">
                  <c:v>20.19487354567973</c:v>
                </c:pt>
                <c:pt idx="25">
                  <c:v>22.481776167908144</c:v>
                </c:pt>
                <c:pt idx="26">
                  <c:v>25.207654371479375</c:v>
                </c:pt>
                <c:pt idx="27">
                  <c:v>28.480091058519182</c:v>
                </c:pt>
                <c:pt idx="28">
                  <c:v>33.191678770106435</c:v>
                </c:pt>
                <c:pt idx="29">
                  <c:v>36.976247716614331</c:v>
                </c:pt>
                <c:pt idx="30">
                  <c:v>42.756431258117878</c:v>
                </c:pt>
                <c:pt idx="31">
                  <c:v>45.564935117782248</c:v>
                </c:pt>
              </c:numCache>
            </c:numRef>
          </c:xVal>
          <c:yVal>
            <c:numRef>
              <c:f>[0]!TestData.07Y</c:f>
              <c:numCache>
                <c:formatCode>General</c:formatCode>
                <c:ptCount val="32"/>
                <c:pt idx="0">
                  <c:v>173.95730071488282</c:v>
                </c:pt>
                <c:pt idx="1">
                  <c:v>176.67745563407163</c:v>
                </c:pt>
                <c:pt idx="2">
                  <c:v>179.28191333583226</c:v>
                </c:pt>
                <c:pt idx="3">
                  <c:v>182.39023233603177</c:v>
                </c:pt>
                <c:pt idx="4">
                  <c:v>185.6921588349694</c:v>
                </c:pt>
                <c:pt idx="5">
                  <c:v>187.96034482389507</c:v>
                </c:pt>
                <c:pt idx="6">
                  <c:v>190.21450403083557</c:v>
                </c:pt>
                <c:pt idx="7">
                  <c:v>198.73915978540208</c:v>
                </c:pt>
                <c:pt idx="8">
                  <c:v>199.25060129352272</c:v>
                </c:pt>
                <c:pt idx="9">
                  <c:v>204.28390636384597</c:v>
                </c:pt>
                <c:pt idx="10">
                  <c:v>209.71678186527762</c:v>
                </c:pt>
                <c:pt idx="11">
                  <c:v>214.58664327658221</c:v>
                </c:pt>
                <c:pt idx="12">
                  <c:v>212.23057985528877</c:v>
                </c:pt>
                <c:pt idx="13">
                  <c:v>214.83651603001323</c:v>
                </c:pt>
                <c:pt idx="14">
                  <c:v>216.40495123786033</c:v>
                </c:pt>
                <c:pt idx="15">
                  <c:v>218.74925161526113</c:v>
                </c:pt>
                <c:pt idx="16">
                  <c:v>220.59471398489569</c:v>
                </c:pt>
                <c:pt idx="17">
                  <c:v>222.13684657425802</c:v>
                </c:pt>
                <c:pt idx="18">
                  <c:v>221.03522310957334</c:v>
                </c:pt>
                <c:pt idx="19">
                  <c:v>222.03163883984195</c:v>
                </c:pt>
                <c:pt idx="20">
                  <c:v>220.72245083795698</c:v>
                </c:pt>
                <c:pt idx="21">
                  <c:v>220.15521864888041</c:v>
                </c:pt>
                <c:pt idx="22">
                  <c:v>221.20354540406439</c:v>
                </c:pt>
                <c:pt idx="23">
                  <c:v>219.99043899086428</c:v>
                </c:pt>
                <c:pt idx="24">
                  <c:v>219.40482980624532</c:v>
                </c:pt>
                <c:pt idx="25">
                  <c:v>214.79343295913469</c:v>
                </c:pt>
                <c:pt idx="26">
                  <c:v>213.37810544289206</c:v>
                </c:pt>
                <c:pt idx="27">
                  <c:v>212.65415104332106</c:v>
                </c:pt>
                <c:pt idx="28">
                  <c:v>205.97021557990453</c:v>
                </c:pt>
                <c:pt idx="29">
                  <c:v>202.9950985656674</c:v>
                </c:pt>
                <c:pt idx="30">
                  <c:v>200.12825924542923</c:v>
                </c:pt>
                <c:pt idx="31">
                  <c:v>199.35211679218057</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IE</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1.2429651969807987</c:v>
                </c:pt>
                <c:pt idx="2">
                  <c:v>1.5731782726172656</c:v>
                </c:pt>
                <c:pt idx="3">
                  <c:v>1.8767183505941052</c:v>
                </c:pt>
                <c:pt idx="4">
                  <c:v>2.3379538579300423</c:v>
                </c:pt>
                <c:pt idx="5">
                  <c:v>2.535656458366752</c:v>
                </c:pt>
                <c:pt idx="6">
                  <c:v>2.9263872868669925</c:v>
                </c:pt>
                <c:pt idx="7">
                  <c:v>3.5544211375604666</c:v>
                </c:pt>
                <c:pt idx="8">
                  <c:v>4.2134717154382244</c:v>
                </c:pt>
                <c:pt idx="9">
                  <c:v>4.6190628356895633</c:v>
                </c:pt>
                <c:pt idx="10">
                  <c:v>5.5875662414238612</c:v>
                </c:pt>
                <c:pt idx="11">
                  <c:v>6.6620635229668057</c:v>
                </c:pt>
                <c:pt idx="12">
                  <c:v>7.1226208412778806</c:v>
                </c:pt>
                <c:pt idx="13">
                  <c:v>7.6013468180096719</c:v>
                </c:pt>
                <c:pt idx="14">
                  <c:v>8.5891974875809076</c:v>
                </c:pt>
                <c:pt idx="15">
                  <c:v>9.444207312419076</c:v>
                </c:pt>
                <c:pt idx="16">
                  <c:v>9.9491507799809344</c:v>
                </c:pt>
                <c:pt idx="17">
                  <c:v>10.234947541143979</c:v>
                </c:pt>
                <c:pt idx="18">
                  <c:v>10.919116033557472</c:v>
                </c:pt>
                <c:pt idx="19">
                  <c:v>12.783794637367548</c:v>
                </c:pt>
                <c:pt idx="20">
                  <c:v>14.45864033059329</c:v>
                </c:pt>
                <c:pt idx="21">
                  <c:v>15.622909149090106</c:v>
                </c:pt>
                <c:pt idx="22">
                  <c:v>16.875190988365844</c:v>
                </c:pt>
                <c:pt idx="23">
                  <c:v>19.612783299328637</c:v>
                </c:pt>
                <c:pt idx="24">
                  <c:v>20.19487354567973</c:v>
                </c:pt>
                <c:pt idx="25">
                  <c:v>22.481776167908144</c:v>
                </c:pt>
                <c:pt idx="26">
                  <c:v>25.207654371479375</c:v>
                </c:pt>
                <c:pt idx="27">
                  <c:v>28.480091058519182</c:v>
                </c:pt>
                <c:pt idx="28">
                  <c:v>33.191678770106435</c:v>
                </c:pt>
                <c:pt idx="29">
                  <c:v>36.976247716614331</c:v>
                </c:pt>
                <c:pt idx="30">
                  <c:v>42.756431258117878</c:v>
                </c:pt>
                <c:pt idx="31">
                  <c:v>45.564935117782248</c:v>
                </c:pt>
              </c:numCache>
            </c:numRef>
          </c:xVal>
          <c:yVal>
            <c:numRef>
              <c:f>[0]!TestData.07Y</c:f>
              <c:numCache>
                <c:formatCode>General</c:formatCode>
                <c:ptCount val="32"/>
                <c:pt idx="0">
                  <c:v>173.95730071488282</c:v>
                </c:pt>
                <c:pt idx="1">
                  <c:v>176.67745563407163</c:v>
                </c:pt>
                <c:pt idx="2">
                  <c:v>179.28191333583226</c:v>
                </c:pt>
                <c:pt idx="3">
                  <c:v>182.39023233603177</c:v>
                </c:pt>
                <c:pt idx="4">
                  <c:v>185.6921588349694</c:v>
                </c:pt>
                <c:pt idx="5">
                  <c:v>187.96034482389507</c:v>
                </c:pt>
                <c:pt idx="6">
                  <c:v>190.21450403083557</c:v>
                </c:pt>
                <c:pt idx="7">
                  <c:v>198.73915978540208</c:v>
                </c:pt>
                <c:pt idx="8">
                  <c:v>199.25060129352272</c:v>
                </c:pt>
                <c:pt idx="9">
                  <c:v>204.28390636384597</c:v>
                </c:pt>
                <c:pt idx="10">
                  <c:v>209.71678186527762</c:v>
                </c:pt>
                <c:pt idx="11">
                  <c:v>214.58664327658221</c:v>
                </c:pt>
                <c:pt idx="12">
                  <c:v>212.23057985528877</c:v>
                </c:pt>
                <c:pt idx="13">
                  <c:v>214.83651603001323</c:v>
                </c:pt>
                <c:pt idx="14">
                  <c:v>216.40495123786033</c:v>
                </c:pt>
                <c:pt idx="15">
                  <c:v>218.74925161526113</c:v>
                </c:pt>
                <c:pt idx="16">
                  <c:v>220.59471398489569</c:v>
                </c:pt>
                <c:pt idx="17">
                  <c:v>222.13684657425802</c:v>
                </c:pt>
                <c:pt idx="18">
                  <c:v>221.03522310957334</c:v>
                </c:pt>
                <c:pt idx="19">
                  <c:v>222.03163883984195</c:v>
                </c:pt>
                <c:pt idx="20">
                  <c:v>220.72245083795698</c:v>
                </c:pt>
                <c:pt idx="21">
                  <c:v>220.15521864888041</c:v>
                </c:pt>
                <c:pt idx="22">
                  <c:v>221.20354540406439</c:v>
                </c:pt>
                <c:pt idx="23">
                  <c:v>219.99043899086428</c:v>
                </c:pt>
                <c:pt idx="24">
                  <c:v>219.40482980624532</c:v>
                </c:pt>
                <c:pt idx="25">
                  <c:v>214.79343295913469</c:v>
                </c:pt>
                <c:pt idx="26">
                  <c:v>213.37810544289206</c:v>
                </c:pt>
                <c:pt idx="27">
                  <c:v>212.65415104332106</c:v>
                </c:pt>
                <c:pt idx="28">
                  <c:v>205.97021557990453</c:v>
                </c:pt>
                <c:pt idx="29">
                  <c:v>202.9950985656674</c:v>
                </c:pt>
                <c:pt idx="30">
                  <c:v>200.12825924542923</c:v>
                </c:pt>
                <c:pt idx="31">
                  <c:v>199.35211679218057</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FB8FC935-AF29-8F4E-8BFF-DCDF2EE7EBF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C9D1F4E0-4B6C-FA40-822E-79227580B6B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E4212496-16E9-BD42-AB7A-CD8AEA8DA1A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E1CBCD92-7D30-A545-9CE8-986B9B2FB7A6}"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574682E5-4563-4E41-9F01-68AF4E50086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CC5CEA10-2484-DA4D-81BF-96E4888ADA86}"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7C3E8DA5-95DD-7941-88EB-AA596BFBAF79}"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172.32748106666949</c:v>
                </c:pt>
                <c:pt idx="1">
                  <c:v>192.80716942831322</c:v>
                </c:pt>
                <c:pt idx="2">
                  <c:v>191.55272035808787</c:v>
                </c:pt>
                <c:pt idx="3">
                  <c:v>188.45944797695219</c:v>
                </c:pt>
                <c:pt idx="4">
                  <c:v>134.72509935274914</c:v>
                </c:pt>
                <c:pt idx="5">
                  <c:v>193.45234155062175</c:v>
                </c:pt>
                <c:pt idx="6">
                  <c:v>173.95730071488282</c:v>
                </c:pt>
              </c:numCache>
            </c:numRef>
          </c:yVal>
          <c:smooth val="0"/>
          <c:extLst>
            <c:ext xmlns:c15="http://schemas.microsoft.com/office/drawing/2012/chart" uri="{02D57815-91ED-43cb-92C2-25804820EDAC}">
              <c15:datalabelsRange>
                <c15:f>[0]!TestData_Labels.Label</c15:f>
                <c15:dlblRangeCache>
                  <c:ptCount val="7"/>
                  <c:pt idx="0">
                    <c:v>NL</c:v>
                  </c:pt>
                  <c:pt idx="1">
                    <c:v>BE</c:v>
                  </c:pt>
                  <c:pt idx="2">
                    <c:v>AT</c:v>
                  </c:pt>
                  <c:pt idx="3">
                    <c:v>FI</c:v>
                  </c:pt>
                  <c:pt idx="4">
                    <c:v>GR</c:v>
                  </c:pt>
                  <c:pt idx="5">
                    <c:v>PT</c:v>
                  </c:pt>
                  <c:pt idx="6">
                    <c:v>IE</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A5BFA4DC-1317-C04E-B961-D34B55CB667D}"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40958A33-F3B4-194D-AAF2-45A9F18946F7}"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23265698-9237-1B4B-8601-89F9D63499D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BE40EC69-9E19-C04A-9715-FF61EE970EA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5C89323F-88B0-194F-B2C3-AEABABEC44C5}"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31471A3E-F9CD-BE42-BB91-E8E106B0262F}"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64EF5B9B-F364-DC4D-A18F-B96F9400C4E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41.515650269506558</c:v>
                </c:pt>
                <c:pt idx="1">
                  <c:v>38.224018814746941</c:v>
                </c:pt>
                <c:pt idx="2">
                  <c:v>34.656689015671738</c:v>
                </c:pt>
                <c:pt idx="3">
                  <c:v>32.559806418917738</c:v>
                </c:pt>
                <c:pt idx="4">
                  <c:v>42.398491961847988</c:v>
                </c:pt>
                <c:pt idx="5">
                  <c:v>37.440039725117607</c:v>
                </c:pt>
                <c:pt idx="6">
                  <c:v>42.756431258117878</c:v>
                </c:pt>
              </c:numCache>
            </c:numRef>
          </c:xVal>
          <c:yVal>
            <c:numRef>
              <c:f>[0]!TestData_Labels.Right_Y</c:f>
              <c:numCache>
                <c:formatCode>General</c:formatCode>
                <c:ptCount val="7"/>
                <c:pt idx="0">
                  <c:v>196.57882031575156</c:v>
                </c:pt>
                <c:pt idx="1">
                  <c:v>228.076403980219</c:v>
                </c:pt>
                <c:pt idx="2">
                  <c:v>217.44875588798232</c:v>
                </c:pt>
                <c:pt idx="3">
                  <c:v>229.42674937875074</c:v>
                </c:pt>
                <c:pt idx="4">
                  <c:v>193.9816343669635</c:v>
                </c:pt>
                <c:pt idx="5">
                  <c:v>225.05007910098684</c:v>
                </c:pt>
                <c:pt idx="6">
                  <c:v>200.12825924542923</c:v>
                </c:pt>
              </c:numCache>
            </c:numRef>
          </c:yVal>
          <c:smooth val="0"/>
          <c:extLst>
            <c:ext xmlns:c15="http://schemas.microsoft.com/office/drawing/2012/chart" uri="{02D57815-91ED-43cb-92C2-25804820EDAC}">
              <c15:datalabelsRange>
                <c15:f>[0]!TestData_Labels.Label</c15:f>
                <c15:dlblRangeCache>
                  <c:ptCount val="7"/>
                  <c:pt idx="0">
                    <c:v>NL</c:v>
                  </c:pt>
                  <c:pt idx="1">
                    <c:v>BE</c:v>
                  </c:pt>
                  <c:pt idx="2">
                    <c:v>AT</c:v>
                  </c:pt>
                  <c:pt idx="3">
                    <c:v>FI</c:v>
                  </c:pt>
                  <c:pt idx="4">
                    <c:v>GR</c:v>
                  </c:pt>
                  <c:pt idx="5">
                    <c:v>PT</c:v>
                  </c:pt>
                  <c:pt idx="6">
                    <c:v>IE</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44"/>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40"/>
          <c:min val="125"/>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182.08750532487596</v>
      </c>
      <c r="S2" s="1">
        <f ca="1" xml:space="preserve"> TestData.Y_0_a + TestData.Y_0_b*(2*RAND() - 1)</f>
        <v>215.53165938353283</v>
      </c>
      <c r="V2" s="1">
        <f ca="1" xml:space="preserve"> TestData.Y_0_a + TestData.Y_0_b*(2*RAND() - 1)</f>
        <v>196.93371586841442</v>
      </c>
      <c r="Y2" s="1">
        <f ca="1" xml:space="preserve"> TestData.Y_0_a + TestData.Y_0_b*(2*RAND() - 1)</f>
        <v>214.9103480374846</v>
      </c>
      <c r="AB2" s="1">
        <f ca="1" xml:space="preserve"> TestData.Y_0_a + TestData.Y_0_b*(2*RAND() - 1)</f>
        <v>183.58580851535712</v>
      </c>
      <c r="AE2" s="1">
        <f ca="1" xml:space="preserve"> TestData.Y_0_a + TestData.Y_0_b*(2*RAND() - 1)</f>
        <v>215.91034829571853</v>
      </c>
      <c r="AH2" s="1">
        <f ca="1" xml:space="preserve"> TestData.Y_0_a + TestData.Y_0_b*(2*RAND() - 1)</f>
        <v>187.27476852005819</v>
      </c>
    </row>
    <row r="3" spans="12:45" x14ac:dyDescent="0.2">
      <c r="P3" s="1">
        <f ca="1" xml:space="preserve"> TestData.Y_1_a + TestData.Y_1_b*(2*RAND() - 1)</f>
        <v>86.08141094748683</v>
      </c>
      <c r="S3" s="1">
        <f ca="1" xml:space="preserve"> TestData.Y_1_a + TestData.Y_1_b*(2*RAND() - 1)</f>
        <v>55.516062639900404</v>
      </c>
      <c r="V3" s="1">
        <f ca="1" xml:space="preserve"> TestData.Y_1_a + TestData.Y_1_b*(2*RAND() - 1)</f>
        <v>80.027383226263979</v>
      </c>
      <c r="Y3" s="1">
        <f ca="1" xml:space="preserve"> TestData.Y_1_a + TestData.Y_1_b*(2*RAND() - 1)</f>
        <v>57.654228598154972</v>
      </c>
      <c r="AB3" s="1">
        <f ca="1" xml:space="preserve"> TestData.Y_1_a + TestData.Y_1_b*(2*RAND() - 1)</f>
        <v>50.728967571284684</v>
      </c>
      <c r="AE3" s="1">
        <f ca="1" xml:space="preserve"> TestData.Y_1_a + TestData.Y_1_b*(2*RAND() - 1)</f>
        <v>53.346717323450441</v>
      </c>
      <c r="AH3" s="1">
        <f ca="1" xml:space="preserve"> TestData.Y_1_a + TestData.Y_1_b*(2*RAND() - 1)</f>
        <v>80.680893629153999</v>
      </c>
    </row>
    <row r="4" spans="12:45" x14ac:dyDescent="0.2">
      <c r="P4" s="1">
        <f ca="1" xml:space="preserve"> TestData.Y_2_a + TestData.Y_2_b*(2*RAND() - 1)</f>
        <v>-110.41930039177355</v>
      </c>
      <c r="S4" s="1">
        <f ca="1" xml:space="preserve"> TestData.Y_2_a + TestData.Y_2_b*(2*RAND() - 1)</f>
        <v>-89.145457694864376</v>
      </c>
      <c r="V4" s="1">
        <f ca="1" xml:space="preserve"> TestData.Y_2_a + TestData.Y_2_b*(2*RAND() - 1)</f>
        <v>-95.974954040062045</v>
      </c>
      <c r="Y4" s="1">
        <f ca="1" xml:space="preserve"> TestData.Y_2_a + TestData.Y_2_b*(2*RAND() - 1)</f>
        <v>-95.237157081833686</v>
      </c>
      <c r="AB4" s="1">
        <f ca="1" xml:space="preserve"> TestData.Y_2_a + TestData.Y_2_b*(2*RAND() - 1)</f>
        <v>-114.23201859933597</v>
      </c>
      <c r="AE4" s="1">
        <f ca="1" xml:space="preserve"> TestData.Y_2_a + TestData.Y_2_b*(2*RAND() - 1)</f>
        <v>-86.654195327098734</v>
      </c>
      <c r="AH4" s="1">
        <f ca="1" xml:space="preserve"> TestData.Y_2_a + TestData.Y_2_b*(2*RAND() - 1)</f>
        <v>-108.57453948354667</v>
      </c>
    </row>
    <row r="6" spans="12:45" ht="17" thickBot="1" x14ac:dyDescent="0.25">
      <c r="M6" s="2" t="s">
        <v>562</v>
      </c>
      <c r="P6" s="2" t="s">
        <v>0</v>
      </c>
      <c r="S6" s="2" t="s">
        <v>1</v>
      </c>
      <c r="V6" s="2" t="s">
        <v>2</v>
      </c>
      <c r="Y6" s="2" t="s">
        <v>3</v>
      </c>
      <c r="AB6" s="2" t="s">
        <v>4</v>
      </c>
      <c r="AE6" s="2" t="s">
        <v>5</v>
      </c>
      <c r="AH6" s="2" t="s">
        <v>6</v>
      </c>
    </row>
    <row r="7" spans="12:45" x14ac:dyDescent="0.2">
      <c r="M7" s="11" t="s">
        <v>569</v>
      </c>
      <c r="P7" s="1" t="str" cm="1">
        <f t="array" aca="1" ref="P7" ca="1" xml:space="preserve"> INDEX(SeriesFormatAlias.SeriesName, MOD(TestData.SeriesNameNumFirst + MID(P$6,10,2) - 1 - TestData.SeriesNameNumMin, 1 + TestData.SeriesNameNumMax - TestData.SeriesNameNumMin) + TestData.SeriesNameNumMin)</f>
        <v>NL</v>
      </c>
      <c r="S7" s="1" t="str" cm="1">
        <f t="array" aca="1" ref="S7" ca="1" xml:space="preserve"> INDEX(SeriesFormatAlias.SeriesName, MOD(TestData.SeriesNameNumFirst + MID(S$6,10,2) - 1 - TestData.SeriesNameNumMin, 1 + TestData.SeriesNameNumMax - TestData.SeriesNameNumMin) + TestData.SeriesNameNumMin)</f>
        <v>BE</v>
      </c>
      <c r="V7" s="1" t="str" cm="1">
        <f t="array" aca="1" ref="V7" ca="1" xml:space="preserve"> INDEX(SeriesFormatAlias.SeriesName, MOD(TestData.SeriesNameNumFirst + MID(V$6,10,2) - 1 - TestData.SeriesNameNumMin, 1 + TestData.SeriesNameNumMax - TestData.SeriesNameNumMin) + TestData.SeriesNameNumMin)</f>
        <v>AT</v>
      </c>
      <c r="Y7" s="1" t="str" cm="1">
        <f t="array" aca="1" ref="Y7" ca="1" xml:space="preserve"> INDEX(SeriesFormatAlias.SeriesName, MOD(TestData.SeriesNameNumFirst + MID(Y$6,10,2) - 1 - TestData.SeriesNameNumMin, 1 + TestData.SeriesNameNumMax - TestData.SeriesNameNumMin) + TestData.SeriesNameNumMin)</f>
        <v>FI</v>
      </c>
      <c r="AB7" s="1" t="str" cm="1">
        <f t="array" aca="1" ref="AB7" ca="1" xml:space="preserve"> INDEX(SeriesFormatAlias.SeriesName, MOD(TestData.SeriesNameNumFirst + MID(AB$6,10,2) - 1 - TestData.SeriesNameNumMin, 1 + TestData.SeriesNameNumMax - TestData.SeriesNameNumMin) + TestData.SeriesNameNumMin)</f>
        <v>GR</v>
      </c>
      <c r="AE7" s="1" t="str" cm="1">
        <f t="array" aca="1" ref="AE7" ca="1" xml:space="preserve"> INDEX(SeriesFormatAlias.SeriesName, MOD(TestData.SeriesNameNumFirst + MID(AE$6,10,2) - 1 - TestData.SeriesNameNumMin, 1 + TestData.SeriesNameNumMax - TestData.SeriesNameNumMin) + TestData.SeriesNameNumMin)</f>
        <v>PT</v>
      </c>
      <c r="AH7" s="1" t="str" cm="1">
        <f t="array" aca="1" ref="AH7" ca="1" xml:space="preserve"> INDEX(SeriesFormatAlias.SeriesName, MOD(TestData.SeriesNameNumFirst + MID(AH$6,10,2) - 1 - TestData.SeriesNameNumMin, 1 + TestData.SeriesNameNumMax - TestData.SeriesNameNumMin) + TestData.SeriesNameNumMin)</f>
        <v>IE</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548</v>
      </c>
      <c r="AN9" s="2" t="s">
        <v>21</v>
      </c>
      <c r="AO9" s="2" t="s">
        <v>549</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172.32748106666949</v>
      </c>
      <c r="R10" s="1">
        <v>1</v>
      </c>
      <c r="S10" s="1">
        <f t="shared" ref="S10:S34" ca="1" si="1" xml:space="preserve"> S$2 + S$3*EXP(- R10 / TestData.Z_1) + S$4*EXP(- R10 / TestData.Z_2)  + TestData.VerticalRandomisation*(2*RAND() - 1)</f>
        <v>192.80716942831322</v>
      </c>
      <c r="U10" s="1">
        <v>1</v>
      </c>
      <c r="V10" s="1">
        <f t="shared" ref="V10:V34" ca="1" si="2" xml:space="preserve"> V$2 + V$3*EXP(- U10 / TestData.Z_1) + V$4*EXP(- U10 / TestData.Z_2)  + TestData.VerticalRandomisation*(2*RAND() - 1)</f>
        <v>191.55272035808787</v>
      </c>
      <c r="X10" s="1">
        <v>1</v>
      </c>
      <c r="Y10" s="1">
        <f t="shared" ref="Y10:Y34" ca="1" si="3" xml:space="preserve"> Y$2 + Y$3*EXP(- X10 / TestData.Z_1) + Y$4*EXP(- X10 / TestData.Z_2)  + TestData.VerticalRandomisation*(2*RAND() - 1)</f>
        <v>188.45944797695219</v>
      </c>
      <c r="AA10" s="1">
        <v>1</v>
      </c>
      <c r="AB10" s="1">
        <f t="shared" ref="AB10:AB34" ca="1" si="4" xml:space="preserve"> AB$2 + AB$3*EXP(- AA10 / TestData.Z_1) + AB$4*EXP(- AA10 / TestData.Z_2)  + TestData.VerticalRandomisation*(2*RAND() - 1)</f>
        <v>134.72509935274914</v>
      </c>
      <c r="AD10" s="1">
        <v>1</v>
      </c>
      <c r="AE10" s="1">
        <f t="shared" ref="AE10:AE34" ca="1" si="5" xml:space="preserve"> AE$2 + AE$3*EXP(- AD10 / TestData.Z_1) + AE$4*EXP(- AD10 / TestData.Z_2)  + TestData.VerticalRandomisation*(2*RAND() - 1)</f>
        <v>193.45234155062175</v>
      </c>
      <c r="AG10" s="1">
        <v>1</v>
      </c>
      <c r="AH10" s="1">
        <f t="shared" ref="AH10:AH41" ca="1" si="6" xml:space="preserve"> AH$2 + AH$3*EXP(- AG10 / TestData.Z_1) + AH$4*EXP(- AG10 / TestData.Z_2)  + TestData.VerticalRandomisation*(2*RAND() - 1)</f>
        <v>173.95730071488282</v>
      </c>
      <c r="AJ10" s="1" cm="1">
        <f t="array" ref="AJ10" xml:space="preserve"> 1 + ROW() - _xlfn.SINGLE(ROW(TestData.RowNum))</f>
        <v>1</v>
      </c>
      <c r="AN10" s="4" t="str">
        <f ca="1" xml:space="preserve"> TestData.01Name</f>
        <v>NL</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41.515650269506558</v>
      </c>
      <c r="AR10" s="4" cm="1">
        <f t="array" aca="1" ref="AR10" ca="1" xml:space="preserve"> IF(_xlfn.SINGLE(TestData_Labels.Good), INDEX(TestData.01Y, _xlfn.MAXIFS(TestData.RowNum,    TestData.01Y,"&gt;="&amp;TestData.MinY,    TestData.01Y,"&lt;="&amp;TestData.MaxY,   TestData.01X,_xlfn.SINGLE(TestData_Labels.Left_X))), #N/A)</f>
        <v>172.32748106666949</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196.57882031575156</v>
      </c>
    </row>
    <row r="11" spans="12:45" x14ac:dyDescent="0.2">
      <c r="L11" s="3" t="s">
        <v>27</v>
      </c>
      <c r="M11" s="1">
        <f xml:space="preserve"> MATCH("XK", SeriesFormatAlias.SeriesName, 0)</f>
        <v>34</v>
      </c>
      <c r="O11" s="1">
        <f t="shared" ref="O11:O34" ca="1" si="7" xml:space="preserve"> TestData.SpeedX  +  (1 + RAND()*TestData.SpeedX) * O10</f>
        <v>1.3391342287939099</v>
      </c>
      <c r="P11" s="1">
        <f t="shared" ca="1" si="0"/>
        <v>175.81486485923062</v>
      </c>
      <c r="R11" s="1">
        <f t="shared" ref="R11:R34" ca="1" si="8" xml:space="preserve"> TestData.SpeedX  +  (1 + RAND()*TestData.SpeedX) * R10</f>
        <v>1.3062880650617072</v>
      </c>
      <c r="S11" s="1">
        <f t="shared" ca="1" si="1"/>
        <v>195.46527452321737</v>
      </c>
      <c r="U11" s="1">
        <f t="shared" ref="U11:U34" ca="1" si="9" xml:space="preserve"> TestData.SpeedX  +  (1 + RAND()*TestData.SpeedX) * U10</f>
        <v>1.3406098319036535</v>
      </c>
      <c r="V11" s="1">
        <f t="shared" ca="1" si="2"/>
        <v>195.47111216208776</v>
      </c>
      <c r="X11" s="1">
        <f t="shared" ref="X11:X34" ca="1" si="10" xml:space="preserve"> TestData.SpeedX  +  (1 + RAND()*TestData.SpeedX) * X10</f>
        <v>1.2448483953248988</v>
      </c>
      <c r="Y11" s="1">
        <f t="shared" ca="1" si="3"/>
        <v>192.72364779082</v>
      </c>
      <c r="AA11" s="1">
        <f t="shared" ref="AA11:AA34" ca="1" si="11" xml:space="preserve"> TestData.SpeedX  +  (1 + RAND()*TestData.SpeedX) * AA10</f>
        <v>1.2367681285765786</v>
      </c>
      <c r="AB11" s="1">
        <f t="shared" ca="1" si="4"/>
        <v>140.3133900008246</v>
      </c>
      <c r="AD11" s="1">
        <f t="shared" ref="AD11:AD34" ca="1" si="12" xml:space="preserve"> TestData.SpeedX  +  (1 + RAND()*TestData.SpeedX) * AD10</f>
        <v>1.3063073027442786</v>
      </c>
      <c r="AE11" s="1">
        <f t="shared" ca="1" si="5"/>
        <v>197.31992131337532</v>
      </c>
      <c r="AG11" s="1">
        <f t="shared" ref="AG11:AG34" ca="1" si="13" xml:space="preserve"> TestData.SpeedX  +  (1 + RAND()*TestData.SpeedX) * AG10</f>
        <v>1.2429651969807987</v>
      </c>
      <c r="AH11" s="1">
        <f t="shared" ca="1" si="6"/>
        <v>176.67745563407163</v>
      </c>
      <c r="AJ11" s="1" cm="1">
        <f t="array" ref="AJ11" xml:space="preserve"> 1 + ROW() - _xlfn.SINGLE(ROW(TestData.RowNum))</f>
        <v>2</v>
      </c>
      <c r="AN11" s="4" t="str">
        <f ca="1" xml:space="preserve"> TestData.02Name</f>
        <v>BE</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38.224018814746941</v>
      </c>
      <c r="AR11" s="4" cm="1">
        <f t="array" aca="1" ref="AR11" ca="1" xml:space="preserve"> IF(_xlfn.SINGLE(TestData_Labels.Good), INDEX(TestData.02Y, _xlfn.MAXIFS(TestData.RowNum,    TestData.02Y,"&gt;="&amp;TestData.MinY,    TestData.02Y,"&lt;="&amp;TestData.MaxY,   TestData.02X,_xlfn.SINGLE(TestData_Labels.Left_X))), #N/A)</f>
        <v>192.80716942831322</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228.076403980219</v>
      </c>
    </row>
    <row r="12" spans="12:45" x14ac:dyDescent="0.2">
      <c r="L12" s="3" t="s">
        <v>28</v>
      </c>
      <c r="M12" s="1">
        <f ca="1" xml:space="preserve"> IF(TRUE, TestData.SeriesNameNumMin + MOD(INT(NOW()*24*60)*5 - 1, 1 + TestData.SeriesNameNumMax - TestData.SeriesNameNumMin), TestData.SeriesNameNumMin )</f>
        <v>17</v>
      </c>
      <c r="O12" s="1">
        <f t="shared" ca="1" si="7"/>
        <v>1.6624971585515393</v>
      </c>
      <c r="P12" s="1">
        <f t="shared" ca="1" si="0"/>
        <v>179.74416969790485</v>
      </c>
      <c r="R12" s="1">
        <f t="shared" ca="1" si="8"/>
        <v>1.6825711513020256</v>
      </c>
      <c r="S12" s="1">
        <f t="shared" ca="1" si="1"/>
        <v>201.26332336508901</v>
      </c>
      <c r="U12" s="1">
        <f t="shared" ca="1" si="9"/>
        <v>1.7166787795498448</v>
      </c>
      <c r="V12" s="1">
        <f t="shared" ca="1" si="2"/>
        <v>198.37473634403338</v>
      </c>
      <c r="X12" s="1">
        <f t="shared" ca="1" si="10"/>
        <v>1.4602244931568575</v>
      </c>
      <c r="Y12" s="1">
        <f t="shared" ca="1" si="3"/>
        <v>194.15453997574727</v>
      </c>
      <c r="AA12" s="1">
        <f t="shared" ca="1" si="11"/>
        <v>1.569939266935225</v>
      </c>
      <c r="AB12" s="1">
        <f t="shared" ca="1" si="4"/>
        <v>143.64795669427741</v>
      </c>
      <c r="AD12" s="1">
        <f t="shared" ca="1" si="12"/>
        <v>1.663731210011502</v>
      </c>
      <c r="AE12" s="1">
        <f t="shared" ca="1" si="5"/>
        <v>199.99981774036661</v>
      </c>
      <c r="AG12" s="1">
        <f t="shared" ca="1" si="13"/>
        <v>1.5731782726172656</v>
      </c>
      <c r="AH12" s="1">
        <f t="shared" ca="1" si="6"/>
        <v>179.28191333583226</v>
      </c>
      <c r="AJ12" s="1" cm="1">
        <f t="array" ref="AJ12" xml:space="preserve"> 1 + ROW() - _xlfn.SINGLE(ROW(TestData.RowNum))</f>
        <v>3</v>
      </c>
      <c r="AN12" s="4" t="str">
        <f ca="1" xml:space="preserve"> TestData.03Name</f>
        <v>AT</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34.656689015671738</v>
      </c>
      <c r="AR12" s="4" cm="1">
        <f t="array" aca="1" ref="AR12" ca="1" xml:space="preserve"> IF(_xlfn.SINGLE(TestData_Labels.Good), INDEX(TestData.03Y, _xlfn.MAXIFS(TestData.RowNum,    TestData.03Y,"&gt;="&amp;TestData.MinY,    TestData.03Y,"&lt;="&amp;TestData.MaxY,   TestData.03X,_xlfn.SINGLE(TestData_Labels.Left_X))), #N/A)</f>
        <v>191.55272035808787</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217.44875588798232</v>
      </c>
    </row>
    <row r="13" spans="12:45" x14ac:dyDescent="0.2">
      <c r="L13" s="3" t="s">
        <v>29</v>
      </c>
      <c r="M13" s="1">
        <v>24</v>
      </c>
      <c r="O13" s="1">
        <f t="shared" ca="1" si="7"/>
        <v>1.8837245056934204</v>
      </c>
      <c r="P13" s="1">
        <f t="shared" ca="1" si="0"/>
        <v>180.13540505399109</v>
      </c>
      <c r="R13" s="1">
        <f t="shared" ca="1" si="8"/>
        <v>1.9476155633194105</v>
      </c>
      <c r="S13" s="1">
        <f t="shared" ca="1" si="1"/>
        <v>203.36543259374216</v>
      </c>
      <c r="U13" s="1">
        <f t="shared" ca="1" si="9"/>
        <v>2.1715140324489814</v>
      </c>
      <c r="V13" s="1">
        <f t="shared" ca="1" si="2"/>
        <v>202.73881891107123</v>
      </c>
      <c r="X13" s="1">
        <f t="shared" ca="1" si="10"/>
        <v>1.6815030489105842</v>
      </c>
      <c r="Y13" s="1">
        <f t="shared" ca="1" si="3"/>
        <v>197.21123118060299</v>
      </c>
      <c r="AA13" s="1">
        <f t="shared" ca="1" si="11"/>
        <v>1.9069522121591462</v>
      </c>
      <c r="AB13" s="1">
        <f t="shared" ca="1" si="4"/>
        <v>145.46322707666928</v>
      </c>
      <c r="AD13" s="1">
        <f t="shared" ca="1" si="12"/>
        <v>1.8907078484113027</v>
      </c>
      <c r="AE13" s="1">
        <f t="shared" ca="1" si="5"/>
        <v>203.23445048084375</v>
      </c>
      <c r="AG13" s="1">
        <f t="shared" ca="1" si="13"/>
        <v>1.8767183505941052</v>
      </c>
      <c r="AH13" s="1">
        <f t="shared" ca="1" si="6"/>
        <v>182.39023233603177</v>
      </c>
      <c r="AJ13" s="1" cm="1">
        <f t="array" ref="AJ13" xml:space="preserve"> 1 + ROW() - _xlfn.SINGLE(ROW(TestData.RowNum))</f>
        <v>4</v>
      </c>
      <c r="AN13" s="4" t="str">
        <f ca="1" xml:space="preserve"> TestData.04Name</f>
        <v>FI</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32.559806418917738</v>
      </c>
      <c r="AR13" s="4" cm="1">
        <f t="array" aca="1" ref="AR13" ca="1" xml:space="preserve"> IF(_xlfn.SINGLE(TestData_Labels.Good), INDEX(TestData.04Y, _xlfn.MAXIFS(TestData.RowNum,    TestData.04Y,"&gt;="&amp;TestData.MinY,    TestData.04Y,"&lt;="&amp;TestData.MaxY,   TestData.04X,_xlfn.SINGLE(TestData_Labels.Left_X))), #N/A)</f>
        <v>188.45944797695219</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229.42674937875074</v>
      </c>
    </row>
    <row r="14" spans="12:45" x14ac:dyDescent="0.2">
      <c r="L14" s="3" t="s">
        <v>30</v>
      </c>
      <c r="M14" s="1">
        <v>6</v>
      </c>
      <c r="O14" s="1">
        <f t="shared" ca="1" si="7"/>
        <v>2.0618960674060247</v>
      </c>
      <c r="P14" s="1">
        <f t="shared" ca="1" si="0"/>
        <v>182.26473327699685</v>
      </c>
      <c r="R14" s="1">
        <f t="shared" ca="1" si="8"/>
        <v>2.3479689753730963</v>
      </c>
      <c r="S14" s="1">
        <f t="shared" ca="1" si="1"/>
        <v>206.73068167450282</v>
      </c>
      <c r="U14" s="1">
        <f t="shared" ca="1" si="9"/>
        <v>2.5220524292076107</v>
      </c>
      <c r="V14" s="1">
        <f t="shared" ca="1" si="2"/>
        <v>205.65706004065234</v>
      </c>
      <c r="X14" s="1">
        <f t="shared" ca="1" si="10"/>
        <v>1.9589301764919498</v>
      </c>
      <c r="Y14" s="1">
        <f t="shared" ca="1" si="3"/>
        <v>199.10288335008218</v>
      </c>
      <c r="AA14" s="1">
        <f t="shared" ca="1" si="11"/>
        <v>2.34786284655527</v>
      </c>
      <c r="AB14" s="1">
        <f t="shared" ca="1" si="4"/>
        <v>150.58704277382174</v>
      </c>
      <c r="AD14" s="1">
        <f t="shared" ca="1" si="12"/>
        <v>2.372437145587218</v>
      </c>
      <c r="AE14" s="1">
        <f t="shared" ca="1" si="5"/>
        <v>206.23579155830438</v>
      </c>
      <c r="AG14" s="1">
        <f t="shared" ca="1" si="13"/>
        <v>2.3379538579300423</v>
      </c>
      <c r="AH14" s="1">
        <f t="shared" ca="1" si="6"/>
        <v>185.6921588349694</v>
      </c>
      <c r="AJ14" s="1" cm="1">
        <f t="array" ref="AJ14" xml:space="preserve"> 1 + ROW() - _xlfn.SINGLE(ROW(TestData.RowNum))</f>
        <v>5</v>
      </c>
      <c r="AN14" s="4" t="str">
        <f ca="1" xml:space="preserve"> TestData.05Name</f>
        <v>GR</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42.398491961847988</v>
      </c>
      <c r="AR14" s="4" cm="1">
        <f t="array" aca="1" ref="AR14" ca="1" xml:space="preserve"> IF(_xlfn.SINGLE(TestData_Labels.Good), INDEX(TestData.05Y, _xlfn.MAXIFS(TestData.RowNum,    TestData.05Y,"&gt;="&amp;TestData.MinY,    TestData.05Y,"&lt;="&amp;TestData.MaxY,   TestData.05X,_xlfn.SINGLE(TestData_Labels.Left_X))), #N/A)</f>
        <v>134.72509935274914</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193.9816343669635</v>
      </c>
    </row>
    <row r="15" spans="12:45" x14ac:dyDescent="0.2">
      <c r="L15" s="3" t="s">
        <v>31</v>
      </c>
      <c r="M15" s="1">
        <v>0.17499999999999999</v>
      </c>
      <c r="O15" s="1">
        <f t="shared" ca="1" si="7"/>
        <v>2.3980486793669296</v>
      </c>
      <c r="P15" s="1">
        <f t="shared" ca="1" si="0"/>
        <v>187.29611919159288</v>
      </c>
      <c r="R15" s="1">
        <f t="shared" ca="1" si="8"/>
        <v>2.5411348005114824</v>
      </c>
      <c r="S15" s="1">
        <f t="shared" ca="1" si="1"/>
        <v>207.36735960921965</v>
      </c>
      <c r="U15" s="1">
        <f t="shared" ca="1" si="9"/>
        <v>2.7129170900628576</v>
      </c>
      <c r="V15" s="1">
        <f t="shared" ca="1" si="2"/>
        <v>208.55018941052802</v>
      </c>
      <c r="X15" s="1">
        <f t="shared" ca="1" si="10"/>
        <v>2.4316072537805167</v>
      </c>
      <c r="Y15" s="1">
        <f t="shared" ca="1" si="3"/>
        <v>204.68549415106483</v>
      </c>
      <c r="AA15" s="1">
        <f t="shared" ca="1" si="11"/>
        <v>2.7034782917343425</v>
      </c>
      <c r="AB15" s="1">
        <f t="shared" ca="1" si="4"/>
        <v>156.82062573390002</v>
      </c>
      <c r="AD15" s="1">
        <f t="shared" ca="1" si="12"/>
        <v>2.5957975145573871</v>
      </c>
      <c r="AE15" s="1">
        <f t="shared" ca="1" si="5"/>
        <v>207.88976192683629</v>
      </c>
      <c r="AG15" s="1">
        <f t="shared" ca="1" si="13"/>
        <v>2.535656458366752</v>
      </c>
      <c r="AH15" s="1">
        <f t="shared" ca="1" si="6"/>
        <v>187.96034482389507</v>
      </c>
      <c r="AJ15" s="1" cm="1">
        <f t="array" ref="AJ15" xml:space="preserve"> 1 + ROW() - _xlfn.SINGLE(ROW(TestData.RowNum))</f>
        <v>6</v>
      </c>
      <c r="AN15" s="4" t="str">
        <f ca="1" xml:space="preserve"> TestData.06Name</f>
        <v>PT</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37.440039725117607</v>
      </c>
      <c r="AR15" s="4" cm="1">
        <f t="array" aca="1" ref="AR15" ca="1" xml:space="preserve"> IF(_xlfn.SINGLE(TestData_Labels.Good), INDEX(TestData.06Y, _xlfn.MAXIFS(TestData.RowNum,    TestData.06Y,"&gt;="&amp;TestData.MinY,    TestData.06Y,"&lt;="&amp;TestData.MaxY,   TestData.06X,_xlfn.SINGLE(TestData_Labels.Left_X))), #N/A)</f>
        <v>193.45234155062175</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225.05007910098684</v>
      </c>
    </row>
    <row r="16" spans="12:45" x14ac:dyDescent="0.2">
      <c r="L16" s="3" t="s">
        <v>32</v>
      </c>
      <c r="M16" s="1">
        <v>200</v>
      </c>
      <c r="O16" s="1">
        <f t="shared" ca="1" si="7"/>
        <v>2.8592337229158362</v>
      </c>
      <c r="P16" s="1">
        <f t="shared" ca="1" si="0"/>
        <v>190.54165609759025</v>
      </c>
      <c r="R16" s="1">
        <f t="shared" ca="1" si="8"/>
        <v>3.1134760696446815</v>
      </c>
      <c r="S16" s="1">
        <f t="shared" ca="1" si="1"/>
        <v>212.07790364707014</v>
      </c>
      <c r="U16" s="1">
        <f t="shared" ca="1" si="9"/>
        <v>3.1442254146699127</v>
      </c>
      <c r="V16" s="1">
        <f t="shared" ca="1" si="2"/>
        <v>211.83983616717194</v>
      </c>
      <c r="X16" s="1">
        <f t="shared" ca="1" si="10"/>
        <v>2.8468440642833586</v>
      </c>
      <c r="Y16" s="1">
        <f t="shared" ca="1" si="3"/>
        <v>206.36101265444415</v>
      </c>
      <c r="AA16" s="1">
        <f t="shared" ca="1" si="11"/>
        <v>3.1263802955748403</v>
      </c>
      <c r="AB16" s="1">
        <f t="shared" ca="1" si="4"/>
        <v>161.54608913822565</v>
      </c>
      <c r="AD16" s="1">
        <f t="shared" ca="1" si="12"/>
        <v>3.052925489094136</v>
      </c>
      <c r="AE16" s="1">
        <f t="shared" ca="1" si="5"/>
        <v>210.12021026326366</v>
      </c>
      <c r="AG16" s="1">
        <f t="shared" ca="1" si="13"/>
        <v>2.9263872868669925</v>
      </c>
      <c r="AH16" s="1">
        <f t="shared" ca="1" si="6"/>
        <v>190.21450403083557</v>
      </c>
      <c r="AJ16" s="1" cm="1">
        <f t="array" ref="AJ16" xml:space="preserve"> 1 + ROW() - _xlfn.SINGLE(ROW(TestData.RowNum))</f>
        <v>7</v>
      </c>
      <c r="AN16" s="4" t="str">
        <f ca="1" xml:space="preserve"> TestData.07Name</f>
        <v>IE</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42.756431258117878</v>
      </c>
      <c r="AR16" s="4" cm="1">
        <f t="array" aca="1" ref="AR16" ca="1" xml:space="preserve"> IF(_xlfn.SINGLE(TestData_Labels.Good), INDEX(TestData.07Y, _xlfn.MAXIFS(TestData.RowNum,    TestData.07Y,"&gt;="&amp;TestData.MinY,    TestData.07Y,"&lt;="&amp;TestData.MaxY,   TestData.07X,_xlfn.SINGLE(TestData_Labels.Left_X))), #N/A)</f>
        <v>173.95730071488282</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200.12825924542923</v>
      </c>
    </row>
    <row r="17" spans="12:36" x14ac:dyDescent="0.2">
      <c r="L17" s="3" t="s">
        <v>33</v>
      </c>
      <c r="M17" s="1">
        <v>75</v>
      </c>
      <c r="O17" s="1">
        <f t="shared" ca="1" si="7"/>
        <v>3.4198046857659086</v>
      </c>
      <c r="P17" s="1">
        <f t="shared" ca="1" si="0"/>
        <v>193.48292821698342</v>
      </c>
      <c r="R17" s="1">
        <f t="shared" ca="1" si="8"/>
        <v>3.3865461005325233</v>
      </c>
      <c r="S17" s="1">
        <f t="shared" ca="1" si="1"/>
        <v>214.073610504474</v>
      </c>
      <c r="U17" s="1">
        <f t="shared" ca="1" si="9"/>
        <v>3.838224251714272</v>
      </c>
      <c r="V17" s="1">
        <f t="shared" ca="1" si="2"/>
        <v>213.78134181432611</v>
      </c>
      <c r="X17" s="1">
        <f t="shared" ca="1" si="10"/>
        <v>3.2875820638266444</v>
      </c>
      <c r="Y17" s="1">
        <f t="shared" ca="1" si="3"/>
        <v>209.13721109649816</v>
      </c>
      <c r="AA17" s="1">
        <f t="shared" ca="1" si="11"/>
        <v>3.6367466065507843</v>
      </c>
      <c r="AB17" s="1">
        <f t="shared" ca="1" si="4"/>
        <v>165.84239994293566</v>
      </c>
      <c r="AD17" s="1">
        <f t="shared" ca="1" si="12"/>
        <v>3.7118241584528846</v>
      </c>
      <c r="AE17" s="1">
        <f t="shared" ca="1" si="5"/>
        <v>213.54737433352511</v>
      </c>
      <c r="AG17" s="1">
        <f t="shared" ca="1" si="13"/>
        <v>3.5544211375604666</v>
      </c>
      <c r="AH17" s="1">
        <f t="shared" ca="1" si="6"/>
        <v>198.73915978540208</v>
      </c>
      <c r="AJ17" s="1" cm="1">
        <f t="array" ref="AJ17" xml:space="preserve"> 1 + ROW() - _xlfn.SINGLE(ROW(TestData.RowNum))</f>
        <v>8</v>
      </c>
    </row>
    <row r="18" spans="12:36" x14ac:dyDescent="0.2">
      <c r="L18" s="3" t="s">
        <v>34</v>
      </c>
      <c r="M18" s="1">
        <v>-100</v>
      </c>
      <c r="O18" s="1">
        <f t="shared" ca="1" si="7"/>
        <v>3.689746522801268</v>
      </c>
      <c r="P18" s="1">
        <f t="shared" ca="1" si="0"/>
        <v>195.65933475074004</v>
      </c>
      <c r="R18" s="1">
        <f t="shared" ca="1" si="8"/>
        <v>3.9931862510064637</v>
      </c>
      <c r="S18" s="1">
        <f t="shared" ca="1" si="1"/>
        <v>218.59638125601589</v>
      </c>
      <c r="U18" s="1">
        <f t="shared" ca="1" si="9"/>
        <v>4.3198803687038332</v>
      </c>
      <c r="V18" s="1">
        <f t="shared" ca="1" si="2"/>
        <v>218.99753637982749</v>
      </c>
      <c r="X18" s="1">
        <f t="shared" ca="1" si="10"/>
        <v>3.8123137398714726</v>
      </c>
      <c r="Y18" s="1">
        <f t="shared" ca="1" si="3"/>
        <v>215.02172458101688</v>
      </c>
      <c r="AA18" s="1">
        <f t="shared" ca="1" si="11"/>
        <v>3.8236616334810498</v>
      </c>
      <c r="AB18" s="1">
        <f t="shared" ca="1" si="4"/>
        <v>166.72253836571576</v>
      </c>
      <c r="AD18" s="1">
        <f t="shared" ca="1" si="12"/>
        <v>4.1889007473064517</v>
      </c>
      <c r="AE18" s="1">
        <f t="shared" ca="1" si="5"/>
        <v>216.16110230605616</v>
      </c>
      <c r="AG18" s="1">
        <f t="shared" ca="1" si="13"/>
        <v>4.2134717154382244</v>
      </c>
      <c r="AH18" s="1">
        <f t="shared" ca="1" si="6"/>
        <v>199.25060129352272</v>
      </c>
      <c r="AJ18" s="1" cm="1">
        <f t="array" ref="AJ18" xml:space="preserve"> 1 + ROW() - _xlfn.SINGLE(ROW(TestData.RowNum))</f>
        <v>9</v>
      </c>
    </row>
    <row r="19" spans="12:36" x14ac:dyDescent="0.2">
      <c r="L19" s="3" t="s">
        <v>35</v>
      </c>
      <c r="M19" s="1">
        <v>25</v>
      </c>
      <c r="O19" s="1">
        <f t="shared" ca="1" si="7"/>
        <v>4.1621276733268839</v>
      </c>
      <c r="P19" s="1">
        <f t="shared" ca="1" si="0"/>
        <v>201.04839267673054</v>
      </c>
      <c r="R19" s="1">
        <f t="shared" ca="1" si="8"/>
        <v>4.2921409205508949</v>
      </c>
      <c r="S19" s="1">
        <f t="shared" ca="1" si="1"/>
        <v>219.88646856682374</v>
      </c>
      <c r="U19" s="1">
        <f t="shared" ca="1" si="9"/>
        <v>4.5977744882304084</v>
      </c>
      <c r="V19" s="1">
        <f t="shared" ca="1" si="2"/>
        <v>217.85763030273006</v>
      </c>
      <c r="X19" s="1">
        <f t="shared" ca="1" si="10"/>
        <v>4.1993196923447229</v>
      </c>
      <c r="Y19" s="1">
        <f t="shared" ca="1" si="3"/>
        <v>215.19882585125919</v>
      </c>
      <c r="AA19" s="1">
        <f t="shared" ca="1" si="11"/>
        <v>4.4205283440432535</v>
      </c>
      <c r="AB19" s="1">
        <f t="shared" ca="1" si="4"/>
        <v>169.29628525177233</v>
      </c>
      <c r="AD19" s="1">
        <f t="shared" ca="1" si="12"/>
        <v>4.9062743727706941</v>
      </c>
      <c r="AE19" s="1">
        <f t="shared" ca="1" si="5"/>
        <v>221.37913293601181</v>
      </c>
      <c r="AG19" s="1">
        <f t="shared" ca="1" si="13"/>
        <v>4.6190628356895633</v>
      </c>
      <c r="AH19" s="1">
        <f t="shared" ca="1" si="6"/>
        <v>204.28390636384597</v>
      </c>
      <c r="AJ19" s="1" cm="1">
        <f t="array" ref="AJ19" xml:space="preserve"> 1 + ROW() - _xlfn.SINGLE(ROW(TestData.RowNum))</f>
        <v>10</v>
      </c>
    </row>
    <row r="20" spans="12:36" x14ac:dyDescent="0.2">
      <c r="L20" s="3" t="s">
        <v>36</v>
      </c>
      <c r="M20" s="1">
        <v>25</v>
      </c>
      <c r="O20" s="1">
        <f t="shared" ca="1" si="7"/>
        <v>4.3990778083905058</v>
      </c>
      <c r="P20" s="1">
        <f t="shared" ca="1" si="0"/>
        <v>201.10885577601783</v>
      </c>
      <c r="R20" s="1">
        <f t="shared" ca="1" si="8"/>
        <v>5.1873408653108015</v>
      </c>
      <c r="S20" s="1">
        <f t="shared" ca="1" si="1"/>
        <v>224.29053732449961</v>
      </c>
      <c r="U20" s="1">
        <f t="shared" ca="1" si="9"/>
        <v>5.3804067761695071</v>
      </c>
      <c r="V20" s="1">
        <f t="shared" ca="1" si="2"/>
        <v>220.43250472226561</v>
      </c>
      <c r="X20" s="1">
        <f t="shared" ca="1" si="10"/>
        <v>4.7997521127868126</v>
      </c>
      <c r="Y20" s="1">
        <f t="shared" ca="1" si="3"/>
        <v>219.88855840149023</v>
      </c>
      <c r="AA20" s="1">
        <f t="shared" ca="1" si="11"/>
        <v>4.8635618030683272</v>
      </c>
      <c r="AB20" s="1">
        <f t="shared" ca="1" si="4"/>
        <v>175.74660327037751</v>
      </c>
      <c r="AD20" s="1">
        <f t="shared" ca="1" si="12"/>
        <v>5.4780805970123012</v>
      </c>
      <c r="AE20" s="1">
        <f t="shared" ca="1" si="5"/>
        <v>222.08827524002999</v>
      </c>
      <c r="AG20" s="1">
        <f t="shared" ca="1" si="13"/>
        <v>5.5875662414238612</v>
      </c>
      <c r="AH20" s="1">
        <f t="shared" ca="1" si="6"/>
        <v>209.71678186527762</v>
      </c>
      <c r="AJ20" s="1" cm="1">
        <f t="array" ref="AJ20" xml:space="preserve"> 1 + ROW() - _xlfn.SINGLE(ROW(TestData.RowNum))</f>
        <v>11</v>
      </c>
    </row>
    <row r="21" spans="12:36" x14ac:dyDescent="0.2">
      <c r="L21" s="3" t="s">
        <v>37</v>
      </c>
      <c r="M21" s="1">
        <v>15</v>
      </c>
      <c r="O21" s="1">
        <f t="shared" ca="1" si="7"/>
        <v>4.9482537339305992</v>
      </c>
      <c r="P21" s="1">
        <f t="shared" ca="1" si="0"/>
        <v>202.27808672204682</v>
      </c>
      <c r="R21" s="1">
        <f t="shared" ca="1" si="8"/>
        <v>6.0541972499353953</v>
      </c>
      <c r="S21" s="1">
        <f t="shared" ca="1" si="1"/>
        <v>227.45917839614424</v>
      </c>
      <c r="U21" s="1">
        <f t="shared" ca="1" si="9"/>
        <v>6.3448519105978605</v>
      </c>
      <c r="V21" s="1">
        <f t="shared" ca="1" si="2"/>
        <v>226.89708269033906</v>
      </c>
      <c r="X21" s="1">
        <f t="shared" ca="1" si="10"/>
        <v>5.6530383381686136</v>
      </c>
      <c r="Y21" s="1">
        <f t="shared" ca="1" si="3"/>
        <v>224.17583893463521</v>
      </c>
      <c r="AA21" s="1">
        <f t="shared" ca="1" si="11"/>
        <v>5.1306809625291994</v>
      </c>
      <c r="AB21" s="1">
        <f t="shared" ca="1" si="4"/>
        <v>174.32370414917008</v>
      </c>
      <c r="AD21" s="1">
        <f t="shared" ca="1" si="12"/>
        <v>5.7536370877084595</v>
      </c>
      <c r="AE21" s="1">
        <f t="shared" ca="1" si="5"/>
        <v>224.90581078064776</v>
      </c>
      <c r="AG21" s="1">
        <f t="shared" ca="1" si="13"/>
        <v>6.6620635229668057</v>
      </c>
      <c r="AH21" s="1">
        <f t="shared" ca="1" si="6"/>
        <v>214.58664327658221</v>
      </c>
      <c r="AJ21" s="1" cm="1">
        <f t="array" ref="AJ21" xml:space="preserve"> 1 + ROW() - _xlfn.SINGLE(ROW(TestData.RowNum))</f>
        <v>12</v>
      </c>
    </row>
    <row r="22" spans="12:36" x14ac:dyDescent="0.2">
      <c r="L22" s="3" t="s">
        <v>38</v>
      </c>
      <c r="M22" s="1">
        <v>2</v>
      </c>
      <c r="O22" s="1">
        <f t="shared" ca="1" si="7"/>
        <v>5.4112987253332721</v>
      </c>
      <c r="P22" s="1">
        <f t="shared" ca="1" si="0"/>
        <v>204.20259047661054</v>
      </c>
      <c r="R22" s="1">
        <f t="shared" ca="1" si="8"/>
        <v>6.2532709345679516</v>
      </c>
      <c r="S22" s="1">
        <f t="shared" ca="1" si="1"/>
        <v>226.50316041971945</v>
      </c>
      <c r="U22" s="1">
        <f t="shared" ca="1" si="9"/>
        <v>7.1335925102697946</v>
      </c>
      <c r="V22" s="1">
        <f t="shared" ca="1" si="2"/>
        <v>225.64149205417743</v>
      </c>
      <c r="X22" s="1">
        <f t="shared" ca="1" si="10"/>
        <v>6.7610836442293856</v>
      </c>
      <c r="Y22" s="1">
        <f t="shared" ca="1" si="3"/>
        <v>227.04171600102271</v>
      </c>
      <c r="AA22" s="1">
        <f t="shared" ca="1" si="11"/>
        <v>5.9234270697474356</v>
      </c>
      <c r="AB22" s="1">
        <f t="shared" ca="1" si="4"/>
        <v>180.95592885331286</v>
      </c>
      <c r="AD22" s="1">
        <f t="shared" ca="1" si="12"/>
        <v>6.7546670287178472</v>
      </c>
      <c r="AE22" s="1">
        <f t="shared" ca="1" si="5"/>
        <v>227.44924776863118</v>
      </c>
      <c r="AG22" s="1">
        <f t="shared" ca="1" si="13"/>
        <v>7.1226208412778806</v>
      </c>
      <c r="AH22" s="1">
        <f t="shared" ca="1" si="6"/>
        <v>212.23057985528877</v>
      </c>
      <c r="AJ22" s="1" cm="1">
        <f t="array" ref="AJ22" xml:space="preserve"> 1 + ROW() - _xlfn.SINGLE(ROW(TestData.RowNum))</f>
        <v>13</v>
      </c>
    </row>
    <row r="23" spans="12:36" x14ac:dyDescent="0.2">
      <c r="M23" s="5" t="s">
        <v>550</v>
      </c>
      <c r="O23" s="1">
        <f t="shared" ca="1" si="7"/>
        <v>6.199193661270515</v>
      </c>
      <c r="P23" s="1">
        <f t="shared" ca="1" si="0"/>
        <v>208.35612964665927</v>
      </c>
      <c r="R23" s="1">
        <f t="shared" ca="1" si="8"/>
        <v>7.4545514895033183</v>
      </c>
      <c r="S23" s="1">
        <f t="shared" ca="1" si="1"/>
        <v>232.1905075689636</v>
      </c>
      <c r="U23" s="1">
        <f t="shared" ca="1" si="9"/>
        <v>7.7084053230838787</v>
      </c>
      <c r="V23" s="1">
        <f t="shared" ca="1" si="2"/>
        <v>228.79593289975804</v>
      </c>
      <c r="X23" s="1">
        <f t="shared" ca="1" si="10"/>
        <v>6.9763103473997745</v>
      </c>
      <c r="Y23" s="1">
        <f t="shared" ca="1" si="3"/>
        <v>227.19264491324387</v>
      </c>
      <c r="AA23" s="1">
        <f t="shared" ca="1" si="11"/>
        <v>6.7932376462026003</v>
      </c>
      <c r="AB23" s="1">
        <f t="shared" ca="1" si="4"/>
        <v>184.73315872621527</v>
      </c>
      <c r="AD23" s="1">
        <f t="shared" ca="1" si="12"/>
        <v>7.8332539396392891</v>
      </c>
      <c r="AE23" s="1">
        <f t="shared" ca="1" si="5"/>
        <v>231.211163514644</v>
      </c>
      <c r="AG23" s="1">
        <f t="shared" ca="1" si="13"/>
        <v>7.6013468180096719</v>
      </c>
      <c r="AH23" s="1">
        <f t="shared" ca="1" si="6"/>
        <v>214.83651603001323</v>
      </c>
      <c r="AJ23" s="1" cm="1">
        <f t="array" ref="AJ23" xml:space="preserve"> 1 + ROW() - _xlfn.SINGLE(ROW(TestData.RowNum))</f>
        <v>14</v>
      </c>
    </row>
    <row r="24" spans="12:36" x14ac:dyDescent="0.2">
      <c r="O24" s="1">
        <f t="shared" ca="1" si="7"/>
        <v>6.6095124828780065</v>
      </c>
      <c r="P24" s="1">
        <f t="shared" ca="1" si="0"/>
        <v>212.70646751556015</v>
      </c>
      <c r="R24" s="1">
        <f t="shared" ca="1" si="8"/>
        <v>8.3852561654183848</v>
      </c>
      <c r="S24" s="1">
        <f t="shared" ca="1" si="1"/>
        <v>231.3005695497537</v>
      </c>
      <c r="U24" s="1">
        <f t="shared" ca="1" si="9"/>
        <v>8.3313622768995277</v>
      </c>
      <c r="V24" s="1">
        <f t="shared" ca="1" si="2"/>
        <v>228.36841457911567</v>
      </c>
      <c r="X24" s="1">
        <f t="shared" ca="1" si="10"/>
        <v>7.3329529330466299</v>
      </c>
      <c r="Y24" s="1">
        <f t="shared" ca="1" si="3"/>
        <v>228.9575120599452</v>
      </c>
      <c r="AA24" s="1">
        <f t="shared" ca="1" si="11"/>
        <v>7.8192036986070077</v>
      </c>
      <c r="AB24" s="1">
        <f t="shared" ca="1" si="4"/>
        <v>187.26190272245574</v>
      </c>
      <c r="AD24" s="1">
        <f t="shared" ca="1" si="12"/>
        <v>8.6854542504558321</v>
      </c>
      <c r="AE24" s="1">
        <f t="shared" ca="1" si="5"/>
        <v>231.14806252933039</v>
      </c>
      <c r="AG24" s="1">
        <f t="shared" ca="1" si="13"/>
        <v>8.5891974875809076</v>
      </c>
      <c r="AH24" s="1">
        <f t="shared" ca="1" si="6"/>
        <v>216.40495123786033</v>
      </c>
      <c r="AJ24" s="1" cm="1">
        <f t="array" ref="AJ24" xml:space="preserve"> 1 + ROW() - _xlfn.SINGLE(ROW(TestData.RowNum))</f>
        <v>15</v>
      </c>
    </row>
    <row r="25" spans="12:36" x14ac:dyDescent="0.2">
      <c r="O25" s="1">
        <f t="shared" ca="1" si="7"/>
        <v>7.1857037521258809</v>
      </c>
      <c r="P25" s="1">
        <f t="shared" ca="1" si="0"/>
        <v>212.64827709137825</v>
      </c>
      <c r="R25" s="1">
        <f t="shared" ca="1" si="8"/>
        <v>9.7750226590982781</v>
      </c>
      <c r="S25" s="1">
        <f t="shared" ca="1" si="1"/>
        <v>235.55050750127884</v>
      </c>
      <c r="U25" s="1">
        <f t="shared" ca="1" si="9"/>
        <v>9.8023406139465976</v>
      </c>
      <c r="V25" s="1">
        <f t="shared" ca="1" si="2"/>
        <v>232.77069892600849</v>
      </c>
      <c r="X25" s="1">
        <f t="shared" ca="1" si="10"/>
        <v>8.4331032552684615</v>
      </c>
      <c r="Y25" s="1">
        <f t="shared" ca="1" si="3"/>
        <v>233.10620920654526</v>
      </c>
      <c r="AA25" s="1">
        <f t="shared" ca="1" si="11"/>
        <v>8.8622937272442073</v>
      </c>
      <c r="AB25" s="1">
        <f t="shared" ca="1" si="4"/>
        <v>193.63291242774821</v>
      </c>
      <c r="AD25" s="1">
        <f t="shared" ca="1" si="12"/>
        <v>10.356498695254245</v>
      </c>
      <c r="AE25" s="1">
        <f t="shared" ca="1" si="5"/>
        <v>236.27757742259067</v>
      </c>
      <c r="AG25" s="1">
        <f t="shared" ca="1" si="13"/>
        <v>9.444207312419076</v>
      </c>
      <c r="AH25" s="1">
        <f t="shared" ca="1" si="6"/>
        <v>218.74925161526113</v>
      </c>
      <c r="AJ25" s="1" cm="1">
        <f t="array" ref="AJ25" xml:space="preserve"> 1 + ROW() - _xlfn.SINGLE(ROW(TestData.RowNum))</f>
        <v>16</v>
      </c>
    </row>
    <row r="26" spans="12:36" x14ac:dyDescent="0.2">
      <c r="M26" s="5" t="s">
        <v>551</v>
      </c>
      <c r="O26" s="1">
        <f t="shared" ca="1" si="7"/>
        <v>8.5427530712152215</v>
      </c>
      <c r="P26" s="1">
        <f t="shared" ca="1" si="0"/>
        <v>216.31893506956948</v>
      </c>
      <c r="R26" s="1">
        <f t="shared" ca="1" si="8"/>
        <v>9.9556311361977503</v>
      </c>
      <c r="S26" s="1">
        <f t="shared" ca="1" si="1"/>
        <v>234.52275152927436</v>
      </c>
      <c r="U26" s="1">
        <f t="shared" ca="1" si="9"/>
        <v>10.714382180263936</v>
      </c>
      <c r="V26" s="1">
        <f t="shared" ca="1" si="2"/>
        <v>231.72409342546348</v>
      </c>
      <c r="X26" s="1">
        <f t="shared" ca="1" si="10"/>
        <v>9.6804222614184976</v>
      </c>
      <c r="Y26" s="1">
        <f t="shared" ca="1" si="3"/>
        <v>233.98418795764093</v>
      </c>
      <c r="AA26" s="1">
        <f t="shared" ca="1" si="11"/>
        <v>9.3209526033336392</v>
      </c>
      <c r="AB26" s="1">
        <f t="shared" ca="1" si="4"/>
        <v>195.07579379687067</v>
      </c>
      <c r="AD26" s="1">
        <f t="shared" ca="1" si="12"/>
        <v>10.958479895364881</v>
      </c>
      <c r="AE26" s="1">
        <f t="shared" ca="1" si="5"/>
        <v>234.27527458594466</v>
      </c>
      <c r="AG26" s="1">
        <f t="shared" ca="1" si="13"/>
        <v>9.9491507799809344</v>
      </c>
      <c r="AH26" s="1">
        <f t="shared" ca="1" si="6"/>
        <v>220.59471398489569</v>
      </c>
      <c r="AJ26" s="1" cm="1">
        <f t="array" ref="AJ26" xml:space="preserve"> 1 + ROW() - _xlfn.SINGLE(ROW(TestData.RowNum))</f>
        <v>17</v>
      </c>
    </row>
    <row r="27" spans="12:36" x14ac:dyDescent="0.2">
      <c r="O27" s="1">
        <f t="shared" ca="1" si="7"/>
        <v>9.9280738738776524</v>
      </c>
      <c r="P27" s="1">
        <f t="shared" ca="1" si="0"/>
        <v>218.93849935331653</v>
      </c>
      <c r="R27" s="1">
        <f t="shared" ca="1" si="8"/>
        <v>10.718315093063643</v>
      </c>
      <c r="S27" s="1">
        <f t="shared" ca="1" si="1"/>
        <v>235.63674989521181</v>
      </c>
      <c r="U27" s="1">
        <f t="shared" ca="1" si="9"/>
        <v>11.359614824384431</v>
      </c>
      <c r="V27" s="1">
        <f t="shared" ca="1" si="2"/>
        <v>232.02272233547413</v>
      </c>
      <c r="X27" s="1">
        <f t="shared" ca="1" si="10"/>
        <v>10.070799609569967</v>
      </c>
      <c r="Y27" s="1">
        <f t="shared" ca="1" si="3"/>
        <v>235.309110545377</v>
      </c>
      <c r="AA27" s="1">
        <f t="shared" ca="1" si="11"/>
        <v>11.111559664972059</v>
      </c>
      <c r="AB27" s="1">
        <f t="shared" ca="1" si="4"/>
        <v>198.84342419442183</v>
      </c>
      <c r="AD27" s="1">
        <f t="shared" ca="1" si="12"/>
        <v>11.378539213027436</v>
      </c>
      <c r="AE27" s="1">
        <f t="shared" ca="1" si="5"/>
        <v>236.17987206044873</v>
      </c>
      <c r="AG27" s="1">
        <f t="shared" ca="1" si="13"/>
        <v>10.234947541143979</v>
      </c>
      <c r="AH27" s="1">
        <f t="shared" ca="1" si="6"/>
        <v>222.13684657425802</v>
      </c>
      <c r="AJ27" s="1" cm="1">
        <f t="array" ref="AJ27" xml:space="preserve"> 1 + ROW() - _xlfn.SINGLE(ROW(TestData.RowNum))</f>
        <v>18</v>
      </c>
    </row>
    <row r="28" spans="12:36" x14ac:dyDescent="0.2">
      <c r="M28" s="5" t="s">
        <v>39</v>
      </c>
      <c r="O28" s="1">
        <f t="shared" ca="1" si="7"/>
        <v>11.763574159197232</v>
      </c>
      <c r="P28" s="1">
        <f t="shared" ca="1" si="0"/>
        <v>219.71315050856427</v>
      </c>
      <c r="R28" s="1">
        <f t="shared" ca="1" si="8"/>
        <v>12.556342661581374</v>
      </c>
      <c r="S28" s="1">
        <f t="shared" ca="1" si="1"/>
        <v>237.73742133371454</v>
      </c>
      <c r="U28" s="1">
        <f t="shared" ca="1" si="9"/>
        <v>12.018014882214841</v>
      </c>
      <c r="V28" s="1">
        <f t="shared" ca="1" si="2"/>
        <v>232.37034397927221</v>
      </c>
      <c r="X28" s="1">
        <f t="shared" ca="1" si="10"/>
        <v>10.379219984781567</v>
      </c>
      <c r="Y28" s="1">
        <f t="shared" ca="1" si="3"/>
        <v>236.76399646867509</v>
      </c>
      <c r="AA28" s="1">
        <f t="shared" ca="1" si="11"/>
        <v>12.281132547307765</v>
      </c>
      <c r="AB28" s="1">
        <f t="shared" ca="1" si="4"/>
        <v>200.37644276115276</v>
      </c>
      <c r="AD28" s="1">
        <f t="shared" ca="1" si="12"/>
        <v>12.400814819948872</v>
      </c>
      <c r="AE28" s="1">
        <f t="shared" ca="1" si="5"/>
        <v>236.61256412606505</v>
      </c>
      <c r="AG28" s="1">
        <f t="shared" ca="1" si="13"/>
        <v>10.919116033557472</v>
      </c>
      <c r="AH28" s="1">
        <f t="shared" ca="1" si="6"/>
        <v>221.03522310957334</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12.542583429401896</v>
      </c>
      <c r="P29" s="1">
        <f t="shared" ca="1" si="0"/>
        <v>219.32636245926929</v>
      </c>
      <c r="R29" s="1">
        <f t="shared" ca="1" si="8"/>
        <v>12.981550298436261</v>
      </c>
      <c r="S29" s="1">
        <f t="shared" ca="1" si="1"/>
        <v>238.53935478429582</v>
      </c>
      <c r="U29" s="1">
        <f t="shared" ca="1" si="9"/>
        <v>12.423060625486372</v>
      </c>
      <c r="V29" s="1">
        <f t="shared" ca="1" si="2"/>
        <v>230.95793895737165</v>
      </c>
      <c r="X29" s="1">
        <f t="shared" ca="1" si="10"/>
        <v>12.292940486501857</v>
      </c>
      <c r="Y29" s="1">
        <f t="shared" ca="1" si="3"/>
        <v>238.7592851105058</v>
      </c>
      <c r="AA29" s="1">
        <f t="shared" ca="1" si="11"/>
        <v>13.580674740575343</v>
      </c>
      <c r="AB29" s="1">
        <f t="shared" ca="1" si="4"/>
        <v>201.051524738002</v>
      </c>
      <c r="AD29" s="1">
        <f t="shared" ca="1" si="12"/>
        <v>13.88733833049495</v>
      </c>
      <c r="AE29" s="1">
        <f t="shared" ca="1" si="5"/>
        <v>238.37139065692401</v>
      </c>
      <c r="AG29" s="1">
        <f t="shared" ca="1" si="13"/>
        <v>12.783794637367548</v>
      </c>
      <c r="AH29" s="1">
        <f t="shared" ca="1" si="6"/>
        <v>222.03163883984195</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42.756431258117878</v>
      </c>
      <c r="O30" s="1">
        <f t="shared" ca="1" si="7"/>
        <v>12.772947986047956</v>
      </c>
      <c r="P30" s="1">
        <f t="shared" ca="1" si="0"/>
        <v>218.89656946446544</v>
      </c>
      <c r="R30" s="1">
        <f t="shared" ca="1" si="8"/>
        <v>14.910321493190954</v>
      </c>
      <c r="S30" s="1">
        <f t="shared" ca="1" si="1"/>
        <v>236.95398363308416</v>
      </c>
      <c r="U30" s="1">
        <f t="shared" ca="1" si="9"/>
        <v>14.302909577816841</v>
      </c>
      <c r="V30" s="1">
        <f t="shared" ca="1" si="2"/>
        <v>233.15473814219371</v>
      </c>
      <c r="X30" s="1">
        <f t="shared" ca="1" si="10"/>
        <v>12.870908513365565</v>
      </c>
      <c r="Y30" s="1">
        <f t="shared" ca="1" si="3"/>
        <v>239.46122006681276</v>
      </c>
      <c r="AA30" s="1">
        <f t="shared" ca="1" si="11"/>
        <v>14.79907887453772</v>
      </c>
      <c r="AB30" s="1">
        <f t="shared" ca="1" si="4"/>
        <v>199.88250991857961</v>
      </c>
      <c r="AD30" s="1">
        <f t="shared" ca="1" si="12"/>
        <v>16.265158028360393</v>
      </c>
      <c r="AE30" s="1">
        <f t="shared" ca="1" si="5"/>
        <v>237.77416685516326</v>
      </c>
      <c r="AG30" s="1">
        <f t="shared" ca="1" si="13"/>
        <v>14.45864033059329</v>
      </c>
      <c r="AH30" s="1">
        <f t="shared" ca="1" si="6"/>
        <v>220.72245083795698</v>
      </c>
      <c r="AJ30" s="1" cm="1">
        <f t="array" ref="AJ30" xml:space="preserve"> 1 + ROW() - _xlfn.SINGLE(ROW(TestData.RowNum))</f>
        <v>21</v>
      </c>
    </row>
    <row r="31" spans="12:36" x14ac:dyDescent="0.2">
      <c r="L31" s="3" t="s">
        <v>42</v>
      </c>
      <c r="M31" s="1">
        <f ca="1" xml:space="preserve"> IF(TestData.RawMaxX &gt; 40, 10, 5)</f>
        <v>10</v>
      </c>
      <c r="O31" s="1">
        <f t="shared" ca="1" si="7"/>
        <v>14.708132986319058</v>
      </c>
      <c r="P31" s="1">
        <f t="shared" ca="1" si="0"/>
        <v>220.21896098152024</v>
      </c>
      <c r="R31" s="1">
        <f t="shared" ca="1" si="8"/>
        <v>16.928394254735672</v>
      </c>
      <c r="S31" s="1">
        <f t="shared" ca="1" si="1"/>
        <v>238.24570721308447</v>
      </c>
      <c r="U31" s="1">
        <f t="shared" ca="1" si="9"/>
        <v>16.132337593416615</v>
      </c>
      <c r="V31" s="1">
        <f t="shared" ca="1" si="2"/>
        <v>230.34604685474173</v>
      </c>
      <c r="X31" s="1">
        <f t="shared" ca="1" si="10"/>
        <v>13.075063843084575</v>
      </c>
      <c r="Y31" s="1">
        <f t="shared" ca="1" si="3"/>
        <v>237.5543428129422</v>
      </c>
      <c r="AA31" s="1">
        <f t="shared" ca="1" si="11"/>
        <v>16.821802396459958</v>
      </c>
      <c r="AB31" s="1">
        <f t="shared" ca="1" si="4"/>
        <v>201.95597750699338</v>
      </c>
      <c r="AD31" s="1">
        <f t="shared" ca="1" si="12"/>
        <v>17.381015558599014</v>
      </c>
      <c r="AE31" s="1">
        <f t="shared" ca="1" si="5"/>
        <v>236.80796922136264</v>
      </c>
      <c r="AG31" s="1">
        <f t="shared" ca="1" si="13"/>
        <v>15.622909149090106</v>
      </c>
      <c r="AH31" s="1">
        <f t="shared" ca="1" si="6"/>
        <v>220.15521864888041</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16.828661674325101</v>
      </c>
      <c r="P32" s="1">
        <f t="shared" ca="1" si="0"/>
        <v>220.03361002049161</v>
      </c>
      <c r="R32" s="1">
        <f t="shared" ca="1" si="8"/>
        <v>19.694460870350447</v>
      </c>
      <c r="S32" s="1">
        <f t="shared" ca="1" si="1"/>
        <v>236.33348895685873</v>
      </c>
      <c r="U32" s="1">
        <f t="shared" ca="1" si="9"/>
        <v>16.906782526267325</v>
      </c>
      <c r="V32" s="1">
        <f t="shared" ca="1" si="2"/>
        <v>230.32048518354799</v>
      </c>
      <c r="X32" s="1">
        <f t="shared" ca="1" si="10"/>
        <v>15.005494715886838</v>
      </c>
      <c r="Y32" s="1">
        <f t="shared" ca="1" si="3"/>
        <v>238.36576253754538</v>
      </c>
      <c r="AA32" s="1">
        <f t="shared" ca="1" si="11"/>
        <v>18.764172614839111</v>
      </c>
      <c r="AB32" s="1">
        <f t="shared" ca="1" si="4"/>
        <v>200.1614710444413</v>
      </c>
      <c r="AD32" s="1">
        <f t="shared" ca="1" si="12"/>
        <v>18.439346020509177</v>
      </c>
      <c r="AE32" s="1">
        <f t="shared" ca="1" si="5"/>
        <v>238.12561557530387</v>
      </c>
      <c r="AG32" s="1">
        <f t="shared" ca="1" si="13"/>
        <v>16.875190988365844</v>
      </c>
      <c r="AH32" s="1">
        <f t="shared" ca="1" si="6"/>
        <v>221.20354540406439</v>
      </c>
      <c r="AJ32" s="1" cm="1">
        <f t="array" ref="AJ32" xml:space="preserve"> 1 + ROW() - _xlfn.SINGLE(ROW(TestData.RowNum))</f>
        <v>23</v>
      </c>
    </row>
    <row r="33" spans="12:36" x14ac:dyDescent="0.2">
      <c r="L33" s="3" t="s">
        <v>44</v>
      </c>
      <c r="M33" s="1">
        <f ca="1" xml:space="preserve"> FLOOR(TestData.RawMinX, TestData.MajorX)</f>
        <v>0</v>
      </c>
      <c r="O33" s="1">
        <f t="shared" ca="1" si="7"/>
        <v>17.817131231112999</v>
      </c>
      <c r="P33" s="1">
        <f t="shared" ca="1" si="0"/>
        <v>217.37587247668276</v>
      </c>
      <c r="R33" s="1">
        <f t="shared" ca="1" si="8"/>
        <v>21.363437865162638</v>
      </c>
      <c r="S33" s="1">
        <f t="shared" ca="1" si="1"/>
        <v>237.76437056528715</v>
      </c>
      <c r="U33" s="1">
        <f t="shared" ca="1" si="9"/>
        <v>18.386350697528353</v>
      </c>
      <c r="V33" s="1">
        <f t="shared" ca="1" si="2"/>
        <v>227.73723268313739</v>
      </c>
      <c r="X33" s="1">
        <f t="shared" ca="1" si="10"/>
        <v>17.513576662639796</v>
      </c>
      <c r="Y33" s="1">
        <f t="shared" ca="1" si="3"/>
        <v>236.76286821547706</v>
      </c>
      <c r="AA33" s="1">
        <f t="shared" ca="1" si="11"/>
        <v>20.411945564746429</v>
      </c>
      <c r="AB33" s="1">
        <f t="shared" ca="1" si="4"/>
        <v>201.65207189211512</v>
      </c>
      <c r="AD33" s="1">
        <f t="shared" ca="1" si="12"/>
        <v>20.372147829022516</v>
      </c>
      <c r="AE33" s="1">
        <f t="shared" ca="1" si="5"/>
        <v>234.50670028019195</v>
      </c>
      <c r="AG33" s="1">
        <f t="shared" ca="1" si="13"/>
        <v>19.612783299328637</v>
      </c>
      <c r="AH33" s="1">
        <f t="shared" ca="1" si="6"/>
        <v>219.99043899086428</v>
      </c>
      <c r="AJ33" s="1" cm="1">
        <f t="array" ref="AJ33" xml:space="preserve"> 1 + ROW() - _xlfn.SINGLE(ROW(TestData.RowNum))</f>
        <v>24</v>
      </c>
    </row>
    <row r="34" spans="12:36" x14ac:dyDescent="0.2">
      <c r="L34" s="3" t="s">
        <v>45</v>
      </c>
      <c r="M34" s="1">
        <f ca="1" xml:space="preserve"> MIN(CEILING(TestData.RawMaxX, TestData.MinorX), 50)</f>
        <v>44</v>
      </c>
      <c r="O34" s="1">
        <f t="shared" ca="1" si="7"/>
        <v>19.883812577582784</v>
      </c>
      <c r="P34" s="1">
        <f t="shared" ca="1" si="0"/>
        <v>216.02309193311186</v>
      </c>
      <c r="R34" s="1">
        <f t="shared" ca="1" si="8"/>
        <v>21.960924060999808</v>
      </c>
      <c r="S34" s="1">
        <f t="shared" ca="1" si="1"/>
        <v>233.97419570492519</v>
      </c>
      <c r="U34" s="1">
        <f t="shared" ca="1" si="9"/>
        <v>18.870810251043753</v>
      </c>
      <c r="V34" s="1">
        <f t="shared" ca="1" si="2"/>
        <v>229.98684587135241</v>
      </c>
      <c r="X34" s="1">
        <f t="shared" ca="1" si="10"/>
        <v>20.67161999674428</v>
      </c>
      <c r="Y34" s="1">
        <f t="shared" ca="1" si="3"/>
        <v>236.91553168137557</v>
      </c>
      <c r="AA34" s="1">
        <f t="shared" ca="1" si="11"/>
        <v>21.17210196029593</v>
      </c>
      <c r="AB34" s="1">
        <f t="shared" ca="1" si="4"/>
        <v>199.25375186589011</v>
      </c>
      <c r="AD34" s="1">
        <f t="shared" ca="1" si="12"/>
        <v>21.138618795918525</v>
      </c>
      <c r="AE34" s="1">
        <f t="shared" ca="1" si="5"/>
        <v>236.03296979112588</v>
      </c>
      <c r="AG34" s="1">
        <f t="shared" ca="1" si="13"/>
        <v>20.19487354567973</v>
      </c>
      <c r="AH34" s="1">
        <f t="shared" ca="1" si="6"/>
        <v>219.40482980624532</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44982.897199074076</v>
      </c>
      <c r="N35" s="6" t="str">
        <f xml:space="preserve"> _xlfn.UNICHAR(10232) &amp; " "</f>
        <v xml:space="preserve">⟸ </v>
      </c>
      <c r="O35" s="1">
        <f t="shared" ref="O35:O40" ca="1" si="14" xml:space="preserve"> TestData.SpeedX  +  (1 + RAND()*TestData.SpeedX) * O34</f>
        <v>23.515908351121212</v>
      </c>
      <c r="P35" s="1">
        <f t="shared" ref="P35:P40" ca="1" si="15" xml:space="preserve"> P$2 + P$3*EXP(- O35 / TestData.Z_1) + P$4*EXP(- O35 / TestData.Z_2)  + TestData.VerticalRandomisation*(2*RAND() - 1)</f>
        <v>212.45934502075443</v>
      </c>
      <c r="R35" s="1">
        <f t="shared" ref="R35:R40" ca="1" si="16" xml:space="preserve"> TestData.SpeedX  +  (1 + RAND()*TestData.SpeedX) * R34</f>
        <v>25.085066192798021</v>
      </c>
      <c r="S35" s="1">
        <f t="shared" ref="S35:S40" ca="1" si="17" xml:space="preserve"> S$2 + S$3*EXP(- R35 / TestData.Z_1) + S$4*EXP(- R35 / TestData.Z_2)  + TestData.VerticalRandomisation*(2*RAND() - 1)</f>
        <v>232.04769226834844</v>
      </c>
      <c r="U35" s="1">
        <f t="shared" ref="U35:U40" ca="1" si="18" xml:space="preserve"> TestData.SpeedX  +  (1 + RAND()*TestData.SpeedX) * U34</f>
        <v>20.034489145768195</v>
      </c>
      <c r="V35" s="1">
        <f t="shared" ref="V35:V40" ca="1" si="19" xml:space="preserve"> V$2 + V$3*EXP(- U35 / TestData.Z_1) + V$4*EXP(- U35 / TestData.Z_2)  + TestData.VerticalRandomisation*(2*RAND() - 1)</f>
        <v>226.49659937564078</v>
      </c>
      <c r="X35" s="1">
        <f t="shared" ref="X35:X40" ca="1" si="20" xml:space="preserve"> TestData.SpeedX  +  (1 + RAND()*TestData.SpeedX) * X34</f>
        <v>21.957312603846308</v>
      </c>
      <c r="Y35" s="1">
        <f t="shared" ref="Y35:Y40" ca="1" si="21" xml:space="preserve"> Y$2 + Y$3*EXP(- X35 / TestData.Z_1) + Y$4*EXP(- X35 / TestData.Z_2)  + TestData.VerticalRandomisation*(2*RAND() - 1)</f>
        <v>236.07737764195562</v>
      </c>
      <c r="AA35" s="1">
        <f t="shared" ref="AA35:AA40" ca="1" si="22" xml:space="preserve"> TestData.SpeedX  +  (1 + RAND()*TestData.SpeedX) * AA34</f>
        <v>24.692910891125855</v>
      </c>
      <c r="AB35" s="1">
        <f t="shared" ref="AB35:AB40" ca="1" si="23" xml:space="preserve"> AB$2 + AB$3*EXP(- AA35 / TestData.Z_1) + AB$4*EXP(- AA35 / TestData.Z_2)  + TestData.VerticalRandomisation*(2*RAND() - 1)</f>
        <v>201.21949817458241</v>
      </c>
      <c r="AD35" s="1">
        <f t="shared" ref="AD35:AD40" ca="1" si="24" xml:space="preserve"> TestData.SpeedX  +  (1 + RAND()*TestData.SpeedX) * AD34</f>
        <v>22.600000743159598</v>
      </c>
      <c r="AE35" s="1">
        <f t="shared" ref="AE35:AE40" ca="1" si="25" xml:space="preserve"> AE$2 + AE$3*EXP(- AD35 / TestData.Z_1) + AE$4*EXP(- AD35 / TestData.Z_2)  + TestData.VerticalRandomisation*(2*RAND() - 1)</f>
        <v>236.11469770756074</v>
      </c>
      <c r="AG35" s="1">
        <f t="shared" ref="AG35:AG40" ca="1" si="26" xml:space="preserve"> TestData.SpeedX  +  (1 + RAND()*TestData.SpeedX) * AG34</f>
        <v>22.481776167908144</v>
      </c>
      <c r="AH35" s="1">
        <f t="shared" ca="1" si="6"/>
        <v>214.79343295913469</v>
      </c>
      <c r="AJ35" s="1" cm="1">
        <f t="array" ref="AJ35" xml:space="preserve"> 1 + ROW() - _xlfn.SINGLE(ROW(TestData.RowNum))</f>
        <v>26</v>
      </c>
    </row>
    <row r="36" spans="12:36" x14ac:dyDescent="0.2">
      <c r="O36" s="1">
        <f t="shared" ca="1" si="14"/>
        <v>27.752281204818384</v>
      </c>
      <c r="P36" s="1">
        <f t="shared" ca="1" si="15"/>
        <v>207.45326870153366</v>
      </c>
      <c r="R36" s="1">
        <f t="shared" ca="1" si="16"/>
        <v>27.855010555941035</v>
      </c>
      <c r="S36" s="1">
        <f t="shared" ca="1" si="17"/>
        <v>232.80790691118818</v>
      </c>
      <c r="U36" s="1">
        <f t="shared" ca="1" si="18"/>
        <v>23.544278253452639</v>
      </c>
      <c r="V36" s="1">
        <f t="shared" ca="1" si="19"/>
        <v>224.53490871120906</v>
      </c>
      <c r="X36" s="1">
        <f t="shared" ca="1" si="20"/>
        <v>22.334915636876907</v>
      </c>
      <c r="Y36" s="1">
        <f t="shared" ca="1" si="21"/>
        <v>233.66021219203174</v>
      </c>
      <c r="AA36" s="1">
        <f t="shared" ca="1" si="22"/>
        <v>26.463467631601596</v>
      </c>
      <c r="AB36" s="1">
        <f t="shared" ca="1" si="23"/>
        <v>200.41827305519197</v>
      </c>
      <c r="AD36" s="1">
        <f t="shared" ca="1" si="24"/>
        <v>25.89767850447414</v>
      </c>
      <c r="AE36" s="1">
        <f t="shared" ca="1" si="25"/>
        <v>231.16139200718402</v>
      </c>
      <c r="AG36" s="1">
        <f t="shared" ca="1" si="26"/>
        <v>25.207654371479375</v>
      </c>
      <c r="AH36" s="1">
        <f t="shared" ca="1" si="6"/>
        <v>213.37810544289206</v>
      </c>
      <c r="AJ36" s="1" cm="1">
        <f t="array" ref="AJ36" xml:space="preserve"> 1 + ROW() - _xlfn.SINGLE(ROW(TestData.RowNum))</f>
        <v>27</v>
      </c>
    </row>
    <row r="37" spans="12:36" x14ac:dyDescent="0.2">
      <c r="M37" s="5" t="s">
        <v>46</v>
      </c>
      <c r="O37" s="1">
        <f t="shared" ca="1" si="14"/>
        <v>31.635928340130757</v>
      </c>
      <c r="P37" s="1">
        <f t="shared" ca="1" si="15"/>
        <v>203.81977926983691</v>
      </c>
      <c r="R37" s="1">
        <f t="shared" ca="1" si="16"/>
        <v>29.256755334447398</v>
      </c>
      <c r="S37" s="1">
        <f t="shared" ca="1" si="17"/>
        <v>232.426823124305</v>
      </c>
      <c r="U37" s="1">
        <f t="shared" ca="1" si="18"/>
        <v>26.785603679357592</v>
      </c>
      <c r="V37" s="1">
        <f t="shared" ca="1" si="19"/>
        <v>221.47922228863942</v>
      </c>
      <c r="X37" s="1">
        <f t="shared" ca="1" si="20"/>
        <v>26.102720665609617</v>
      </c>
      <c r="Y37" s="1">
        <f t="shared" ca="1" si="21"/>
        <v>233.30154471939187</v>
      </c>
      <c r="AA37" s="1">
        <f t="shared" ca="1" si="22"/>
        <v>29.703325305035527</v>
      </c>
      <c r="AB37" s="1">
        <f t="shared" ca="1" si="23"/>
        <v>195.81658927517839</v>
      </c>
      <c r="AD37" s="1">
        <f t="shared" ca="1" si="24"/>
        <v>27.232784710000946</v>
      </c>
      <c r="AE37" s="1">
        <f t="shared" ca="1" si="25"/>
        <v>231.99436015334683</v>
      </c>
      <c r="AG37" s="1">
        <f t="shared" ca="1" si="26"/>
        <v>28.480091058519182</v>
      </c>
      <c r="AH37" s="1">
        <f t="shared" ca="1" si="6"/>
        <v>212.65415104332106</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134.72509935274914</v>
      </c>
      <c r="O38" s="1">
        <f t="shared" ca="1" si="14"/>
        <v>33.931200294854982</v>
      </c>
      <c r="P38" s="1">
        <f t="shared" ca="1" si="15"/>
        <v>202.64735161530811</v>
      </c>
      <c r="R38" s="1">
        <f t="shared" ca="1" si="16"/>
        <v>30.472417220103797</v>
      </c>
      <c r="S38" s="1">
        <f t="shared" ca="1" si="17"/>
        <v>228.62374461423434</v>
      </c>
      <c r="U38" s="1">
        <f t="shared" ca="1" si="18"/>
        <v>27.099905082167489</v>
      </c>
      <c r="V38" s="1">
        <f t="shared" ca="1" si="19"/>
        <v>222.79481188442429</v>
      </c>
      <c r="X38" s="1">
        <f t="shared" ca="1" si="20"/>
        <v>29.84643365579014</v>
      </c>
      <c r="Y38" s="1">
        <f t="shared" ca="1" si="21"/>
        <v>232.72276581008475</v>
      </c>
      <c r="AA38" s="1">
        <f t="shared" ca="1" si="22"/>
        <v>32.192719024454682</v>
      </c>
      <c r="AB38" s="1">
        <f t="shared" ca="1" si="23"/>
        <v>195.95940195225367</v>
      </c>
      <c r="AD38" s="1">
        <f t="shared" ca="1" si="24"/>
        <v>31.612279789933279</v>
      </c>
      <c r="AE38" s="1">
        <f t="shared" ca="1" si="25"/>
        <v>231.41763155021619</v>
      </c>
      <c r="AG38" s="1">
        <f t="shared" ca="1" si="26"/>
        <v>33.191678770106435</v>
      </c>
      <c r="AH38" s="1">
        <f t="shared" ca="1" si="6"/>
        <v>205.97021557990453</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239.46122006681276</v>
      </c>
      <c r="N39" s="6"/>
      <c r="O39" s="1">
        <f t="shared" ca="1" si="14"/>
        <v>34.456558456539852</v>
      </c>
      <c r="P39" s="1">
        <f t="shared" ca="1" si="15"/>
        <v>203.82533248369452</v>
      </c>
      <c r="R39" s="1">
        <f t="shared" ca="1" si="16"/>
        <v>31.176470855796442</v>
      </c>
      <c r="S39" s="1">
        <f t="shared" ca="1" si="17"/>
        <v>229.05081323226412</v>
      </c>
      <c r="U39" s="1">
        <f t="shared" ca="1" si="18"/>
        <v>31.774922361196989</v>
      </c>
      <c r="V39" s="1">
        <f t="shared" ca="1" si="19"/>
        <v>218.53430257247862</v>
      </c>
      <c r="X39" s="1">
        <f t="shared" ca="1" si="20"/>
        <v>30.368825244183778</v>
      </c>
      <c r="Y39" s="1">
        <f t="shared" ca="1" si="21"/>
        <v>229.85231650115418</v>
      </c>
      <c r="AA39" s="1">
        <f t="shared" ca="1" si="22"/>
        <v>33.300358502591301</v>
      </c>
      <c r="AB39" s="1">
        <f t="shared" ca="1" si="23"/>
        <v>193.96038432225723</v>
      </c>
      <c r="AD39" s="1">
        <f t="shared" ca="1" si="24"/>
        <v>33.037415569830181</v>
      </c>
      <c r="AE39" s="1">
        <f t="shared" ca="1" si="25"/>
        <v>228.94712773179759</v>
      </c>
      <c r="AG39" s="1">
        <f t="shared" ca="1" si="26"/>
        <v>36.976247716614331</v>
      </c>
      <c r="AH39" s="1">
        <f t="shared" ca="1" si="6"/>
        <v>202.9950985656674</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38.695297120387345</v>
      </c>
      <c r="P40" s="1">
        <f t="shared" ca="1" si="15"/>
        <v>198.03726535702469</v>
      </c>
      <c r="R40" s="1">
        <f t="shared" ca="1" si="16"/>
        <v>32.830915475386497</v>
      </c>
      <c r="S40" s="1">
        <f t="shared" ca="1" si="17"/>
        <v>229.81732086839597</v>
      </c>
      <c r="U40" s="1">
        <f t="shared" ca="1" si="18"/>
        <v>34.234514549541359</v>
      </c>
      <c r="V40" s="1">
        <f t="shared" ca="1" si="19"/>
        <v>217.82228549042441</v>
      </c>
      <c r="X40" s="1">
        <f t="shared" ca="1" si="20"/>
        <v>31.861131722606903</v>
      </c>
      <c r="Y40" s="1">
        <f t="shared" ca="1" si="21"/>
        <v>229.66720895634344</v>
      </c>
      <c r="AA40" s="1">
        <f t="shared" ca="1" si="22"/>
        <v>37.08824641349316</v>
      </c>
      <c r="AB40" s="1">
        <f t="shared" ca="1" si="23"/>
        <v>196.13079583556831</v>
      </c>
      <c r="AD40" s="1">
        <f t="shared" ca="1" si="24"/>
        <v>34.520738210434899</v>
      </c>
      <c r="AE40" s="1">
        <f t="shared" ca="1" si="25"/>
        <v>226.69411847832791</v>
      </c>
      <c r="AG40" s="1">
        <f t="shared" ca="1" si="26"/>
        <v>42.756431258117878</v>
      </c>
      <c r="AH40" s="1">
        <f t="shared" ca="1" si="6"/>
        <v>200.12825924542923</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41.515650269506558</v>
      </c>
      <c r="P41" s="1">
        <f t="shared" ref="P41" ca="1" si="28" xml:space="preserve"> P$2 + P$3*EXP(- O41 / TestData.Z_1) + P$4*EXP(- O41 / TestData.Z_2)  + TestData.VerticalRandomisation*(2*RAND() - 1)</f>
        <v>196.57882031575156</v>
      </c>
      <c r="R41" s="1">
        <f t="shared" ref="R41" ca="1" si="29" xml:space="preserve"> TestData.SpeedX  +  (1 + RAND()*TestData.SpeedX) * R40</f>
        <v>38.224018814746941</v>
      </c>
      <c r="S41" s="1">
        <f t="shared" ref="S41" ca="1" si="30" xml:space="preserve"> S$2 + S$3*EXP(- R41 / TestData.Z_1) + S$4*EXP(- R41 / TestData.Z_2)  + TestData.VerticalRandomisation*(2*RAND() - 1)</f>
        <v>228.076403980219</v>
      </c>
      <c r="U41" s="1">
        <f t="shared" ref="U41" ca="1" si="31" xml:space="preserve"> TestData.SpeedX  +  (1 + RAND()*TestData.SpeedX) * U40</f>
        <v>34.656689015671738</v>
      </c>
      <c r="V41" s="1">
        <f t="shared" ref="V41" ca="1" si="32" xml:space="preserve"> V$2 + V$3*EXP(- U41 / TestData.Z_1) + V$4*EXP(- U41 / TestData.Z_2)  + TestData.VerticalRandomisation*(2*RAND() - 1)</f>
        <v>217.44875588798232</v>
      </c>
      <c r="X41" s="1">
        <f t="shared" ref="X41" ca="1" si="33" xml:space="preserve"> TestData.SpeedX  +  (1 + RAND()*TestData.SpeedX) * X40</f>
        <v>32.559806418917738</v>
      </c>
      <c r="Y41" s="1">
        <f t="shared" ref="Y41" ca="1" si="34" xml:space="preserve"> Y$2 + Y$3*EXP(- X41 / TestData.Z_1) + Y$4*EXP(- X41 / TestData.Z_2)  + TestData.VerticalRandomisation*(2*RAND() - 1)</f>
        <v>229.42674937875074</v>
      </c>
      <c r="AA41" s="1">
        <f t="shared" ref="AA41" ca="1" si="35" xml:space="preserve"> TestData.SpeedX  +  (1 + RAND()*TestData.SpeedX) * AA40</f>
        <v>42.398491961847988</v>
      </c>
      <c r="AB41" s="1">
        <f t="shared" ref="AB41" ca="1" si="36" xml:space="preserve"> AB$2 + AB$3*EXP(- AA41 / TestData.Z_1) + AB$4*EXP(- AA41 / TestData.Z_2)  + TestData.VerticalRandomisation*(2*RAND() - 1)</f>
        <v>193.9816343669635</v>
      </c>
      <c r="AD41" s="1">
        <f t="shared" ref="AD41" ca="1" si="37" xml:space="preserve"> TestData.SpeedX  +  (1 + RAND()*TestData.SpeedX) * AD40</f>
        <v>37.440039725117607</v>
      </c>
      <c r="AE41" s="1">
        <f t="shared" ref="AE41" ca="1" si="38" xml:space="preserve"> AE$2 + AE$3*EXP(- AD41 / TestData.Z_1) + AE$4*EXP(- AD41 / TestData.Z_2)  + TestData.VerticalRandomisation*(2*RAND() - 1)</f>
        <v>225.05007910098684</v>
      </c>
      <c r="AG41" s="1">
        <f t="shared" ref="AG41" ca="1" si="39" xml:space="preserve"> TestData.SpeedX  +  (1 + RAND()*TestData.SpeedX) * AG40</f>
        <v>45.564935117782248</v>
      </c>
      <c r="AH41" s="1">
        <f t="shared" ca="1" si="6"/>
        <v>199.35211679218057</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125</v>
      </c>
    </row>
    <row r="44" spans="12:36" x14ac:dyDescent="0.2">
      <c r="L44" s="3" t="s">
        <v>53</v>
      </c>
      <c r="M44" s="1">
        <f ca="1" xml:space="preserve"> CEILING(TestData.RawMaxY, TestData.MinorY)</f>
        <v>240</v>
      </c>
    </row>
    <row r="45" spans="12:36" x14ac:dyDescent="0.2">
      <c r="M45" s="1" cm="1">
        <f t="array" aca="1" ref="M45" ca="1" xml:space="preserve"> axis_scale("Test", "Chart_Test", FALSE, TRUE, TestData.MinY, TestData.MaxY, TestData.MajorY, TestData.MinorY)</f>
        <v>44982.897199074076</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6"/>
  <sheetViews>
    <sheetView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563</v>
      </c>
      <c r="C3" s="6" t="s">
        <v>564</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538</v>
      </c>
      <c r="U5" s="2" t="s">
        <v>539</v>
      </c>
      <c r="V5" s="2" t="s">
        <v>540</v>
      </c>
      <c r="Z5" s="2" t="s">
        <v>541</v>
      </c>
      <c r="AA5" s="2" t="s">
        <v>542</v>
      </c>
      <c r="AB5" s="2" t="s">
        <v>543</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544</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545</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546</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547</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552</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553</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2</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Outer</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79</v>
      </c>
      <c r="H50" s="1" t="s">
        <v>440</v>
      </c>
      <c r="J50" s="1">
        <f t="shared" ref="J50" si="222" xml:space="preserve"> IF(AND(LEN(ChartLines.ID)&gt;0,"Unused"&lt;&gt;ChartLines.ID), COUNTIFS(ChartLines.ID,ChartLines.ID), "·")</f>
        <v>2</v>
      </c>
      <c r="K50" s="1">
        <f t="shared" ref="K50" si="223" xml:space="preserve"> IF(AND(LEN(ChartLines.ID)&gt;0,"Unused"&lt;&gt;ChartLines.ID), COUNTIFS(ChartLines.ID,ChartLines.ID,   ChartLines.RowNum,"&lt;="&amp;ChartLines.RowNum), "·")</f>
        <v>2</v>
      </c>
      <c r="L50" s="1" t="str" cm="1">
        <f t="array" ref="L50" xml:space="preserve"> _xlfn.IFS(OR(LEN(_xlfn.SINGLE(ChartLines.ID))=0,"Unused"=_xlfn.SINGLE(ChartLines.ID)), "·",   1=_xlfn.SINGLE(ChartLines.NumInstances), IF("USD"=_xlfn.SINGLE(ChartLines.ID), "SoleBig", "SoleOrdinary"),   1=_xlfn.SINGLE(ChartLines.InstanceNum), "Outer",   TRUE, "Inner")</f>
        <v>Inner</v>
      </c>
      <c r="M50" s="1">
        <f t="shared" ref="M50" si="224" xml:space="preserve"> IF(LEN(ChartLines.Hex6)=6, HEX2DEC(LEFT(ChartLines.Hex6, 2)), "·")</f>
        <v>4</v>
      </c>
      <c r="N50" s="1">
        <f t="shared" ref="N50" si="225" xml:space="preserve"> IF(LEN(ChartLines.Hex6)=6, HEX2DEC(MID(ChartLines.Hex6, 3, 2)), "·")</f>
        <v>106</v>
      </c>
      <c r="O50" s="1">
        <f t="shared" ref="O50" si="226" xml:space="preserve"> IF(LEN(ChartLines.Hex6)=6, HEX2DEC(RIGHT(ChartLines.Hex6, 2)), "·")</f>
        <v>56</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441</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442</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443</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572</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96</v>
      </c>
      <c r="O55" s="1">
        <f t="shared" ref="O55" si="251" xml:space="preserve"> IF(LEN(ChartLines.Hex6)=6, HEX2DEC(RIGHT(ChartLines.Hex6, 2)), "·")</f>
        <v>255</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444</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421</v>
      </c>
      <c r="J57" s="1">
        <f t="shared" ref="J57" si="257" xml:space="preserve"> IF(AND(LEN(ChartLines.ID)&gt;0,"Unused"&lt;&gt;ChartLines.ID), COUNTIFS(ChartLines.ID,ChartLines.ID), "·")</f>
        <v>2</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Outer</v>
      </c>
      <c r="M57" s="1">
        <f t="shared" ref="M57" si="259" xml:space="preserve"> IF(LEN(ChartLines.Hex6)=6, HEX2DEC(LEFT(ChartLines.Hex6, 2)), "·")</f>
        <v>239</v>
      </c>
      <c r="N57" s="1">
        <f t="shared" ref="N57" si="260" xml:space="preserve"> IF(LEN(ChartLines.Hex6)=6, HEX2DEC(MID(ChartLines.Hex6, 3, 2)), "·")</f>
        <v>51</v>
      </c>
      <c r="O57" s="1">
        <f t="shared" ref="O57" si="261" xml:space="preserve"> IF(LEN(ChartLines.Hex6)=6, HEX2DEC(RIGHT(ChartLines.Hex6, 2)), "·")</f>
        <v>64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82</v>
      </c>
      <c r="H58" s="1" t="s">
        <v>445</v>
      </c>
      <c r="J58" s="1">
        <f t="shared" ref="J58" si="262" xml:space="preserve"> IF(AND(LEN(ChartLines.ID)&gt;0,"Unused"&lt;&gt;ChartLines.ID), COUNTIFS(ChartLines.ID,ChartLines.ID), "·")</f>
        <v>2</v>
      </c>
      <c r="K58" s="1">
        <f t="shared" ref="K58" si="263" xml:space="preserve"> IF(AND(LEN(ChartLines.ID)&gt;0,"Unused"&lt;&gt;ChartLines.ID), COUNTIFS(ChartLines.ID,ChartLines.ID,   ChartLines.RowNum,"&lt;="&amp;ChartLines.RowNum), "·")</f>
        <v>2</v>
      </c>
      <c r="L58" s="1" t="str" cm="1">
        <f t="array" ref="L58" xml:space="preserve"> _xlfn.IFS(OR(LEN(_xlfn.SINGLE(ChartLines.ID))=0,"Unused"=_xlfn.SINGLE(ChartLines.ID)), "·",   1=_xlfn.SINGLE(ChartLines.NumInstances), IF("USD"=_xlfn.SINGLE(ChartLines.ID), "SoleBig", "SoleOrdinary"),   1=_xlfn.SINGLE(ChartLines.InstanceNum), "Outer",   TRUE, "Inner")</f>
        <v>Inner</v>
      </c>
      <c r="M58" s="1">
        <f t="shared" ref="M58" si="264" xml:space="preserve"> IF(LEN(ChartLines.Hex6)=6, HEX2DEC(LEFT(ChartLines.Hex6, 2)), "·")</f>
        <v>0</v>
      </c>
      <c r="N58" s="1">
        <f t="shared" ref="N58" si="265" xml:space="preserve"> IF(LEN(ChartLines.Hex6)=6, HEX2DEC(MID(ChartLines.Hex6, 3, 2)), "·")</f>
        <v>163</v>
      </c>
      <c r="O58" s="1">
        <f t="shared" ref="O58" si="266" xml:space="preserve"> IF(LEN(ChartLines.Hex6)=6, HEX2DEC(RIGHT(ChartLines.Hex6, 2)), "·")</f>
        <v>224</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
        <v>422</v>
      </c>
      <c r="J59" s="1">
        <f t="shared" ref="J59" si="267" xml:space="preserve"> IF(AND(LEN(ChartLines.ID)&gt;0,"Unused"&lt;&gt;ChartLines.ID), COUNTIFS(ChartLines.ID,ChartLines.ID), "·")</f>
        <v>2</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Outer</v>
      </c>
      <c r="M59" s="1">
        <f t="shared" ref="M59" si="269" xml:space="preserve"> IF(LEN(ChartLines.Hex6)=6, HEX2DEC(LEFT(ChartLines.Hex6, 2)), "·")</f>
        <v>255</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83</v>
      </c>
      <c r="H60" s="1" t="str">
        <f xml:space="preserve"> "000000"</f>
        <v>000000</v>
      </c>
      <c r="J60" s="1">
        <f t="shared" ref="J60" si="272" xml:space="preserve"> IF(AND(LEN(ChartLines.ID)&gt;0,"Unused"&lt;&gt;ChartLines.ID), COUNTIFS(ChartLines.ID,ChartLines.ID), "·")</f>
        <v>2</v>
      </c>
      <c r="K60" s="1">
        <f t="shared" ref="K60" si="273" xml:space="preserve"> IF(AND(LEN(ChartLines.ID)&gt;0,"Unused"&lt;&gt;ChartLines.ID), COUNTIFS(ChartLines.ID,ChartLines.ID,   ChartLines.RowNum,"&lt;="&amp;ChartLines.RowNum), "·")</f>
        <v>2</v>
      </c>
      <c r="L60" s="1" t="str" cm="1">
        <f t="array" ref="L60" xml:space="preserve"> _xlfn.IFS(OR(LEN(_xlfn.SINGLE(ChartLines.ID))=0,"Unused"=_xlfn.SINGLE(ChartLines.ID)), "·",   1=_xlfn.SINGLE(ChartLines.NumInstances), IF("USD"=_xlfn.SINGLE(ChartLines.ID), "SoleBig", "SoleOrdinary"),   1=_xlfn.SINGLE(ChartLines.InstanceNum), "Outer",   TRUE, "Inner")</f>
        <v>Inner</v>
      </c>
      <c r="M60" s="1">
        <f t="shared" ref="M60" si="274" xml:space="preserve"> IF(LEN(ChartLines.Hex6)=6, HEX2DEC(LEFT(ChartLines.Hex6, 2)), "·")</f>
        <v>0</v>
      </c>
      <c r="N60" s="1">
        <f t="shared" ref="N60" si="275" xml:space="preserve"> IF(LEN(ChartLines.Hex6)=6, HEX2DEC(MID(ChartLines.Hex6, 3, 2)), "·")</f>
        <v>0</v>
      </c>
      <c r="O60" s="1">
        <f t="shared" ref="O60" si="276" xml:space="preserve"> IF(LEN(ChartLines.Hex6)=6, HEX2DEC(RIGHT(ChartLines.Hex6, 2)), "·")</f>
        <v>0</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446</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447</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448</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449</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450</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451</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452</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560</v>
      </c>
      <c r="C70" s="1" t="str">
        <f t="shared" ref="C70:C79" si="322" xml:space="preserve"> _xlfn.SINGLE(SeriesFormatAlias.SeriesName)</f>
        <v>BYN</v>
      </c>
      <c r="G70" s="1" t="s">
        <v>88</v>
      </c>
      <c r="H70" s="1" t="s">
        <v>570</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192</v>
      </c>
      <c r="N70" s="1">
        <f t="shared" ref="N70" si="326" xml:space="preserve"> IF(LEN(ChartLines.Hex6)=6, HEX2DEC(MID(ChartLines.Hex6, 3, 2)), "·")</f>
        <v>192</v>
      </c>
      <c r="O70" s="1">
        <f t="shared" ref="O70" si="327" xml:space="preserve"> IF(LEN(ChartLines.Hex6)=6, HEX2DEC(RIGHT(ChartLines.Hex6, 2)), "·")</f>
        <v>192</v>
      </c>
      <c r="P70" s="1" cm="1">
        <f t="array" ref="P70" xml:space="preserve"> 1 + ROW() - _xlfn.SINGLE(ROW(ChartLines.RowNum))</f>
        <v>65</v>
      </c>
    </row>
    <row r="71" spans="2:28" x14ac:dyDescent="0.2">
      <c r="B71" s="1" t="s">
        <v>121</v>
      </c>
      <c r="C71" s="1" t="str">
        <f t="shared" si="322"/>
        <v>UAH</v>
      </c>
      <c r="G71" s="1" t="s">
        <v>89</v>
      </c>
      <c r="H71" s="1" t="s">
        <v>453</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454</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455</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456</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445</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500</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457</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458</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459</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461</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215</v>
      </c>
      <c r="N86" s="1">
        <f t="shared" ref="N86" si="407" xml:space="preserve"> IF(LEN(ChartLines.Hex6)=6, HEX2DEC(MID(ChartLines.Hex6, 3, 2)), "·")</f>
        <v>20</v>
      </c>
      <c r="O86" s="1">
        <f t="shared" ref="O86" si="408" xml:space="preserve"> IF(LEN(ChartLines.Hex6)=6, HEX2DEC(RIGHT(ChartLines.Hex6, 2)), "·")</f>
        <v>26</v>
      </c>
      <c r="P86" s="1" cm="1">
        <f t="array" ref="P86" xml:space="preserve"> 1 + ROW() - _xlfn.SINGLE(ROW(ChartLines.RowNum))</f>
        <v>81</v>
      </c>
    </row>
    <row r="87" spans="2:16" x14ac:dyDescent="0.2">
      <c r="B87" s="1" t="s">
        <v>136</v>
      </c>
      <c r="C87" s="1" t="str">
        <f t="shared" si="373"/>
        <v>IQD</v>
      </c>
      <c r="G87" s="1" t="s">
        <v>96</v>
      </c>
      <c r="H87" s="1" t="s">
        <v>460</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17</v>
      </c>
      <c r="N87" s="1">
        <f t="shared" ref="N87" si="412" xml:space="preserve"> IF(LEN(ChartLines.Hex6)=6, HEX2DEC(MID(ChartLines.Hex6, 3, 2)), "·")</f>
        <v>69</v>
      </c>
      <c r="O87" s="1">
        <f t="shared" ref="O87" si="413" xml:space="preserve"> IF(LEN(ChartLines.Hex6)=6, HEX2DEC(RIGHT(ChartLines.Hex6, 2)), "·")</f>
        <v>126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462</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463</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464</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465</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466</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467</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468</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554</v>
      </c>
      <c r="C101" s="1" t="str">
        <f t="shared" si="373"/>
        <v>AOA</v>
      </c>
      <c r="G101" s="1" t="s">
        <v>103</v>
      </c>
      <c r="H101" s="1" t="s">
        <v>469</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470</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471</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8"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
        <v>472</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0</v>
      </c>
      <c r="N105" s="1">
        <f t="shared" ref="N105" si="503" xml:space="preserve"> IF(LEN(ChartLines.Hex6)=6, HEX2DEC(MID(ChartLines.Hex6, 3, 2)), "·")</f>
        <v>50</v>
      </c>
      <c r="O105" s="1">
        <f t="shared" ref="O105" si="504" xml:space="preserve"> IF(LEN(ChartLines.Hex6)=6, HEX2DEC(RIGHT(ChartLines.Hex6, 2)), "·")</f>
        <v>106</v>
      </c>
      <c r="P105" s="1" cm="1">
        <f t="array" ref="P105" xml:space="preserve"> 1 + ROW() - _xlfn.SINGLE(ROW(ChartLines.RowNum))</f>
        <v>100</v>
      </c>
    </row>
    <row r="106" spans="2:16" x14ac:dyDescent="0.2">
      <c r="B106" s="1" t="s">
        <v>154</v>
      </c>
      <c r="C106" s="1" t="str">
        <f t="shared" si="494"/>
        <v>PEN</v>
      </c>
      <c r="G106" s="1" t="s">
        <v>105</v>
      </c>
      <c r="H106" s="1" t="str">
        <f xml:space="preserve"> "DECE05"</f>
        <v>DECE05</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222</v>
      </c>
      <c r="N106" s="1">
        <f t="shared" ref="N106" si="508" xml:space="preserve"> IF(LEN(ChartLines.Hex6)=6, HEX2DEC(MID(ChartLines.Hex6, 3, 2)), "·")</f>
        <v>206</v>
      </c>
      <c r="O106" s="1">
        <f t="shared" ref="O106" si="509" xml:space="preserve"> IF(LEN(ChartLines.Hex6)=6, HEX2DEC(RIGHT(ChartLines.Hex6, 2)), "·")</f>
        <v>5</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473</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474</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464</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475</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476</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477</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478</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479</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575</v>
      </c>
      <c r="C121" s="1" t="str">
        <f t="shared" si="494"/>
        <v>_CoEDB</v>
      </c>
      <c r="G121" s="1" t="s">
        <v>113</v>
      </c>
      <c r="H121" s="1" t="s">
        <v>480</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169</v>
      </c>
      <c r="C122" s="1" t="str">
        <f t="shared" si="494"/>
        <v>_NIB</v>
      </c>
      <c r="G122" s="1" t="s">
        <v>113</v>
      </c>
      <c r="H122" s="1" t="s">
        <v>481</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170</v>
      </c>
      <c r="C123" s="1" t="str">
        <f t="shared" si="494"/>
        <v>_KfW</v>
      </c>
      <c r="G123" s="1" t="s">
        <v>114</v>
      </c>
      <c r="H123" s="1" t="s">
        <v>482</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573</v>
      </c>
      <c r="C124" s="1" t="str">
        <f t="shared" si="494"/>
        <v>_CADES</v>
      </c>
      <c r="G124" s="1" t="s">
        <v>114</v>
      </c>
      <c r="H124" s="1" t="s">
        <v>483</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171</v>
      </c>
      <c r="C125" s="1" t="str">
        <f t="shared" si="494"/>
        <v>_ADB</v>
      </c>
      <c r="G125" s="1" t="s">
        <v>115</v>
      </c>
      <c r="H125" s="1" t="s">
        <v>484</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172</v>
      </c>
      <c r="C126" s="1" t="str">
        <f t="shared" si="494"/>
        <v>_AIIB</v>
      </c>
      <c r="G126" s="1" t="s">
        <v>115</v>
      </c>
      <c r="H126" s="1" t="s">
        <v>485</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173</v>
      </c>
      <c r="C127" s="1" t="str">
        <f t="shared" si="494"/>
        <v>_IsDB</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174</v>
      </c>
      <c r="C128" s="1" t="str">
        <f t="shared" si="494"/>
        <v>_AfDB</v>
      </c>
      <c r="G128" s="1" t="s">
        <v>116</v>
      </c>
      <c r="H128" s="1" t="s">
        <v>486</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175</v>
      </c>
      <c r="C129" s="1" t="str">
        <f t="shared" si="494"/>
        <v>_AfExIm</v>
      </c>
      <c r="G129" s="1" t="s">
        <v>116</v>
      </c>
      <c r="H129" s="1" t="s">
        <v>487</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176</v>
      </c>
      <c r="C130" s="1" t="str">
        <f t="shared" si="494"/>
        <v>_IADB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177</v>
      </c>
      <c r="C131" s="1" t="str">
        <f t="shared" si="494"/>
        <v>_BCIE</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178</v>
      </c>
      <c r="C132" s="1" t="str">
        <f t="shared" si="494"/>
        <v>_CDB</v>
      </c>
      <c r="G132" s="1" t="s">
        <v>118</v>
      </c>
      <c r="H132" s="1" t="s">
        <v>488</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179</v>
      </c>
      <c r="C133" s="1" t="str">
        <f t="shared" si="494"/>
        <v>_NDB</v>
      </c>
      <c r="G133" s="1" t="s">
        <v>118</v>
      </c>
      <c r="H133" s="1" t="s">
        <v>489</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180</v>
      </c>
      <c r="C134" s="1" t="str">
        <f t="shared" si="494"/>
        <v>_IBRD</v>
      </c>
      <c r="G134" s="1" t="s">
        <v>119</v>
      </c>
      <c r="H134" s="1" t="s">
        <v>490</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181</v>
      </c>
      <c r="C135" s="1" t="str">
        <f t="shared" si="494"/>
        <v>XDR</v>
      </c>
      <c r="G135" s="1" t="s">
        <v>119</v>
      </c>
      <c r="H135" s="1" t="s">
        <v>491</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182</v>
      </c>
      <c r="C136" s="1" t="str">
        <f t="shared" si="494"/>
        <v>XAU</v>
      </c>
      <c r="G136" s="1" t="s">
        <v>121</v>
      </c>
      <c r="H136" s="1" t="s">
        <v>492</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183</v>
      </c>
      <c r="C137" s="1" t="str">
        <f t="shared" si="494"/>
        <v>XAG</v>
      </c>
      <c r="G137" s="1" t="s">
        <v>121</v>
      </c>
      <c r="H137" s="1" t="s">
        <v>493</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184</v>
      </c>
      <c r="C138" s="1" t="str">
        <f t="shared" si="494"/>
        <v>XPT</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185</v>
      </c>
      <c r="C139" s="4" t="s">
        <v>61</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186</v>
      </c>
      <c r="C140" s="4" t="s">
        <v>63</v>
      </c>
      <c r="G140" s="1" t="s">
        <v>560</v>
      </c>
      <c r="H140" s="1" t="s">
        <v>494</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187</v>
      </c>
      <c r="C141" s="4" t="s">
        <v>63</v>
      </c>
      <c r="G141" s="1" t="s">
        <v>560</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188</v>
      </c>
      <c r="C142" s="4" t="s">
        <v>64</v>
      </c>
      <c r="G142" s="1" t="s">
        <v>120</v>
      </c>
      <c r="H142" s="1" t="s">
        <v>495</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189</v>
      </c>
      <c r="C143" s="4" t="s">
        <v>65</v>
      </c>
      <c r="G143" s="1" t="s">
        <v>120</v>
      </c>
      <c r="H143" s="1" t="s">
        <v>496</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190</v>
      </c>
      <c r="C144" s="4" t="s">
        <v>66</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191</v>
      </c>
      <c r="C145" s="4" t="s">
        <v>67</v>
      </c>
      <c r="G145" s="1" t="s">
        <v>123</v>
      </c>
      <c r="H145" s="1" t="s">
        <v>497</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192</v>
      </c>
      <c r="C146" s="4" t="s">
        <v>68</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193</v>
      </c>
      <c r="C147" s="4" t="s">
        <v>69</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194</v>
      </c>
      <c r="C148" s="4" t="s">
        <v>70</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195</v>
      </c>
      <c r="C149" s="4" t="s">
        <v>93</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196</v>
      </c>
      <c r="C150" s="4" t="s">
        <v>94</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197</v>
      </c>
      <c r="C151" s="4" t="s">
        <v>95</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198</v>
      </c>
      <c r="C152" s="4" t="s">
        <v>96</v>
      </c>
      <c r="G152" s="1" t="s">
        <v>127</v>
      </c>
      <c r="H152" s="1" t="s">
        <v>493</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199</v>
      </c>
      <c r="C153" s="4" t="s">
        <v>97</v>
      </c>
      <c r="G153" s="1" t="s">
        <v>126</v>
      </c>
      <c r="H153" s="1" t="s">
        <v>498</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200</v>
      </c>
      <c r="C154" s="4" t="s">
        <v>98</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201</v>
      </c>
      <c r="C155" s="4" t="s">
        <v>99</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202</v>
      </c>
      <c r="C156" s="4" t="s">
        <v>100</v>
      </c>
      <c r="G156" s="1" t="s">
        <v>128</v>
      </c>
      <c r="H156" s="1" t="s">
        <v>499</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203</v>
      </c>
      <c r="C157" s="4" t="s">
        <v>101</v>
      </c>
      <c r="G157" s="1" t="s">
        <v>500</v>
      </c>
      <c r="H157" s="1" t="s">
        <v>501</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204</v>
      </c>
      <c r="C158" s="4" t="s">
        <v>102</v>
      </c>
      <c r="G158" s="1" t="s">
        <v>500</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205</v>
      </c>
      <c r="C159" s="4" t="s">
        <v>103</v>
      </c>
      <c r="G159" s="1" t="s">
        <v>129</v>
      </c>
      <c r="H159" s="1" t="s">
        <v>499</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206</v>
      </c>
      <c r="C160" s="4" t="s">
        <v>104</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207</v>
      </c>
      <c r="C161" s="4" t="s">
        <v>105</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208</v>
      </c>
      <c r="C162" s="4" t="s">
        <v>106</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209</v>
      </c>
      <c r="C163" s="4" t="s">
        <v>107</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210</v>
      </c>
      <c r="C164" s="4" t="s">
        <v>108</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211</v>
      </c>
      <c r="C165" s="4" t="s">
        <v>109</v>
      </c>
      <c r="G165" s="1" t="s">
        <v>132</v>
      </c>
      <c r="H165" s="1" t="s">
        <v>502</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212</v>
      </c>
      <c r="C166" s="4" t="s">
        <v>110</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213</v>
      </c>
      <c r="C167" s="4" t="s">
        <v>111</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214</v>
      </c>
      <c r="C168" s="4" t="s">
        <v>112</v>
      </c>
      <c r="G168" s="1" t="s">
        <v>133</v>
      </c>
      <c r="H168" s="1" t="s">
        <v>503</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215</v>
      </c>
      <c r="C169" s="4" t="s">
        <v>113</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216</v>
      </c>
      <c r="C170" s="4" t="s">
        <v>114</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217</v>
      </c>
      <c r="C171" s="4" t="s">
        <v>115</v>
      </c>
      <c r="G171" s="1" t="s">
        <v>135</v>
      </c>
      <c r="H171" s="1" t="s">
        <v>504</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218</v>
      </c>
      <c r="C172" s="4" t="s">
        <v>116</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219</v>
      </c>
      <c r="C173" s="4" t="s">
        <v>117</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220</v>
      </c>
      <c r="C174" s="4" t="s">
        <v>118</v>
      </c>
      <c r="G174" s="1" t="s">
        <v>136</v>
      </c>
      <c r="H174" s="1" t="s">
        <v>505</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221</v>
      </c>
      <c r="C175" s="4" t="s">
        <v>119</v>
      </c>
      <c r="G175" s="1" t="s">
        <v>137</v>
      </c>
      <c r="H175" s="1" t="s">
        <v>506</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222</v>
      </c>
      <c r="C176" s="4" t="s">
        <v>120</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223</v>
      </c>
      <c r="C177" s="4" t="s">
        <v>560</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224</v>
      </c>
      <c r="C178" s="4" t="s">
        <v>121</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225</v>
      </c>
      <c r="C179" s="4" t="s">
        <v>122</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226</v>
      </c>
      <c r="C180" s="4" t="s">
        <v>123</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227</v>
      </c>
      <c r="C181" s="4" t="s">
        <v>124</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228</v>
      </c>
      <c r="C182" s="4" t="s">
        <v>125</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229</v>
      </c>
      <c r="C183" s="4" t="s">
        <v>126</v>
      </c>
      <c r="G183" s="1" t="s">
        <v>140</v>
      </c>
      <c r="H183" s="1" t="s">
        <v>507</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230</v>
      </c>
      <c r="C184" s="4" t="s">
        <v>127</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231</v>
      </c>
      <c r="C185" s="4" t="s">
        <v>128</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557</v>
      </c>
      <c r="C186" s="4" t="s">
        <v>500</v>
      </c>
      <c r="G186" s="1" t="s">
        <v>142</v>
      </c>
      <c r="H186" s="1" t="s">
        <v>508</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232</v>
      </c>
      <c r="C187" s="4" t="s">
        <v>129</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233</v>
      </c>
      <c r="C188" s="4" t="s">
        <v>130</v>
      </c>
      <c r="G188" s="1" t="s">
        <v>143</v>
      </c>
      <c r="H188" s="1" t="s">
        <v>464</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234</v>
      </c>
      <c r="C189" s="4" t="s">
        <v>131</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235</v>
      </c>
      <c r="C190" s="4" t="s">
        <v>132</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236</v>
      </c>
      <c r="C191" s="4" t="s">
        <v>133</v>
      </c>
      <c r="G191" s="1" t="s">
        <v>144</v>
      </c>
      <c r="H191" s="1" t="s">
        <v>509</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237</v>
      </c>
      <c r="C192" s="4" t="s">
        <v>134</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238</v>
      </c>
      <c r="C193" s="4" t="s">
        <v>135</v>
      </c>
      <c r="G193" s="1" t="s">
        <v>145</v>
      </c>
      <c r="H193" s="1" t="s">
        <v>510</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239</v>
      </c>
      <c r="C194" s="4" t="s">
        <v>136</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240</v>
      </c>
      <c r="C195" s="4" t="s">
        <v>137</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241</v>
      </c>
      <c r="C196" s="4" t="s">
        <v>138</v>
      </c>
      <c r="G196" s="1" t="s">
        <v>147</v>
      </c>
      <c r="H196" s="1" t="s">
        <v>512</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253</v>
      </c>
      <c r="N196" s="1">
        <f t="shared" ref="N196" si="958" xml:space="preserve"> IF(LEN(ChartLines.Hex6)=6, HEX2DEC(MID(ChartLines.Hex6, 3, 2)), "·")</f>
        <v>239</v>
      </c>
      <c r="O196" s="1">
        <f t="shared" ref="O196" si="959" xml:space="preserve"> IF(LEN(ChartLines.Hex6)=6, HEX2DEC(RIGHT(ChartLines.Hex6, 2)), "·")</f>
        <v>66</v>
      </c>
      <c r="P196" s="1" cm="1">
        <f t="array" ref="P196" xml:space="preserve"> 1 + ROW() - _xlfn.SINGLE(ROW(ChartLines.RowNum))</f>
        <v>191</v>
      </c>
    </row>
    <row r="197" spans="2:16" x14ac:dyDescent="0.2">
      <c r="B197" s="1" t="s">
        <v>242</v>
      </c>
      <c r="C197" s="4" t="s">
        <v>139</v>
      </c>
      <c r="G197" s="1" t="s">
        <v>147</v>
      </c>
      <c r="H197" s="1" t="s">
        <v>511</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29</v>
      </c>
      <c r="N197" s="1">
        <f t="shared" ref="N197" si="963" xml:space="preserve"> IF(LEN(ChartLines.Hex6)=6, HEX2DEC(MID(ChartLines.Hex6, 3, 2)), "·")</f>
        <v>98</v>
      </c>
      <c r="O197" s="1">
        <f t="shared" ref="O197" si="964" xml:space="preserve"> IF(LEN(ChartLines.Hex6)=6, HEX2DEC(RIGHT(ChartLines.Hex6, 2)), "·")</f>
        <v>51</v>
      </c>
      <c r="P197" s="1" cm="1">
        <f t="array" ref="P197" xml:space="preserve"> 1 + ROW() - _xlfn.SINGLE(ROW(ChartLines.RowNum))</f>
        <v>192</v>
      </c>
    </row>
    <row r="198" spans="2:16" x14ac:dyDescent="0.2">
      <c r="B198" s="1" t="s">
        <v>243</v>
      </c>
      <c r="C198" s="4" t="s">
        <v>140</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559</v>
      </c>
      <c r="C199" s="4" t="s">
        <v>141</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244</v>
      </c>
      <c r="C200" s="4" t="s">
        <v>142</v>
      </c>
      <c r="G200" s="1" t="s">
        <v>149</v>
      </c>
      <c r="H200" s="1" t="s">
        <v>513</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245</v>
      </c>
      <c r="C201" s="4" t="s">
        <v>143</v>
      </c>
      <c r="G201" s="1" t="s">
        <v>149</v>
      </c>
      <c r="H201" s="1" t="s">
        <v>514</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246</v>
      </c>
      <c r="C202" s="4" t="s">
        <v>144</v>
      </c>
      <c r="G202" s="1" t="s">
        <v>554</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247</v>
      </c>
      <c r="C203" s="4" t="s">
        <v>145</v>
      </c>
      <c r="G203" s="1" t="s">
        <v>554</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248</v>
      </c>
      <c r="C204" s="4" t="s">
        <v>146</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556</v>
      </c>
      <c r="C205" s="4" t="s">
        <v>554</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249</v>
      </c>
      <c r="C206" s="4" t="s">
        <v>150</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250</v>
      </c>
      <c r="C207" s="4" t="s">
        <v>151</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251</v>
      </c>
      <c r="C208" s="4" t="s">
        <v>152</v>
      </c>
      <c r="G208" s="1" t="s">
        <v>151</v>
      </c>
      <c r="H208" s="1" t="s">
        <v>515</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252</v>
      </c>
      <c r="C209" s="4" t="s">
        <v>153</v>
      </c>
      <c r="G209" s="1" t="s">
        <v>152</v>
      </c>
      <c r="H209" s="1" t="s">
        <v>516</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253</v>
      </c>
      <c r="C210" s="4" t="s">
        <v>154</v>
      </c>
      <c r="G210" s="1" t="s">
        <v>152</v>
      </c>
      <c r="H210" s="1" t="s">
        <v>517</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254</v>
      </c>
      <c r="C211" s="4" t="s">
        <v>155</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255</v>
      </c>
      <c r="C212" s="4" t="s">
        <v>156</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256</v>
      </c>
      <c r="C213" s="4" t="s">
        <v>157</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257</v>
      </c>
      <c r="C214" s="4" t="s">
        <v>158</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258</v>
      </c>
      <c r="C215" s="4" t="s">
        <v>162</v>
      </c>
      <c r="G215" s="1" t="s">
        <v>155</v>
      </c>
      <c r="H215" s="1" t="s">
        <v>571</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123</v>
      </c>
      <c r="N215" s="1">
        <f t="shared" ref="N215" si="1003" xml:space="preserve"> IF(LEN(ChartLines.Hex6)=6, HEX2DEC(MID(ChartLines.Hex6, 3, 2)), "·")</f>
        <v>63</v>
      </c>
      <c r="O215" s="1">
        <f t="shared" ref="O215" si="1004" xml:space="preserve"> IF(LEN(ChartLines.Hex6)=6, HEX2DEC(RIGHT(ChartLines.Hex6, 2)), "·")</f>
        <v>0</v>
      </c>
      <c r="P215" s="1" cm="1">
        <f t="array" ref="P215" xml:space="preserve"> 1 + ROW() - _xlfn.SINGLE(ROW(ChartLines.RowNum))</f>
        <v>210</v>
      </c>
    </row>
    <row r="216" spans="2:16" x14ac:dyDescent="0.2">
      <c r="B216" s="1" t="s">
        <v>259</v>
      </c>
      <c r="C216" s="4" t="s">
        <v>163</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260</v>
      </c>
      <c r="C217" s="4" t="s">
        <v>164</v>
      </c>
      <c r="G217" s="1" t="s">
        <v>156</v>
      </c>
      <c r="H217" s="1" t="s">
        <v>518</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261</v>
      </c>
      <c r="C218" s="4" t="s">
        <v>165</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262</v>
      </c>
      <c r="C219" s="4" t="s">
        <v>166</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263</v>
      </c>
      <c r="C220" s="4" t="s">
        <v>61</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264</v>
      </c>
      <c r="C221" s="4" t="s">
        <v>62</v>
      </c>
      <c r="G221" s="1" t="s">
        <v>158</v>
      </c>
      <c r="H221" s="1" t="s">
        <v>519</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265</v>
      </c>
      <c r="C222" s="4" t="s">
        <v>63</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266</v>
      </c>
      <c r="C223" s="4" t="s">
        <v>63</v>
      </c>
      <c r="G223" s="1" t="s">
        <v>159</v>
      </c>
      <c r="H223" s="1" t="s">
        <v>449</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267</v>
      </c>
      <c r="C224" s="4" t="s">
        <v>64</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268</v>
      </c>
      <c r="C225" s="4" t="s">
        <v>65</v>
      </c>
      <c r="G225" s="1" t="s">
        <v>160</v>
      </c>
      <c r="H225" s="1" t="s">
        <v>520</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269</v>
      </c>
      <c r="C226" s="4" t="s">
        <v>66</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270</v>
      </c>
      <c r="C227" s="4" t="s">
        <v>67</v>
      </c>
      <c r="G227" s="1" t="s">
        <v>161</v>
      </c>
      <c r="H227" s="1" t="s">
        <v>506</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271</v>
      </c>
      <c r="C228" s="4" t="s">
        <v>68</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272</v>
      </c>
      <c r="C229" s="4" t="s">
        <v>69</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273</v>
      </c>
      <c r="C230" s="4" t="s">
        <v>70</v>
      </c>
      <c r="G230" s="1" t="s">
        <v>162</v>
      </c>
      <c r="H230" s="1" t="s">
        <v>521</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274</v>
      </c>
      <c r="C231" s="4" t="s">
        <v>72</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275</v>
      </c>
      <c r="C232" s="4" t="s">
        <v>54</v>
      </c>
      <c r="G232" s="1" t="s">
        <v>163</v>
      </c>
      <c r="H232" s="1" t="s">
        <v>499</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276</v>
      </c>
      <c r="C233" s="4" t="s">
        <v>55</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277</v>
      </c>
      <c r="C234" s="4" t="s">
        <v>56</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278</v>
      </c>
      <c r="C235" s="4" t="s">
        <v>73</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279</v>
      </c>
      <c r="C236" s="4" t="s">
        <v>74</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280</v>
      </c>
      <c r="C237" s="4" t="s">
        <v>75</v>
      </c>
      <c r="G237" s="1" t="s">
        <v>166</v>
      </c>
      <c r="H237" s="1" t="s">
        <v>522</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281</v>
      </c>
      <c r="C238" s="4" t="s">
        <v>76</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282</v>
      </c>
      <c r="C239" s="4" t="s">
        <v>77</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283</v>
      </c>
      <c r="C240" s="4" t="s">
        <v>78</v>
      </c>
      <c r="G240" s="1" t="s">
        <v>167</v>
      </c>
      <c r="H240" s="1" t="s">
        <v>523</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284</v>
      </c>
      <c r="C241" s="4" t="s">
        <v>79</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285</v>
      </c>
      <c r="C242" s="4" t="s">
        <v>80</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286</v>
      </c>
      <c r="C243" s="4" t="s">
        <v>57</v>
      </c>
      <c r="G243" s="1" t="s">
        <v>168</v>
      </c>
      <c r="H243" s="1" t="s">
        <v>423</v>
      </c>
      <c r="J243" s="1">
        <f t="shared" ref="J243:J260" si="1140" xml:space="preserve"> IF(AND(LEN(ChartLines.ID)&gt;0,"Unused"&lt;&gt;ChartLines.ID), COUNTIFS(ChartLines.ID,ChartLines.ID), "·")</f>
        <v>2</v>
      </c>
      <c r="K243" s="1">
        <f t="shared" ref="K243:K260"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M260" si="1142" xml:space="preserve"> IF(LEN(ChartLines.Hex6)=6, HEX2DEC(LEFT(ChartLines.Hex6, 2)), "·")</f>
        <v>255</v>
      </c>
      <c r="N243" s="1">
        <f t="shared" ref="N243:N260" si="1143" xml:space="preserve"> IF(LEN(ChartLines.Hex6)=6, HEX2DEC(MID(ChartLines.Hex6, 3, 2)), "·")</f>
        <v>255</v>
      </c>
      <c r="O243" s="1">
        <f t="shared" ref="O243:O260" si="1144" xml:space="preserve"> IF(LEN(ChartLines.Hex6)=6, HEX2DEC(RIGHT(ChartLines.Hex6, 2)), "·")</f>
        <v>255</v>
      </c>
      <c r="P243" s="1" cm="1">
        <f t="array" ref="P243" xml:space="preserve"> 1 + ROW() - _xlfn.SINGLE(ROW(ChartLines.RowNum))</f>
        <v>238</v>
      </c>
    </row>
    <row r="244" spans="2:16" x14ac:dyDescent="0.2">
      <c r="B244" s="1" t="s">
        <v>287</v>
      </c>
      <c r="C244" s="4" t="s">
        <v>81</v>
      </c>
      <c r="G244" s="1" t="s">
        <v>575</v>
      </c>
      <c r="H244" s="1" t="str">
        <f xml:space="preserve"> "092251"</f>
        <v>092251</v>
      </c>
      <c r="J244" s="1">
        <f t="shared" si="1140"/>
        <v>2</v>
      </c>
      <c r="K244" s="1">
        <f t="shared" si="1141"/>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si="1142"/>
        <v>9</v>
      </c>
      <c r="N244" s="1">
        <f t="shared" si="1143"/>
        <v>34</v>
      </c>
      <c r="O244" s="1">
        <f t="shared" si="1144"/>
        <v>81</v>
      </c>
      <c r="P244" s="1" cm="1">
        <f t="array" ref="P244" xml:space="preserve"> 1 + ROW() - _xlfn.SINGLE(ROW(ChartLines.RowNum))</f>
        <v>239</v>
      </c>
    </row>
    <row r="245" spans="2:16" x14ac:dyDescent="0.2">
      <c r="B245" s="1" t="s">
        <v>288</v>
      </c>
      <c r="C245" s="4" t="s">
        <v>82</v>
      </c>
      <c r="G245" s="1" t="s">
        <v>575</v>
      </c>
      <c r="H245" s="1" t="s">
        <v>423</v>
      </c>
      <c r="J245" s="1">
        <f t="shared" si="1140"/>
        <v>2</v>
      </c>
      <c r="K245" s="1">
        <f t="shared" si="1141"/>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si="1142"/>
        <v>255</v>
      </c>
      <c r="N245" s="1">
        <f t="shared" si="1143"/>
        <v>255</v>
      </c>
      <c r="O245" s="1">
        <f t="shared" si="1144"/>
        <v>255</v>
      </c>
      <c r="P245" s="1" cm="1">
        <f t="array" ref="P245" xml:space="preserve"> 1 + ROW() - _xlfn.SINGLE(ROW(ChartLines.RowNum))</f>
        <v>240</v>
      </c>
    </row>
    <row r="246" spans="2:16" x14ac:dyDescent="0.2">
      <c r="B246" s="1" t="s">
        <v>289</v>
      </c>
      <c r="C246" s="4" t="s">
        <v>83</v>
      </c>
      <c r="G246" s="1" t="s">
        <v>169</v>
      </c>
      <c r="H246" s="1" t="str">
        <f xml:space="preserve"> "165788"</f>
        <v>165788</v>
      </c>
      <c r="J246" s="1">
        <f t="shared" si="1140"/>
        <v>2</v>
      </c>
      <c r="K246" s="1">
        <f t="shared" si="1141"/>
        <v>1</v>
      </c>
      <c r="L246" s="1" t="str" cm="1">
        <f t="array" ref="L246" xml:space="preserve"> _xlfn.IFS(OR(LEN(_xlfn.SINGLE(ChartLines.ID))=0,"Unused"=_xlfn.SINGLE(ChartLines.ID)), "·",   1=_xlfn.SINGLE(ChartLines.NumInstances), IF("USD"=_xlfn.SINGLE(ChartLines.ID), "SoleBig", "SoleOrdinary"),   1=_xlfn.SINGLE(ChartLines.InstanceNum), "Outer",   TRUE, "Inner")</f>
        <v>Outer</v>
      </c>
      <c r="M246" s="1">
        <f t="shared" si="1142"/>
        <v>22</v>
      </c>
      <c r="N246" s="1">
        <f t="shared" si="1143"/>
        <v>87</v>
      </c>
      <c r="O246" s="1">
        <f t="shared" si="1144"/>
        <v>136</v>
      </c>
      <c r="P246" s="1" cm="1">
        <f t="array" ref="P246" xml:space="preserve"> 1 + ROW() - _xlfn.SINGLE(ROW(ChartLines.RowNum))</f>
        <v>241</v>
      </c>
    </row>
    <row r="247" spans="2:16" x14ac:dyDescent="0.2">
      <c r="B247" s="1" t="s">
        <v>290</v>
      </c>
      <c r="C247" s="4" t="s">
        <v>84</v>
      </c>
      <c r="G247" s="1" t="s">
        <v>169</v>
      </c>
      <c r="H247" s="1" t="str">
        <f xml:space="preserve"> "C3DCF4"</f>
        <v>C3DCF4</v>
      </c>
      <c r="J247" s="1">
        <f t="shared" si="1140"/>
        <v>2</v>
      </c>
      <c r="K247" s="1">
        <f t="shared" si="1141"/>
        <v>2</v>
      </c>
      <c r="L247" s="1" t="str" cm="1">
        <f t="array" ref="L247" xml:space="preserve"> _xlfn.IFS(OR(LEN(_xlfn.SINGLE(ChartLines.ID))=0,"Unused"=_xlfn.SINGLE(ChartLines.ID)), "·",   1=_xlfn.SINGLE(ChartLines.NumInstances), IF("USD"=_xlfn.SINGLE(ChartLines.ID), "SoleBig", "SoleOrdinary"),   1=_xlfn.SINGLE(ChartLines.InstanceNum), "Outer",   TRUE, "Inner")</f>
        <v>Inner</v>
      </c>
      <c r="M247" s="1">
        <f t="shared" si="1142"/>
        <v>195</v>
      </c>
      <c r="N247" s="1">
        <f t="shared" si="1143"/>
        <v>220</v>
      </c>
      <c r="O247" s="1">
        <f t="shared" si="1144"/>
        <v>244</v>
      </c>
      <c r="P247" s="1" cm="1">
        <f t="array" ref="P247" xml:space="preserve"> 1 + ROW() - _xlfn.SINGLE(ROW(ChartLines.RowNum))</f>
        <v>242</v>
      </c>
    </row>
    <row r="248" spans="2:16" x14ac:dyDescent="0.2">
      <c r="B248" s="1" t="s">
        <v>291</v>
      </c>
      <c r="C248" s="4" t="s">
        <v>85</v>
      </c>
      <c r="G248" s="1" t="s">
        <v>170</v>
      </c>
      <c r="H248" s="1" t="s">
        <v>524</v>
      </c>
      <c r="J248" s="1">
        <f t="shared" si="1140"/>
        <v>1</v>
      </c>
      <c r="K248" s="1">
        <f t="shared" si="1141"/>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si="1142"/>
        <v>27</v>
      </c>
      <c r="N248" s="1">
        <f t="shared" si="1143"/>
        <v>97</v>
      </c>
      <c r="O248" s="1">
        <f t="shared" si="1144"/>
        <v>140</v>
      </c>
      <c r="P248" s="1" cm="1">
        <f t="array" ref="P248" xml:space="preserve"> 1 + ROW() - _xlfn.SINGLE(ROW(ChartLines.RowNum))</f>
        <v>243</v>
      </c>
    </row>
    <row r="249" spans="2:16" x14ac:dyDescent="0.2">
      <c r="B249" s="1" t="s">
        <v>292</v>
      </c>
      <c r="C249" s="4" t="s">
        <v>86</v>
      </c>
      <c r="G249" s="1" t="s">
        <v>573</v>
      </c>
      <c r="H249" s="1">
        <v>273375</v>
      </c>
      <c r="J249" s="1">
        <f t="shared" si="1140"/>
        <v>2</v>
      </c>
      <c r="K249" s="1">
        <f t="shared" si="1141"/>
        <v>1</v>
      </c>
      <c r="L249" s="1" t="str" cm="1">
        <f t="array" ref="L249" xml:space="preserve"> _xlfn.IFS(OR(LEN(_xlfn.SINGLE(ChartLines.ID))=0,"Unused"=_xlfn.SINGLE(ChartLines.ID)), "·",   1=_xlfn.SINGLE(ChartLines.NumInstances), IF("USD"=_xlfn.SINGLE(ChartLines.ID), "SoleBig", "SoleOrdinary"),   1=_xlfn.SINGLE(ChartLines.InstanceNum), "Outer",   TRUE, "Inner")</f>
        <v>Outer</v>
      </c>
      <c r="M249" s="1">
        <f t="shared" si="1142"/>
        <v>39</v>
      </c>
      <c r="N249" s="1">
        <f t="shared" si="1143"/>
        <v>51</v>
      </c>
      <c r="O249" s="1">
        <f t="shared" si="1144"/>
        <v>117</v>
      </c>
      <c r="P249" s="1" cm="1">
        <f t="array" ref="P249" xml:space="preserve"> 1 + ROW() - _xlfn.SINGLE(ROW(ChartLines.RowNum))</f>
        <v>244</v>
      </c>
    </row>
    <row r="250" spans="2:16" x14ac:dyDescent="0.2">
      <c r="B250" s="1" t="s">
        <v>293</v>
      </c>
      <c r="C250" s="4" t="s">
        <v>87</v>
      </c>
      <c r="G250" s="1" t="s">
        <v>573</v>
      </c>
      <c r="H250" s="1" t="s">
        <v>574</v>
      </c>
      <c r="J250" s="1">
        <f t="shared" si="1140"/>
        <v>2</v>
      </c>
      <c r="K250" s="1">
        <f t="shared" si="1141"/>
        <v>2</v>
      </c>
      <c r="L250" s="1" t="str" cm="1">
        <f t="array" ref="L250" xml:space="preserve"> _xlfn.IFS(OR(LEN(_xlfn.SINGLE(ChartLines.ID))=0,"Unused"=_xlfn.SINGLE(ChartLines.ID)), "·",   1=_xlfn.SINGLE(ChartLines.NumInstances), IF("USD"=_xlfn.SINGLE(ChartLines.ID), "SoleBig", "SoleOrdinary"),   1=_xlfn.SINGLE(ChartLines.InstanceNum), "Outer",   TRUE, "Inner")</f>
        <v>Inner</v>
      </c>
      <c r="M250" s="1">
        <f t="shared" si="1142"/>
        <v>226</v>
      </c>
      <c r="N250" s="1">
        <f t="shared" si="1143"/>
        <v>6</v>
      </c>
      <c r="O250" s="1">
        <f t="shared" si="1144"/>
        <v>19</v>
      </c>
      <c r="P250" s="1" cm="1">
        <f t="array" ref="P250" xml:space="preserve"> 1 + ROW() - _xlfn.SINGLE(ROW(ChartLines.RowNum))</f>
        <v>245</v>
      </c>
    </row>
    <row r="251" spans="2:16" x14ac:dyDescent="0.2">
      <c r="B251" s="1" t="s">
        <v>294</v>
      </c>
      <c r="C251" s="4" t="s">
        <v>88</v>
      </c>
      <c r="G251" s="1" t="s">
        <v>419</v>
      </c>
      <c r="J251" s="1" t="str">
        <f t="shared" si="1140"/>
        <v>·</v>
      </c>
      <c r="K251" s="1" t="str">
        <f t="shared" si="1141"/>
        <v>·</v>
      </c>
      <c r="L251" s="1" t="str" cm="1">
        <f t="array" ref="L251" xml:space="preserve"> _xlfn.IFS(OR(LEN(_xlfn.SINGLE(ChartLines.ID))=0,"Unused"=_xlfn.SINGLE(ChartLines.ID)), "·",   1=_xlfn.SINGLE(ChartLines.NumInstances), IF("USD"=_xlfn.SINGLE(ChartLines.ID), "SoleBig", "SoleOrdinary"),   1=_xlfn.SINGLE(ChartLines.InstanceNum), "Outer",   TRUE, "Inner")</f>
        <v>·</v>
      </c>
      <c r="M251" s="1" t="str">
        <f t="shared" si="1142"/>
        <v>·</v>
      </c>
      <c r="N251" s="1" t="str">
        <f t="shared" si="1143"/>
        <v>·</v>
      </c>
      <c r="O251" s="1" t="str">
        <f t="shared" si="1144"/>
        <v>·</v>
      </c>
      <c r="P251" s="1" cm="1">
        <f t="array" ref="P251" xml:space="preserve"> 1 + ROW() - _xlfn.SINGLE(ROW(ChartLines.RowNum))</f>
        <v>246</v>
      </c>
    </row>
    <row r="252" spans="2:16" x14ac:dyDescent="0.2">
      <c r="B252" s="1" t="s">
        <v>295</v>
      </c>
      <c r="C252" s="4" t="s">
        <v>89</v>
      </c>
      <c r="G252" s="1" t="s">
        <v>171</v>
      </c>
      <c r="H252" s="1" t="s">
        <v>525</v>
      </c>
      <c r="J252" s="1">
        <f t="shared" si="1140"/>
        <v>1</v>
      </c>
      <c r="K252" s="1">
        <f t="shared" si="1141"/>
        <v>1</v>
      </c>
      <c r="L252" s="1" t="str" cm="1">
        <f t="array" ref="L252" xml:space="preserve"> _xlfn.IFS(OR(LEN(_xlfn.SINGLE(ChartLines.ID))=0,"Unused"=_xlfn.SINGLE(ChartLines.ID)), "·",   1=_xlfn.SINGLE(ChartLines.NumInstances), IF("USD"=_xlfn.SINGLE(ChartLines.ID), "SoleBig", "SoleOrdinary"),   1=_xlfn.SINGLE(ChartLines.InstanceNum), "Outer",   TRUE, "Inner")</f>
        <v>SoleOrdinary</v>
      </c>
      <c r="M252" s="1">
        <f t="shared" si="1142"/>
        <v>28</v>
      </c>
      <c r="N252" s="1">
        <f t="shared" si="1143"/>
        <v>48</v>
      </c>
      <c r="O252" s="1">
        <f t="shared" si="1144"/>
        <v>96</v>
      </c>
      <c r="P252" s="1" cm="1">
        <f t="array" ref="P252" xml:space="preserve"> 1 + ROW() - _xlfn.SINGLE(ROW(ChartLines.RowNum))</f>
        <v>247</v>
      </c>
    </row>
    <row r="253" spans="2:16" x14ac:dyDescent="0.2">
      <c r="B253" s="1" t="s">
        <v>296</v>
      </c>
      <c r="C253" s="4" t="s">
        <v>90</v>
      </c>
      <c r="G253" s="1" t="s">
        <v>419</v>
      </c>
      <c r="J253" s="1" t="str">
        <f t="shared" si="1140"/>
        <v>·</v>
      </c>
      <c r="K253" s="1" t="str">
        <f t="shared" si="1141"/>
        <v>·</v>
      </c>
      <c r="L253" s="1" t="str" cm="1">
        <f t="array" ref="L253" xml:space="preserve"> _xlfn.IFS(OR(LEN(_xlfn.SINGLE(ChartLines.ID))=0,"Unused"=_xlfn.SINGLE(ChartLines.ID)), "·",   1=_xlfn.SINGLE(ChartLines.NumInstances), IF("USD"=_xlfn.SINGLE(ChartLines.ID), "SoleBig", "SoleOrdinary"),   1=_xlfn.SINGLE(ChartLines.InstanceNum), "Outer",   TRUE, "Inner")</f>
        <v>·</v>
      </c>
      <c r="M253" s="1" t="str">
        <f t="shared" si="1142"/>
        <v>·</v>
      </c>
      <c r="N253" s="1" t="str">
        <f t="shared" si="1143"/>
        <v>·</v>
      </c>
      <c r="O253" s="1" t="str">
        <f t="shared" si="1144"/>
        <v>·</v>
      </c>
      <c r="P253" s="1" cm="1">
        <f t="array" ref="P253" xml:space="preserve"> 1 + ROW() - _xlfn.SINGLE(ROW(ChartLines.RowNum))</f>
        <v>248</v>
      </c>
    </row>
    <row r="254" spans="2:16" x14ac:dyDescent="0.2">
      <c r="B254" s="1" t="s">
        <v>297</v>
      </c>
      <c r="C254" s="4" t="s">
        <v>91</v>
      </c>
      <c r="G254" s="1" t="s">
        <v>172</v>
      </c>
      <c r="H254" s="1" t="s">
        <v>526</v>
      </c>
      <c r="J254" s="1">
        <f t="shared" si="1140"/>
        <v>2</v>
      </c>
      <c r="K254" s="1">
        <f t="shared" si="1141"/>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si="1142"/>
        <v>134</v>
      </c>
      <c r="N254" s="1">
        <f t="shared" si="1143"/>
        <v>12</v>
      </c>
      <c r="O254" s="1">
        <f t="shared" si="1144"/>
        <v>20</v>
      </c>
      <c r="P254" s="1" cm="1">
        <f t="array" ref="P254" xml:space="preserve"> 1 + ROW() - _xlfn.SINGLE(ROW(ChartLines.RowNum))</f>
        <v>249</v>
      </c>
    </row>
    <row r="255" spans="2:16" x14ac:dyDescent="0.2">
      <c r="B255" s="1" t="s">
        <v>298</v>
      </c>
      <c r="C255" s="4" t="s">
        <v>92</v>
      </c>
      <c r="G255" s="1" t="s">
        <v>172</v>
      </c>
      <c r="H255" s="1" t="s">
        <v>423</v>
      </c>
      <c r="J255" s="1">
        <f t="shared" si="1140"/>
        <v>2</v>
      </c>
      <c r="K255" s="1">
        <f t="shared" si="1141"/>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si="1142"/>
        <v>255</v>
      </c>
      <c r="N255" s="1">
        <f t="shared" si="1143"/>
        <v>255</v>
      </c>
      <c r="O255" s="1">
        <f t="shared" si="1144"/>
        <v>255</v>
      </c>
      <c r="P255" s="1" cm="1">
        <f t="array" ref="P255" xml:space="preserve"> 1 + ROW() - _xlfn.SINGLE(ROW(ChartLines.RowNum))</f>
        <v>250</v>
      </c>
    </row>
    <row r="256" spans="2:16" x14ac:dyDescent="0.2">
      <c r="B256" s="1" t="s">
        <v>299</v>
      </c>
      <c r="C256" s="4" t="s">
        <v>93</v>
      </c>
      <c r="G256" s="1" t="s">
        <v>173</v>
      </c>
      <c r="H256" s="1" t="str">
        <f xml:space="preserve"> "039355"</f>
        <v>039355</v>
      </c>
      <c r="J256" s="1">
        <f t="shared" si="1140"/>
        <v>2</v>
      </c>
      <c r="K256" s="1">
        <f t="shared" si="1141"/>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si="1142"/>
        <v>3</v>
      </c>
      <c r="N256" s="1">
        <f t="shared" si="1143"/>
        <v>147</v>
      </c>
      <c r="O256" s="1">
        <f t="shared" si="1144"/>
        <v>85</v>
      </c>
      <c r="P256" s="1" cm="1">
        <f t="array" ref="P256" xml:space="preserve"> 1 + ROW() - _xlfn.SINGLE(ROW(ChartLines.RowNum))</f>
        <v>251</v>
      </c>
    </row>
    <row r="257" spans="2:16" x14ac:dyDescent="0.2">
      <c r="B257" s="1" t="s">
        <v>300</v>
      </c>
      <c r="C257" s="4" t="s">
        <v>94</v>
      </c>
      <c r="G257" s="1" t="s">
        <v>173</v>
      </c>
      <c r="H257" s="1" t="s">
        <v>423</v>
      </c>
      <c r="J257" s="1">
        <f t="shared" si="1140"/>
        <v>2</v>
      </c>
      <c r="K257" s="1">
        <f t="shared" si="1141"/>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si="1142"/>
        <v>255</v>
      </c>
      <c r="N257" s="1">
        <f t="shared" si="1143"/>
        <v>255</v>
      </c>
      <c r="O257" s="1">
        <f t="shared" si="1144"/>
        <v>255</v>
      </c>
      <c r="P257" s="1" cm="1">
        <f t="array" ref="P257" xml:space="preserve"> 1 + ROW() - _xlfn.SINGLE(ROW(ChartLines.RowNum))</f>
        <v>252</v>
      </c>
    </row>
    <row r="258" spans="2:16" x14ac:dyDescent="0.2">
      <c r="B258" s="1" t="s">
        <v>301</v>
      </c>
      <c r="C258" s="4" t="s">
        <v>95</v>
      </c>
      <c r="G258" s="1" t="s">
        <v>174</v>
      </c>
      <c r="H258" s="1" t="str">
        <f xml:space="preserve"> "000000"</f>
        <v>000000</v>
      </c>
      <c r="J258" s="1">
        <f t="shared" si="1140"/>
        <v>2</v>
      </c>
      <c r="K258" s="1">
        <f t="shared" si="1141"/>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si="1142"/>
        <v>0</v>
      </c>
      <c r="N258" s="1">
        <f t="shared" si="1143"/>
        <v>0</v>
      </c>
      <c r="O258" s="1">
        <f t="shared" si="1144"/>
        <v>0</v>
      </c>
      <c r="P258" s="1" cm="1">
        <f t="array" ref="P258" xml:space="preserve"> 1 + ROW() - _xlfn.SINGLE(ROW(ChartLines.RowNum))</f>
        <v>253</v>
      </c>
    </row>
    <row r="259" spans="2:16" x14ac:dyDescent="0.2">
      <c r="B259" s="1" t="s">
        <v>302</v>
      </c>
      <c r="C259" s="4" t="s">
        <v>96</v>
      </c>
      <c r="G259" s="1" t="s">
        <v>174</v>
      </c>
      <c r="H259" s="1" t="str">
        <f xml:space="preserve"> "039355"</f>
        <v>039355</v>
      </c>
      <c r="J259" s="1">
        <f t="shared" si="1140"/>
        <v>2</v>
      </c>
      <c r="K259" s="1">
        <f t="shared" si="1141"/>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si="1142"/>
        <v>3</v>
      </c>
      <c r="N259" s="1">
        <f t="shared" si="1143"/>
        <v>147</v>
      </c>
      <c r="O259" s="1">
        <f t="shared" si="1144"/>
        <v>85</v>
      </c>
      <c r="P259" s="1" cm="1">
        <f t="array" ref="P259" xml:space="preserve"> 1 + ROW() - _xlfn.SINGLE(ROW(ChartLines.RowNum))</f>
        <v>254</v>
      </c>
    </row>
    <row r="260" spans="2:16" x14ac:dyDescent="0.2">
      <c r="B260" s="1" t="s">
        <v>303</v>
      </c>
      <c r="C260" s="4" t="s">
        <v>97</v>
      </c>
      <c r="G260" s="1" t="s">
        <v>175</v>
      </c>
      <c r="H260" s="1" t="s">
        <v>527</v>
      </c>
      <c r="J260" s="1">
        <f t="shared" si="1140"/>
        <v>2</v>
      </c>
      <c r="K260" s="1">
        <f t="shared" si="1141"/>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si="1142"/>
        <v>25</v>
      </c>
      <c r="N260" s="1">
        <f t="shared" si="1143"/>
        <v>141</v>
      </c>
      <c r="O260" s="1">
        <f t="shared" si="1144"/>
        <v>102</v>
      </c>
      <c r="P260" s="1" cm="1">
        <f t="array" ref="P260" xml:space="preserve"> 1 + ROW() - _xlfn.SINGLE(ROW(ChartLines.RowNum))</f>
        <v>255</v>
      </c>
    </row>
    <row r="261" spans="2:16" x14ac:dyDescent="0.2">
      <c r="B261" s="1" t="s">
        <v>304</v>
      </c>
      <c r="C261" s="4" t="s">
        <v>98</v>
      </c>
      <c r="G261" s="1" t="s">
        <v>175</v>
      </c>
      <c r="H261" s="1" t="s">
        <v>528</v>
      </c>
      <c r="J261" s="1">
        <f t="shared" ref="J261" si="1145" xml:space="preserve"> IF(AND(LEN(ChartLines.ID)&gt;0,"Unused"&lt;&gt;ChartLines.ID), COUNTIFS(ChartLines.ID,ChartLines.ID), "·")</f>
        <v>2</v>
      </c>
      <c r="K261" s="1">
        <f t="shared" ref="K261" si="1146"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147" xml:space="preserve"> IF(LEN(ChartLines.Hex6)=6, HEX2DEC(LEFT(ChartLines.Hex6, 2)), "·")</f>
        <v>252</v>
      </c>
      <c r="N261" s="1">
        <f t="shared" ref="N261" si="1148" xml:space="preserve"> IF(LEN(ChartLines.Hex6)=6, HEX2DEC(MID(ChartLines.Hex6, 3, 2)), "·")</f>
        <v>185</v>
      </c>
      <c r="O261" s="1">
        <f t="shared" ref="O261" si="1149" xml:space="preserve"> IF(LEN(ChartLines.Hex6)=6, HEX2DEC(RIGHT(ChartLines.Hex6, 2)), "·")</f>
        <v>14</v>
      </c>
      <c r="P261" s="1" cm="1">
        <f t="array" ref="P261" xml:space="preserve"> 1 + ROW() - _xlfn.SINGLE(ROW(ChartLines.RowNum))</f>
        <v>256</v>
      </c>
    </row>
    <row r="262" spans="2:16" x14ac:dyDescent="0.2">
      <c r="B262" s="1" t="s">
        <v>305</v>
      </c>
      <c r="C262" s="4" t="s">
        <v>99</v>
      </c>
      <c r="G262" s="1" t="s">
        <v>176</v>
      </c>
      <c r="H262" s="1" t="str">
        <f xml:space="preserve"> "005073"</f>
        <v>005073</v>
      </c>
      <c r="J262" s="1">
        <f t="shared" ref="J262" si="1150" xml:space="preserve"> IF(AND(LEN(ChartLines.ID)&gt;0,"Unused"&lt;&gt;ChartLines.ID), COUNTIFS(ChartLines.ID,ChartLines.ID), "·")</f>
        <v>2</v>
      </c>
      <c r="K262" s="1">
        <f t="shared" ref="K262" si="1151"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152" xml:space="preserve"> IF(LEN(ChartLines.Hex6)=6, HEX2DEC(LEFT(ChartLines.Hex6, 2)), "·")</f>
        <v>0</v>
      </c>
      <c r="N262" s="1">
        <f t="shared" ref="N262" si="1153" xml:space="preserve"> IF(LEN(ChartLines.Hex6)=6, HEX2DEC(MID(ChartLines.Hex6, 3, 2)), "·")</f>
        <v>80</v>
      </c>
      <c r="O262" s="1">
        <f t="shared" ref="O262" si="1154" xml:space="preserve"> IF(LEN(ChartLines.Hex6)=6, HEX2DEC(RIGHT(ChartLines.Hex6, 2)), "·")</f>
        <v>115</v>
      </c>
      <c r="P262" s="1" cm="1">
        <f t="array" ref="P262" xml:space="preserve"> 1 + ROW() - _xlfn.SINGLE(ROW(ChartLines.RowNum))</f>
        <v>257</v>
      </c>
    </row>
    <row r="263" spans="2:16" x14ac:dyDescent="0.2">
      <c r="B263" s="1" t="s">
        <v>306</v>
      </c>
      <c r="C263" s="4" t="s">
        <v>100</v>
      </c>
      <c r="G263" s="1" t="s">
        <v>176</v>
      </c>
      <c r="H263" s="1" t="s">
        <v>423</v>
      </c>
      <c r="J263" s="1">
        <f t="shared" ref="J263" si="1155" xml:space="preserve"> IF(AND(LEN(ChartLines.ID)&gt;0,"Unused"&lt;&gt;ChartLines.ID), COUNTIFS(ChartLines.ID,ChartLines.ID), "·")</f>
        <v>2</v>
      </c>
      <c r="K263" s="1">
        <f t="shared" ref="K263" si="1156"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157" xml:space="preserve"> IF(LEN(ChartLines.Hex6)=6, HEX2DEC(LEFT(ChartLines.Hex6, 2)), "·")</f>
        <v>255</v>
      </c>
      <c r="N263" s="1">
        <f t="shared" ref="N263" si="1158" xml:space="preserve"> IF(LEN(ChartLines.Hex6)=6, HEX2DEC(MID(ChartLines.Hex6, 3, 2)), "·")</f>
        <v>255</v>
      </c>
      <c r="O263" s="1">
        <f t="shared" ref="O263" si="1159" xml:space="preserve"> IF(LEN(ChartLines.Hex6)=6, HEX2DEC(RIGHT(ChartLines.Hex6, 2)), "·")</f>
        <v>255</v>
      </c>
      <c r="P263" s="1" cm="1">
        <f t="array" ref="P263" xml:space="preserve"> 1 + ROW() - _xlfn.SINGLE(ROW(ChartLines.RowNum))</f>
        <v>258</v>
      </c>
    </row>
    <row r="264" spans="2:16" x14ac:dyDescent="0.2">
      <c r="B264" s="1" t="s">
        <v>307</v>
      </c>
      <c r="C264" s="4" t="s">
        <v>101</v>
      </c>
      <c r="G264" s="1" t="s">
        <v>177</v>
      </c>
      <c r="H264" s="1" t="s">
        <v>529</v>
      </c>
      <c r="J264" s="1">
        <f t="shared" ref="J264" si="1160" xml:space="preserve"> IF(AND(LEN(ChartLines.ID)&gt;0,"Unused"&lt;&gt;ChartLines.ID), COUNTIFS(ChartLines.ID,ChartLines.ID), "·")</f>
        <v>2</v>
      </c>
      <c r="K264" s="1">
        <f t="shared" ref="K264" si="1161"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162" xml:space="preserve"> IF(LEN(ChartLines.Hex6)=6, HEX2DEC(LEFT(ChartLines.Hex6, 2)), "·")</f>
        <v>43</v>
      </c>
      <c r="N264" s="1">
        <f t="shared" ref="N264" si="1163" xml:space="preserve"> IF(LEN(ChartLines.Hex6)=6, HEX2DEC(MID(ChartLines.Hex6, 3, 2)), "·")</f>
        <v>206</v>
      </c>
      <c r="O264" s="1">
        <f t="shared" ref="O264" si="1164" xml:space="preserve"> IF(LEN(ChartLines.Hex6)=6, HEX2DEC(RIGHT(ChartLines.Hex6, 2)), "·")</f>
        <v>117</v>
      </c>
      <c r="P264" s="1" cm="1">
        <f t="array" ref="P264" xml:space="preserve"> 1 + ROW() - _xlfn.SINGLE(ROW(ChartLines.RowNum))</f>
        <v>259</v>
      </c>
    </row>
    <row r="265" spans="2:16" x14ac:dyDescent="0.2">
      <c r="B265" s="1" t="s">
        <v>308</v>
      </c>
      <c r="C265" s="4" t="s">
        <v>102</v>
      </c>
      <c r="G265" s="1" t="s">
        <v>177</v>
      </c>
      <c r="H265" s="1" t="s">
        <v>530</v>
      </c>
      <c r="J265" s="1">
        <f t="shared" ref="J265" si="1165" xml:space="preserve"> IF(AND(LEN(ChartLines.ID)&gt;0,"Unused"&lt;&gt;ChartLines.ID), COUNTIFS(ChartLines.ID,ChartLines.ID), "·")</f>
        <v>2</v>
      </c>
      <c r="K265" s="1">
        <f t="shared" ref="K265" si="1166"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167" xml:space="preserve"> IF(LEN(ChartLines.Hex6)=6, HEX2DEC(LEFT(ChartLines.Hex6, 2)), "·")</f>
        <v>0</v>
      </c>
      <c r="N265" s="1">
        <f t="shared" ref="N265" si="1168" xml:space="preserve"> IF(LEN(ChartLines.Hex6)=6, HEX2DEC(MID(ChartLines.Hex6, 3, 2)), "·")</f>
        <v>70</v>
      </c>
      <c r="O265" s="1">
        <f t="shared" ref="O265" si="1169" xml:space="preserve"> IF(LEN(ChartLines.Hex6)=6, HEX2DEC(RIGHT(ChartLines.Hex6, 2)), "·")</f>
        <v>194</v>
      </c>
      <c r="P265" s="1" cm="1">
        <f t="array" ref="P265" xml:space="preserve"> 1 + ROW() - _xlfn.SINGLE(ROW(ChartLines.RowNum))</f>
        <v>260</v>
      </c>
    </row>
    <row r="266" spans="2:16" x14ac:dyDescent="0.2">
      <c r="B266" s="1" t="s">
        <v>309</v>
      </c>
      <c r="C266" s="4" t="s">
        <v>103</v>
      </c>
      <c r="G266" s="1" t="s">
        <v>178</v>
      </c>
      <c r="H266" s="1" t="s">
        <v>531</v>
      </c>
      <c r="J266" s="1">
        <f t="shared" ref="J266" si="1170" xml:space="preserve"> IF(AND(LEN(ChartLines.ID)&gt;0,"Unused"&lt;&gt;ChartLines.ID), COUNTIFS(ChartLines.ID,ChartLines.ID), "·")</f>
        <v>2</v>
      </c>
      <c r="K266" s="1">
        <f t="shared" ref="K266" si="1171"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172" xml:space="preserve"> IF(LEN(ChartLines.Hex6)=6, HEX2DEC(LEFT(ChartLines.Hex6, 2)), "·")</f>
        <v>239</v>
      </c>
      <c r="N266" s="1">
        <f t="shared" ref="N266" si="1173" xml:space="preserve"> IF(LEN(ChartLines.Hex6)=6, HEX2DEC(MID(ChartLines.Hex6, 3, 2)), "·")</f>
        <v>190</v>
      </c>
      <c r="O266" s="1">
        <f t="shared" ref="O266" si="1174" xml:space="preserve"> IF(LEN(ChartLines.Hex6)=6, HEX2DEC(RIGHT(ChartLines.Hex6, 2)), "·")</f>
        <v>32</v>
      </c>
      <c r="P266" s="1" cm="1">
        <f t="array" ref="P266" xml:space="preserve"> 1 + ROW() - _xlfn.SINGLE(ROW(ChartLines.RowNum))</f>
        <v>261</v>
      </c>
    </row>
    <row r="267" spans="2:16" x14ac:dyDescent="0.2">
      <c r="B267" s="1" t="s">
        <v>310</v>
      </c>
      <c r="C267" s="4" t="s">
        <v>104</v>
      </c>
      <c r="G267" s="1" t="s">
        <v>178</v>
      </c>
      <c r="H267" s="1" t="s">
        <v>532</v>
      </c>
      <c r="J267" s="1">
        <f t="shared" ref="J267" si="1175" xml:space="preserve"> IF(AND(LEN(ChartLines.ID)&gt;0,"Unused"&lt;&gt;ChartLines.ID), COUNTIFS(ChartLines.ID,ChartLines.ID), "·")</f>
        <v>2</v>
      </c>
      <c r="K267" s="1">
        <f t="shared" ref="K267" si="1176"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177" xml:space="preserve"> IF(LEN(ChartLines.Hex6)=6, HEX2DEC(LEFT(ChartLines.Hex6, 2)), "·")</f>
        <v>11</v>
      </c>
      <c r="N267" s="1">
        <f t="shared" ref="N267" si="1178" xml:space="preserve"> IF(LEN(ChartLines.Hex6)=6, HEX2DEC(MID(ChartLines.Hex6, 3, 2)), "·")</f>
        <v>92</v>
      </c>
      <c r="O267" s="1">
        <f t="shared" ref="O267" si="1179" xml:space="preserve"> IF(LEN(ChartLines.Hex6)=6, HEX2DEC(RIGHT(ChartLines.Hex6, 2)), "·")</f>
        <v>174</v>
      </c>
      <c r="P267" s="1" cm="1">
        <f t="array" ref="P267" xml:space="preserve"> 1 + ROW() - _xlfn.SINGLE(ROW(ChartLines.RowNum))</f>
        <v>262</v>
      </c>
    </row>
    <row r="268" spans="2:16" x14ac:dyDescent="0.2">
      <c r="B268" s="1" t="s">
        <v>311</v>
      </c>
      <c r="C268" s="4" t="s">
        <v>105</v>
      </c>
      <c r="G268" s="1" t="s">
        <v>179</v>
      </c>
      <c r="H268" s="1" t="str">
        <f xml:space="preserve"> "056839"</f>
        <v>056839</v>
      </c>
      <c r="J268" s="1">
        <f t="shared" ref="J268" si="1180" xml:space="preserve"> IF(AND(LEN(ChartLines.ID)&gt;0,"Unused"&lt;&gt;ChartLines.ID), COUNTIFS(ChartLines.ID,ChartLines.ID), "·")</f>
        <v>2</v>
      </c>
      <c r="K268" s="1">
        <f t="shared" ref="K268" si="1181"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Outer</v>
      </c>
      <c r="M268" s="1">
        <f t="shared" ref="M268" si="1182" xml:space="preserve"> IF(LEN(ChartLines.Hex6)=6, HEX2DEC(LEFT(ChartLines.Hex6, 2)), "·")</f>
        <v>5</v>
      </c>
      <c r="N268" s="1">
        <f t="shared" ref="N268" si="1183" xml:space="preserve"> IF(LEN(ChartLines.Hex6)=6, HEX2DEC(MID(ChartLines.Hex6, 3, 2)), "·")</f>
        <v>104</v>
      </c>
      <c r="O268" s="1">
        <f t="shared" ref="O268" si="1184" xml:space="preserve"> IF(LEN(ChartLines.Hex6)=6, HEX2DEC(RIGHT(ChartLines.Hex6, 2)), "·")</f>
        <v>57</v>
      </c>
      <c r="P268" s="1" cm="1">
        <f t="array" ref="P268" xml:space="preserve"> 1 + ROW() - _xlfn.SINGLE(ROW(ChartLines.RowNum))</f>
        <v>263</v>
      </c>
    </row>
    <row r="269" spans="2:16" x14ac:dyDescent="0.2">
      <c r="B269" s="1" t="s">
        <v>312</v>
      </c>
      <c r="C269" s="4" t="s">
        <v>106</v>
      </c>
      <c r="G269" s="1" t="s">
        <v>179</v>
      </c>
      <c r="H269" s="1" t="s">
        <v>533</v>
      </c>
      <c r="J269" s="1">
        <f t="shared" ref="J269" si="1185" xml:space="preserve"> IF(AND(LEN(ChartLines.ID)&gt;0,"Unused"&lt;&gt;ChartLines.ID), COUNTIFS(ChartLines.ID,ChartLines.ID), "·")</f>
        <v>2</v>
      </c>
      <c r="K269" s="1">
        <f t="shared" ref="K269" si="1186" xml:space="preserve"> IF(AND(LEN(ChartLines.ID)&gt;0,"Unused"&lt;&gt;ChartLines.ID), COUNTIFS(ChartLines.ID,ChartLines.ID,   ChartLines.RowNum,"&lt;="&amp;ChartLines.RowNum), "·")</f>
        <v>2</v>
      </c>
      <c r="L269" s="1" t="str" cm="1">
        <f t="array" ref="L269" xml:space="preserve"> _xlfn.IFS(OR(LEN(_xlfn.SINGLE(ChartLines.ID))=0,"Unused"=_xlfn.SINGLE(ChartLines.ID)), "·",   1=_xlfn.SINGLE(ChartLines.NumInstances), IF("USD"=_xlfn.SINGLE(ChartLines.ID), "SoleBig", "SoleOrdinary"),   1=_xlfn.SINGLE(ChartLines.InstanceNum), "Outer",   TRUE, "Inner")</f>
        <v>Inner</v>
      </c>
      <c r="M269" s="1">
        <f t="shared" ref="M269" si="1187" xml:space="preserve"> IF(LEN(ChartLines.Hex6)=6, HEX2DEC(LEFT(ChartLines.Hex6, 2)), "·")</f>
        <v>190</v>
      </c>
      <c r="N269" s="1">
        <f t="shared" ref="N269" si="1188" xml:space="preserve"> IF(LEN(ChartLines.Hex6)=6, HEX2DEC(MID(ChartLines.Hex6, 3, 2)), "·")</f>
        <v>214</v>
      </c>
      <c r="O269" s="1">
        <f t="shared" ref="O269" si="1189" xml:space="preserve"> IF(LEN(ChartLines.Hex6)=6, HEX2DEC(RIGHT(ChartLines.Hex6, 2)), "·")</f>
        <v>47</v>
      </c>
      <c r="P269" s="1" cm="1">
        <f t="array" ref="P269" xml:space="preserve"> 1 + ROW() - _xlfn.SINGLE(ROW(ChartLines.RowNum))</f>
        <v>264</v>
      </c>
    </row>
    <row r="270" spans="2:16" x14ac:dyDescent="0.2">
      <c r="B270" s="1" t="s">
        <v>313</v>
      </c>
      <c r="C270" s="4" t="s">
        <v>107</v>
      </c>
      <c r="G270" s="1" t="s">
        <v>180</v>
      </c>
      <c r="H270" s="1" t="str">
        <f xml:space="preserve"> "000000"</f>
        <v>000000</v>
      </c>
      <c r="J270" s="1">
        <f t="shared" ref="J270" si="1190" xml:space="preserve"> IF(AND(LEN(ChartLines.ID)&gt;0,"Unused"&lt;&gt;ChartLines.ID), COUNTIFS(ChartLines.ID,ChartLines.ID), "·")</f>
        <v>2</v>
      </c>
      <c r="K270" s="1">
        <f t="shared" ref="K270" si="1191" xml:space="preserve"> IF(AND(LEN(ChartLines.ID)&gt;0,"Unused"&lt;&gt;ChartLines.ID), COUNTIFS(ChartLines.ID,ChartLines.ID,   ChartLines.RowNum,"&lt;="&amp;ChartLines.RowNum), "·")</f>
        <v>1</v>
      </c>
      <c r="L270" s="1" t="str" cm="1">
        <f t="array" ref="L270" xml:space="preserve"> _xlfn.IFS(OR(LEN(_xlfn.SINGLE(ChartLines.ID))=0,"Unused"=_xlfn.SINGLE(ChartLines.ID)), "·",   1=_xlfn.SINGLE(ChartLines.NumInstances), IF("USD"=_xlfn.SINGLE(ChartLines.ID), "SoleBig", "SoleOrdinary"),   1=_xlfn.SINGLE(ChartLines.InstanceNum), "Outer",   TRUE, "Inner")</f>
        <v>Outer</v>
      </c>
      <c r="M270" s="1">
        <f t="shared" ref="M270" si="1192" xml:space="preserve"> IF(LEN(ChartLines.Hex6)=6, HEX2DEC(LEFT(ChartLines.Hex6, 2)), "·")</f>
        <v>0</v>
      </c>
      <c r="N270" s="1">
        <f t="shared" ref="N270" si="1193" xml:space="preserve"> IF(LEN(ChartLines.Hex6)=6, HEX2DEC(MID(ChartLines.Hex6, 3, 2)), "·")</f>
        <v>0</v>
      </c>
      <c r="O270" s="1">
        <f t="shared" ref="O270" si="1194" xml:space="preserve"> IF(LEN(ChartLines.Hex6)=6, HEX2DEC(RIGHT(ChartLines.Hex6, 2)), "·")</f>
        <v>0</v>
      </c>
      <c r="P270" s="1" cm="1">
        <f t="array" ref="P270" xml:space="preserve"> 1 + ROW() - _xlfn.SINGLE(ROW(ChartLines.RowNum))</f>
        <v>265</v>
      </c>
    </row>
    <row r="271" spans="2:16" x14ac:dyDescent="0.2">
      <c r="B271" s="1" t="s">
        <v>314</v>
      </c>
      <c r="C271" s="4" t="s">
        <v>108</v>
      </c>
      <c r="G271" s="1" t="s">
        <v>180</v>
      </c>
      <c r="H271" s="1" t="s">
        <v>423</v>
      </c>
      <c r="J271" s="1">
        <f t="shared" ref="J271" si="1195" xml:space="preserve"> IF(AND(LEN(ChartLines.ID)&gt;0,"Unused"&lt;&gt;ChartLines.ID), COUNTIFS(ChartLines.ID,ChartLines.ID), "·")</f>
        <v>2</v>
      </c>
      <c r="K271" s="1">
        <f t="shared" ref="K271" si="1196" xml:space="preserve"> IF(AND(LEN(ChartLines.ID)&gt;0,"Unused"&lt;&gt;ChartLines.ID), COUNTIFS(ChartLines.ID,ChartLines.ID,   ChartLines.RowNum,"&lt;="&amp;ChartLines.RowNum), "·")</f>
        <v>2</v>
      </c>
      <c r="L271" s="1" t="str" cm="1">
        <f t="array" ref="L271" xml:space="preserve"> _xlfn.IFS(OR(LEN(_xlfn.SINGLE(ChartLines.ID))=0,"Unused"=_xlfn.SINGLE(ChartLines.ID)), "·",   1=_xlfn.SINGLE(ChartLines.NumInstances), IF("USD"=_xlfn.SINGLE(ChartLines.ID), "SoleBig", "SoleOrdinary"),   1=_xlfn.SINGLE(ChartLines.InstanceNum), "Outer",   TRUE, "Inner")</f>
        <v>Inner</v>
      </c>
      <c r="M271" s="1">
        <f t="shared" ref="M271" si="1197" xml:space="preserve"> IF(LEN(ChartLines.Hex6)=6, HEX2DEC(LEFT(ChartLines.Hex6, 2)), "·")</f>
        <v>255</v>
      </c>
      <c r="N271" s="1">
        <f t="shared" ref="N271" si="1198" xml:space="preserve"> IF(LEN(ChartLines.Hex6)=6, HEX2DEC(MID(ChartLines.Hex6, 3, 2)), "·")</f>
        <v>255</v>
      </c>
      <c r="O271" s="1">
        <f t="shared" ref="O271" si="1199" xml:space="preserve"> IF(LEN(ChartLines.Hex6)=6, HEX2DEC(RIGHT(ChartLines.Hex6, 2)), "·")</f>
        <v>255</v>
      </c>
      <c r="P271" s="1" cm="1">
        <f t="array" ref="P271" xml:space="preserve"> 1 + ROW() - _xlfn.SINGLE(ROW(ChartLines.RowNum))</f>
        <v>266</v>
      </c>
    </row>
    <row r="272" spans="2:16" x14ac:dyDescent="0.2">
      <c r="B272" s="1" t="s">
        <v>315</v>
      </c>
      <c r="C272" s="4" t="s">
        <v>109</v>
      </c>
      <c r="G272" s="1" t="s">
        <v>181</v>
      </c>
      <c r="H272" s="1" t="s">
        <v>534</v>
      </c>
      <c r="J272" s="1">
        <f t="shared" ref="J272" si="1200" xml:space="preserve"> IF(AND(LEN(ChartLines.ID)&gt;0,"Unused"&lt;&gt;ChartLines.ID), COUNTIFS(ChartLines.ID,ChartLines.ID), "·")</f>
        <v>1</v>
      </c>
      <c r="K272" s="1">
        <f t="shared" ref="K272" si="1201" xml:space="preserve"> IF(AND(LEN(ChartLines.ID)&gt;0,"Unused"&lt;&gt;ChartLines.ID), COUNTIFS(ChartLines.ID,ChartLines.ID,   ChartLines.RowNum,"&lt;="&amp;ChartLines.RowNum), "·")</f>
        <v>1</v>
      </c>
      <c r="L272" s="1" t="str" cm="1">
        <f t="array" ref="L272" xml:space="preserve"> _xlfn.IFS(OR(LEN(_xlfn.SINGLE(ChartLines.ID))=0,"Unused"=_xlfn.SINGLE(ChartLines.ID)), "·",   1=_xlfn.SINGLE(ChartLines.NumInstances), IF("USD"=_xlfn.SINGLE(ChartLines.ID), "SoleBig", "SoleOrdinary"),   1=_xlfn.SINGLE(ChartLines.InstanceNum), "Outer",   TRUE, "Inner")</f>
        <v>SoleOrdinary</v>
      </c>
      <c r="M272" s="1">
        <f t="shared" ref="M272" si="1202" xml:space="preserve"> IF(LEN(ChartLines.Hex6)=6, HEX2DEC(LEFT(ChartLines.Hex6, 2)), "·")</f>
        <v>0</v>
      </c>
      <c r="N272" s="1">
        <f t="shared" ref="N272" si="1203" xml:space="preserve"> IF(LEN(ChartLines.Hex6)=6, HEX2DEC(MID(ChartLines.Hex6, 3, 2)), "·")</f>
        <v>76</v>
      </c>
      <c r="O272" s="1">
        <f t="shared" ref="O272" si="1204" xml:space="preserve"> IF(LEN(ChartLines.Hex6)=6, HEX2DEC(RIGHT(ChartLines.Hex6, 2)), "·")</f>
        <v>151</v>
      </c>
      <c r="P272" s="1" cm="1">
        <f t="array" ref="P272" xml:space="preserve"> 1 + ROW() - _xlfn.SINGLE(ROW(ChartLines.RowNum))</f>
        <v>267</v>
      </c>
    </row>
    <row r="273" spans="2:16" x14ac:dyDescent="0.2">
      <c r="B273" s="1" t="s">
        <v>316</v>
      </c>
      <c r="C273" s="4" t="s">
        <v>110</v>
      </c>
      <c r="G273" s="1" t="s">
        <v>419</v>
      </c>
      <c r="J273" s="1" t="str">
        <f t="shared" ref="J273" si="1205" xml:space="preserve"> IF(AND(LEN(ChartLines.ID)&gt;0,"Unused"&lt;&gt;ChartLines.ID), COUNTIFS(ChartLines.ID,ChartLines.ID), "·")</f>
        <v>·</v>
      </c>
      <c r="K273" s="1" t="str">
        <f t="shared" ref="K273" si="1206" xml:space="preserve"> IF(AND(LEN(ChartLines.ID)&gt;0,"Unused"&lt;&gt;ChartLines.ID), COUNTIFS(ChartLines.ID,ChartLines.ID,   ChartLines.RowNum,"&lt;="&amp;ChartLines.RowNum), "·")</f>
        <v>·</v>
      </c>
      <c r="L273" s="1" t="str" cm="1">
        <f t="array" ref="L273" xml:space="preserve"> _xlfn.IFS(OR(LEN(_xlfn.SINGLE(ChartLines.ID))=0,"Unused"=_xlfn.SINGLE(ChartLines.ID)), "·",   1=_xlfn.SINGLE(ChartLines.NumInstances), IF("USD"=_xlfn.SINGLE(ChartLines.ID), "SoleBig", "SoleOrdinary"),   1=_xlfn.SINGLE(ChartLines.InstanceNum), "Outer",   TRUE, "Inner")</f>
        <v>·</v>
      </c>
      <c r="M273" s="1" t="str">
        <f t="shared" ref="M273" si="1207" xml:space="preserve"> IF(LEN(ChartLines.Hex6)=6, HEX2DEC(LEFT(ChartLines.Hex6, 2)), "·")</f>
        <v>·</v>
      </c>
      <c r="N273" s="1" t="str">
        <f t="shared" ref="N273" si="1208" xml:space="preserve"> IF(LEN(ChartLines.Hex6)=6, HEX2DEC(MID(ChartLines.Hex6, 3, 2)), "·")</f>
        <v>·</v>
      </c>
      <c r="O273" s="1" t="str">
        <f t="shared" ref="O273" si="1209" xml:space="preserve"> IF(LEN(ChartLines.Hex6)=6, HEX2DEC(RIGHT(ChartLines.Hex6, 2)), "·")</f>
        <v>·</v>
      </c>
      <c r="P273" s="1" cm="1">
        <f t="array" ref="P273" xml:space="preserve"> 1 + ROW() - _xlfn.SINGLE(ROW(ChartLines.RowNum))</f>
        <v>268</v>
      </c>
    </row>
    <row r="274" spans="2:16" x14ac:dyDescent="0.2">
      <c r="B274" s="1" t="s">
        <v>317</v>
      </c>
      <c r="C274" s="4" t="s">
        <v>111</v>
      </c>
      <c r="J274" s="1" t="str">
        <f t="shared" ref="J274" si="1210" xml:space="preserve"> IF(AND(LEN(ChartLines.ID)&gt;0,"Unused"&lt;&gt;ChartLines.ID), COUNTIFS(ChartLines.ID,ChartLines.ID), "·")</f>
        <v>·</v>
      </c>
      <c r="K274" s="1" t="str">
        <f t="shared" ref="K274" si="1211" xml:space="preserve"> IF(AND(LEN(ChartLines.ID)&gt;0,"Unused"&lt;&gt;ChartLines.ID), COUNTIFS(ChartLines.ID,ChartLines.ID,   ChartLines.RowNum,"&lt;="&amp;ChartLines.RowNum), "·")</f>
        <v>·</v>
      </c>
      <c r="L274" s="1" t="str" cm="1">
        <f t="array" ref="L274" xml:space="preserve"> _xlfn.IFS(OR(LEN(_xlfn.SINGLE(ChartLines.ID))=0,"Unused"=_xlfn.SINGLE(ChartLines.ID)), "·",   1=_xlfn.SINGLE(ChartLines.NumInstances), IF("USD"=_xlfn.SINGLE(ChartLines.ID), "SoleBig", "SoleOrdinary"),   1=_xlfn.SINGLE(ChartLines.InstanceNum), "Outer",   TRUE, "Inner")</f>
        <v>·</v>
      </c>
      <c r="M274" s="1" t="str">
        <f t="shared" ref="M274" si="1212" xml:space="preserve"> IF(LEN(ChartLines.Hex6)=6, HEX2DEC(LEFT(ChartLines.Hex6, 2)), "·")</f>
        <v>·</v>
      </c>
      <c r="N274" s="1" t="str">
        <f t="shared" ref="N274" si="1213" xml:space="preserve"> IF(LEN(ChartLines.Hex6)=6, HEX2DEC(MID(ChartLines.Hex6, 3, 2)), "·")</f>
        <v>·</v>
      </c>
      <c r="O274" s="1" t="str">
        <f t="shared" ref="O274" si="1214" xml:space="preserve"> IF(LEN(ChartLines.Hex6)=6, HEX2DEC(RIGHT(ChartLines.Hex6, 2)), "·")</f>
        <v>·</v>
      </c>
      <c r="P274" s="1" cm="1">
        <f t="array" ref="P274" xml:space="preserve"> 1 + ROW() - _xlfn.SINGLE(ROW(ChartLines.RowNum))</f>
        <v>269</v>
      </c>
    </row>
    <row r="275" spans="2:16" x14ac:dyDescent="0.2">
      <c r="B275" s="1" t="s">
        <v>318</v>
      </c>
      <c r="C275" s="4" t="s">
        <v>112</v>
      </c>
      <c r="G275" s="1" t="s">
        <v>182</v>
      </c>
      <c r="H275" s="1" t="str">
        <f xml:space="preserve"> "996515"</f>
        <v>996515</v>
      </c>
      <c r="J275" s="1">
        <f t="shared" ref="J275" si="1215" xml:space="preserve"> IF(AND(LEN(ChartLines.ID)&gt;0,"Unused"&lt;&gt;ChartLines.ID), COUNTIFS(ChartLines.ID,ChartLines.ID), "·")</f>
        <v>2</v>
      </c>
      <c r="K275" s="1">
        <f t="shared" ref="K275" si="1216"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217" xml:space="preserve"> IF(LEN(ChartLines.Hex6)=6, HEX2DEC(LEFT(ChartLines.Hex6, 2)), "·")</f>
        <v>153</v>
      </c>
      <c r="N275" s="1">
        <f t="shared" ref="N275" si="1218" xml:space="preserve"> IF(LEN(ChartLines.Hex6)=6, HEX2DEC(MID(ChartLines.Hex6, 3, 2)), "·")</f>
        <v>101</v>
      </c>
      <c r="O275" s="1">
        <f t="shared" ref="O275" si="1219" xml:space="preserve"> IF(LEN(ChartLines.Hex6)=6, HEX2DEC(RIGHT(ChartLines.Hex6, 2)), "·")</f>
        <v>21</v>
      </c>
      <c r="P275" s="1" cm="1">
        <f t="array" ref="P275" xml:space="preserve"> 1 + ROW() - _xlfn.SINGLE(ROW(ChartLines.RowNum))</f>
        <v>270</v>
      </c>
    </row>
    <row r="276" spans="2:16" x14ac:dyDescent="0.2">
      <c r="B276" s="1" t="s">
        <v>319</v>
      </c>
      <c r="C276" s="4" t="s">
        <v>113</v>
      </c>
      <c r="G276" s="1" t="s">
        <v>182</v>
      </c>
      <c r="H276" s="1" t="str">
        <f xml:space="preserve"> "D4AF37"</f>
        <v>D4AF37</v>
      </c>
      <c r="J276" s="1">
        <f t="shared" ref="J276" si="1220" xml:space="preserve"> IF(AND(LEN(ChartLines.ID)&gt;0,"Unused"&lt;&gt;ChartLines.ID), COUNTIFS(ChartLines.ID,ChartLines.ID), "·")</f>
        <v>2</v>
      </c>
      <c r="K276" s="1">
        <f t="shared" ref="K276" si="1221"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222" xml:space="preserve"> IF(LEN(ChartLines.Hex6)=6, HEX2DEC(LEFT(ChartLines.Hex6, 2)), "·")</f>
        <v>212</v>
      </c>
      <c r="N276" s="1">
        <f t="shared" ref="N276" si="1223" xml:space="preserve"> IF(LEN(ChartLines.Hex6)=6, HEX2DEC(MID(ChartLines.Hex6, 3, 2)), "·")</f>
        <v>175</v>
      </c>
      <c r="O276" s="1">
        <f t="shared" ref="O276" si="1224" xml:space="preserve"> IF(LEN(ChartLines.Hex6)=6, HEX2DEC(RIGHT(ChartLines.Hex6, 2)), "·")</f>
        <v>55</v>
      </c>
      <c r="P276" s="1" cm="1">
        <f t="array" ref="P276" xml:space="preserve"> 1 + ROW() - _xlfn.SINGLE(ROW(ChartLines.RowNum))</f>
        <v>271</v>
      </c>
    </row>
    <row r="277" spans="2:16" x14ac:dyDescent="0.2">
      <c r="B277" s="1" t="s">
        <v>320</v>
      </c>
      <c r="C277" s="4" t="s">
        <v>114</v>
      </c>
      <c r="G277" s="1" t="s">
        <v>183</v>
      </c>
      <c r="H277" s="1" t="s">
        <v>535</v>
      </c>
      <c r="J277" s="1">
        <f t="shared" ref="J277" si="1225" xml:space="preserve"> IF(AND(LEN(ChartLines.ID)&gt;0,"Unused"&lt;&gt;ChartLines.ID), COUNTIFS(ChartLines.ID,ChartLines.ID), "·")</f>
        <v>2</v>
      </c>
      <c r="K277" s="1">
        <f t="shared" ref="K277" si="1226" xml:space="preserve"> IF(AND(LEN(ChartLines.ID)&gt;0,"Unused"&lt;&gt;ChartLines.ID), COUNTIFS(ChartLines.ID,ChartLines.ID,   ChartLines.RowNum,"&lt;="&amp;ChartLines.RowNum), "·")</f>
        <v>1</v>
      </c>
      <c r="L277" s="1" t="str" cm="1">
        <f t="array" ref="L277" xml:space="preserve"> _xlfn.IFS(OR(LEN(_xlfn.SINGLE(ChartLines.ID))=0,"Unused"=_xlfn.SINGLE(ChartLines.ID)), "·",   1=_xlfn.SINGLE(ChartLines.NumInstances), IF("USD"=_xlfn.SINGLE(ChartLines.ID), "SoleBig", "SoleOrdinary"),   1=_xlfn.SINGLE(ChartLines.InstanceNum), "Outer",   TRUE, "Inner")</f>
        <v>Outer</v>
      </c>
      <c r="M277" s="1">
        <f t="shared" ref="M277" si="1227" xml:space="preserve"> IF(LEN(ChartLines.Hex6)=6, HEX2DEC(LEFT(ChartLines.Hex6, 2)), "·")</f>
        <v>92</v>
      </c>
      <c r="N277" s="1">
        <f t="shared" ref="N277" si="1228" xml:space="preserve"> IF(LEN(ChartLines.Hex6)=6, HEX2DEC(MID(ChartLines.Hex6, 3, 2)), "·")</f>
        <v>92</v>
      </c>
      <c r="O277" s="1">
        <f t="shared" ref="O277" si="1229" xml:space="preserve"> IF(LEN(ChartLines.Hex6)=6, HEX2DEC(RIGHT(ChartLines.Hex6, 2)), "·")</f>
        <v>92</v>
      </c>
      <c r="P277" s="1" cm="1">
        <f t="array" ref="P277" xml:space="preserve"> 1 + ROW() - _xlfn.SINGLE(ROW(ChartLines.RowNum))</f>
        <v>272</v>
      </c>
    </row>
    <row r="278" spans="2:16" x14ac:dyDescent="0.2">
      <c r="B278" s="1" t="s">
        <v>321</v>
      </c>
      <c r="C278" s="4" t="s">
        <v>115</v>
      </c>
      <c r="G278" s="1" t="s">
        <v>183</v>
      </c>
      <c r="H278" s="1" t="str">
        <f xml:space="preserve"> "C0C0C0"</f>
        <v>C0C0C0</v>
      </c>
      <c r="J278" s="1">
        <f t="shared" ref="J278" si="1230" xml:space="preserve"> IF(AND(LEN(ChartLines.ID)&gt;0,"Unused"&lt;&gt;ChartLines.ID), COUNTIFS(ChartLines.ID,ChartLines.ID), "·")</f>
        <v>2</v>
      </c>
      <c r="K278" s="1">
        <f t="shared" ref="K278" si="1231" xml:space="preserve"> IF(AND(LEN(ChartLines.ID)&gt;0,"Unused"&lt;&gt;ChartLines.ID), COUNTIFS(ChartLines.ID,ChartLines.ID,   ChartLines.RowNum,"&lt;="&amp;ChartLines.RowNum), "·")</f>
        <v>2</v>
      </c>
      <c r="L278" s="1" t="str" cm="1">
        <f t="array" ref="L278" xml:space="preserve"> _xlfn.IFS(OR(LEN(_xlfn.SINGLE(ChartLines.ID))=0,"Unused"=_xlfn.SINGLE(ChartLines.ID)), "·",   1=_xlfn.SINGLE(ChartLines.NumInstances), IF("USD"=_xlfn.SINGLE(ChartLines.ID), "SoleBig", "SoleOrdinary"),   1=_xlfn.SINGLE(ChartLines.InstanceNum), "Outer",   TRUE, "Inner")</f>
        <v>Inner</v>
      </c>
      <c r="M278" s="1">
        <f t="shared" ref="M278" si="1232" xml:space="preserve"> IF(LEN(ChartLines.Hex6)=6, HEX2DEC(LEFT(ChartLines.Hex6, 2)), "·")</f>
        <v>192</v>
      </c>
      <c r="N278" s="1">
        <f t="shared" ref="N278" si="1233" xml:space="preserve"> IF(LEN(ChartLines.Hex6)=6, HEX2DEC(MID(ChartLines.Hex6, 3, 2)), "·")</f>
        <v>192</v>
      </c>
      <c r="O278" s="1">
        <f t="shared" ref="O278" si="1234" xml:space="preserve"> IF(LEN(ChartLines.Hex6)=6, HEX2DEC(RIGHT(ChartLines.Hex6, 2)), "·")</f>
        <v>192</v>
      </c>
      <c r="P278" s="1" cm="1">
        <f t="array" ref="P278" xml:space="preserve"> 1 + ROW() - _xlfn.SINGLE(ROW(ChartLines.RowNum))</f>
        <v>273</v>
      </c>
    </row>
    <row r="279" spans="2:16" x14ac:dyDescent="0.2">
      <c r="B279" s="1" t="s">
        <v>322</v>
      </c>
      <c r="C279" s="4" t="s">
        <v>116</v>
      </c>
      <c r="G279" s="1" t="s">
        <v>184</v>
      </c>
      <c r="H279" s="1" t="s">
        <v>536</v>
      </c>
      <c r="J279" s="1">
        <f t="shared" ref="J279" si="1235" xml:space="preserve"> IF(AND(LEN(ChartLines.ID)&gt;0,"Unused"&lt;&gt;ChartLines.ID), COUNTIFS(ChartLines.ID,ChartLines.ID), "·")</f>
        <v>2</v>
      </c>
      <c r="K279" s="1">
        <f t="shared" ref="K279" si="1236" xml:space="preserve"> IF(AND(LEN(ChartLines.ID)&gt;0,"Unused"&lt;&gt;ChartLines.ID), COUNTIFS(ChartLines.ID,ChartLines.ID,   ChartLines.RowNum,"&lt;="&amp;ChartLines.RowNum), "·")</f>
        <v>1</v>
      </c>
      <c r="L279" s="1" t="str" cm="1">
        <f t="array" ref="L279" xml:space="preserve"> _xlfn.IFS(OR(LEN(_xlfn.SINGLE(ChartLines.ID))=0,"Unused"=_xlfn.SINGLE(ChartLines.ID)), "·",   1=_xlfn.SINGLE(ChartLines.NumInstances), IF("USD"=_xlfn.SINGLE(ChartLines.ID), "SoleBig", "SoleOrdinary"),   1=_xlfn.SINGLE(ChartLines.InstanceNum), "Outer",   TRUE, "Inner")</f>
        <v>Outer</v>
      </c>
      <c r="M279" s="1">
        <f t="shared" ref="M279" si="1237" xml:space="preserve"> IF(LEN(ChartLines.Hex6)=6, HEX2DEC(LEFT(ChartLines.Hex6, 2)), "·")</f>
        <v>217</v>
      </c>
      <c r="N279" s="1">
        <f t="shared" ref="N279" si="1238" xml:space="preserve"> IF(LEN(ChartLines.Hex6)=6, HEX2DEC(MID(ChartLines.Hex6, 3, 2)), "·")</f>
        <v>91</v>
      </c>
      <c r="O279" s="1">
        <f t="shared" ref="O279" si="1239" xml:space="preserve"> IF(LEN(ChartLines.Hex6)=6, HEX2DEC(RIGHT(ChartLines.Hex6, 2)), "·")</f>
        <v>20</v>
      </c>
      <c r="P279" s="1" cm="1">
        <f t="array" ref="P279" xml:space="preserve"> 1 + ROW() - _xlfn.SINGLE(ROW(ChartLines.RowNum))</f>
        <v>274</v>
      </c>
    </row>
    <row r="280" spans="2:16" x14ac:dyDescent="0.2">
      <c r="B280" s="1" t="s">
        <v>323</v>
      </c>
      <c r="C280" s="4" t="s">
        <v>117</v>
      </c>
      <c r="G280" s="1" t="s">
        <v>184</v>
      </c>
      <c r="H280" s="1" t="s">
        <v>537</v>
      </c>
      <c r="J280" s="1">
        <f t="shared" ref="J280" si="1240" xml:space="preserve"> IF(AND(LEN(ChartLines.ID)&gt;0,"Unused"&lt;&gt;ChartLines.ID), COUNTIFS(ChartLines.ID,ChartLines.ID), "·")</f>
        <v>2</v>
      </c>
      <c r="K280" s="1">
        <f t="shared" ref="K280" si="1241" xml:space="preserve"> IF(AND(LEN(ChartLines.ID)&gt;0,"Unused"&lt;&gt;ChartLines.ID), COUNTIFS(ChartLines.ID,ChartLines.ID,   ChartLines.RowNum,"&lt;="&amp;ChartLines.RowNum), "·")</f>
        <v>2</v>
      </c>
      <c r="L280" s="1" t="str" cm="1">
        <f t="array" ref="L280" xml:space="preserve"> _xlfn.IFS(OR(LEN(_xlfn.SINGLE(ChartLines.ID))=0,"Unused"=_xlfn.SINGLE(ChartLines.ID)), "·",   1=_xlfn.SINGLE(ChartLines.NumInstances), IF("USD"=_xlfn.SINGLE(ChartLines.ID), "SoleBig", "SoleOrdinary"),   1=_xlfn.SINGLE(ChartLines.InstanceNum), "Outer",   TRUE, "Inner")</f>
        <v>Inner</v>
      </c>
      <c r="M280" s="1">
        <f t="shared" ref="M280" si="1242" xml:space="preserve"> IF(LEN(ChartLines.Hex6)=6, HEX2DEC(LEFT(ChartLines.Hex6, 2)), "·")</f>
        <v>199</v>
      </c>
      <c r="N280" s="1">
        <f t="shared" ref="N280" si="1243" xml:space="preserve"> IF(LEN(ChartLines.Hex6)=6, HEX2DEC(MID(ChartLines.Hex6, 3, 2)), "·")</f>
        <v>199</v>
      </c>
      <c r="O280" s="1">
        <f t="shared" ref="O280" si="1244" xml:space="preserve"> IF(LEN(ChartLines.Hex6)=6, HEX2DEC(RIGHT(ChartLines.Hex6, 2)), "·")</f>
        <v>199</v>
      </c>
      <c r="P280" s="1" cm="1">
        <f t="array" ref="P280" xml:space="preserve"> 1 + ROW() - _xlfn.SINGLE(ROW(ChartLines.RowNum))</f>
        <v>275</v>
      </c>
    </row>
    <row r="281" spans="2:16" x14ac:dyDescent="0.2">
      <c r="B281" s="1" t="s">
        <v>324</v>
      </c>
      <c r="C281" s="4" t="s">
        <v>118</v>
      </c>
    </row>
    <row r="282" spans="2:16" x14ac:dyDescent="0.2">
      <c r="B282" s="1" t="s">
        <v>325</v>
      </c>
      <c r="C282" s="4" t="s">
        <v>119</v>
      </c>
    </row>
    <row r="283" spans="2:16" x14ac:dyDescent="0.2">
      <c r="B283" s="1" t="s">
        <v>326</v>
      </c>
      <c r="C283" s="4" t="s">
        <v>120</v>
      </c>
    </row>
    <row r="284" spans="2:16" x14ac:dyDescent="0.2">
      <c r="B284" s="1" t="s">
        <v>327</v>
      </c>
      <c r="C284" s="4" t="s">
        <v>560</v>
      </c>
    </row>
    <row r="285" spans="2:16" x14ac:dyDescent="0.2">
      <c r="B285" s="1" t="s">
        <v>328</v>
      </c>
      <c r="C285" s="4" t="s">
        <v>121</v>
      </c>
    </row>
    <row r="286" spans="2:16" x14ac:dyDescent="0.2">
      <c r="B286" s="1" t="s">
        <v>329</v>
      </c>
      <c r="C286" s="4" t="s">
        <v>122</v>
      </c>
    </row>
    <row r="287" spans="2:16" x14ac:dyDescent="0.2">
      <c r="B287" s="8" t="s">
        <v>330</v>
      </c>
      <c r="C287" s="4" t="s">
        <v>123</v>
      </c>
    </row>
    <row r="288" spans="2:16" x14ac:dyDescent="0.2">
      <c r="B288" s="1" t="s">
        <v>331</v>
      </c>
      <c r="C288" s="4" t="s">
        <v>123</v>
      </c>
    </row>
    <row r="289" spans="2:3" x14ac:dyDescent="0.2">
      <c r="B289" s="1" t="s">
        <v>561</v>
      </c>
      <c r="C289" s="4" t="s">
        <v>123</v>
      </c>
    </row>
    <row r="290" spans="2:3" x14ac:dyDescent="0.2">
      <c r="B290" s="1" t="s">
        <v>332</v>
      </c>
      <c r="C290" s="4" t="s">
        <v>124</v>
      </c>
    </row>
    <row r="291" spans="2:3" x14ac:dyDescent="0.2">
      <c r="B291" s="1" t="s">
        <v>333</v>
      </c>
      <c r="C291" s="4" t="s">
        <v>125</v>
      </c>
    </row>
    <row r="292" spans="2:3" x14ac:dyDescent="0.2">
      <c r="B292" s="1" t="s">
        <v>334</v>
      </c>
      <c r="C292" s="4" t="s">
        <v>126</v>
      </c>
    </row>
    <row r="293" spans="2:3" x14ac:dyDescent="0.2">
      <c r="B293" s="1" t="s">
        <v>335</v>
      </c>
      <c r="C293" s="4" t="s">
        <v>127</v>
      </c>
    </row>
    <row r="294" spans="2:3" x14ac:dyDescent="0.2">
      <c r="B294" s="1" t="s">
        <v>336</v>
      </c>
      <c r="C294" s="4" t="s">
        <v>128</v>
      </c>
    </row>
    <row r="295" spans="2:3" x14ac:dyDescent="0.2">
      <c r="B295" s="1" t="s">
        <v>558</v>
      </c>
      <c r="C295" s="4" t="s">
        <v>500</v>
      </c>
    </row>
    <row r="296" spans="2:3" x14ac:dyDescent="0.2">
      <c r="B296" s="1" t="s">
        <v>337</v>
      </c>
      <c r="C296" s="4" t="s">
        <v>129</v>
      </c>
    </row>
    <row r="297" spans="2:3" x14ac:dyDescent="0.2">
      <c r="B297" s="1" t="s">
        <v>338</v>
      </c>
      <c r="C297" s="4" t="s">
        <v>130</v>
      </c>
    </row>
    <row r="298" spans="2:3" x14ac:dyDescent="0.2">
      <c r="B298" s="1" t="s">
        <v>339</v>
      </c>
      <c r="C298" s="4" t="s">
        <v>131</v>
      </c>
    </row>
    <row r="299" spans="2:3" x14ac:dyDescent="0.2">
      <c r="B299" s="1" t="s">
        <v>340</v>
      </c>
      <c r="C299" s="4" t="s">
        <v>132</v>
      </c>
    </row>
    <row r="300" spans="2:3" x14ac:dyDescent="0.2">
      <c r="B300" s="1" t="s">
        <v>341</v>
      </c>
      <c r="C300" s="4" t="s">
        <v>133</v>
      </c>
    </row>
    <row r="301" spans="2:3" x14ac:dyDescent="0.2">
      <c r="B301" s="1" t="s">
        <v>342</v>
      </c>
      <c r="C301" s="4" t="s">
        <v>134</v>
      </c>
    </row>
    <row r="302" spans="2:3" x14ac:dyDescent="0.2">
      <c r="B302" s="1" t="s">
        <v>343</v>
      </c>
      <c r="C302" s="4" t="s">
        <v>135</v>
      </c>
    </row>
    <row r="303" spans="2:3" x14ac:dyDescent="0.2">
      <c r="B303" s="1" t="s">
        <v>344</v>
      </c>
      <c r="C303" s="4" t="s">
        <v>136</v>
      </c>
    </row>
    <row r="304" spans="2:3" x14ac:dyDescent="0.2">
      <c r="B304" s="1" t="s">
        <v>345</v>
      </c>
      <c r="C304" s="4" t="s">
        <v>137</v>
      </c>
    </row>
    <row r="305" spans="2:3" x14ac:dyDescent="0.2">
      <c r="B305" s="1" t="s">
        <v>346</v>
      </c>
      <c r="C305" s="4" t="s">
        <v>138</v>
      </c>
    </row>
    <row r="306" spans="2:3" x14ac:dyDescent="0.2">
      <c r="B306" s="1" t="s">
        <v>347</v>
      </c>
      <c r="C306" s="4" t="s">
        <v>139</v>
      </c>
    </row>
    <row r="307" spans="2:3" x14ac:dyDescent="0.2">
      <c r="B307" s="1" t="s">
        <v>348</v>
      </c>
      <c r="C307" s="4" t="s">
        <v>140</v>
      </c>
    </row>
    <row r="308" spans="2:3" x14ac:dyDescent="0.2">
      <c r="B308" s="1" t="s">
        <v>349</v>
      </c>
      <c r="C308" s="4" t="s">
        <v>141</v>
      </c>
    </row>
    <row r="309" spans="2:3" x14ac:dyDescent="0.2">
      <c r="B309" s="1" t="s">
        <v>350</v>
      </c>
      <c r="C309" s="4" t="s">
        <v>142</v>
      </c>
    </row>
    <row r="310" spans="2:3" x14ac:dyDescent="0.2">
      <c r="B310" s="1" t="s">
        <v>351</v>
      </c>
      <c r="C310" s="4" t="s">
        <v>143</v>
      </c>
    </row>
    <row r="311" spans="2:3" x14ac:dyDescent="0.2">
      <c r="B311" s="1" t="s">
        <v>352</v>
      </c>
      <c r="C311" s="4" t="s">
        <v>144</v>
      </c>
    </row>
    <row r="312" spans="2:3" x14ac:dyDescent="0.2">
      <c r="B312" s="1" t="s">
        <v>353</v>
      </c>
      <c r="C312" s="4" t="s">
        <v>145</v>
      </c>
    </row>
    <row r="313" spans="2:3" x14ac:dyDescent="0.2">
      <c r="B313" s="1" t="s">
        <v>354</v>
      </c>
      <c r="C313" s="4" t="s">
        <v>145</v>
      </c>
    </row>
    <row r="314" spans="2:3" x14ac:dyDescent="0.2">
      <c r="B314" s="1" t="s">
        <v>355</v>
      </c>
      <c r="C314" s="4" t="s">
        <v>146</v>
      </c>
    </row>
    <row r="315" spans="2:3" x14ac:dyDescent="0.2">
      <c r="B315" s="1" t="s">
        <v>356</v>
      </c>
      <c r="C315" s="4" t="s">
        <v>147</v>
      </c>
    </row>
    <row r="316" spans="2:3" x14ac:dyDescent="0.2">
      <c r="B316" s="1" t="s">
        <v>357</v>
      </c>
      <c r="C316" s="4" t="s">
        <v>148</v>
      </c>
    </row>
    <row r="317" spans="2:3" x14ac:dyDescent="0.2">
      <c r="B317" s="1" t="s">
        <v>358</v>
      </c>
      <c r="C317" s="4" t="s">
        <v>149</v>
      </c>
    </row>
    <row r="318" spans="2:3" x14ac:dyDescent="0.2">
      <c r="B318" s="1" t="s">
        <v>359</v>
      </c>
      <c r="C318" s="4" t="s">
        <v>149</v>
      </c>
    </row>
    <row r="319" spans="2:3" x14ac:dyDescent="0.2">
      <c r="B319" s="1" t="s">
        <v>360</v>
      </c>
      <c r="C319" s="4" t="s">
        <v>149</v>
      </c>
    </row>
    <row r="320" spans="2:3" x14ac:dyDescent="0.2">
      <c r="B320" s="1" t="s">
        <v>361</v>
      </c>
      <c r="C320" s="4" t="s">
        <v>149</v>
      </c>
    </row>
    <row r="321" spans="2:3" x14ac:dyDescent="0.2">
      <c r="B321" s="1" t="s">
        <v>362</v>
      </c>
      <c r="C321" s="4" t="s">
        <v>149</v>
      </c>
    </row>
    <row r="322" spans="2:3" x14ac:dyDescent="0.2">
      <c r="B322" s="1" t="s">
        <v>555</v>
      </c>
      <c r="C322" s="4" t="s">
        <v>554</v>
      </c>
    </row>
    <row r="323" spans="2:3" x14ac:dyDescent="0.2">
      <c r="B323" s="1" t="s">
        <v>363</v>
      </c>
      <c r="C323" s="4" t="s">
        <v>150</v>
      </c>
    </row>
    <row r="324" spans="2:3" x14ac:dyDescent="0.2">
      <c r="B324" s="1" t="s">
        <v>364</v>
      </c>
      <c r="C324" s="4" t="s">
        <v>151</v>
      </c>
    </row>
    <row r="325" spans="2:3" x14ac:dyDescent="0.2">
      <c r="B325" s="1" t="s">
        <v>365</v>
      </c>
      <c r="C325" s="4" t="s">
        <v>152</v>
      </c>
    </row>
    <row r="326" spans="2:3" x14ac:dyDescent="0.2">
      <c r="B326" s="1" t="s">
        <v>366</v>
      </c>
      <c r="C326" s="4" t="s">
        <v>153</v>
      </c>
    </row>
    <row r="327" spans="2:3" x14ac:dyDescent="0.2">
      <c r="B327" s="1" t="s">
        <v>367</v>
      </c>
      <c r="C327" s="4" t="s">
        <v>154</v>
      </c>
    </row>
    <row r="328" spans="2:3" x14ac:dyDescent="0.2">
      <c r="B328" s="1" t="s">
        <v>368</v>
      </c>
      <c r="C328" s="4" t="s">
        <v>155</v>
      </c>
    </row>
    <row r="329" spans="2:3" x14ac:dyDescent="0.2">
      <c r="B329" s="1" t="s">
        <v>369</v>
      </c>
      <c r="C329" s="4" t="s">
        <v>156</v>
      </c>
    </row>
    <row r="330" spans="2:3" x14ac:dyDescent="0.2">
      <c r="B330" s="1" t="s">
        <v>370</v>
      </c>
      <c r="C330" s="4" t="s">
        <v>157</v>
      </c>
    </row>
    <row r="331" spans="2:3" x14ac:dyDescent="0.2">
      <c r="B331" s="1" t="s">
        <v>371</v>
      </c>
      <c r="C331" s="4" t="s">
        <v>158</v>
      </c>
    </row>
    <row r="332" spans="2:3" x14ac:dyDescent="0.2">
      <c r="B332" s="1" t="s">
        <v>372</v>
      </c>
      <c r="C332" s="4" t="s">
        <v>159</v>
      </c>
    </row>
    <row r="333" spans="2:3" x14ac:dyDescent="0.2">
      <c r="B333" s="1" t="s">
        <v>373</v>
      </c>
      <c r="C333" s="4" t="s">
        <v>160</v>
      </c>
    </row>
    <row r="334" spans="2:3" x14ac:dyDescent="0.2">
      <c r="B334" s="1" t="s">
        <v>374</v>
      </c>
      <c r="C334" s="4" t="s">
        <v>161</v>
      </c>
    </row>
    <row r="335" spans="2:3" x14ac:dyDescent="0.2">
      <c r="B335" s="1" t="s">
        <v>375</v>
      </c>
      <c r="C335" s="4" t="s">
        <v>162</v>
      </c>
    </row>
    <row r="336" spans="2:3" x14ac:dyDescent="0.2">
      <c r="B336" s="1" t="s">
        <v>376</v>
      </c>
      <c r="C336" s="4" t="s">
        <v>163</v>
      </c>
    </row>
    <row r="337" spans="2:3" x14ac:dyDescent="0.2">
      <c r="B337" s="1" t="s">
        <v>377</v>
      </c>
      <c r="C337" s="4" t="s">
        <v>164</v>
      </c>
    </row>
    <row r="338" spans="2:3" x14ac:dyDescent="0.2">
      <c r="B338" s="1" t="s">
        <v>378</v>
      </c>
      <c r="C338" s="4" t="s">
        <v>164</v>
      </c>
    </row>
    <row r="339" spans="2:3" x14ac:dyDescent="0.2">
      <c r="B339" s="1" t="s">
        <v>379</v>
      </c>
      <c r="C339" s="4" t="s">
        <v>165</v>
      </c>
    </row>
    <row r="340" spans="2:3" x14ac:dyDescent="0.2">
      <c r="B340" s="1" t="s">
        <v>380</v>
      </c>
      <c r="C340" s="4" t="s">
        <v>166</v>
      </c>
    </row>
    <row r="341" spans="2:3" x14ac:dyDescent="0.2">
      <c r="B341" s="1" t="s">
        <v>381</v>
      </c>
      <c r="C341" s="4" t="s">
        <v>166</v>
      </c>
    </row>
    <row r="342" spans="2:3" x14ac:dyDescent="0.2">
      <c r="B342" s="1" t="s">
        <v>382</v>
      </c>
      <c r="C342" s="4" t="s">
        <v>167</v>
      </c>
    </row>
    <row r="343" spans="2:3" x14ac:dyDescent="0.2">
      <c r="B343" s="1" t="s">
        <v>383</v>
      </c>
      <c r="C343" s="4" t="s">
        <v>168</v>
      </c>
    </row>
    <row r="344" spans="2:3" x14ac:dyDescent="0.2">
      <c r="B344" s="1" t="s">
        <v>384</v>
      </c>
      <c r="C344" s="4" t="s">
        <v>168</v>
      </c>
    </row>
    <row r="345" spans="2:3" x14ac:dyDescent="0.2">
      <c r="B345" s="1" t="s">
        <v>578</v>
      </c>
      <c r="C345" s="4" t="s">
        <v>575</v>
      </c>
    </row>
    <row r="346" spans="2:3" x14ac:dyDescent="0.2">
      <c r="B346" s="1" t="s">
        <v>385</v>
      </c>
      <c r="C346" s="4" t="s">
        <v>169</v>
      </c>
    </row>
    <row r="347" spans="2:3" x14ac:dyDescent="0.2">
      <c r="B347" s="1" t="s">
        <v>565</v>
      </c>
      <c r="C347" s="4" t="s">
        <v>170</v>
      </c>
    </row>
    <row r="348" spans="2:3" x14ac:dyDescent="0.2">
      <c r="B348" s="1" t="s">
        <v>567</v>
      </c>
      <c r="C348" s="4" t="s">
        <v>170</v>
      </c>
    </row>
    <row r="349" spans="2:3" x14ac:dyDescent="0.2">
      <c r="B349" s="1" t="s">
        <v>566</v>
      </c>
      <c r="C349" s="4" t="s">
        <v>170</v>
      </c>
    </row>
    <row r="350" spans="2:3" x14ac:dyDescent="0.2">
      <c r="B350" s="1" t="s">
        <v>568</v>
      </c>
      <c r="C350" s="4" t="s">
        <v>170</v>
      </c>
    </row>
    <row r="351" spans="2:3" x14ac:dyDescent="0.2">
      <c r="B351" s="1" t="s">
        <v>576</v>
      </c>
      <c r="C351" s="4" t="s">
        <v>573</v>
      </c>
    </row>
    <row r="352" spans="2:3" x14ac:dyDescent="0.2">
      <c r="B352" s="1" t="s">
        <v>577</v>
      </c>
      <c r="C352" s="4" t="s">
        <v>573</v>
      </c>
    </row>
    <row r="353" spans="2:3" x14ac:dyDescent="0.2">
      <c r="B353" s="1" t="s">
        <v>386</v>
      </c>
      <c r="C353" s="4" t="s">
        <v>171</v>
      </c>
    </row>
    <row r="354" spans="2:3" x14ac:dyDescent="0.2">
      <c r="B354" s="1" t="s">
        <v>387</v>
      </c>
      <c r="C354" s="4" t="s">
        <v>172</v>
      </c>
    </row>
    <row r="355" spans="2:3" x14ac:dyDescent="0.2">
      <c r="B355" s="1" t="s">
        <v>388</v>
      </c>
      <c r="C355" s="4" t="s">
        <v>173</v>
      </c>
    </row>
    <row r="356" spans="2:3" x14ac:dyDescent="0.2">
      <c r="B356" s="1" t="s">
        <v>389</v>
      </c>
      <c r="C356" s="4" t="s">
        <v>174</v>
      </c>
    </row>
    <row r="357" spans="2:3" x14ac:dyDescent="0.2">
      <c r="B357" s="1" t="s">
        <v>390</v>
      </c>
      <c r="C357" s="4" t="s">
        <v>175</v>
      </c>
    </row>
    <row r="358" spans="2:3" x14ac:dyDescent="0.2">
      <c r="B358" s="1" t="s">
        <v>391</v>
      </c>
      <c r="C358" s="4" t="s">
        <v>175</v>
      </c>
    </row>
    <row r="359" spans="2:3" x14ac:dyDescent="0.2">
      <c r="B359" s="1" t="s">
        <v>392</v>
      </c>
      <c r="C359" s="4" t="s">
        <v>175</v>
      </c>
    </row>
    <row r="360" spans="2:3" x14ac:dyDescent="0.2">
      <c r="B360" s="1" t="s">
        <v>393</v>
      </c>
      <c r="C360" s="4" t="s">
        <v>176</v>
      </c>
    </row>
    <row r="361" spans="2:3" x14ac:dyDescent="0.2">
      <c r="B361" s="1" t="s">
        <v>394</v>
      </c>
      <c r="C361" s="4" t="s">
        <v>177</v>
      </c>
    </row>
    <row r="362" spans="2:3" x14ac:dyDescent="0.2">
      <c r="B362" s="1" t="s">
        <v>395</v>
      </c>
      <c r="C362" s="4" t="s">
        <v>177</v>
      </c>
    </row>
    <row r="363" spans="2:3" x14ac:dyDescent="0.2">
      <c r="B363" s="1" t="s">
        <v>396</v>
      </c>
      <c r="C363" s="4" t="s">
        <v>177</v>
      </c>
    </row>
    <row r="364" spans="2:3" x14ac:dyDescent="0.2">
      <c r="B364" s="1" t="s">
        <v>397</v>
      </c>
      <c r="C364" s="4" t="s">
        <v>178</v>
      </c>
    </row>
    <row r="365" spans="2:3" x14ac:dyDescent="0.2">
      <c r="B365" s="1" t="s">
        <v>398</v>
      </c>
      <c r="C365" s="4" t="s">
        <v>179</v>
      </c>
    </row>
    <row r="366" spans="2:3" x14ac:dyDescent="0.2">
      <c r="B366" s="1" t="s">
        <v>399</v>
      </c>
      <c r="C366" s="4" t="s">
        <v>179</v>
      </c>
    </row>
    <row r="367" spans="2:3" x14ac:dyDescent="0.2">
      <c r="B367" s="1" t="s">
        <v>400</v>
      </c>
      <c r="C367" s="4" t="s">
        <v>180</v>
      </c>
    </row>
    <row r="368" spans="2:3" x14ac:dyDescent="0.2">
      <c r="B368" s="1" t="s">
        <v>401</v>
      </c>
      <c r="C368" s="4" t="s">
        <v>180</v>
      </c>
    </row>
    <row r="369" spans="2:3" x14ac:dyDescent="0.2">
      <c r="B369" s="1" t="s">
        <v>402</v>
      </c>
      <c r="C369" s="4" t="s">
        <v>180</v>
      </c>
    </row>
    <row r="370" spans="2:3" x14ac:dyDescent="0.2">
      <c r="B370" s="1" t="s">
        <v>403</v>
      </c>
      <c r="C370" s="4" t="s">
        <v>181</v>
      </c>
    </row>
    <row r="371" spans="2:3" x14ac:dyDescent="0.2">
      <c r="B371" s="1" t="s">
        <v>404</v>
      </c>
      <c r="C371" s="4" t="s">
        <v>181</v>
      </c>
    </row>
    <row r="372" spans="2:3" x14ac:dyDescent="0.2">
      <c r="B372" s="1" t="s">
        <v>405</v>
      </c>
      <c r="C372" s="4" t="s">
        <v>181</v>
      </c>
    </row>
    <row r="373" spans="2:3" x14ac:dyDescent="0.2">
      <c r="B373" s="1" t="s">
        <v>406</v>
      </c>
      <c r="C373" s="4" t="s">
        <v>181</v>
      </c>
    </row>
    <row r="374" spans="2:3" x14ac:dyDescent="0.2">
      <c r="B374" s="1" t="s">
        <v>407</v>
      </c>
      <c r="C374" s="4" t="s">
        <v>182</v>
      </c>
    </row>
    <row r="375" spans="2:3" x14ac:dyDescent="0.2">
      <c r="B375" s="1" t="s">
        <v>408</v>
      </c>
      <c r="C375" s="4" t="s">
        <v>183</v>
      </c>
    </row>
    <row r="376" spans="2:3" x14ac:dyDescent="0.2">
      <c r="B376" s="1" t="s">
        <v>409</v>
      </c>
      <c r="C376"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2023-02-25T21:31:58Z</dcterms:modified>
</cp:coreProperties>
</file>