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omments1.xml" ContentType="application/vnd.openxmlformats-officedocument.spreadsheetml.comments+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CBB953E4-A2BD-8A47-9F26-DEA73DE1F9B9}" xr6:coauthVersionLast="47" xr6:coauthVersionMax="47" xr10:uidLastSave="{00000000-0000-0000-0000-000000000000}"/>
  <bookViews>
    <workbookView xWindow="200" yWindow="500" windowWidth="42080" windowHeight="26540" firstSheet="38"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ChartLines!$J$3:$J$354</definedName>
    <definedName name="ChartLines.G">ChartLines!$I$3:$I$354</definedName>
    <definedName name="ChartLines.Hex6">ChartLines!$C$3:$C$354</definedName>
    <definedName name="ChartLines.ID">ChartLines!$B$3:$B$354</definedName>
    <definedName name="ChartLines.InstanceNum">ChartLines!$F$3:$F$354</definedName>
    <definedName name="ChartLines.NumInstances">ChartLines!$E$3:$E$354</definedName>
    <definedName name="ChartLines.R">ChartLines!$H$3:$H$354</definedName>
    <definedName name="ChartLines.RowNum">ChartLines!$K$3:$K$354</definedName>
    <definedName name="ChartLines.ThicknessText">ChartLines!$G$3:$G$354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Notes!$E$6:$E$177</definedName>
    <definedName name="Notes.ID">Notes!$B$6:$B$177</definedName>
    <definedName name="Notes.Mnemonic">Notes!$C$6:$C$177</definedName>
    <definedName name="Notes.Usage">Notes!$D$6:$D$177</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4" i="5" l="1"/>
  <c r="C55" i="5"/>
  <c r="C120" i="77"/>
  <c r="C119" i="77"/>
  <c r="C118" i="77"/>
  <c r="C49" i="63"/>
  <c r="J49" i="63" s="1"/>
  <c r="E4" i="63"/>
  <c r="E5" i="63"/>
  <c r="E6" i="63"/>
  <c r="E7" i="63"/>
  <c r="K49" i="63" a="1"/>
  <c r="K49" i="63" s="1"/>
  <c r="E49" i="63"/>
  <c r="K48" i="63" a="1"/>
  <c r="K48" i="63" s="1"/>
  <c r="J48" i="63"/>
  <c r="I48" i="63"/>
  <c r="H48" i="63"/>
  <c r="E48" i="63"/>
  <c r="K47" i="63" a="1"/>
  <c r="K47" i="63" s="1"/>
  <c r="J47" i="63"/>
  <c r="I47" i="63"/>
  <c r="H47" i="63"/>
  <c r="E47" i="63"/>
  <c r="K46" i="63" a="1"/>
  <c r="K46" i="63" s="1"/>
  <c r="J46" i="63"/>
  <c r="I46" i="63"/>
  <c r="H46" i="63"/>
  <c r="E46" i="63"/>
  <c r="K45" i="63" a="1"/>
  <c r="K45" i="63" s="1"/>
  <c r="J45" i="63"/>
  <c r="I45" i="63"/>
  <c r="H45" i="63"/>
  <c r="E45" i="63"/>
  <c r="K44" i="63" a="1"/>
  <c r="K44" i="63" s="1"/>
  <c r="J44" i="63"/>
  <c r="I44" i="63"/>
  <c r="H44" i="63"/>
  <c r="E44" i="63"/>
  <c r="K4" i="63" a="1"/>
  <c r="K4" i="63" s="1"/>
  <c r="H5" i="63"/>
  <c r="I5" i="63"/>
  <c r="J5" i="63"/>
  <c r="K5" i="63" a="1"/>
  <c r="K5" i="63" s="1"/>
  <c r="F5" i="63" s="1"/>
  <c r="K6" i="63" a="1"/>
  <c r="K6" i="63" s="1"/>
  <c r="K7" i="63" a="1"/>
  <c r="K7" i="63" s="1"/>
  <c r="C7" i="63"/>
  <c r="I7" i="63" s="1"/>
  <c r="C4" i="63"/>
  <c r="H4" i="63" s="1"/>
  <c r="C6" i="63"/>
  <c r="J6" i="63" s="1"/>
  <c r="AF27" i="25"/>
  <c r="AF26" i="25"/>
  <c r="B9" i="57"/>
  <c r="C318" i="63"/>
  <c r="C310" i="63"/>
  <c r="C305" i="63"/>
  <c r="C277" i="63"/>
  <c r="C155" i="63"/>
  <c r="C37" i="63"/>
  <c r="P8" i="63"/>
  <c r="Q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P27" i="25"/>
  <c r="AH27" i="25"/>
  <c r="T27" i="25"/>
  <c r="BP26" i="25"/>
  <c r="AH26" i="25"/>
  <c r="J26" i="25"/>
  <c r="BH25" i="25"/>
  <c r="R25" i="25"/>
  <c r="BH11" i="25"/>
  <c r="V11" i="25"/>
  <c r="V12" i="25" s="1"/>
  <c r="BH8" i="25"/>
  <c r="BH26" i="25" s="1"/>
  <c r="L87" i="58"/>
  <c r="H49" i="63" l="1"/>
  <c r="I49" i="63"/>
  <c r="F49" i="63"/>
  <c r="G49" i="63" s="1" a="1"/>
  <c r="G49" i="63" s="1"/>
  <c r="G5" i="63" a="1"/>
  <c r="G5" i="63" s="1"/>
  <c r="F45" i="63"/>
  <c r="G45" i="63" s="1" a="1"/>
  <c r="G45" i="63" s="1"/>
  <c r="F7" i="63"/>
  <c r="G7" i="63" s="1" a="1"/>
  <c r="G7" i="63" s="1"/>
  <c r="F6" i="63"/>
  <c r="G6" i="63" s="1" a="1"/>
  <c r="G6" i="63" s="1"/>
  <c r="F48" i="63"/>
  <c r="G48" i="63" s="1" a="1"/>
  <c r="G48" i="63" s="1"/>
  <c r="F4" i="63"/>
  <c r="G4" i="63" s="1" a="1"/>
  <c r="G4" i="63" s="1"/>
  <c r="F46" i="63"/>
  <c r="G46" i="63" s="1" a="1"/>
  <c r="G46" i="63" s="1"/>
  <c r="F44" i="63"/>
  <c r="G44" i="63" s="1" a="1"/>
  <c r="G44" i="63" s="1"/>
  <c r="J7" i="63"/>
  <c r="F47" i="63"/>
  <c r="G47" i="63" s="1" a="1"/>
  <c r="G47" i="63" s="1"/>
  <c r="H7" i="63"/>
  <c r="I6" i="63"/>
  <c r="H6" i="63"/>
  <c r="J4" i="63"/>
  <c r="I4" i="63"/>
  <c r="BR106" i="61"/>
  <c r="AX106" i="61"/>
  <c r="AP106" i="61"/>
  <c r="J106" i="61"/>
  <c r="AP105" i="61"/>
  <c r="BR104" i="61"/>
  <c r="BR103" i="61"/>
  <c r="CV7" i="61"/>
  <c r="CB6" i="61"/>
  <c r="BH6" i="61"/>
  <c r="AV4" i="61"/>
  <c r="AD10" i="8"/>
  <c r="X99" i="58"/>
  <c r="V99" i="58"/>
  <c r="P99" i="58"/>
  <c r="N99" i="58"/>
  <c r="L99" i="58"/>
  <c r="J99" i="58"/>
  <c r="X87" i="58"/>
  <c r="AH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0"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AH77" i="61" l="1"/>
  <c r="AD77" i="61"/>
  <c r="Z77" i="61"/>
  <c r="B39" i="72"/>
  <c r="N8" i="61"/>
  <c r="N78" i="61" s="1"/>
  <c r="M8" i="61"/>
  <c r="Q8" i="61"/>
  <c r="R8" i="61"/>
  <c r="X8" i="61"/>
  <c r="Y7" i="61"/>
  <c r="Z7"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Z79" i="61"/>
  <c r="R82" i="61" a="1"/>
  <c r="R82" i="61" s="1"/>
  <c r="R79" i="61"/>
  <c r="N81" i="61" a="1"/>
  <c r="N81" i="61" s="1"/>
  <c r="R80" i="61" a="1"/>
  <c r="R80" i="61" s="1"/>
  <c r="N80" i="61" a="1"/>
  <c r="N80" i="61" s="1"/>
  <c r="N82" i="61" a="1"/>
  <c r="N82" i="61" s="1"/>
  <c r="R81" i="61" a="1"/>
  <c r="R81" i="61" s="1"/>
  <c r="K354" i="63" a="1"/>
  <c r="K354" i="63" s="1"/>
  <c r="F354" i="63" s="1"/>
  <c r="J354" i="63"/>
  <c r="I354" i="63"/>
  <c r="H354" i="63"/>
  <c r="E354" i="63"/>
  <c r="C145" i="77"/>
  <c r="B145" i="77"/>
  <c r="C143" i="77"/>
  <c r="B143" i="77"/>
  <c r="C141" i="77"/>
  <c r="B141" i="77"/>
  <c r="C139" i="77"/>
  <c r="B139" i="77"/>
  <c r="C137" i="77"/>
  <c r="B137" i="77"/>
  <c r="C135" i="77"/>
  <c r="B135" i="77"/>
  <c r="C133" i="77"/>
  <c r="B133" i="77"/>
  <c r="C131" i="77"/>
  <c r="B131" i="77"/>
  <c r="C129" i="77"/>
  <c r="B129" i="77"/>
  <c r="C127" i="77"/>
  <c r="B127" i="77"/>
  <c r="C125" i="77"/>
  <c r="B125" i="77"/>
  <c r="C123" i="77"/>
  <c r="B123" i="77"/>
  <c r="AH62" i="61" l="1"/>
  <c r="AH64" i="61" s="1"/>
  <c r="AD8" i="61"/>
  <c r="AC8" i="61"/>
  <c r="Y8" i="61"/>
  <c r="Z8" i="61"/>
  <c r="AG8" i="61"/>
  <c r="AH8" i="61"/>
  <c r="AD78" i="61"/>
  <c r="AD75" i="61"/>
  <c r="AD62" i="61"/>
  <c r="Z78" i="61"/>
  <c r="Z75" i="61"/>
  <c r="Z62" i="61"/>
  <c r="R78" i="61"/>
  <c r="AH78" i="61"/>
  <c r="AH75" i="61"/>
  <c r="G354" i="63" a="1"/>
  <c r="G354" i="63" s="1"/>
  <c r="W6" i="5" a="1"/>
  <c r="W6" i="5" s="1"/>
  <c r="AH63" i="61" l="1"/>
  <c r="AH65" i="61" s="1"/>
  <c r="AH67" i="61" s="1"/>
  <c r="AD64" i="61"/>
  <c r="AD63" i="61"/>
  <c r="AD65" i="61" s="1"/>
  <c r="Z64" i="61"/>
  <c r="Z63" i="61"/>
  <c r="Z65" i="61" s="1"/>
  <c r="C312" i="63"/>
  <c r="AD67" i="61" l="1"/>
  <c r="Z67" i="61"/>
  <c r="BP25" i="25"/>
  <c r="BP28" i="25"/>
  <c r="C15" i="76" l="1"/>
  <c r="C16" i="76" s="1"/>
  <c r="C12" i="76"/>
  <c r="C10" i="76"/>
  <c r="C14" i="76" l="1"/>
  <c r="D15" i="76" s="1"/>
  <c r="F6" i="76"/>
  <c r="D9" i="76"/>
  <c r="D11" i="76"/>
  <c r="E179" i="63"/>
  <c r="K179" i="63" a="1"/>
  <c r="K179" i="63" s="1"/>
  <c r="C179" i="63"/>
  <c r="H179" i="63" s="1"/>
  <c r="E178" i="63"/>
  <c r="H178" i="63"/>
  <c r="I178" i="63"/>
  <c r="J178" i="63"/>
  <c r="K178" i="63" a="1"/>
  <c r="K178" i="63" s="1"/>
  <c r="BV29" i="25"/>
  <c r="BV28" i="25"/>
  <c r="BV27" i="25"/>
  <c r="BV26" i="25"/>
  <c r="BV25" i="25"/>
  <c r="BV24" i="25"/>
  <c r="BU29" i="25"/>
  <c r="BU28" i="25"/>
  <c r="BU27" i="25"/>
  <c r="BU26" i="25"/>
  <c r="BU25" i="25"/>
  <c r="BU24" i="25"/>
  <c r="E266" i="63"/>
  <c r="H266" i="63"/>
  <c r="I266" i="63"/>
  <c r="J266" i="63"/>
  <c r="K266" i="63" a="1"/>
  <c r="K266" i="63" s="1"/>
  <c r="E267" i="63"/>
  <c r="H267" i="63"/>
  <c r="I267" i="63"/>
  <c r="J267" i="63"/>
  <c r="K267" i="63" a="1"/>
  <c r="K267" i="63" s="1"/>
  <c r="AF37" i="14"/>
  <c r="AE34" i="14"/>
  <c r="AE33" i="14"/>
  <c r="AF32" i="14" a="1"/>
  <c r="AF32" i="14" s="1"/>
  <c r="AE32" i="14"/>
  <c r="AE31" i="14"/>
  <c r="AE30" i="14"/>
  <c r="AE29" i="14"/>
  <c r="AE28" i="14"/>
  <c r="AF4" i="14"/>
  <c r="F9" i="76" a="1"/>
  <c r="F267" i="63" l="1"/>
  <c r="G267" i="63" s="1" a="1"/>
  <c r="G267" i="63" s="1"/>
  <c r="F9" i="76"/>
  <c r="D16" i="76"/>
  <c r="F179" i="63"/>
  <c r="G179" i="63" s="1" a="1"/>
  <c r="G179" i="63" s="1"/>
  <c r="J179" i="63"/>
  <c r="I179" i="63"/>
  <c r="F178" i="63"/>
  <c r="G178" i="63" s="1" a="1"/>
  <c r="G178" i="63" s="1"/>
  <c r="F266" i="63"/>
  <c r="G266" i="63" s="1" a="1"/>
  <c r="G266" i="63" s="1"/>
  <c r="E195" i="63"/>
  <c r="H195" i="63"/>
  <c r="I195" i="63"/>
  <c r="J195" i="63"/>
  <c r="K195" i="63" a="1"/>
  <c r="K195" i="63" s="1"/>
  <c r="E196" i="63"/>
  <c r="H196" i="63"/>
  <c r="I196" i="63"/>
  <c r="J196" i="63"/>
  <c r="K196" i="63" a="1"/>
  <c r="K196" i="63" s="1"/>
  <c r="E197" i="63"/>
  <c r="H197" i="63"/>
  <c r="I197" i="63"/>
  <c r="J197" i="63"/>
  <c r="K197" i="63" a="1"/>
  <c r="K197" i="63" s="1"/>
  <c r="E198" i="63"/>
  <c r="H198" i="63"/>
  <c r="I198" i="63"/>
  <c r="J198" i="63"/>
  <c r="K198" i="63" a="1"/>
  <c r="K198" i="63" s="1"/>
  <c r="E214" i="63"/>
  <c r="H214" i="63"/>
  <c r="I214" i="63"/>
  <c r="J214" i="63"/>
  <c r="K214" i="63" a="1"/>
  <c r="K214" i="63" s="1"/>
  <c r="F214" i="63" s="1"/>
  <c r="K292" i="63" a="1"/>
  <c r="K292" i="63" s="1"/>
  <c r="J292" i="63"/>
  <c r="I292" i="63"/>
  <c r="H292" i="63"/>
  <c r="E292" i="63"/>
  <c r="K291" i="63" a="1"/>
  <c r="K291" i="63" s="1"/>
  <c r="J291" i="63"/>
  <c r="I291" i="63"/>
  <c r="H291" i="63"/>
  <c r="E291" i="63"/>
  <c r="K175" i="63" a="1"/>
  <c r="K175" i="63" s="1"/>
  <c r="J175" i="63"/>
  <c r="I175" i="63"/>
  <c r="H175" i="63"/>
  <c r="E175" i="63"/>
  <c r="K174" i="63" a="1"/>
  <c r="K174" i="63" s="1"/>
  <c r="J174" i="63"/>
  <c r="I174" i="63"/>
  <c r="H174" i="63"/>
  <c r="E174" i="63"/>
  <c r="K157" i="63" a="1"/>
  <c r="K157" i="63" s="1"/>
  <c r="J157" i="63"/>
  <c r="I157" i="63"/>
  <c r="H157" i="63"/>
  <c r="E157" i="63"/>
  <c r="K156" i="63" a="1"/>
  <c r="K156" i="63" s="1"/>
  <c r="J156" i="63"/>
  <c r="I156" i="63"/>
  <c r="H156" i="63"/>
  <c r="E156" i="63"/>
  <c r="K298" i="63" a="1"/>
  <c r="K298" i="63" s="1"/>
  <c r="J298" i="63"/>
  <c r="I298" i="63"/>
  <c r="H298" i="63"/>
  <c r="E298" i="63"/>
  <c r="K297" i="63" a="1"/>
  <c r="K297" i="63" s="1"/>
  <c r="E297" i="63"/>
  <c r="C297" i="63"/>
  <c r="J297" i="63" s="1"/>
  <c r="K173" i="63" a="1"/>
  <c r="K173" i="63" s="1"/>
  <c r="J173" i="63"/>
  <c r="I173" i="63"/>
  <c r="H173" i="63"/>
  <c r="E173" i="63"/>
  <c r="K172" i="63" a="1"/>
  <c r="K172" i="63" s="1"/>
  <c r="J172" i="63"/>
  <c r="I172" i="63"/>
  <c r="H172" i="63"/>
  <c r="E172" i="63"/>
  <c r="K220" i="63" a="1"/>
  <c r="K220" i="63" s="1"/>
  <c r="E220" i="63"/>
  <c r="K219" i="63" a="1"/>
  <c r="K219" i="63" s="1"/>
  <c r="J219" i="63"/>
  <c r="I219" i="63"/>
  <c r="H219" i="63"/>
  <c r="E219" i="63"/>
  <c r="E218" i="63"/>
  <c r="K218" i="63" a="1"/>
  <c r="K218" i="63" s="1"/>
  <c r="C220" i="63"/>
  <c r="J220" i="63" s="1"/>
  <c r="K300" i="63" a="1"/>
  <c r="K300" i="63" s="1"/>
  <c r="J300" i="63"/>
  <c r="I300" i="63"/>
  <c r="H300" i="63"/>
  <c r="E300" i="63"/>
  <c r="K299" i="63" a="1"/>
  <c r="K299" i="63" s="1"/>
  <c r="J299" i="63"/>
  <c r="I299" i="63"/>
  <c r="H299" i="63"/>
  <c r="E299" i="63"/>
  <c r="F41" i="73"/>
  <c r="AC6" i="5"/>
  <c r="F14" i="76" a="1"/>
  <c r="G214" i="63" l="1" a="1"/>
  <c r="G214" i="63" s="1"/>
  <c r="F14" i="76"/>
  <c r="C18" i="76" a="1"/>
  <c r="F198" i="63"/>
  <c r="G198" i="63" s="1" a="1"/>
  <c r="G198" i="63" s="1"/>
  <c r="F196" i="63"/>
  <c r="G196" i="63" s="1" a="1"/>
  <c r="G196" i="63" s="1"/>
  <c r="F195" i="63"/>
  <c r="G195" i="63" s="1" a="1"/>
  <c r="G195" i="63" s="1"/>
  <c r="F197" i="63"/>
  <c r="G197" i="63" s="1" a="1"/>
  <c r="G197" i="63" s="1"/>
  <c r="F291" i="63"/>
  <c r="G291" i="63" s="1" a="1"/>
  <c r="G291" i="63" s="1"/>
  <c r="F292" i="63"/>
  <c r="G292" i="63" s="1" a="1"/>
  <c r="G292" i="63" s="1"/>
  <c r="F172" i="63"/>
  <c r="G172" i="63" s="1" a="1"/>
  <c r="G172" i="63" s="1"/>
  <c r="F297" i="63"/>
  <c r="G297" i="63" s="1" a="1"/>
  <c r="G297" i="63" s="1"/>
  <c r="F174" i="63"/>
  <c r="G174" i="63" s="1" a="1"/>
  <c r="G174" i="63" s="1"/>
  <c r="F156" i="63"/>
  <c r="G156" i="63" s="1" a="1"/>
  <c r="G156" i="63" s="1"/>
  <c r="F175" i="63"/>
  <c r="G175" i="63" s="1" a="1"/>
  <c r="G175" i="63" s="1"/>
  <c r="F157" i="63"/>
  <c r="G157" i="63" s="1" a="1"/>
  <c r="G157" i="63" s="1"/>
  <c r="F219" i="63"/>
  <c r="G219" i="63" s="1" a="1"/>
  <c r="G219" i="63" s="1"/>
  <c r="F298" i="63"/>
  <c r="G298" i="63" s="1" a="1"/>
  <c r="G298" i="63" s="1"/>
  <c r="H297" i="63"/>
  <c r="I297" i="63"/>
  <c r="F173" i="63"/>
  <c r="G173" i="63" s="1" a="1"/>
  <c r="G173" i="63" s="1"/>
  <c r="F220" i="63"/>
  <c r="G220" i="63" s="1" a="1"/>
  <c r="G220" i="63" s="1"/>
  <c r="H220" i="63"/>
  <c r="I220" i="63"/>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V31" i="14" a="1"/>
  <c r="J31" i="14" a="1"/>
  <c r="CX8" i="61" l="1"/>
  <c r="CW8" i="61"/>
  <c r="CW7" i="61"/>
  <c r="CX7" i="61" s="1"/>
  <c r="BT17" i="25"/>
  <c r="BT26" i="25"/>
  <c r="BT27" i="25"/>
  <c r="D26" i="75"/>
  <c r="F49" i="75"/>
  <c r="D28" i="75"/>
  <c r="V31" i="14"/>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B30" i="8"/>
  <c r="E31" i="72" l="1"/>
  <c r="CX75" i="61"/>
  <c r="CX74" i="61"/>
  <c r="C28" i="75"/>
  <c r="D29" i="75"/>
  <c r="E30" i="72"/>
  <c r="E28" i="72"/>
  <c r="E29" i="72"/>
  <c r="CX77" i="61"/>
  <c r="CX79" i="61"/>
  <c r="C9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X76" i="61" a="1"/>
  <c r="CX76" i="61" s="1"/>
  <c r="CX67" i="61"/>
  <c r="X14" i="8"/>
  <c r="BB28" i="25"/>
  <c r="BB27" i="25"/>
  <c r="BB26" i="25"/>
  <c r="BB25" i="25"/>
  <c r="BB45" i="25"/>
  <c r="BB44" i="25" s="1"/>
  <c r="BB39" i="25"/>
  <c r="BB38" i="25" s="1"/>
  <c r="BB37" i="25" l="1"/>
  <c r="BC37" i="25" s="1"/>
  <c r="E45" i="72"/>
  <c r="C31" i="75"/>
  <c r="BB43" i="25"/>
  <c r="C225" i="63"/>
  <c r="H225" i="63" s="1"/>
  <c r="C226" i="63"/>
  <c r="I226" i="63" s="1"/>
  <c r="K226" i="63" a="1"/>
  <c r="K226" i="63" s="1"/>
  <c r="E226" i="63"/>
  <c r="K225" i="63" a="1"/>
  <c r="K225" i="63" s="1"/>
  <c r="E225" i="63"/>
  <c r="BB12" i="25"/>
  <c r="BB14" i="25" s="1"/>
  <c r="BB32" i="25"/>
  <c r="BC29" i="25"/>
  <c r="BC28" i="25"/>
  <c r="BC27" i="25"/>
  <c r="BC26" i="25"/>
  <c r="BC25" i="25"/>
  <c r="BC24" i="25"/>
  <c r="BC38" i="25" l="1"/>
  <c r="I225" i="63"/>
  <c r="J225" i="63"/>
  <c r="J226" i="63"/>
  <c r="H226" i="63"/>
  <c r="BC40" i="25"/>
  <c r="BC39" i="25"/>
  <c r="BC46" i="25"/>
  <c r="BC45" i="25"/>
  <c r="BC44" i="25"/>
  <c r="BC43" i="25"/>
  <c r="BB13" i="25"/>
  <c r="R26" i="25"/>
  <c r="K34" i="5" l="1" a="1"/>
  <c r="K34" i="5" s="1"/>
  <c r="K36" i="5" a="1"/>
  <c r="K36" i="5" s="1"/>
  <c r="E180" i="63" l="1"/>
  <c r="K180" i="63" a="1"/>
  <c r="K180" i="63" s="1"/>
  <c r="E181" i="63"/>
  <c r="H181" i="63"/>
  <c r="I181" i="63"/>
  <c r="J181" i="63"/>
  <c r="K181" i="63" a="1"/>
  <c r="K181" i="63" s="1"/>
  <c r="C180" i="63"/>
  <c r="H180" i="63" s="1"/>
  <c r="F181" i="63" l="1"/>
  <c r="G181" i="63" s="1" a="1"/>
  <c r="G181" i="63" s="1"/>
  <c r="F180" i="63"/>
  <c r="G180" i="63" s="1" a="1"/>
  <c r="G180" i="63" s="1"/>
  <c r="J180" i="63"/>
  <c r="I180" i="63"/>
  <c r="C87" i="63"/>
  <c r="F38" i="69" a="1"/>
  <c r="F3" i="75" l="1"/>
  <c r="F38" i="69"/>
  <c r="C32" i="63"/>
  <c r="I32" i="63" s="1"/>
  <c r="K32" i="63" a="1"/>
  <c r="K32" i="63" s="1"/>
  <c r="E32" i="63"/>
  <c r="K31" i="63" a="1"/>
  <c r="K31" i="63" s="1"/>
  <c r="J31" i="63"/>
  <c r="I31" i="63"/>
  <c r="H31" i="63"/>
  <c r="E31" i="63"/>
  <c r="K28" i="63" a="1"/>
  <c r="K28" i="63" s="1"/>
  <c r="J28" i="63"/>
  <c r="I28" i="63"/>
  <c r="H28" i="63"/>
  <c r="E28" i="63"/>
  <c r="K27" i="63" a="1"/>
  <c r="K27" i="63" s="1"/>
  <c r="J27" i="63"/>
  <c r="I27" i="63"/>
  <c r="H27" i="63"/>
  <c r="E27" i="63"/>
  <c r="F24" i="75" a="1"/>
  <c r="F15" i="75" a="1"/>
  <c r="H32" i="63" l="1"/>
  <c r="F24" i="75"/>
  <c r="F15" i="75"/>
  <c r="F35" i="75" a="1"/>
  <c r="F35" i="75" s="1"/>
  <c r="F36" i="75" a="1"/>
  <c r="F36" i="75" s="1"/>
  <c r="F37" i="75" a="1"/>
  <c r="F37" i="75" s="1"/>
  <c r="F34" i="75" a="1"/>
  <c r="F34" i="75" s="1"/>
  <c r="J32" i="63"/>
  <c r="C83" i="63"/>
  <c r="F50" i="75" l="1" a="1"/>
  <c r="F50" i="75" s="1"/>
  <c r="F40" i="75" a="1"/>
  <c r="F40" i="75" s="1"/>
  <c r="K99" i="63" a="1"/>
  <c r="K99" i="63" s="1"/>
  <c r="J99" i="63"/>
  <c r="I99" i="63"/>
  <c r="H99" i="63"/>
  <c r="E99" i="63"/>
  <c r="K98" i="63" a="1"/>
  <c r="K98" i="63" s="1"/>
  <c r="J98" i="63"/>
  <c r="I98" i="63"/>
  <c r="H98" i="63"/>
  <c r="E98" i="63"/>
  <c r="K95" i="63" a="1"/>
  <c r="K95" i="63" s="1"/>
  <c r="J95" i="63"/>
  <c r="I95" i="63"/>
  <c r="H95" i="63"/>
  <c r="E95" i="63"/>
  <c r="K94" i="63" a="1"/>
  <c r="K94" i="63" s="1"/>
  <c r="J94" i="63"/>
  <c r="I94" i="63"/>
  <c r="H94" i="63"/>
  <c r="E94" i="63"/>
  <c r="X10" i="8"/>
  <c r="X9" i="8"/>
  <c r="X5" i="8"/>
  <c r="X34" i="8"/>
  <c r="Y31" i="8"/>
  <c r="Y30" i="8"/>
  <c r="Y29" i="8"/>
  <c r="X29" i="8"/>
  <c r="Y28" i="8"/>
  <c r="X28" i="8"/>
  <c r="Y27" i="8"/>
  <c r="Y26" i="8"/>
  <c r="Y25" i="8"/>
  <c r="K91" i="63" a="1"/>
  <c r="K91" i="63" s="1"/>
  <c r="J91" i="63"/>
  <c r="I91" i="63"/>
  <c r="H91" i="63"/>
  <c r="E91" i="63"/>
  <c r="K90" i="63" a="1"/>
  <c r="K90" i="63" s="1"/>
  <c r="J90" i="63"/>
  <c r="I90" i="63"/>
  <c r="H90" i="63"/>
  <c r="E90" i="63"/>
  <c r="J87" i="63"/>
  <c r="K87" i="63" a="1"/>
  <c r="K87" i="63" s="1"/>
  <c r="H87" i="63"/>
  <c r="E87" i="63"/>
  <c r="K86" i="63" a="1"/>
  <c r="K86" i="63" s="1"/>
  <c r="J86" i="63"/>
  <c r="I86" i="63"/>
  <c r="H86" i="63"/>
  <c r="E86" i="63"/>
  <c r="L76" i="24"/>
  <c r="L6" i="24"/>
  <c r="L5" i="24"/>
  <c r="M73" i="24"/>
  <c r="M72" i="24"/>
  <c r="M71" i="24"/>
  <c r="M70" i="24"/>
  <c r="K73" i="24"/>
  <c r="K72" i="24"/>
  <c r="K71" i="24"/>
  <c r="K70" i="24"/>
  <c r="X3" i="58"/>
  <c r="X97" i="58"/>
  <c r="X96" i="58"/>
  <c r="W100" i="58"/>
  <c r="W99" i="58"/>
  <c r="W97" i="58"/>
  <c r="W96" i="58"/>
  <c r="W95" i="58"/>
  <c r="W94" i="58"/>
  <c r="J83" i="63"/>
  <c r="K83" i="63" a="1"/>
  <c r="K83" i="63" s="1"/>
  <c r="E83" i="63"/>
  <c r="K82" i="63" a="1"/>
  <c r="K82" i="63" s="1"/>
  <c r="J82" i="63"/>
  <c r="I82" i="63"/>
  <c r="H82" i="63"/>
  <c r="E82" i="63"/>
  <c r="C79" i="63"/>
  <c r="I79" i="63" s="1"/>
  <c r="K79" i="63" a="1"/>
  <c r="K79" i="63" s="1"/>
  <c r="E79" i="63"/>
  <c r="K78" i="63" a="1"/>
  <c r="K78" i="63" s="1"/>
  <c r="J78" i="63"/>
  <c r="I78" i="63"/>
  <c r="H78" i="63"/>
  <c r="E78" i="63"/>
  <c r="K75" i="63" a="1"/>
  <c r="K75" i="63" s="1"/>
  <c r="J75" i="63"/>
  <c r="I75" i="63"/>
  <c r="H75" i="63"/>
  <c r="E75" i="63"/>
  <c r="K74" i="63" a="1"/>
  <c r="K74" i="63" s="1"/>
  <c r="J74" i="63"/>
  <c r="I74" i="63"/>
  <c r="H74" i="63"/>
  <c r="E74" i="63"/>
  <c r="K71" i="63" a="1"/>
  <c r="K71" i="63" s="1"/>
  <c r="J71" i="63"/>
  <c r="I71" i="63"/>
  <c r="H71" i="63"/>
  <c r="E71" i="63"/>
  <c r="K70" i="63" a="1"/>
  <c r="K70" i="63" s="1"/>
  <c r="J70" i="63"/>
  <c r="I70" i="63"/>
  <c r="H70" i="63"/>
  <c r="E70" i="63"/>
  <c r="J67" i="63"/>
  <c r="K67" i="63" a="1"/>
  <c r="K67" i="63" s="1"/>
  <c r="H67" i="63"/>
  <c r="E67" i="63"/>
  <c r="K66" i="63" a="1"/>
  <c r="K66" i="63" s="1"/>
  <c r="J66" i="63"/>
  <c r="I66" i="63"/>
  <c r="H66" i="63"/>
  <c r="E66" i="63"/>
  <c r="C15" i="39"/>
  <c r="G29" i="39" s="1"/>
  <c r="C14" i="39"/>
  <c r="Z14" i="14"/>
  <c r="Z5" i="14"/>
  <c r="M97" i="58"/>
  <c r="M96" i="58"/>
  <c r="M95" i="58"/>
  <c r="M94" i="58"/>
  <c r="L98" i="58"/>
  <c r="L96"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91" i="63" l="1"/>
  <c r="G91" i="63" s="1" a="1"/>
  <c r="G91" i="63" s="1"/>
  <c r="X27" i="8"/>
  <c r="X26" i="8"/>
  <c r="H79" i="63"/>
  <c r="J79" i="63"/>
  <c r="I87" i="63"/>
  <c r="F29" i="39"/>
  <c r="F83" i="63"/>
  <c r="G83" i="63" s="1" a="1"/>
  <c r="G83" i="63" s="1"/>
  <c r="I83" i="63"/>
  <c r="H83" i="63"/>
  <c r="F70" i="63"/>
  <c r="G70" i="63" s="1" a="1"/>
  <c r="G70" i="63" s="1"/>
  <c r="I67" i="63"/>
  <c r="AT17" i="25"/>
  <c r="AT26" i="25"/>
  <c r="AT25" i="25"/>
  <c r="C63" i="63"/>
  <c r="J63" i="63" s="1"/>
  <c r="K63" i="63" a="1"/>
  <c r="K63" i="63" s="1"/>
  <c r="E63" i="63"/>
  <c r="K62" i="63" a="1"/>
  <c r="K62" i="63" s="1"/>
  <c r="J62" i="63"/>
  <c r="I62" i="63"/>
  <c r="H62" i="63"/>
  <c r="E62" i="63"/>
  <c r="C59" i="63"/>
  <c r="I59" i="63" s="1"/>
  <c r="K59" i="63" a="1"/>
  <c r="K59" i="63" s="1"/>
  <c r="E59" i="63"/>
  <c r="K58" i="63" a="1"/>
  <c r="K58" i="63" s="1"/>
  <c r="J58" i="63"/>
  <c r="I58" i="63"/>
  <c r="H58" i="63"/>
  <c r="E58" i="63"/>
  <c r="K55" i="63" a="1"/>
  <c r="K55" i="63" s="1"/>
  <c r="J55" i="63"/>
  <c r="I55" i="63"/>
  <c r="H55" i="63"/>
  <c r="E55" i="63"/>
  <c r="K54" i="63" a="1"/>
  <c r="K54" i="63" s="1"/>
  <c r="E54" i="63"/>
  <c r="C54" i="63"/>
  <c r="J54" i="63" s="1"/>
  <c r="E64" i="35"/>
  <c r="E62" i="35"/>
  <c r="AP32" i="25"/>
  <c r="AP26" i="25"/>
  <c r="AP14" i="25"/>
  <c r="AP13" i="25"/>
  <c r="AQ29" i="25"/>
  <c r="AQ28" i="25"/>
  <c r="AQ27" i="25"/>
  <c r="AQ26" i="25"/>
  <c r="AQ25" i="25"/>
  <c r="AQ24" i="25"/>
  <c r="H30" i="36"/>
  <c r="AP25" i="25" a="1"/>
  <c r="H63" i="63" l="1"/>
  <c r="I63" i="63"/>
  <c r="H59" i="63"/>
  <c r="J59" i="63"/>
  <c r="F54" i="63"/>
  <c r="G54" i="63" s="1" a="1"/>
  <c r="G54" i="63" s="1"/>
  <c r="F55" i="63"/>
  <c r="G55" i="63" s="1" a="1"/>
  <c r="G55" i="63" s="1"/>
  <c r="H54" i="63"/>
  <c r="I54" i="63"/>
  <c r="AP17" i="25"/>
  <c r="AP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X26" i="25"/>
  <c r="C13" i="63" l="1"/>
  <c r="I13" i="63" s="1"/>
  <c r="E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E20" i="63"/>
  <c r="H20" i="63"/>
  <c r="I20" i="63"/>
  <c r="J20" i="63"/>
  <c r="K20" i="63" a="1"/>
  <c r="K20" i="63" s="1"/>
  <c r="E21" i="63"/>
  <c r="H21" i="63"/>
  <c r="I21" i="63"/>
  <c r="J21" i="63"/>
  <c r="K21" i="63" a="1"/>
  <c r="K21" i="63" s="1"/>
  <c r="E22" i="63"/>
  <c r="H22" i="63"/>
  <c r="I22" i="63"/>
  <c r="J22" i="63"/>
  <c r="K22" i="63" a="1"/>
  <c r="K22" i="63" s="1"/>
  <c r="E23" i="63"/>
  <c r="H23" i="63"/>
  <c r="I23" i="63"/>
  <c r="J23" i="63"/>
  <c r="K23" i="63" a="1"/>
  <c r="K23" i="63" s="1"/>
  <c r="F23" i="63" s="1"/>
  <c r="G23" i="63" s="1" a="1"/>
  <c r="G23" i="63" s="1"/>
  <c r="E24" i="63"/>
  <c r="F24" i="63"/>
  <c r="H24" i="63"/>
  <c r="I24" i="63"/>
  <c r="J24" i="63"/>
  <c r="K24" i="63" a="1"/>
  <c r="K24" i="63" s="1"/>
  <c r="E25" i="63"/>
  <c r="H25" i="63"/>
  <c r="I25" i="63"/>
  <c r="J25" i="63"/>
  <c r="K25" i="63" a="1"/>
  <c r="K25" i="63" s="1"/>
  <c r="E26" i="63"/>
  <c r="H26" i="63"/>
  <c r="I26" i="63"/>
  <c r="J26" i="63"/>
  <c r="K26" i="63" a="1"/>
  <c r="K26" i="63" s="1"/>
  <c r="E29" i="63"/>
  <c r="H29" i="63"/>
  <c r="I29" i="63"/>
  <c r="J29" i="63"/>
  <c r="K29" i="63" a="1"/>
  <c r="K29" i="63" s="1"/>
  <c r="E30" i="63"/>
  <c r="K30" i="63" a="1"/>
  <c r="K30" i="63" s="1"/>
  <c r="E33" i="63"/>
  <c r="H33" i="63"/>
  <c r="I33" i="63"/>
  <c r="J33" i="63"/>
  <c r="K33" i="63" a="1"/>
  <c r="K33" i="63" s="1"/>
  <c r="M47" i="3"/>
  <c r="N47" i="3"/>
  <c r="O47" i="3"/>
  <c r="P47" i="3"/>
  <c r="L47" i="3"/>
  <c r="M56" i="3"/>
  <c r="N56" i="3"/>
  <c r="O56" i="3"/>
  <c r="P56" i="3"/>
  <c r="L56" i="3"/>
  <c r="H13" i="63" l="1"/>
  <c r="F31" i="63"/>
  <c r="G31" i="63" s="1" a="1"/>
  <c r="G31" i="63" s="1"/>
  <c r="F32" i="63"/>
  <c r="G32" i="63" s="1" a="1"/>
  <c r="G32" i="63" s="1"/>
  <c r="F28" i="63"/>
  <c r="G28" i="63" s="1" a="1"/>
  <c r="G28" i="63" s="1"/>
  <c r="F27" i="63"/>
  <c r="G27" i="63" s="1" a="1"/>
  <c r="G27" i="63" s="1"/>
  <c r="J13" i="63"/>
  <c r="F30" i="63"/>
  <c r="G30" i="63" s="1" a="1"/>
  <c r="G30" i="63" s="1"/>
  <c r="F21" i="63"/>
  <c r="G21" i="63" s="1" a="1"/>
  <c r="G21" i="63" s="1"/>
  <c r="F17" i="63"/>
  <c r="G17" i="63" s="1" a="1"/>
  <c r="G17" i="63" s="1"/>
  <c r="F13" i="63"/>
  <c r="G13" i="63" s="1" a="1"/>
  <c r="G13" i="63" s="1"/>
  <c r="F26" i="63"/>
  <c r="G26" i="63" s="1" a="1"/>
  <c r="G26" i="63" s="1"/>
  <c r="F20" i="63"/>
  <c r="G20" i="63" s="1" a="1"/>
  <c r="G20" i="63" s="1"/>
  <c r="F16" i="63"/>
  <c r="G16" i="63" s="1" a="1"/>
  <c r="G16" i="63" s="1"/>
  <c r="F14" i="63"/>
  <c r="G14" i="63" s="1" a="1"/>
  <c r="G14" i="63" s="1"/>
  <c r="F22" i="63"/>
  <c r="G22" i="63" s="1" a="1"/>
  <c r="G22" i="63" s="1"/>
  <c r="G24" i="63" a="1"/>
  <c r="G24" i="63" s="1"/>
  <c r="F19" i="63"/>
  <c r="G19" i="63" s="1" a="1"/>
  <c r="G19" i="63" s="1"/>
  <c r="F18" i="63"/>
  <c r="G18" i="63" s="1" a="1"/>
  <c r="G18" i="63" s="1"/>
  <c r="F25" i="63"/>
  <c r="G25" i="63" s="1" a="1"/>
  <c r="G25" i="63" s="1"/>
  <c r="F15" i="63"/>
  <c r="G15" i="63" s="1" a="1"/>
  <c r="G15" i="63" s="1"/>
  <c r="F29" i="63"/>
  <c r="G29" i="63" s="1" a="1"/>
  <c r="G29" i="63" s="1"/>
  <c r="C104" i="63"/>
  <c r="C150" i="63"/>
  <c r="C306" i="63"/>
  <c r="E321" i="63" l="1"/>
  <c r="H321" i="63"/>
  <c r="I321" i="63"/>
  <c r="J321" i="63"/>
  <c r="K321" i="63" a="1"/>
  <c r="K321" i="63" s="1"/>
  <c r="E322" i="63"/>
  <c r="H322" i="63"/>
  <c r="I322" i="63"/>
  <c r="J322" i="63"/>
  <c r="K322" i="63" a="1"/>
  <c r="K322" i="63" s="1"/>
  <c r="E323" i="63"/>
  <c r="F323" i="63"/>
  <c r="H323" i="63"/>
  <c r="I323" i="63"/>
  <c r="J323" i="63"/>
  <c r="K323" i="63" a="1"/>
  <c r="K323" i="63" s="1"/>
  <c r="AF34" i="8"/>
  <c r="AF29" i="8"/>
  <c r="AF28" i="8"/>
  <c r="AF27" i="8"/>
  <c r="AF26" i="8"/>
  <c r="AF20" i="8"/>
  <c r="AF4" i="8"/>
  <c r="AG31" i="8"/>
  <c r="AG30" i="8"/>
  <c r="AG29" i="8"/>
  <c r="AG28" i="8"/>
  <c r="AG27" i="8"/>
  <c r="AG26" i="8"/>
  <c r="AG25" i="8"/>
  <c r="AE31" i="8"/>
  <c r="AE30" i="8"/>
  <c r="AE29" i="8"/>
  <c r="AE28" i="8"/>
  <c r="AE27" i="8"/>
  <c r="AE26" i="8"/>
  <c r="AE25" i="8"/>
  <c r="E316" i="63"/>
  <c r="K316" i="63" a="1"/>
  <c r="K316" i="63" s="1"/>
  <c r="E317" i="63"/>
  <c r="H317" i="63"/>
  <c r="I317" i="63"/>
  <c r="J317" i="63"/>
  <c r="K317" i="63" a="1"/>
  <c r="K317" i="63" s="1"/>
  <c r="C316" i="63"/>
  <c r="J31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7" i="63" l="1"/>
  <c r="G317" i="63" s="1" a="1"/>
  <c r="G317" i="63" s="1"/>
  <c r="F321" i="63"/>
  <c r="G321" i="63" s="1" a="1"/>
  <c r="G321" i="63" s="1"/>
  <c r="F322" i="63"/>
  <c r="G322" i="63" s="1" a="1"/>
  <c r="G322" i="63" s="1"/>
  <c r="F316" i="63"/>
  <c r="G316" i="63" s="1" a="1"/>
  <c r="G316" i="63" s="1"/>
  <c r="G323" i="63" a="1"/>
  <c r="G323" i="63" s="1"/>
  <c r="I316" i="63"/>
  <c r="H316" i="63"/>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6" i="25"/>
  <c r="T25" i="25"/>
  <c r="T13" i="25"/>
  <c r="T12" i="25"/>
  <c r="T14" i="25" s="1"/>
  <c r="T32" i="25"/>
  <c r="U29" i="25"/>
  <c r="U28" i="25"/>
  <c r="U27" i="25"/>
  <c r="U26" i="25"/>
  <c r="U25" i="25"/>
  <c r="U24" i="25"/>
  <c r="I32" i="70" l="1"/>
  <c r="F32" i="70"/>
  <c r="F33" i="70"/>
  <c r="F25" i="70"/>
  <c r="F26" i="70"/>
  <c r="D35" i="70"/>
  <c r="E27" i="70"/>
  <c r="I27" i="70" s="1"/>
  <c r="E34" i="70"/>
  <c r="T17" i="25"/>
  <c r="E268" i="63"/>
  <c r="H268" i="63"/>
  <c r="I268" i="63"/>
  <c r="J268" i="63"/>
  <c r="K268" i="63" a="1"/>
  <c r="K268" i="63" s="1"/>
  <c r="E269" i="63"/>
  <c r="H269" i="63"/>
  <c r="I269" i="63"/>
  <c r="J269" i="63"/>
  <c r="K269" i="63" a="1"/>
  <c r="K269" i="63" s="1"/>
  <c r="E270" i="63"/>
  <c r="F270" i="63"/>
  <c r="H270" i="63"/>
  <c r="I270" i="63"/>
  <c r="J270" i="63"/>
  <c r="K270" i="63" a="1"/>
  <c r="K270" i="63" s="1"/>
  <c r="E271" i="63"/>
  <c r="K271" i="63" a="1"/>
  <c r="K271" i="63" s="1"/>
  <c r="E28" i="70" l="1"/>
  <c r="AA3" i="70" s="1" a="1"/>
  <c r="AA3" i="70" s="1"/>
  <c r="F27" i="70"/>
  <c r="I34" i="70"/>
  <c r="F34" i="70"/>
  <c r="E35" i="70"/>
  <c r="I35" i="70" s="1"/>
  <c r="G270" i="63" a="1"/>
  <c r="G270" i="63" s="1"/>
  <c r="F268" i="63"/>
  <c r="G268" i="63" s="1" a="1"/>
  <c r="G268" i="63" s="1"/>
  <c r="F269" i="63"/>
  <c r="G269" i="63" s="1" a="1"/>
  <c r="G269" i="63" s="1"/>
  <c r="F28" i="70" l="1"/>
  <c r="E36" i="70"/>
  <c r="F29" i="70"/>
  <c r="F35" i="70"/>
  <c r="I28"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AB27" i="25" l="1"/>
  <c r="AB26" i="25"/>
  <c r="AD27" i="25"/>
  <c r="AD26" i="25"/>
  <c r="C12" i="69"/>
  <c r="C13" i="69"/>
  <c r="C15" i="69"/>
  <c r="C16" i="69"/>
  <c r="C17" i="69"/>
  <c r="B13"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20" i="63"/>
  <c r="H120" i="63"/>
  <c r="I120" i="63"/>
  <c r="J120" i="63"/>
  <c r="K120" i="63" a="1"/>
  <c r="K120" i="63" s="1"/>
  <c r="E121" i="63"/>
  <c r="K121" i="63" a="1"/>
  <c r="K121" i="63" s="1"/>
  <c r="E122" i="63"/>
  <c r="H122" i="63"/>
  <c r="I122" i="63"/>
  <c r="J122" i="63"/>
  <c r="K122" i="63" a="1"/>
  <c r="K122" i="63" s="1"/>
  <c r="E123" i="63"/>
  <c r="H123" i="63"/>
  <c r="I123" i="63"/>
  <c r="J123" i="63"/>
  <c r="K123" i="63" a="1"/>
  <c r="K123" i="63" s="1"/>
  <c r="E124" i="63"/>
  <c r="F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H129" i="63"/>
  <c r="I129" i="63"/>
  <c r="J129" i="63"/>
  <c r="K129" i="63" a="1"/>
  <c r="K129" i="63" s="1"/>
  <c r="F129" i="63" s="1"/>
  <c r="E130" i="63"/>
  <c r="F130" i="63"/>
  <c r="H130" i="63"/>
  <c r="I130" i="63"/>
  <c r="J130" i="63"/>
  <c r="K130" i="63" a="1"/>
  <c r="K130" i="63" s="1"/>
  <c r="E131" i="63"/>
  <c r="H131" i="63"/>
  <c r="I131" i="63"/>
  <c r="J131" i="63"/>
  <c r="K131" i="63" a="1"/>
  <c r="K131" i="63" s="1"/>
  <c r="E132" i="63"/>
  <c r="H132" i="63"/>
  <c r="I132" i="63"/>
  <c r="J132" i="63"/>
  <c r="K132" i="63" a="1"/>
  <c r="K132" i="63" s="1"/>
  <c r="E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E138" i="63"/>
  <c r="H138" i="63"/>
  <c r="I138" i="63"/>
  <c r="J138" i="63"/>
  <c r="K138" i="63" a="1"/>
  <c r="K138" i="63" s="1"/>
  <c r="E139" i="63"/>
  <c r="F139" i="63"/>
  <c r="H139" i="63"/>
  <c r="I139" i="63"/>
  <c r="J139" i="63"/>
  <c r="K139" i="63" a="1"/>
  <c r="K139" i="63" s="1"/>
  <c r="E140" i="63"/>
  <c r="H140" i="63"/>
  <c r="I140" i="63"/>
  <c r="J140" i="63"/>
  <c r="K140" i="63" a="1"/>
  <c r="K140" i="63" s="1"/>
  <c r="E141" i="63"/>
  <c r="H141" i="63"/>
  <c r="I141" i="63"/>
  <c r="J141" i="63"/>
  <c r="K141" i="63" a="1"/>
  <c r="K141" i="63" s="1"/>
  <c r="E142" i="63"/>
  <c r="H142" i="63"/>
  <c r="I142" i="63"/>
  <c r="J142" i="63"/>
  <c r="K142" i="63" a="1"/>
  <c r="K142" i="63" s="1"/>
  <c r="F142" i="63" s="1"/>
  <c r="E143" i="63"/>
  <c r="F143" i="63"/>
  <c r="H143" i="63"/>
  <c r="I143" i="63"/>
  <c r="J143" i="63"/>
  <c r="K143" i="63" a="1"/>
  <c r="K143" i="63" s="1"/>
  <c r="E144" i="63"/>
  <c r="H144" i="63"/>
  <c r="I144" i="63"/>
  <c r="J144" i="63"/>
  <c r="K144" i="63" a="1"/>
  <c r="K144" i="63" s="1"/>
  <c r="E145" i="63"/>
  <c r="H145" i="63"/>
  <c r="I145" i="63"/>
  <c r="J145" i="63"/>
  <c r="K145" i="63" a="1"/>
  <c r="K145" i="63" s="1"/>
  <c r="E146" i="63"/>
  <c r="H146" i="63"/>
  <c r="I146" i="63"/>
  <c r="J146" i="63"/>
  <c r="K146" i="63" a="1"/>
  <c r="K146" i="63" s="1"/>
  <c r="E147" i="63"/>
  <c r="H147" i="63"/>
  <c r="I147" i="63"/>
  <c r="J147" i="63"/>
  <c r="K147" i="63" a="1"/>
  <c r="K147" i="63" s="1"/>
  <c r="BF9" i="25"/>
  <c r="BF7" i="25"/>
  <c r="BF25" i="25" s="1"/>
  <c r="BF32" i="25"/>
  <c r="BF13" i="25"/>
  <c r="BF12" i="25"/>
  <c r="BF14" i="25" s="1"/>
  <c r="BG29" i="25"/>
  <c r="BG28" i="25"/>
  <c r="BG27" i="25"/>
  <c r="BG26" i="25"/>
  <c r="BG25" i="25"/>
  <c r="BG24" i="25"/>
  <c r="BF27" i="25" a="1"/>
  <c r="G142" i="63" l="1" a="1"/>
  <c r="G142" i="63" s="1"/>
  <c r="G124" i="63" a="1"/>
  <c r="G124" i="63" s="1"/>
  <c r="F127" i="63"/>
  <c r="G127" i="63" s="1" a="1"/>
  <c r="G127" i="63" s="1"/>
  <c r="F120" i="63"/>
  <c r="G120" i="63" s="1" a="1"/>
  <c r="G120" i="63" s="1"/>
  <c r="F133" i="63"/>
  <c r="G133" i="63" s="1" a="1"/>
  <c r="G133" i="63" s="1"/>
  <c r="G130" i="63" a="1"/>
  <c r="G130" i="63" s="1"/>
  <c r="G143" i="63" a="1"/>
  <c r="G143" i="63" s="1"/>
  <c r="F138" i="63"/>
  <c r="G138" i="63" s="1" a="1"/>
  <c r="G138" i="63" s="1"/>
  <c r="F140" i="63"/>
  <c r="G140" i="63" s="1" a="1"/>
  <c r="G140" i="63" s="1"/>
  <c r="F144" i="63"/>
  <c r="G144" i="63" s="1" a="1"/>
  <c r="G144" i="63" s="1"/>
  <c r="F135" i="63"/>
  <c r="G135" i="63" s="1" a="1"/>
  <c r="G135" i="63" s="1"/>
  <c r="F126" i="63"/>
  <c r="G126" i="63" s="1" a="1"/>
  <c r="G126" i="63" s="1"/>
  <c r="F145" i="63"/>
  <c r="G145" i="63" s="1" a="1"/>
  <c r="G145" i="63" s="1"/>
  <c r="F131" i="63"/>
  <c r="G131" i="63" s="1" a="1"/>
  <c r="G131" i="63" s="1"/>
  <c r="F121" i="63"/>
  <c r="G121" i="63" s="1" a="1"/>
  <c r="G121" i="63" s="1"/>
  <c r="BF17" i="25"/>
  <c r="F147" i="63"/>
  <c r="G147" i="63" s="1" a="1"/>
  <c r="G147" i="63" s="1"/>
  <c r="F141" i="63"/>
  <c r="G141" i="63" s="1" a="1"/>
  <c r="G141" i="63" s="1"/>
  <c r="G139" i="63" a="1"/>
  <c r="G139" i="63" s="1"/>
  <c r="G129" i="63" a="1"/>
  <c r="G129" i="63" s="1"/>
  <c r="F123" i="63"/>
  <c r="G123" i="63" s="1" a="1"/>
  <c r="G123" i="63" s="1"/>
  <c r="F122" i="63"/>
  <c r="G122" i="63" s="1" a="1"/>
  <c r="G122" i="63" s="1"/>
  <c r="F137" i="63"/>
  <c r="G137" i="63" s="1" a="1"/>
  <c r="G137" i="63" s="1"/>
  <c r="F125" i="63"/>
  <c r="G125" i="63" s="1" a="1"/>
  <c r="G125" i="63" s="1"/>
  <c r="F146" i="63"/>
  <c r="G146" i="63" s="1" a="1"/>
  <c r="G146" i="63" s="1"/>
  <c r="F134" i="63"/>
  <c r="G134" i="63" s="1" a="1"/>
  <c r="G134" i="63" s="1"/>
  <c r="F136" i="63"/>
  <c r="G136" i="63" s="1" a="1"/>
  <c r="G136" i="63" s="1"/>
  <c r="F132" i="63"/>
  <c r="G132" i="63" s="1" a="1"/>
  <c r="G132" i="63" s="1"/>
  <c r="F128" i="63"/>
  <c r="G128" i="63" s="1" a="1"/>
  <c r="G128" i="63" s="1"/>
  <c r="BF27" i="25"/>
  <c r="BL26" i="25"/>
  <c r="BL12" i="25"/>
  <c r="BD25" i="25" l="1"/>
  <c r="BD27" i="25" a="1"/>
  <c r="BD27" i="25" l="1"/>
  <c r="C54" i="67"/>
  <c r="C55"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J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R27" i="25" a="1"/>
  <c r="BR27" i="25" s="1"/>
  <c r="BR26" i="25"/>
  <c r="BR25" i="25"/>
  <c r="E49" i="67" l="1"/>
  <c r="H49" i="67" s="1"/>
  <c r="F49" i="67"/>
  <c r="I49" i="67" s="1"/>
  <c r="F19" i="67"/>
  <c r="I19" i="67" s="1"/>
  <c r="E19" i="67"/>
  <c r="H19" i="67" s="1"/>
  <c r="H20" i="67" s="1"/>
  <c r="F36" i="67"/>
  <c r="E36" i="67"/>
  <c r="H36" i="67" s="1"/>
  <c r="E46" i="67"/>
  <c r="H46" i="67" s="1"/>
  <c r="F46" i="67"/>
  <c r="I46" i="67" s="1"/>
  <c r="F22" i="67"/>
  <c r="I22" i="67" s="1"/>
  <c r="I23" i="67" s="1"/>
  <c r="E23" i="67"/>
  <c r="H23" i="67" s="1"/>
  <c r="F37" i="67"/>
  <c r="I37" i="67" s="1"/>
  <c r="E37" i="67"/>
  <c r="H37" i="67" s="1"/>
  <c r="D26" i="67" a="1"/>
  <c r="D26" i="67" s="1"/>
  <c r="F26" i="67" s="1"/>
  <c r="E48" i="67"/>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H48" i="67"/>
  <c r="I36" i="67"/>
  <c r="D24" i="67" a="1"/>
  <c r="D24" i="67" s="1"/>
  <c r="F24" i="67" s="1"/>
  <c r="H18" i="67"/>
  <c r="I18" i="67"/>
  <c r="H22" i="67"/>
  <c r="C28" i="67"/>
  <c r="D25" i="67" a="1"/>
  <c r="D25" i="67" s="1"/>
  <c r="F25" i="67" s="1"/>
  <c r="BR12" i="25"/>
  <c r="BR14" i="25" s="1"/>
  <c r="BR32" i="25"/>
  <c r="BQ29" i="25"/>
  <c r="BQ28" i="25"/>
  <c r="BQ27" i="25"/>
  <c r="BQ26" i="25"/>
  <c r="BQ25" i="25"/>
  <c r="BQ24" i="25"/>
  <c r="BR13" i="25"/>
  <c r="K39" i="67" a="1"/>
  <c r="K7" i="67" a="1"/>
  <c r="K48" i="67" a="1"/>
  <c r="K45" i="67" a="1"/>
  <c r="K42" i="67" a="1"/>
  <c r="K36" i="67" a="1"/>
  <c r="D27" i="67" l="1" a="1"/>
  <c r="D27" i="67" s="1"/>
  <c r="E27" i="67" s="1"/>
  <c r="E26" i="67"/>
  <c r="H26" i="67" s="1"/>
  <c r="C31" i="67"/>
  <c r="G31" i="67" s="1"/>
  <c r="G28" i="67"/>
  <c r="C51" i="22"/>
  <c r="D51" i="22"/>
  <c r="E25" i="67"/>
  <c r="H25" i="67" s="1"/>
  <c r="G32" i="67"/>
  <c r="G29" i="67"/>
  <c r="K48" i="67"/>
  <c r="E24" i="67"/>
  <c r="H24" i="67" s="1"/>
  <c r="G30" i="67"/>
  <c r="F27"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R17" i="25"/>
  <c r="E332" i="63"/>
  <c r="H332" i="63"/>
  <c r="I332" i="63"/>
  <c r="J332" i="63"/>
  <c r="K332" i="63" a="1"/>
  <c r="K332" i="63" s="1"/>
  <c r="E333" i="63"/>
  <c r="H333" i="63"/>
  <c r="I333" i="63"/>
  <c r="J333" i="63"/>
  <c r="K333" i="63" a="1"/>
  <c r="K333" i="63" s="1"/>
  <c r="E338" i="63"/>
  <c r="H338" i="63"/>
  <c r="I338" i="63"/>
  <c r="J338" i="63"/>
  <c r="K338" i="63" a="1"/>
  <c r="K338" i="63" s="1"/>
  <c r="E339" i="63"/>
  <c r="H339" i="63"/>
  <c r="I339" i="63"/>
  <c r="J339" i="63"/>
  <c r="K339" i="63" a="1"/>
  <c r="K339" i="63" s="1"/>
  <c r="AK31" i="8"/>
  <c r="AK30" i="8"/>
  <c r="AK29" i="8"/>
  <c r="AK28" i="8"/>
  <c r="AK27" i="8"/>
  <c r="AK26" i="8"/>
  <c r="AK25" i="8"/>
  <c r="AL4" i="8"/>
  <c r="AL34" i="8"/>
  <c r="AL29" i="8"/>
  <c r="AL26" i="8"/>
  <c r="AM31" i="8"/>
  <c r="AM30" i="8"/>
  <c r="AM29" i="8"/>
  <c r="AM28" i="8"/>
  <c r="AM27" i="8"/>
  <c r="AM26" i="8"/>
  <c r="AM25" i="8"/>
  <c r="I27" i="67" l="1"/>
  <c r="H27" i="67"/>
  <c r="E29" i="67"/>
  <c r="F32" i="67"/>
  <c r="I29" i="67"/>
  <c r="E28" i="67"/>
  <c r="H28" i="67" s="1"/>
  <c r="H29" i="67" s="1"/>
  <c r="H30" i="67"/>
  <c r="K88" i="67" a="1"/>
  <c r="K88" i="67" s="1"/>
  <c r="F30" i="67"/>
  <c r="I30" i="67" s="1"/>
  <c r="K85" i="67" a="1"/>
  <c r="K85" i="67" s="1"/>
  <c r="D31" i="67" a="1"/>
  <c r="D31" i="67" s="1"/>
  <c r="I28" i="67"/>
  <c r="H32" i="67"/>
  <c r="F333" i="63"/>
  <c r="G333" i="63" s="1" a="1"/>
  <c r="G333" i="63" s="1"/>
  <c r="F332" i="63"/>
  <c r="G332" i="63" s="1" a="1"/>
  <c r="G332" i="63" s="1"/>
  <c r="F338" i="63"/>
  <c r="G338" i="63" s="1" a="1"/>
  <c r="G338" i="63" s="1"/>
  <c r="F339" i="63"/>
  <c r="G339" i="63" s="1" a="1"/>
  <c r="G339" i="63" s="1"/>
  <c r="AL27" i="8"/>
  <c r="AL20" i="8"/>
  <c r="AL28" i="8"/>
  <c r="E336" i="63"/>
  <c r="H336" i="63"/>
  <c r="I336" i="63"/>
  <c r="J336" i="63"/>
  <c r="K336" i="63" a="1"/>
  <c r="K336" i="63" s="1"/>
  <c r="E337" i="63"/>
  <c r="H337" i="63"/>
  <c r="I337" i="63"/>
  <c r="J337" i="63"/>
  <c r="K337" i="63" a="1"/>
  <c r="K337" i="63" s="1"/>
  <c r="BJ12" i="25"/>
  <c r="BJ14" i="25" s="1"/>
  <c r="BJ32" i="25"/>
  <c r="BJ13" i="25"/>
  <c r="BK29" i="25"/>
  <c r="BK28" i="25"/>
  <c r="BK27" i="25"/>
  <c r="BK26" i="25"/>
  <c r="BK25" i="25"/>
  <c r="BK24" i="25"/>
  <c r="BJ25" i="25" a="1"/>
  <c r="F31" i="67" l="1"/>
  <c r="I31" i="67" s="1"/>
  <c r="E31" i="67"/>
  <c r="H31" i="67" s="1"/>
  <c r="J46" i="67" s="1"/>
  <c r="F336" i="63"/>
  <c r="G336" i="63" s="1" a="1"/>
  <c r="G336" i="63" s="1"/>
  <c r="BJ17" i="25"/>
  <c r="F337" i="63"/>
  <c r="G337" i="63" s="1" a="1"/>
  <c r="G337" i="63" s="1"/>
  <c r="BJ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17" i="63"/>
  <c r="H217" i="63"/>
  <c r="I217" i="63"/>
  <c r="J217" i="63"/>
  <c r="K217" i="63" a="1"/>
  <c r="K217" i="63" s="1"/>
  <c r="F218" i="63" s="1"/>
  <c r="G218" i="63" s="1" a="1"/>
  <c r="G218" i="63" s="1"/>
  <c r="C218" i="63"/>
  <c r="F23" i="66"/>
  <c r="F33" i="66"/>
  <c r="F32" i="66"/>
  <c r="I218" i="63" l="1"/>
  <c r="H218" i="63"/>
  <c r="J218" i="63"/>
  <c r="F217" i="63"/>
  <c r="G217" i="63" s="1" a="1"/>
  <c r="G217" i="63" s="1"/>
  <c r="F39" i="66" a="1"/>
  <c r="F39" i="66" s="1"/>
  <c r="E248" i="63" l="1"/>
  <c r="K248" i="63" a="1"/>
  <c r="K248" i="63" s="1"/>
  <c r="E249" i="63"/>
  <c r="H249" i="63"/>
  <c r="I249" i="63"/>
  <c r="J249" i="63"/>
  <c r="K249" i="63" a="1"/>
  <c r="K249" i="63" s="1"/>
  <c r="C248" i="63"/>
  <c r="H248" i="63" s="1"/>
  <c r="D11" i="65"/>
  <c r="D21" i="65" s="1"/>
  <c r="C17" i="65"/>
  <c r="C27" i="65" s="1"/>
  <c r="C16" i="65"/>
  <c r="D18" i="65" s="1"/>
  <c r="D28" i="65" s="1"/>
  <c r="C12" i="65"/>
  <c r="C22" i="65" s="1"/>
  <c r="C11" i="65"/>
  <c r="D14" i="65" s="1"/>
  <c r="D24" i="65" s="1"/>
  <c r="C7" i="65"/>
  <c r="C8" i="65" s="1"/>
  <c r="C9" i="65" s="1"/>
  <c r="D6" i="65"/>
  <c r="D7" i="65" s="1"/>
  <c r="D8" i="65" s="1"/>
  <c r="D9" i="65" s="1"/>
  <c r="F249" i="63" l="1"/>
  <c r="G249" i="63" s="1" a="1"/>
  <c r="G249" i="63" s="1"/>
  <c r="F248" i="63"/>
  <c r="G248" i="63" s="1" a="1"/>
  <c r="G248" i="63" s="1"/>
  <c r="J248" i="63"/>
  <c r="I24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C28" i="65" s="1"/>
  <c r="P9" i="63"/>
  <c r="Q9" i="63" s="1"/>
  <c r="T16" i="8" l="1"/>
  <c r="C162" i="63" l="1"/>
  <c r="F3" i="65" l="1"/>
  <c r="E210" i="63"/>
  <c r="H210" i="63"/>
  <c r="I210" i="63"/>
  <c r="J210" i="63"/>
  <c r="K210" i="63" a="1"/>
  <c r="K210" i="63" s="1"/>
  <c r="E211" i="63"/>
  <c r="H211" i="63"/>
  <c r="I211" i="63"/>
  <c r="J211" i="63"/>
  <c r="K211" i="63" a="1"/>
  <c r="K211" i="63" s="1"/>
  <c r="F11" i="65" a="1"/>
  <c r="F16" i="65" a="1"/>
  <c r="F2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0" i="63"/>
  <c r="G210" i="63" s="1" a="1"/>
  <c r="G210" i="63" s="1"/>
  <c r="F211" i="63"/>
  <c r="G211" i="63" s="1" a="1"/>
  <c r="G211" i="63" s="1"/>
  <c r="F47" i="65" a="1"/>
  <c r="F47" i="65" l="1"/>
  <c r="F48" i="65" a="1"/>
  <c r="F48" i="65" s="1"/>
  <c r="F38" i="65" a="1"/>
  <c r="F38" i="65" s="1"/>
  <c r="E20" i="64"/>
  <c r="E21" i="64" l="1"/>
  <c r="E22" i="64"/>
  <c r="C3" i="63"/>
  <c r="J3" i="63" s="1"/>
  <c r="C11" i="63"/>
  <c r="H11" i="63" s="1"/>
  <c r="C30" i="63"/>
  <c r="C35" i="63"/>
  <c r="H35" i="63" s="1"/>
  <c r="J37" i="63"/>
  <c r="C50" i="63"/>
  <c r="I50" i="63" s="1"/>
  <c r="C52" i="63"/>
  <c r="C111" i="63"/>
  <c r="H111" i="63" s="1"/>
  <c r="C118" i="63"/>
  <c r="I118" i="63" s="1"/>
  <c r="C121" i="63"/>
  <c r="I155" i="63"/>
  <c r="C185" i="63"/>
  <c r="J185" i="63" s="1"/>
  <c r="C206" i="63"/>
  <c r="J206" i="63" s="1"/>
  <c r="C208" i="63"/>
  <c r="I208" i="63" s="1"/>
  <c r="C215" i="63"/>
  <c r="J215" i="63" s="1"/>
  <c r="C222" i="63"/>
  <c r="I222" i="63" s="1"/>
  <c r="C224" i="63"/>
  <c r="H224" i="63" s="1"/>
  <c r="C227" i="63"/>
  <c r="I227" i="63" s="1"/>
  <c r="C231" i="63"/>
  <c r="J231" i="63" s="1"/>
  <c r="C233" i="63"/>
  <c r="I233" i="63" s="1"/>
  <c r="C237" i="63"/>
  <c r="I237" i="63" s="1"/>
  <c r="C242" i="63"/>
  <c r="I242" i="63" s="1"/>
  <c r="C243" i="63"/>
  <c r="J243" i="63" s="1"/>
  <c r="C244" i="63"/>
  <c r="C246" i="63"/>
  <c r="H246" i="63" s="1"/>
  <c r="C251" i="63"/>
  <c r="I251" i="63" s="1"/>
  <c r="C253" i="63"/>
  <c r="J253" i="63" s="1"/>
  <c r="C254" i="63"/>
  <c r="I254" i="63" s="1"/>
  <c r="C256" i="63"/>
  <c r="I256" i="63" s="1"/>
  <c r="C258" i="63"/>
  <c r="I258" i="63" s="1"/>
  <c r="C263" i="63"/>
  <c r="H263" i="63" s="1"/>
  <c r="C271" i="63"/>
  <c r="C273" i="63"/>
  <c r="H273" i="63" s="1"/>
  <c r="I277" i="63"/>
  <c r="I281" i="63"/>
  <c r="C285" i="63"/>
  <c r="I285" i="63" s="1"/>
  <c r="C301" i="63"/>
  <c r="I301" i="63" s="1"/>
  <c r="C303" i="63"/>
  <c r="I303" i="63" s="1"/>
  <c r="H305" i="63"/>
  <c r="H306" i="63"/>
  <c r="C307" i="63"/>
  <c r="I307" i="63" s="1"/>
  <c r="C308" i="63"/>
  <c r="I308" i="63" s="1"/>
  <c r="H310" i="63"/>
  <c r="I313" i="63"/>
  <c r="C314" i="63"/>
  <c r="J314" i="63" s="1"/>
  <c r="I318" i="63"/>
  <c r="C319" i="63"/>
  <c r="J319" i="63" s="1"/>
  <c r="C328" i="63"/>
  <c r="I328" i="63" s="1"/>
  <c r="C330" i="63"/>
  <c r="I330" i="63" s="1"/>
  <c r="C331" i="63"/>
  <c r="J331" i="63" s="1"/>
  <c r="C334" i="63"/>
  <c r="J334" i="63" s="1"/>
  <c r="H340" i="63"/>
  <c r="C342" i="63"/>
  <c r="I342" i="63" s="1"/>
  <c r="C347" i="63"/>
  <c r="I347" i="63" s="1"/>
  <c r="C348" i="63"/>
  <c r="I348" i="63" s="1"/>
  <c r="C350" i="63"/>
  <c r="J350" i="63" s="1"/>
  <c r="K352" i="63" a="1"/>
  <c r="K352" i="63" s="1"/>
  <c r="J352" i="63"/>
  <c r="I352" i="63"/>
  <c r="H352" i="63"/>
  <c r="E352" i="63"/>
  <c r="K351" i="63" a="1"/>
  <c r="K351" i="63" s="1"/>
  <c r="J351" i="63"/>
  <c r="I351" i="63"/>
  <c r="H351" i="63"/>
  <c r="E351" i="63"/>
  <c r="K350" i="63" a="1"/>
  <c r="K350" i="63" s="1"/>
  <c r="E350" i="63"/>
  <c r="K349" i="63" a="1"/>
  <c r="K349" i="63" s="1"/>
  <c r="J349" i="63"/>
  <c r="I349" i="63"/>
  <c r="H349" i="63"/>
  <c r="E349" i="63"/>
  <c r="K348" i="63" a="1"/>
  <c r="K348" i="63" s="1"/>
  <c r="E348" i="63"/>
  <c r="K347" i="63" a="1"/>
  <c r="K347" i="63" s="1"/>
  <c r="E347" i="63"/>
  <c r="K346" i="63" a="1"/>
  <c r="K346" i="63" s="1"/>
  <c r="J346" i="63"/>
  <c r="I346" i="63"/>
  <c r="H346" i="63"/>
  <c r="F346" i="63"/>
  <c r="E346" i="63"/>
  <c r="K345" i="63" a="1"/>
  <c r="K345" i="63" s="1"/>
  <c r="J345" i="63"/>
  <c r="I345" i="63"/>
  <c r="H345" i="63"/>
  <c r="F345" i="63"/>
  <c r="E345" i="63"/>
  <c r="K344" i="63" a="1"/>
  <c r="K344" i="63" s="1"/>
  <c r="F344" i="63" s="1"/>
  <c r="J344" i="63"/>
  <c r="I344" i="63"/>
  <c r="H344" i="63"/>
  <c r="E344" i="63"/>
  <c r="K343" i="63" a="1"/>
  <c r="K343" i="63" s="1"/>
  <c r="J343" i="63"/>
  <c r="I343" i="63"/>
  <c r="H343" i="63"/>
  <c r="E343" i="63"/>
  <c r="K342" i="63" a="1"/>
  <c r="K342" i="63" s="1"/>
  <c r="E342" i="63"/>
  <c r="K341" i="63" a="1"/>
  <c r="K341" i="63" s="1"/>
  <c r="J341" i="63"/>
  <c r="I341" i="63"/>
  <c r="H341" i="63"/>
  <c r="E341" i="63"/>
  <c r="K340" i="63" a="1"/>
  <c r="K340" i="63" s="1"/>
  <c r="E340" i="63"/>
  <c r="K335" i="63" a="1"/>
  <c r="K335" i="63" s="1"/>
  <c r="J335" i="63"/>
  <c r="I335" i="63"/>
  <c r="H335" i="63"/>
  <c r="E335" i="63"/>
  <c r="K334" i="63" a="1"/>
  <c r="K334" i="63" s="1"/>
  <c r="E334" i="63"/>
  <c r="K331" i="63" a="1"/>
  <c r="K331" i="63" s="1"/>
  <c r="E331" i="63"/>
  <c r="K330" i="63" a="1"/>
  <c r="K330" i="63" s="1"/>
  <c r="E330" i="63"/>
  <c r="K329" i="63" a="1"/>
  <c r="K329" i="63" s="1"/>
  <c r="J329" i="63"/>
  <c r="I329" i="63"/>
  <c r="H329" i="63"/>
  <c r="E329" i="63"/>
  <c r="K328" i="63" a="1"/>
  <c r="K328" i="63" s="1"/>
  <c r="E328" i="63"/>
  <c r="K327" i="63" a="1"/>
  <c r="K327" i="63" s="1"/>
  <c r="J327" i="63"/>
  <c r="I327" i="63"/>
  <c r="H327" i="63"/>
  <c r="E327" i="63"/>
  <c r="K326" i="63" a="1"/>
  <c r="K326" i="63" s="1"/>
  <c r="J326" i="63"/>
  <c r="I326" i="63"/>
  <c r="H326" i="63"/>
  <c r="E326" i="63"/>
  <c r="K325" i="63" a="1"/>
  <c r="K325" i="63" s="1"/>
  <c r="J325" i="63"/>
  <c r="I325" i="63"/>
  <c r="H325" i="63"/>
  <c r="F325" i="63"/>
  <c r="E325" i="63"/>
  <c r="K324" i="63" a="1"/>
  <c r="K324" i="63" s="1"/>
  <c r="F324" i="63" s="1"/>
  <c r="J324" i="63"/>
  <c r="I324" i="63"/>
  <c r="H324" i="63"/>
  <c r="E324" i="63"/>
  <c r="K320" i="63" a="1"/>
  <c r="K320" i="63" s="1"/>
  <c r="F320" i="63" s="1"/>
  <c r="J320" i="63"/>
  <c r="I320" i="63"/>
  <c r="H320" i="63"/>
  <c r="E320" i="63"/>
  <c r="K319" i="63" a="1"/>
  <c r="K319" i="63" s="1"/>
  <c r="E319" i="63"/>
  <c r="K318" i="63" a="1"/>
  <c r="K318" i="63" s="1"/>
  <c r="E318" i="63"/>
  <c r="K315" i="63" a="1"/>
  <c r="K315" i="63" s="1"/>
  <c r="J315" i="63"/>
  <c r="I315" i="63"/>
  <c r="H315" i="63"/>
  <c r="E315" i="63"/>
  <c r="K314" i="63" a="1"/>
  <c r="K314" i="63" s="1"/>
  <c r="E314" i="63"/>
  <c r="K313" i="63" a="1"/>
  <c r="K313" i="63" s="1"/>
  <c r="E313" i="63"/>
  <c r="K312" i="63" a="1"/>
  <c r="K312" i="63" s="1"/>
  <c r="J312" i="63"/>
  <c r="I312" i="63"/>
  <c r="H312" i="63"/>
  <c r="E312" i="63"/>
  <c r="K311" i="63" a="1"/>
  <c r="K311" i="63" s="1"/>
  <c r="J311" i="63"/>
  <c r="I311" i="63"/>
  <c r="H311" i="63"/>
  <c r="F311" i="63"/>
  <c r="E311" i="63"/>
  <c r="K310" i="63" a="1"/>
  <c r="K310" i="63" s="1"/>
  <c r="E310" i="63"/>
  <c r="K309" i="63" a="1"/>
  <c r="K309" i="63" s="1"/>
  <c r="J309" i="63"/>
  <c r="I309" i="63"/>
  <c r="H309" i="63"/>
  <c r="E309" i="63"/>
  <c r="K308" i="63" a="1"/>
  <c r="K308" i="63" s="1"/>
  <c r="E308" i="63"/>
  <c r="K307" i="63" a="1"/>
  <c r="K307" i="63" s="1"/>
  <c r="E307" i="63"/>
  <c r="K306" i="63" a="1"/>
  <c r="K306" i="63" s="1"/>
  <c r="E306" i="63"/>
  <c r="K305" i="63" a="1"/>
  <c r="K305" i="63" s="1"/>
  <c r="E305" i="63"/>
  <c r="K304" i="63" a="1"/>
  <c r="K304" i="63" s="1"/>
  <c r="J304" i="63"/>
  <c r="I304" i="63"/>
  <c r="H304" i="63"/>
  <c r="E304" i="63"/>
  <c r="K303" i="63" a="1"/>
  <c r="K303" i="63" s="1"/>
  <c r="E303" i="63"/>
  <c r="K302" i="63" a="1"/>
  <c r="K302" i="63" s="1"/>
  <c r="J302" i="63"/>
  <c r="I302" i="63"/>
  <c r="H302" i="63"/>
  <c r="E302" i="63"/>
  <c r="K301" i="63" a="1"/>
  <c r="K301" i="63" s="1"/>
  <c r="E301" i="63"/>
  <c r="K296" i="63" a="1"/>
  <c r="K296" i="63" s="1"/>
  <c r="J296" i="63"/>
  <c r="I296" i="63"/>
  <c r="H296" i="63"/>
  <c r="E296" i="63"/>
  <c r="K295" i="63" a="1"/>
  <c r="K295" i="63" s="1"/>
  <c r="J295" i="63"/>
  <c r="I295" i="63"/>
  <c r="H295" i="63"/>
  <c r="E295" i="63"/>
  <c r="K294" i="63" a="1"/>
  <c r="K294" i="63" s="1"/>
  <c r="J294" i="63"/>
  <c r="I294" i="63"/>
  <c r="H294" i="63"/>
  <c r="E294" i="63"/>
  <c r="K293" i="63" a="1"/>
  <c r="K293" i="63" s="1"/>
  <c r="J293" i="63"/>
  <c r="I293" i="63"/>
  <c r="H293" i="63"/>
  <c r="E293" i="63"/>
  <c r="K290" i="63" a="1"/>
  <c r="K290" i="63" s="1"/>
  <c r="J290" i="63"/>
  <c r="I290" i="63"/>
  <c r="H290" i="63"/>
  <c r="E290" i="63"/>
  <c r="K289" i="63" a="1"/>
  <c r="K289" i="63" s="1"/>
  <c r="J289" i="63"/>
  <c r="I289" i="63"/>
  <c r="H289" i="63"/>
  <c r="E289" i="63"/>
  <c r="K288" i="63" a="1"/>
  <c r="K288" i="63" s="1"/>
  <c r="J288" i="63"/>
  <c r="I288" i="63"/>
  <c r="H288" i="63"/>
  <c r="E288" i="63"/>
  <c r="K287" i="63" a="1"/>
  <c r="K287" i="63" s="1"/>
  <c r="J287" i="63"/>
  <c r="I287" i="63"/>
  <c r="H287" i="63"/>
  <c r="E287" i="63"/>
  <c r="K286" i="63" a="1"/>
  <c r="K286" i="63" s="1"/>
  <c r="J286" i="63"/>
  <c r="I286" i="63"/>
  <c r="H286" i="63"/>
  <c r="E286" i="63"/>
  <c r="K285" i="63" a="1"/>
  <c r="K285" i="63" s="1"/>
  <c r="E285" i="63"/>
  <c r="K284" i="63" a="1"/>
  <c r="K284" i="63" s="1"/>
  <c r="J284" i="63"/>
  <c r="I284" i="63"/>
  <c r="H284" i="63"/>
  <c r="E284" i="63"/>
  <c r="K283" i="63" a="1"/>
  <c r="K283" i="63" s="1"/>
  <c r="J283" i="63"/>
  <c r="I283" i="63"/>
  <c r="H283" i="63"/>
  <c r="E283" i="63"/>
  <c r="K282" i="63" a="1"/>
  <c r="K282" i="63" s="1"/>
  <c r="J282" i="63"/>
  <c r="I282" i="63"/>
  <c r="H282" i="63"/>
  <c r="E282" i="63"/>
  <c r="K281" i="63" a="1"/>
  <c r="K281" i="63" s="1"/>
  <c r="E281" i="63"/>
  <c r="K280" i="63" a="1"/>
  <c r="K280" i="63" s="1"/>
  <c r="J280" i="63"/>
  <c r="I280" i="63"/>
  <c r="H280" i="63"/>
  <c r="E280" i="63"/>
  <c r="K279" i="63" a="1"/>
  <c r="K279" i="63" s="1"/>
  <c r="J279" i="63"/>
  <c r="I279" i="63"/>
  <c r="H279" i="63"/>
  <c r="E279" i="63"/>
  <c r="K278" i="63" a="1"/>
  <c r="K278" i="63" s="1"/>
  <c r="J278" i="63"/>
  <c r="I278" i="63"/>
  <c r="H278" i="63"/>
  <c r="E278" i="63"/>
  <c r="K277" i="63" a="1"/>
  <c r="K277" i="63" s="1"/>
  <c r="E277" i="63"/>
  <c r="K276" i="63" a="1"/>
  <c r="K276" i="63" s="1"/>
  <c r="J276" i="63"/>
  <c r="I276" i="63"/>
  <c r="H276" i="63"/>
  <c r="E276" i="63"/>
  <c r="K275" i="63" a="1"/>
  <c r="K275" i="63" s="1"/>
  <c r="J275" i="63"/>
  <c r="I275" i="63"/>
  <c r="H275" i="63"/>
  <c r="E275" i="63"/>
  <c r="K274" i="63" a="1"/>
  <c r="K274" i="63" s="1"/>
  <c r="J274" i="63"/>
  <c r="I274" i="63"/>
  <c r="H274" i="63"/>
  <c r="E274" i="63"/>
  <c r="K273" i="63" a="1"/>
  <c r="K273" i="63" s="1"/>
  <c r="E273" i="63"/>
  <c r="K272" i="63" a="1"/>
  <c r="K272" i="63" s="1"/>
  <c r="F271" i="63" s="1"/>
  <c r="G271" i="63" s="1" a="1"/>
  <c r="G271" i="63" s="1"/>
  <c r="J272" i="63"/>
  <c r="I272" i="63"/>
  <c r="H272" i="63"/>
  <c r="E272" i="63"/>
  <c r="K265" i="63" a="1"/>
  <c r="K265" i="63" s="1"/>
  <c r="J265" i="63"/>
  <c r="I265" i="63"/>
  <c r="H265" i="63"/>
  <c r="E265" i="63"/>
  <c r="K264" i="63" a="1"/>
  <c r="K264" i="63" s="1"/>
  <c r="J264" i="63"/>
  <c r="I264" i="63"/>
  <c r="H264" i="63"/>
  <c r="E264" i="63"/>
  <c r="K263" i="63" a="1"/>
  <c r="K263" i="63" s="1"/>
  <c r="E263" i="63"/>
  <c r="K262" i="63" a="1"/>
  <c r="K262" i="63" s="1"/>
  <c r="J262" i="63"/>
  <c r="I262" i="63"/>
  <c r="H262" i="63"/>
  <c r="E262" i="63"/>
  <c r="K261" i="63" a="1"/>
  <c r="K261" i="63" s="1"/>
  <c r="J261" i="63"/>
  <c r="I261" i="63"/>
  <c r="H261" i="63"/>
  <c r="E261" i="63"/>
  <c r="K260" i="63" a="1"/>
  <c r="K260" i="63" s="1"/>
  <c r="J260" i="63"/>
  <c r="I260" i="63"/>
  <c r="H260" i="63"/>
  <c r="E260" i="63"/>
  <c r="K259" i="63" a="1"/>
  <c r="K259" i="63" s="1"/>
  <c r="J259" i="63"/>
  <c r="I259" i="63"/>
  <c r="H259" i="63"/>
  <c r="E259" i="63"/>
  <c r="K258" i="63" a="1"/>
  <c r="K258" i="63" s="1"/>
  <c r="E258" i="63"/>
  <c r="K257" i="63" a="1"/>
  <c r="K257" i="63" s="1"/>
  <c r="J257" i="63"/>
  <c r="I257" i="63"/>
  <c r="H257" i="63"/>
  <c r="E257" i="63"/>
  <c r="K256" i="63" a="1"/>
  <c r="K256" i="63" s="1"/>
  <c r="E256" i="63"/>
  <c r="K255" i="63" a="1"/>
  <c r="K255" i="63" s="1"/>
  <c r="J255" i="63"/>
  <c r="I255" i="63"/>
  <c r="H255" i="63"/>
  <c r="E255" i="63"/>
  <c r="K254" i="63" a="1"/>
  <c r="K254" i="63" s="1"/>
  <c r="E254" i="63"/>
  <c r="K253" i="63" a="1"/>
  <c r="K253" i="63" s="1"/>
  <c r="E253" i="63"/>
  <c r="K252" i="63" a="1"/>
  <c r="K252" i="63" s="1"/>
  <c r="J252" i="63"/>
  <c r="I252" i="63"/>
  <c r="H252" i="63"/>
  <c r="E252" i="63"/>
  <c r="K251" i="63" a="1"/>
  <c r="K251" i="63" s="1"/>
  <c r="E251" i="63"/>
  <c r="K250" i="63" a="1"/>
  <c r="K250" i="63" s="1"/>
  <c r="J250" i="63"/>
  <c r="I250" i="63"/>
  <c r="H250" i="63"/>
  <c r="E250" i="63"/>
  <c r="K247" i="63" a="1"/>
  <c r="K247" i="63" s="1"/>
  <c r="J247" i="63"/>
  <c r="I247" i="63"/>
  <c r="H247" i="63"/>
  <c r="E247" i="63"/>
  <c r="K246" i="63" a="1"/>
  <c r="K246" i="63" s="1"/>
  <c r="J246" i="63"/>
  <c r="E246" i="63"/>
  <c r="K245" i="63" a="1"/>
  <c r="K245" i="63" s="1"/>
  <c r="J245" i="63"/>
  <c r="I245" i="63"/>
  <c r="H245" i="63"/>
  <c r="E245" i="63"/>
  <c r="K244" i="63" a="1"/>
  <c r="K244" i="63" s="1"/>
  <c r="E244" i="63"/>
  <c r="K243" i="63" a="1"/>
  <c r="K243" i="63" s="1"/>
  <c r="E243" i="63"/>
  <c r="K242" i="63" a="1"/>
  <c r="K242" i="63" s="1"/>
  <c r="E242" i="63"/>
  <c r="K241" i="63" a="1"/>
  <c r="K241" i="63" s="1"/>
  <c r="J241" i="63"/>
  <c r="I241" i="63"/>
  <c r="H241" i="63"/>
  <c r="F241" i="63"/>
  <c r="E241" i="63"/>
  <c r="K240" i="63" a="1"/>
  <c r="K240" i="63" s="1"/>
  <c r="J240" i="63"/>
  <c r="I240" i="63"/>
  <c r="H240" i="63"/>
  <c r="E240" i="63"/>
  <c r="K239" i="63" a="1"/>
  <c r="K239" i="63" s="1"/>
  <c r="J239" i="63"/>
  <c r="I239" i="63"/>
  <c r="H239" i="63"/>
  <c r="E239" i="63"/>
  <c r="K238" i="63" a="1"/>
  <c r="K238" i="63" s="1"/>
  <c r="J238" i="63"/>
  <c r="I238" i="63"/>
  <c r="H238" i="63"/>
  <c r="E238" i="63"/>
  <c r="K237" i="63" a="1"/>
  <c r="K237" i="63" s="1"/>
  <c r="E237" i="63"/>
  <c r="K236" i="63" a="1"/>
  <c r="K236" i="63" s="1"/>
  <c r="J236" i="63"/>
  <c r="I236" i="63"/>
  <c r="H236" i="63"/>
  <c r="E236" i="63"/>
  <c r="K235" i="63" a="1"/>
  <c r="K235" i="63" s="1"/>
  <c r="J235" i="63"/>
  <c r="I235" i="63"/>
  <c r="H235" i="63"/>
  <c r="E235" i="63"/>
  <c r="K234" i="63" a="1"/>
  <c r="K234" i="63" s="1"/>
  <c r="J234" i="63"/>
  <c r="I234" i="63"/>
  <c r="H234" i="63"/>
  <c r="E234" i="63"/>
  <c r="K233" i="63" a="1"/>
  <c r="K233" i="63" s="1"/>
  <c r="E233" i="63"/>
  <c r="K232" i="63" a="1"/>
  <c r="K232" i="63" s="1"/>
  <c r="J232" i="63"/>
  <c r="I232" i="63"/>
  <c r="H232" i="63"/>
  <c r="E232" i="63"/>
  <c r="K231" i="63" a="1"/>
  <c r="K231" i="63" s="1"/>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E227" i="63"/>
  <c r="K224" i="63" a="1"/>
  <c r="K224" i="63" s="1"/>
  <c r="E224" i="63"/>
  <c r="K223" i="63" a="1"/>
  <c r="K223" i="63" s="1"/>
  <c r="J223" i="63"/>
  <c r="I223" i="63"/>
  <c r="H223" i="63"/>
  <c r="E223" i="63"/>
  <c r="K222" i="63" a="1"/>
  <c r="K222" i="63" s="1"/>
  <c r="E222" i="63"/>
  <c r="K221" i="63" a="1"/>
  <c r="K221" i="63" s="1"/>
  <c r="J221" i="63"/>
  <c r="I221" i="63"/>
  <c r="H221" i="63"/>
  <c r="E221" i="63"/>
  <c r="K216" i="63" a="1"/>
  <c r="K216" i="63" s="1"/>
  <c r="J216" i="63"/>
  <c r="I216" i="63"/>
  <c r="H216" i="63"/>
  <c r="E216" i="63"/>
  <c r="K215" i="63" a="1"/>
  <c r="K215" i="63" s="1"/>
  <c r="E215" i="63"/>
  <c r="K213" i="63" a="1"/>
  <c r="K213" i="63" s="1"/>
  <c r="J213" i="63"/>
  <c r="I213" i="63"/>
  <c r="H213" i="63"/>
  <c r="E213" i="63"/>
  <c r="K212" i="63" a="1"/>
  <c r="K212" i="63" s="1"/>
  <c r="J212" i="63"/>
  <c r="I212" i="63"/>
  <c r="H212" i="63"/>
  <c r="E212" i="63"/>
  <c r="K209" i="63" a="1"/>
  <c r="K209" i="63" s="1"/>
  <c r="J209" i="63"/>
  <c r="I209" i="63"/>
  <c r="H209" i="63"/>
  <c r="E209" i="63"/>
  <c r="K208" i="63" a="1"/>
  <c r="K208" i="63" s="1"/>
  <c r="E208" i="63"/>
  <c r="K207" i="63" a="1"/>
  <c r="K207" i="63" s="1"/>
  <c r="J207" i="63"/>
  <c r="I207" i="63"/>
  <c r="H207" i="63"/>
  <c r="E207" i="63"/>
  <c r="K206" i="63" a="1"/>
  <c r="K206" i="63" s="1"/>
  <c r="E206" i="63"/>
  <c r="K205" i="63" a="1"/>
  <c r="K205" i="63" s="1"/>
  <c r="J205" i="63"/>
  <c r="I205" i="63"/>
  <c r="H205" i="63"/>
  <c r="F205" i="63"/>
  <c r="E205" i="63"/>
  <c r="K204" i="63" a="1"/>
  <c r="K204" i="63" s="1"/>
  <c r="F204" i="63" s="1"/>
  <c r="J204" i="63"/>
  <c r="I204" i="63"/>
  <c r="H204" i="63"/>
  <c r="E204" i="63"/>
  <c r="K203" i="63" a="1"/>
  <c r="K203" i="63" s="1"/>
  <c r="J203" i="63"/>
  <c r="I203" i="63"/>
  <c r="H203" i="63"/>
  <c r="F203" i="63"/>
  <c r="E203" i="63"/>
  <c r="K202" i="63" a="1"/>
  <c r="K202" i="63" s="1"/>
  <c r="J202" i="63"/>
  <c r="I202" i="63"/>
  <c r="H202" i="63"/>
  <c r="E202" i="63"/>
  <c r="K201" i="63" a="1"/>
  <c r="K201" i="63" s="1"/>
  <c r="J201" i="63"/>
  <c r="I201" i="63"/>
  <c r="H201" i="63"/>
  <c r="E201" i="63"/>
  <c r="K200" i="63" a="1"/>
  <c r="K200" i="63" s="1"/>
  <c r="J200" i="63"/>
  <c r="I200" i="63"/>
  <c r="H200" i="63"/>
  <c r="E200" i="63"/>
  <c r="K199" i="63" a="1"/>
  <c r="K199" i="63" s="1"/>
  <c r="J199" i="63"/>
  <c r="I199" i="63"/>
  <c r="H199" i="63"/>
  <c r="E199" i="63"/>
  <c r="K194" i="63" a="1"/>
  <c r="K194" i="63" s="1"/>
  <c r="J194" i="63"/>
  <c r="I194" i="63"/>
  <c r="H194" i="63"/>
  <c r="E194" i="63"/>
  <c r="K193" i="63" a="1"/>
  <c r="K193" i="63" s="1"/>
  <c r="J193" i="63"/>
  <c r="I193" i="63"/>
  <c r="H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8" i="63" a="1"/>
  <c r="K188" i="63" s="1"/>
  <c r="J188" i="63"/>
  <c r="I188" i="63"/>
  <c r="H188" i="63"/>
  <c r="E188" i="63"/>
  <c r="K187" i="63" a="1"/>
  <c r="K187" i="63" s="1"/>
  <c r="J187" i="63"/>
  <c r="I187" i="63"/>
  <c r="H187" i="63"/>
  <c r="E187" i="63"/>
  <c r="K186" i="63" a="1"/>
  <c r="K186" i="63" s="1"/>
  <c r="J186" i="63"/>
  <c r="I186" i="63"/>
  <c r="H186" i="63"/>
  <c r="E186" i="63"/>
  <c r="K185" i="63" a="1"/>
  <c r="K185" i="63" s="1"/>
  <c r="E185" i="63"/>
  <c r="K184" i="63" a="1"/>
  <c r="K184" i="63" s="1"/>
  <c r="J184" i="63"/>
  <c r="I184" i="63"/>
  <c r="H184" i="63"/>
  <c r="E184" i="63"/>
  <c r="K183" i="63" a="1"/>
  <c r="K183" i="63" s="1"/>
  <c r="J183" i="63"/>
  <c r="I183" i="63"/>
  <c r="H183" i="63"/>
  <c r="E183" i="63"/>
  <c r="K182" i="63" a="1"/>
  <c r="K182" i="63" s="1"/>
  <c r="J182" i="63"/>
  <c r="I182" i="63"/>
  <c r="H182" i="63"/>
  <c r="F182" i="63"/>
  <c r="E182" i="63"/>
  <c r="K177" i="63" a="1"/>
  <c r="K177" i="63" s="1"/>
  <c r="J177" i="63"/>
  <c r="I177" i="63"/>
  <c r="H177" i="63"/>
  <c r="E177" i="63"/>
  <c r="K176" i="63" a="1"/>
  <c r="K176" i="63" s="1"/>
  <c r="J176" i="63"/>
  <c r="I176" i="63"/>
  <c r="H176" i="63"/>
  <c r="E176" i="63"/>
  <c r="K171" i="63" a="1"/>
  <c r="K171" i="63" s="1"/>
  <c r="J171" i="63"/>
  <c r="I171" i="63"/>
  <c r="H171" i="63"/>
  <c r="E171" i="63"/>
  <c r="K170" i="63" a="1"/>
  <c r="K170" i="63" s="1"/>
  <c r="J170" i="63"/>
  <c r="I170" i="63"/>
  <c r="H170" i="63"/>
  <c r="E170" i="63"/>
  <c r="K169" i="63" a="1"/>
  <c r="K169" i="63" s="1"/>
  <c r="J169" i="63"/>
  <c r="I169" i="63"/>
  <c r="H169" i="63"/>
  <c r="E169" i="63"/>
  <c r="K168" i="63" a="1"/>
  <c r="K168" i="63" s="1"/>
  <c r="J168" i="63"/>
  <c r="I168" i="63"/>
  <c r="H168" i="63"/>
  <c r="E168" i="63"/>
  <c r="K167" i="63" a="1"/>
  <c r="K167" i="63" s="1"/>
  <c r="J167" i="63"/>
  <c r="I167" i="63"/>
  <c r="H167" i="63"/>
  <c r="E167" i="63"/>
  <c r="K166" i="63" a="1"/>
  <c r="K166" i="63" s="1"/>
  <c r="J166" i="63"/>
  <c r="I166" i="63"/>
  <c r="H166" i="63"/>
  <c r="E166" i="63"/>
  <c r="K165" i="63" a="1"/>
  <c r="K165" i="63" s="1"/>
  <c r="J165" i="63"/>
  <c r="I165" i="63"/>
  <c r="H165" i="63"/>
  <c r="E165" i="63"/>
  <c r="K164" i="63" a="1"/>
  <c r="K164" i="63" s="1"/>
  <c r="J164" i="63"/>
  <c r="I164" i="63"/>
  <c r="H164" i="63"/>
  <c r="E164" i="63"/>
  <c r="K163" i="63" a="1"/>
  <c r="K163" i="63" s="1"/>
  <c r="J163" i="63"/>
  <c r="I163" i="63"/>
  <c r="H163" i="63"/>
  <c r="E163" i="63"/>
  <c r="K162" i="63" a="1"/>
  <c r="K162" i="63" s="1"/>
  <c r="J162" i="63"/>
  <c r="I162" i="63"/>
  <c r="H162" i="63"/>
  <c r="E162"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5" i="63" a="1"/>
  <c r="K155" i="63" s="1"/>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E151" i="63"/>
  <c r="H151" i="63"/>
  <c r="K150" i="63" a="1"/>
  <c r="K150" i="63" s="1"/>
  <c r="J150" i="63"/>
  <c r="I150" i="63"/>
  <c r="H150" i="63"/>
  <c r="E150" i="63"/>
  <c r="K149" i="63" a="1"/>
  <c r="K149" i="63" s="1"/>
  <c r="J149" i="63"/>
  <c r="I149" i="63"/>
  <c r="H149" i="63"/>
  <c r="F149" i="63"/>
  <c r="E149" i="63"/>
  <c r="K148" i="63" a="1"/>
  <c r="K148" i="63" s="1"/>
  <c r="F148" i="63" s="1"/>
  <c r="J148" i="63"/>
  <c r="I148" i="63"/>
  <c r="H148" i="63"/>
  <c r="E148" i="63"/>
  <c r="K119" i="63" a="1"/>
  <c r="K119" i="63" s="1"/>
  <c r="J119" i="63"/>
  <c r="I119" i="63"/>
  <c r="H119" i="63"/>
  <c r="E119" i="63"/>
  <c r="K118" i="63" a="1"/>
  <c r="K118" i="63" s="1"/>
  <c r="E118" i="63"/>
  <c r="K117" i="63" a="1"/>
  <c r="K117" i="63" s="1"/>
  <c r="J117" i="63"/>
  <c r="I117" i="63"/>
  <c r="H117" i="63"/>
  <c r="E117" i="63"/>
  <c r="K116" i="63" a="1"/>
  <c r="K116" i="63" s="1"/>
  <c r="J116" i="63"/>
  <c r="I116" i="63"/>
  <c r="H116" i="63"/>
  <c r="E116" i="63"/>
  <c r="K115" i="63" a="1"/>
  <c r="K115" i="63" s="1"/>
  <c r="J115" i="63"/>
  <c r="I115" i="63"/>
  <c r="H115" i="63"/>
  <c r="E115" i="63"/>
  <c r="K114" i="63" a="1"/>
  <c r="K114" i="63" s="1"/>
  <c r="J114" i="63"/>
  <c r="I114" i="63"/>
  <c r="H114" i="63"/>
  <c r="E114" i="63"/>
  <c r="K113" i="63" a="1"/>
  <c r="K113" i="63" s="1"/>
  <c r="J113" i="63"/>
  <c r="I113" i="63"/>
  <c r="H113" i="63"/>
  <c r="E113" i="63"/>
  <c r="K112" i="63" a="1"/>
  <c r="K112" i="63" s="1"/>
  <c r="J112" i="63"/>
  <c r="I112" i="63"/>
  <c r="H112" i="63"/>
  <c r="E112" i="63"/>
  <c r="K111" i="63" a="1"/>
  <c r="K111" i="63" s="1"/>
  <c r="E111" i="63"/>
  <c r="K110" i="63" a="1"/>
  <c r="K110" i="63" s="1"/>
  <c r="J110" i="63"/>
  <c r="I110" i="63"/>
  <c r="H110" i="63"/>
  <c r="E110" i="63"/>
  <c r="K109" i="63" a="1"/>
  <c r="K109" i="63" s="1"/>
  <c r="J109" i="63"/>
  <c r="I109" i="63"/>
  <c r="H109" i="63"/>
  <c r="E109" i="63"/>
  <c r="K108" i="63" a="1"/>
  <c r="K108" i="63" s="1"/>
  <c r="J108" i="63"/>
  <c r="I108" i="63"/>
  <c r="H108" i="63"/>
  <c r="E108" i="63"/>
  <c r="K107" i="63" a="1"/>
  <c r="K107" i="63" s="1"/>
  <c r="J107" i="63"/>
  <c r="I107" i="63"/>
  <c r="H107" i="63"/>
  <c r="E107" i="63"/>
  <c r="K106" i="63" a="1"/>
  <c r="K106" i="63" s="1"/>
  <c r="J106" i="63"/>
  <c r="I106" i="63"/>
  <c r="H106" i="63"/>
  <c r="E106" i="63"/>
  <c r="K105" i="63" a="1"/>
  <c r="K105" i="63" s="1"/>
  <c r="E105" i="63"/>
  <c r="I105" i="63"/>
  <c r="K104" i="63" a="1"/>
  <c r="K104" i="63" s="1"/>
  <c r="J104" i="63"/>
  <c r="I104" i="63"/>
  <c r="H104" i="63"/>
  <c r="E104" i="63"/>
  <c r="K103" i="63" a="1"/>
  <c r="K103" i="63" s="1"/>
  <c r="J103" i="63"/>
  <c r="I103" i="63"/>
  <c r="H103" i="63"/>
  <c r="E103" i="63"/>
  <c r="K102" i="63" a="1"/>
  <c r="K102" i="63" s="1"/>
  <c r="J102" i="63"/>
  <c r="I102" i="63"/>
  <c r="H102" i="63"/>
  <c r="E102" i="63"/>
  <c r="K101" i="63" a="1"/>
  <c r="K101" i="63" s="1"/>
  <c r="J101" i="63"/>
  <c r="I101" i="63"/>
  <c r="H101" i="63"/>
  <c r="E101" i="63"/>
  <c r="K100" i="63" a="1"/>
  <c r="K100" i="63" s="1"/>
  <c r="J100" i="63"/>
  <c r="I100" i="63"/>
  <c r="H100" i="63"/>
  <c r="E100" i="63"/>
  <c r="K97" i="63" a="1"/>
  <c r="K97" i="63" s="1"/>
  <c r="J97" i="63"/>
  <c r="I97" i="63"/>
  <c r="H97" i="63"/>
  <c r="E97" i="63"/>
  <c r="K96" i="63" a="1"/>
  <c r="K96" i="63" s="1"/>
  <c r="J96" i="63"/>
  <c r="I96" i="63"/>
  <c r="H96" i="63"/>
  <c r="E96" i="63"/>
  <c r="K93" i="63" a="1"/>
  <c r="K93" i="63" s="1"/>
  <c r="J93" i="63"/>
  <c r="I93" i="63"/>
  <c r="H93" i="63"/>
  <c r="E93" i="63"/>
  <c r="K92" i="63" a="1"/>
  <c r="K92" i="63" s="1"/>
  <c r="J92" i="63"/>
  <c r="I92" i="63"/>
  <c r="H92" i="63"/>
  <c r="E92" i="63"/>
  <c r="K89" i="63" a="1"/>
  <c r="K89" i="63" s="1"/>
  <c r="J89" i="63"/>
  <c r="I89" i="63"/>
  <c r="H89" i="63"/>
  <c r="E89" i="63"/>
  <c r="K88" i="63" a="1"/>
  <c r="K88" i="63" s="1"/>
  <c r="F90" i="63" s="1"/>
  <c r="G90" i="63" s="1" a="1"/>
  <c r="G90" i="63" s="1"/>
  <c r="J88" i="63"/>
  <c r="I88" i="63"/>
  <c r="H88" i="63"/>
  <c r="E88" i="63"/>
  <c r="K85" i="63" a="1"/>
  <c r="K85" i="63" s="1"/>
  <c r="J85" i="63"/>
  <c r="I85" i="63"/>
  <c r="H85" i="63"/>
  <c r="E85" i="63"/>
  <c r="K84" i="63" a="1"/>
  <c r="K84" i="63" s="1"/>
  <c r="J84" i="63"/>
  <c r="I84" i="63"/>
  <c r="H84" i="63"/>
  <c r="E84" i="63"/>
  <c r="K81" i="63" a="1"/>
  <c r="K81" i="63" s="1"/>
  <c r="J81" i="63"/>
  <c r="I81" i="63"/>
  <c r="H81" i="63"/>
  <c r="F81" i="63"/>
  <c r="E81" i="63"/>
  <c r="K80" i="63" a="1"/>
  <c r="K80" i="63" s="1"/>
  <c r="J80" i="63"/>
  <c r="I80" i="63"/>
  <c r="H80" i="63"/>
  <c r="E80" i="63"/>
  <c r="K77" i="63" a="1"/>
  <c r="K77" i="63" s="1"/>
  <c r="J77" i="63"/>
  <c r="I77" i="63"/>
  <c r="H77" i="63"/>
  <c r="E77" i="63"/>
  <c r="K76" i="63" a="1"/>
  <c r="K76" i="63" s="1"/>
  <c r="J76" i="63"/>
  <c r="I76" i="63"/>
  <c r="H76" i="63"/>
  <c r="E76" i="63"/>
  <c r="K73" i="63" a="1"/>
  <c r="K73" i="63" s="1"/>
  <c r="J73" i="63"/>
  <c r="I73" i="63"/>
  <c r="H73" i="63"/>
  <c r="E73" i="63"/>
  <c r="K72" i="63" a="1"/>
  <c r="K72" i="63" s="1"/>
  <c r="J72" i="63"/>
  <c r="I72" i="63"/>
  <c r="H72" i="63"/>
  <c r="E72" i="63"/>
  <c r="K69" i="63" a="1"/>
  <c r="K69" i="63" s="1"/>
  <c r="J69" i="63"/>
  <c r="I69" i="63"/>
  <c r="H69" i="63"/>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K57" i="63" a="1"/>
  <c r="K57" i="63" s="1"/>
  <c r="J57" i="63"/>
  <c r="I57" i="63"/>
  <c r="H57" i="63"/>
  <c r="E57" i="63"/>
  <c r="K56" i="63" a="1"/>
  <c r="K56" i="63" s="1"/>
  <c r="J56" i="63"/>
  <c r="I56" i="63"/>
  <c r="H56" i="63"/>
  <c r="E56" i="63"/>
  <c r="K53" i="63" a="1"/>
  <c r="K53" i="63" s="1"/>
  <c r="J53" i="63"/>
  <c r="I53" i="63"/>
  <c r="H53" i="63"/>
  <c r="E53" i="63"/>
  <c r="K52" i="63" a="1"/>
  <c r="K52" i="63" s="1"/>
  <c r="E52" i="63"/>
  <c r="I52" i="63"/>
  <c r="K51" i="63" a="1"/>
  <c r="K51" i="63" s="1"/>
  <c r="J51" i="63"/>
  <c r="I51" i="63"/>
  <c r="H51" i="63"/>
  <c r="E51" i="63"/>
  <c r="K50" i="63" a="1"/>
  <c r="K50" i="63" s="1"/>
  <c r="E50" i="63"/>
  <c r="K43" i="63" a="1"/>
  <c r="K43" i="63" s="1"/>
  <c r="J43" i="63"/>
  <c r="I43" i="63"/>
  <c r="H43" i="63"/>
  <c r="E43" i="63"/>
  <c r="K42" i="63" a="1"/>
  <c r="K42" i="63" s="1"/>
  <c r="J42" i="63"/>
  <c r="I42" i="63"/>
  <c r="H42" i="63"/>
  <c r="E42" i="63"/>
  <c r="K41" i="63" a="1"/>
  <c r="K41" i="63" s="1"/>
  <c r="J41" i="63"/>
  <c r="I41" i="63"/>
  <c r="H41" i="63"/>
  <c r="F41" i="63"/>
  <c r="E41" i="63"/>
  <c r="K40" i="63" a="1"/>
  <c r="K40" i="63" s="1"/>
  <c r="J40" i="63"/>
  <c r="I40" i="63"/>
  <c r="H40" i="63"/>
  <c r="E40" i="63"/>
  <c r="K39" i="63" a="1"/>
  <c r="K39" i="63" s="1"/>
  <c r="J39" i="63"/>
  <c r="I39" i="63"/>
  <c r="H39" i="63"/>
  <c r="E39" i="63"/>
  <c r="K38" i="63" a="1"/>
  <c r="K38" i="63" s="1"/>
  <c r="J38" i="63"/>
  <c r="I38" i="63"/>
  <c r="H38" i="63"/>
  <c r="E38" i="63"/>
  <c r="K37" i="63" a="1"/>
  <c r="K37" i="63" s="1"/>
  <c r="E37" i="63"/>
  <c r="I37" i="63"/>
  <c r="K36" i="63" a="1"/>
  <c r="K36" i="63" s="1"/>
  <c r="J36" i="63"/>
  <c r="I36" i="63"/>
  <c r="H36" i="63"/>
  <c r="E36" i="63"/>
  <c r="K35" i="63" a="1"/>
  <c r="K35" i="63" s="1"/>
  <c r="E35" i="63"/>
  <c r="K34" i="63" a="1"/>
  <c r="K34" i="63" s="1"/>
  <c r="F33" i="63" s="1"/>
  <c r="G33" i="63" s="1" a="1"/>
  <c r="G33" i="63" s="1"/>
  <c r="J34" i="63"/>
  <c r="I34" i="63"/>
  <c r="H34" i="63"/>
  <c r="E34" i="63"/>
  <c r="K12" i="63" a="1"/>
  <c r="K12" i="63" s="1"/>
  <c r="J12" i="63"/>
  <c r="I12" i="63"/>
  <c r="H12" i="63"/>
  <c r="F12" i="63"/>
  <c r="E12" i="63"/>
  <c r="K11" i="63" a="1"/>
  <c r="K11" i="63" s="1"/>
  <c r="F11" i="63" s="1"/>
  <c r="E11" i="63"/>
  <c r="K10" i="63" a="1"/>
  <c r="K10" i="63" s="1"/>
  <c r="J10" i="63"/>
  <c r="I10" i="63"/>
  <c r="H10" i="63"/>
  <c r="F10" i="63"/>
  <c r="E10" i="63"/>
  <c r="K9" i="63" a="1"/>
  <c r="K9" i="63" s="1"/>
  <c r="F9" i="63" s="1"/>
  <c r="J9" i="63"/>
  <c r="I9" i="63"/>
  <c r="H9" i="63"/>
  <c r="E9" i="63"/>
  <c r="K8" i="63" a="1"/>
  <c r="K8" i="63" s="1"/>
  <c r="J8" i="63"/>
  <c r="I8" i="63"/>
  <c r="H8" i="63"/>
  <c r="F8" i="63"/>
  <c r="E8" i="63"/>
  <c r="K3" i="63" a="1"/>
  <c r="K3" i="63" s="1"/>
  <c r="F3" i="63" s="1"/>
  <c r="E3" i="63"/>
  <c r="I35" i="63" l="1"/>
  <c r="I3" i="63"/>
  <c r="H206" i="63"/>
  <c r="J237" i="63"/>
  <c r="I206" i="63"/>
  <c r="H237" i="63"/>
  <c r="J307" i="63"/>
  <c r="I224" i="63"/>
  <c r="I246" i="63"/>
  <c r="J301" i="63"/>
  <c r="J273" i="63"/>
  <c r="I314" i="63"/>
  <c r="J330" i="63"/>
  <c r="J224" i="63"/>
  <c r="F299" i="63"/>
  <c r="G299" i="63" s="1" a="1"/>
  <c r="G299" i="63" s="1"/>
  <c r="F300" i="63"/>
  <c r="G300" i="63" s="1" a="1"/>
  <c r="G300" i="63" s="1"/>
  <c r="F226" i="63"/>
  <c r="G226" i="63" s="1" a="1"/>
  <c r="G226" i="63" s="1"/>
  <c r="F225" i="63"/>
  <c r="G225" i="63" s="1" a="1"/>
  <c r="G225" i="63" s="1"/>
  <c r="F98" i="63"/>
  <c r="G98" i="63" s="1" a="1"/>
  <c r="G98" i="63" s="1"/>
  <c r="F99" i="63"/>
  <c r="G99" i="63" s="1" a="1"/>
  <c r="G99" i="63" s="1"/>
  <c r="F94" i="63"/>
  <c r="G94" i="63" s="1" a="1"/>
  <c r="G94" i="63" s="1"/>
  <c r="F95" i="63"/>
  <c r="G95" i="63" s="1" a="1"/>
  <c r="G95" i="63" s="1"/>
  <c r="F86" i="63"/>
  <c r="G86" i="63" s="1" a="1"/>
  <c r="G86" i="63" s="1"/>
  <c r="F87" i="63"/>
  <c r="G87" i="63" s="1" a="1"/>
  <c r="G87" i="63" s="1"/>
  <c r="F80" i="63"/>
  <c r="F82" i="63"/>
  <c r="G82" i="63" s="1" a="1"/>
  <c r="G82" i="63" s="1"/>
  <c r="F78" i="63"/>
  <c r="G78" i="63" s="1" a="1"/>
  <c r="G78" i="63" s="1"/>
  <c r="F79" i="63"/>
  <c r="G79" i="63" s="1" a="1"/>
  <c r="G79" i="63" s="1"/>
  <c r="F74" i="63"/>
  <c r="G74" i="63" s="1" a="1"/>
  <c r="G74" i="63" s="1"/>
  <c r="F75" i="63"/>
  <c r="G75" i="63" s="1" a="1"/>
  <c r="G75" i="63" s="1"/>
  <c r="F71" i="63"/>
  <c r="G71" i="63" s="1" a="1"/>
  <c r="G71" i="63" s="1"/>
  <c r="F66" i="63"/>
  <c r="G66" i="63" s="1" a="1"/>
  <c r="G66" i="63" s="1"/>
  <c r="F67" i="63"/>
  <c r="G67" i="63" s="1" a="1"/>
  <c r="G67" i="63" s="1"/>
  <c r="F62" i="63"/>
  <c r="G62" i="63" s="1" a="1"/>
  <c r="G62" i="63" s="1"/>
  <c r="F63" i="63"/>
  <c r="G63" i="63" s="1" a="1"/>
  <c r="G63" i="63" s="1"/>
  <c r="F59" i="63"/>
  <c r="G59" i="63" s="1" a="1"/>
  <c r="G59" i="63" s="1"/>
  <c r="F58" i="63"/>
  <c r="G58" i="63" s="1" a="1"/>
  <c r="G58" i="63" s="1"/>
  <c r="H242" i="63"/>
  <c r="H303" i="63"/>
  <c r="J277" i="63"/>
  <c r="H30" i="63"/>
  <c r="I30" i="63"/>
  <c r="J30" i="63"/>
  <c r="H308" i="63"/>
  <c r="J347" i="63"/>
  <c r="J271" i="63"/>
  <c r="H271" i="63"/>
  <c r="I271" i="63"/>
  <c r="I121" i="63"/>
  <c r="J121" i="63"/>
  <c r="H121" i="63"/>
  <c r="G344" i="63" a="1"/>
  <c r="G344" i="63" s="1"/>
  <c r="J342" i="63"/>
  <c r="I111" i="63"/>
  <c r="J310" i="63"/>
  <c r="H281" i="63"/>
  <c r="J305" i="63"/>
  <c r="H155" i="63"/>
  <c r="I263" i="63"/>
  <c r="F242" i="63"/>
  <c r="G242" i="63" s="1" a="1"/>
  <c r="G242" i="63" s="1"/>
  <c r="J155" i="63"/>
  <c r="I215" i="63"/>
  <c r="I231" i="63"/>
  <c r="I243" i="63"/>
  <c r="H253" i="63"/>
  <c r="J281" i="63"/>
  <c r="I305" i="63"/>
  <c r="I310" i="63"/>
  <c r="H319" i="63"/>
  <c r="I334" i="63"/>
  <c r="J348" i="63"/>
  <c r="G320" i="63" a="1"/>
  <c r="G320" i="63" s="1"/>
  <c r="J111" i="63"/>
  <c r="I253" i="63"/>
  <c r="J263" i="63"/>
  <c r="I319" i="63"/>
  <c r="H334" i="63"/>
  <c r="G324" i="63" a="1"/>
  <c r="G324" i="63" s="1"/>
  <c r="I306" i="63"/>
  <c r="H348" i="63"/>
  <c r="G80" i="63" a="1"/>
  <c r="G80" i="63" s="1"/>
  <c r="J50" i="63"/>
  <c r="G204" i="63" a="1"/>
  <c r="G204" i="63" s="1"/>
  <c r="G10" i="63" a="1"/>
  <c r="G10" i="63" s="1"/>
  <c r="G11" i="63" a="1"/>
  <c r="G11" i="63" s="1"/>
  <c r="H118" i="63"/>
  <c r="G203" i="63" a="1"/>
  <c r="G203" i="63" s="1"/>
  <c r="G8" i="63" a="1"/>
  <c r="G8" i="63" s="1"/>
  <c r="G41" i="63" a="1"/>
  <c r="G41" i="63" s="1"/>
  <c r="G241" i="63" a="1"/>
  <c r="G241" i="63" s="1"/>
  <c r="G311" i="63" a="1"/>
  <c r="G311" i="63" s="1"/>
  <c r="G325" i="63" a="1"/>
  <c r="G325" i="63" s="1"/>
  <c r="H254" i="63"/>
  <c r="H285" i="63"/>
  <c r="H328" i="63"/>
  <c r="F329" i="63"/>
  <c r="G329" i="63" s="1" a="1"/>
  <c r="G329" i="63" s="1"/>
  <c r="F343" i="63"/>
  <c r="G343" i="63" s="1" a="1"/>
  <c r="G343" i="63" s="1"/>
  <c r="G148" i="63" a="1"/>
  <c r="G148" i="63" s="1"/>
  <c r="H50" i="63"/>
  <c r="J118" i="63"/>
  <c r="J254" i="63"/>
  <c r="J285" i="63"/>
  <c r="I11" i="63"/>
  <c r="J11" i="63"/>
  <c r="J328" i="63"/>
  <c r="G345" i="63" a="1"/>
  <c r="G345" i="63" s="1"/>
  <c r="G12" i="63" a="1"/>
  <c r="G12" i="63" s="1"/>
  <c r="G149" i="63" a="1"/>
  <c r="G149" i="63" s="1"/>
  <c r="F352" i="63"/>
  <c r="G352" i="63" s="1" a="1"/>
  <c r="G352" i="63" s="1"/>
  <c r="G182" i="63" a="1"/>
  <c r="G182" i="63" s="1"/>
  <c r="G9" i="63" a="1"/>
  <c r="G9" i="63" s="1"/>
  <c r="G81" i="63" a="1"/>
  <c r="G81" i="63" s="1"/>
  <c r="G205" i="63" a="1"/>
  <c r="G205" i="63" s="1"/>
  <c r="G346" i="63" a="1"/>
  <c r="G346" i="63" s="1"/>
  <c r="G3" i="63" a="1"/>
  <c r="G3" i="63" s="1"/>
  <c r="F341" i="63"/>
  <c r="G341" i="63" s="1" a="1"/>
  <c r="G341" i="63" s="1"/>
  <c r="I340" i="63"/>
  <c r="J340" i="63"/>
  <c r="F160" i="63"/>
  <c r="G160" i="63" s="1" a="1"/>
  <c r="G160" i="63" s="1"/>
  <c r="F349" i="63"/>
  <c r="G349" i="63" s="1" a="1"/>
  <c r="G349" i="63" s="1"/>
  <c r="H350" i="63"/>
  <c r="F313" i="63"/>
  <c r="G313" i="63" s="1" a="1"/>
  <c r="G313" i="63" s="1"/>
  <c r="F314" i="63"/>
  <c r="G314" i="63" s="1" a="1"/>
  <c r="G314" i="63" s="1"/>
  <c r="F309" i="63"/>
  <c r="G309" i="63" s="1" a="1"/>
  <c r="G309" i="63" s="1"/>
  <c r="F318" i="63"/>
  <c r="G318" i="63" s="1" a="1"/>
  <c r="G318" i="63" s="1"/>
  <c r="F340" i="63"/>
  <c r="G340" i="63" s="1" a="1"/>
  <c r="G340" i="63" s="1"/>
  <c r="F350" i="63"/>
  <c r="G350" i="63" s="1" a="1"/>
  <c r="G350" i="63" s="1"/>
  <c r="F342" i="63"/>
  <c r="G342" i="63" s="1" a="1"/>
  <c r="G342" i="63" s="1"/>
  <c r="I350" i="63"/>
  <c r="F158" i="63"/>
  <c r="G158" i="63" s="1" a="1"/>
  <c r="G158" i="63" s="1"/>
  <c r="F161" i="63"/>
  <c r="G161" i="63" s="1" a="1"/>
  <c r="G161" i="63" s="1"/>
  <c r="F347" i="63"/>
  <c r="G347" i="63" s="1" a="1"/>
  <c r="G347" i="63" s="1"/>
  <c r="F264" i="63"/>
  <c r="G264" i="63" s="1" a="1"/>
  <c r="G264" i="63" s="1"/>
  <c r="E23" i="64"/>
  <c r="E29" i="64" s="1" a="1"/>
  <c r="E29" i="64" s="1"/>
  <c r="F351" i="63"/>
  <c r="G351" i="63" s="1" a="1"/>
  <c r="G351" i="63" s="1"/>
  <c r="F37" i="63"/>
  <c r="G37" i="63" s="1" a="1"/>
  <c r="G37" i="63" s="1"/>
  <c r="F327" i="63"/>
  <c r="G327" i="63" s="1" a="1"/>
  <c r="G327" i="63" s="1"/>
  <c r="F39" i="63"/>
  <c r="G39" i="63" s="1" a="1"/>
  <c r="G39" i="63" s="1"/>
  <c r="F112" i="63"/>
  <c r="G112" i="63" s="1" a="1"/>
  <c r="G112" i="63" s="1"/>
  <c r="F208" i="63"/>
  <c r="G208" i="63" s="1" a="1"/>
  <c r="G208" i="63" s="1"/>
  <c r="F233" i="63"/>
  <c r="G233" i="63" s="1" a="1"/>
  <c r="G233" i="63" s="1"/>
  <c r="F116" i="63"/>
  <c r="G116" i="63" s="1" a="1"/>
  <c r="G116" i="63" s="1"/>
  <c r="F246" i="63"/>
  <c r="G246" i="63" s="1" a="1"/>
  <c r="G246" i="63" s="1"/>
  <c r="F294" i="63"/>
  <c r="G294" i="63" s="1" a="1"/>
  <c r="G294" i="63" s="1"/>
  <c r="F330" i="63"/>
  <c r="G330" i="63" s="1" a="1"/>
  <c r="G330" i="63" s="1"/>
  <c r="F328" i="63"/>
  <c r="G328" i="63" s="1" a="1"/>
  <c r="G328" i="63" s="1"/>
  <c r="F52" i="63"/>
  <c r="G52" i="63" s="1" a="1"/>
  <c r="G52" i="63" s="1"/>
  <c r="F60" i="63"/>
  <c r="G60" i="63" s="1" a="1"/>
  <c r="G60" i="63" s="1"/>
  <c r="F68" i="63"/>
  <c r="G68" i="63" s="1" a="1"/>
  <c r="G68" i="63" s="1"/>
  <c r="F76" i="63"/>
  <c r="G76" i="63" s="1" a="1"/>
  <c r="G76" i="63" s="1"/>
  <c r="F88" i="63"/>
  <c r="G88" i="63" s="1" a="1"/>
  <c r="G88" i="63" s="1"/>
  <c r="F164" i="63"/>
  <c r="G164" i="63" s="1" a="1"/>
  <c r="G164" i="63" s="1"/>
  <c r="F168" i="63"/>
  <c r="G168" i="63" s="1" a="1"/>
  <c r="G168" i="63" s="1"/>
  <c r="F189" i="63"/>
  <c r="G189" i="63" s="1" a="1"/>
  <c r="G189" i="63" s="1"/>
  <c r="F193" i="63"/>
  <c r="G193" i="63" s="1" a="1"/>
  <c r="G193" i="63" s="1"/>
  <c r="F201" i="63"/>
  <c r="G201" i="63" s="1" a="1"/>
  <c r="G201" i="63" s="1"/>
  <c r="F223" i="63"/>
  <c r="G223" i="63" s="1" a="1"/>
  <c r="G223" i="63" s="1"/>
  <c r="F295" i="63"/>
  <c r="G295" i="63" s="1" a="1"/>
  <c r="G295" i="63" s="1"/>
  <c r="F166" i="63"/>
  <c r="G166" i="63" s="1" a="1"/>
  <c r="G166" i="63" s="1"/>
  <c r="F170" i="63"/>
  <c r="G170" i="63" s="1" a="1"/>
  <c r="G170" i="63" s="1"/>
  <c r="F209" i="63"/>
  <c r="G209" i="63" s="1" a="1"/>
  <c r="G209" i="63" s="1"/>
  <c r="F186" i="63"/>
  <c r="G186" i="63" s="1" a="1"/>
  <c r="G186" i="63" s="1"/>
  <c r="F191" i="63"/>
  <c r="G191" i="63" s="1" a="1"/>
  <c r="G191" i="63" s="1"/>
  <c r="F229" i="63"/>
  <c r="G229" i="63" s="1" a="1"/>
  <c r="G229" i="63" s="1"/>
  <c r="F34" i="63"/>
  <c r="G34" i="63" s="1" a="1"/>
  <c r="G34" i="63" s="1"/>
  <c r="F43" i="63"/>
  <c r="G43" i="63" s="1" a="1"/>
  <c r="G43" i="63" s="1"/>
  <c r="F57" i="63"/>
  <c r="G57" i="63" s="1" a="1"/>
  <c r="G57" i="63" s="1"/>
  <c r="F65" i="63"/>
  <c r="G65" i="63" s="1" a="1"/>
  <c r="G65" i="63" s="1"/>
  <c r="F73" i="63"/>
  <c r="G73" i="63" s="1" a="1"/>
  <c r="G73" i="63" s="1"/>
  <c r="F85" i="63"/>
  <c r="G85" i="63" s="1" a="1"/>
  <c r="G85" i="63" s="1"/>
  <c r="F115" i="63"/>
  <c r="G115" i="63" s="1" a="1"/>
  <c r="G115" i="63" s="1"/>
  <c r="F152" i="63"/>
  <c r="G152" i="63" s="1" a="1"/>
  <c r="G152" i="63" s="1"/>
  <c r="F165" i="63"/>
  <c r="G165" i="63" s="1" a="1"/>
  <c r="G165" i="63" s="1"/>
  <c r="F184" i="63"/>
  <c r="G184" i="63" s="1" a="1"/>
  <c r="G184" i="63" s="1"/>
  <c r="F188" i="63"/>
  <c r="G188" i="63" s="1" a="1"/>
  <c r="G188" i="63" s="1"/>
  <c r="F200" i="63"/>
  <c r="G200" i="63" s="1" a="1"/>
  <c r="G200" i="63" s="1"/>
  <c r="F206" i="63"/>
  <c r="G206" i="63" s="1" a="1"/>
  <c r="G206" i="63" s="1"/>
  <c r="F231" i="63"/>
  <c r="G231" i="63" s="1" a="1"/>
  <c r="G231" i="63" s="1"/>
  <c r="F251" i="63"/>
  <c r="G251" i="63" s="1" a="1"/>
  <c r="G251" i="63" s="1"/>
  <c r="F280" i="63"/>
  <c r="G280" i="63" s="1" a="1"/>
  <c r="G280" i="63" s="1"/>
  <c r="F284" i="63"/>
  <c r="G284" i="63" s="1" a="1"/>
  <c r="G284" i="63" s="1"/>
  <c r="F289" i="63"/>
  <c r="G289" i="63" s="1" a="1"/>
  <c r="G289" i="63" s="1"/>
  <c r="F301" i="63"/>
  <c r="G301" i="63" s="1" a="1"/>
  <c r="G301" i="63" s="1"/>
  <c r="F40" i="63"/>
  <c r="G40" i="63" s="1" a="1"/>
  <c r="G40" i="63" s="1"/>
  <c r="F150" i="63"/>
  <c r="G150" i="63" s="1" a="1"/>
  <c r="G150" i="63" s="1"/>
  <c r="F154" i="63"/>
  <c r="G154" i="63" s="1" a="1"/>
  <c r="G154" i="63" s="1"/>
  <c r="F162" i="63"/>
  <c r="G162" i="63" s="1" a="1"/>
  <c r="G162" i="63" s="1"/>
  <c r="F176" i="63"/>
  <c r="G176" i="63" s="1" a="1"/>
  <c r="G176" i="63" s="1"/>
  <c r="F202" i="63"/>
  <c r="G202" i="63" s="1" a="1"/>
  <c r="G202" i="63" s="1"/>
  <c r="F236" i="63"/>
  <c r="G236" i="63" s="1" a="1"/>
  <c r="G236" i="63" s="1"/>
  <c r="F239" i="63"/>
  <c r="G239" i="63" s="1" a="1"/>
  <c r="G239" i="63" s="1"/>
  <c r="F253" i="63"/>
  <c r="G253" i="63" s="1" a="1"/>
  <c r="G253" i="63" s="1"/>
  <c r="F278" i="63"/>
  <c r="G278" i="63" s="1" a="1"/>
  <c r="G278" i="63" s="1"/>
  <c r="F293" i="63"/>
  <c r="G293" i="63" s="1" a="1"/>
  <c r="G293" i="63" s="1"/>
  <c r="F38" i="63"/>
  <c r="G38" i="63" s="1" a="1"/>
  <c r="G38" i="63" s="1"/>
  <c r="F102" i="63"/>
  <c r="G102" i="63" s="1" a="1"/>
  <c r="G102" i="63" s="1"/>
  <c r="F213" i="63"/>
  <c r="G213" i="63" s="1" a="1"/>
  <c r="G213" i="63" s="1"/>
  <c r="F259" i="63"/>
  <c r="G259" i="63" s="1" a="1"/>
  <c r="G259" i="63" s="1"/>
  <c r="F288" i="63"/>
  <c r="G288" i="63" s="1" a="1"/>
  <c r="G288" i="63" s="1"/>
  <c r="F244" i="63"/>
  <c r="G244" i="63" s="1" a="1"/>
  <c r="G244" i="63" s="1"/>
  <c r="F272" i="63"/>
  <c r="G272" i="63" s="1" a="1"/>
  <c r="G272" i="63" s="1"/>
  <c r="F277" i="63"/>
  <c r="G277" i="63" s="1" a="1"/>
  <c r="G277" i="63" s="1"/>
  <c r="F53" i="63"/>
  <c r="G53" i="63" s="1" a="1"/>
  <c r="G53" i="63" s="1"/>
  <c r="F61" i="63"/>
  <c r="G61" i="63" s="1" a="1"/>
  <c r="G61" i="63" s="1"/>
  <c r="F69" i="63"/>
  <c r="G69" i="63" s="1" a="1"/>
  <c r="G69" i="63" s="1"/>
  <c r="F77" i="63"/>
  <c r="G77" i="63" s="1" a="1"/>
  <c r="G77" i="63" s="1"/>
  <c r="F190" i="63"/>
  <c r="G190" i="63" s="1" a="1"/>
  <c r="G190" i="63" s="1"/>
  <c r="F42" i="63"/>
  <c r="G42" i="63" s="1" a="1"/>
  <c r="G42" i="63" s="1"/>
  <c r="F56" i="63"/>
  <c r="G56" i="63" s="1" a="1"/>
  <c r="G56" i="63" s="1"/>
  <c r="F64" i="63"/>
  <c r="G64" i="63" s="1" a="1"/>
  <c r="G64" i="63" s="1"/>
  <c r="F72" i="63"/>
  <c r="G72" i="63" s="1" a="1"/>
  <c r="G72" i="63" s="1"/>
  <c r="F84" i="63"/>
  <c r="G84" i="63" s="1" a="1"/>
  <c r="G84" i="63" s="1"/>
  <c r="F118" i="63"/>
  <c r="G118" i="63" s="1" a="1"/>
  <c r="G118" i="63" s="1"/>
  <c r="F187" i="63"/>
  <c r="G187" i="63" s="1" a="1"/>
  <c r="G187" i="63" s="1"/>
  <c r="F199" i="63"/>
  <c r="G199" i="63" s="1" a="1"/>
  <c r="G199" i="63" s="1"/>
  <c r="F279" i="63"/>
  <c r="G279" i="63" s="1" a="1"/>
  <c r="G279" i="63" s="1"/>
  <c r="F100" i="63"/>
  <c r="G100" i="63" s="1" a="1"/>
  <c r="G100" i="63" s="1"/>
  <c r="F108" i="63"/>
  <c r="G108" i="63" s="1" a="1"/>
  <c r="G108" i="63" s="1"/>
  <c r="F114" i="63"/>
  <c r="G114" i="63" s="1" a="1"/>
  <c r="G114" i="63" s="1"/>
  <c r="F117" i="63"/>
  <c r="G117" i="63" s="1" a="1"/>
  <c r="G117" i="63" s="1"/>
  <c r="F155" i="63"/>
  <c r="G155" i="63" s="1" a="1"/>
  <c r="G155" i="63" s="1"/>
  <c r="F163" i="63"/>
  <c r="G163" i="63" s="1" a="1"/>
  <c r="G163" i="63" s="1"/>
  <c r="F177" i="63"/>
  <c r="G177" i="63" s="1" a="1"/>
  <c r="G177" i="63" s="1"/>
  <c r="F183" i="63"/>
  <c r="G183" i="63" s="1" a="1"/>
  <c r="G183" i="63" s="1"/>
  <c r="F221" i="63"/>
  <c r="G221" i="63" s="1" a="1"/>
  <c r="G221" i="63" s="1"/>
  <c r="F237" i="63"/>
  <c r="G237" i="63" s="1" a="1"/>
  <c r="G237" i="63" s="1"/>
  <c r="F265" i="63"/>
  <c r="G265" i="63" s="1" a="1"/>
  <c r="G265" i="63" s="1"/>
  <c r="F282" i="63"/>
  <c r="G282" i="63" s="1" a="1"/>
  <c r="G282" i="63" s="1"/>
  <c r="F307" i="63"/>
  <c r="G307" i="63" s="1" a="1"/>
  <c r="G307" i="63" s="1"/>
  <c r="F315" i="63"/>
  <c r="G315" i="63" s="1" a="1"/>
  <c r="G315" i="63" s="1"/>
  <c r="F96" i="63"/>
  <c r="G96" i="63" s="1" a="1"/>
  <c r="G96" i="63" s="1"/>
  <c r="F169" i="63"/>
  <c r="G169" i="63" s="1" a="1"/>
  <c r="G169" i="63" s="1"/>
  <c r="F185" i="63"/>
  <c r="G185" i="63" s="1" a="1"/>
  <c r="G185" i="63" s="1"/>
  <c r="F192" i="63"/>
  <c r="G192" i="63" s="1" a="1"/>
  <c r="G192" i="63" s="1"/>
  <c r="F194" i="63"/>
  <c r="G194" i="63" s="1" a="1"/>
  <c r="G194" i="63" s="1"/>
  <c r="F212" i="63"/>
  <c r="G212" i="63" s="1" a="1"/>
  <c r="G212" i="63" s="1"/>
  <c r="F227" i="63"/>
  <c r="G227" i="63" s="1" a="1"/>
  <c r="G227" i="63" s="1"/>
  <c r="F230" i="63"/>
  <c r="G230" i="63" s="1" a="1"/>
  <c r="G230" i="63" s="1"/>
  <c r="F234" i="63"/>
  <c r="G234" i="63" s="1" a="1"/>
  <c r="G234" i="63" s="1"/>
  <c r="F257" i="63"/>
  <c r="G257" i="63" s="1" a="1"/>
  <c r="G257" i="63" s="1"/>
  <c r="F275" i="63"/>
  <c r="G275" i="63" s="1" a="1"/>
  <c r="G275" i="63" s="1"/>
  <c r="F285" i="63"/>
  <c r="G285" i="63" s="1" a="1"/>
  <c r="G285" i="63" s="1"/>
  <c r="F287" i="63"/>
  <c r="G287" i="63" s="1" a="1"/>
  <c r="G287" i="63" s="1"/>
  <c r="F303" i="63"/>
  <c r="G303" i="63" s="1" a="1"/>
  <c r="G303" i="63" s="1"/>
  <c r="F312" i="63"/>
  <c r="G312" i="63" s="1" a="1"/>
  <c r="G312" i="63" s="1"/>
  <c r="F331" i="63"/>
  <c r="G331" i="63" s="1" a="1"/>
  <c r="G331" i="63" s="1"/>
  <c r="F35" i="63"/>
  <c r="G35" i="63" s="1" a="1"/>
  <c r="G35" i="63" s="1"/>
  <c r="F51" i="63"/>
  <c r="G51" i="63" s="1" a="1"/>
  <c r="G51" i="63" s="1"/>
  <c r="F92" i="63"/>
  <c r="G92" i="63" s="1" a="1"/>
  <c r="G92" i="63" s="1"/>
  <c r="F104" i="63"/>
  <c r="G104" i="63" s="1" a="1"/>
  <c r="G104" i="63" s="1"/>
  <c r="F106" i="63"/>
  <c r="G106" i="63" s="1" a="1"/>
  <c r="G106" i="63" s="1"/>
  <c r="F113" i="63"/>
  <c r="G113" i="63" s="1" a="1"/>
  <c r="G113" i="63" s="1"/>
  <c r="F153" i="63"/>
  <c r="G153" i="63" s="1" a="1"/>
  <c r="G153" i="63" s="1"/>
  <c r="F159" i="63"/>
  <c r="G159" i="63" s="1" a="1"/>
  <c r="G159" i="63" s="1"/>
  <c r="F167" i="63"/>
  <c r="G167" i="63" s="1" a="1"/>
  <c r="G167" i="63" s="1"/>
  <c r="F171" i="63"/>
  <c r="G171" i="63" s="1" a="1"/>
  <c r="G171" i="63" s="1"/>
  <c r="F216" i="63"/>
  <c r="G216" i="63" s="1" a="1"/>
  <c r="G216" i="63" s="1"/>
  <c r="F250" i="63"/>
  <c r="G250" i="63" s="1" a="1"/>
  <c r="G250" i="63" s="1"/>
  <c r="F260" i="63"/>
  <c r="G260" i="63" s="1" a="1"/>
  <c r="G260" i="63" s="1"/>
  <c r="F273" i="63"/>
  <c r="G273" i="63" s="1" a="1"/>
  <c r="G273" i="63" s="1"/>
  <c r="F283" i="63"/>
  <c r="G283" i="63" s="1" a="1"/>
  <c r="G283" i="63" s="1"/>
  <c r="F305" i="63"/>
  <c r="G305" i="63" s="1" a="1"/>
  <c r="G305" i="63" s="1"/>
  <c r="F334" i="63"/>
  <c r="G334" i="63" s="1" a="1"/>
  <c r="G334" i="63" s="1"/>
  <c r="F235" i="63"/>
  <c r="G235" i="63" s="1" a="1"/>
  <c r="G235" i="63" s="1"/>
  <c r="F36" i="63"/>
  <c r="G36" i="63" s="1" a="1"/>
  <c r="G36" i="63" s="1"/>
  <c r="F107" i="63"/>
  <c r="G107" i="63" s="1" a="1"/>
  <c r="G107" i="63" s="1"/>
  <c r="F50" i="63"/>
  <c r="G50" i="63" s="1" a="1"/>
  <c r="G50" i="63" s="1"/>
  <c r="F105" i="63"/>
  <c r="G105" i="63" s="1" a="1"/>
  <c r="G105" i="63" s="1"/>
  <c r="F109" i="63"/>
  <c r="G109" i="63" s="1" a="1"/>
  <c r="G109" i="63" s="1"/>
  <c r="F111" i="63"/>
  <c r="G111" i="63" s="1" a="1"/>
  <c r="G111" i="63" s="1"/>
  <c r="F110" i="63"/>
  <c r="G110" i="63" s="1" a="1"/>
  <c r="G110" i="63" s="1"/>
  <c r="H37" i="63"/>
  <c r="F89" i="63"/>
  <c r="G89" i="63" s="1" a="1"/>
  <c r="G89" i="63" s="1"/>
  <c r="F97" i="63"/>
  <c r="G97" i="63" s="1" a="1"/>
  <c r="G97" i="63" s="1"/>
  <c r="F103" i="63"/>
  <c r="G103" i="63" s="1" a="1"/>
  <c r="G103" i="63" s="1"/>
  <c r="H105" i="63"/>
  <c r="H3" i="63"/>
  <c r="J52" i="63"/>
  <c r="J35" i="63"/>
  <c r="J105" i="63"/>
  <c r="F151" i="63"/>
  <c r="G151" i="63" s="1" a="1"/>
  <c r="G151" i="63" s="1"/>
  <c r="H52" i="63"/>
  <c r="F93" i="63"/>
  <c r="G93" i="63" s="1" a="1"/>
  <c r="G93" i="63" s="1"/>
  <c r="F101" i="63"/>
  <c r="G101" i="63" s="1" a="1"/>
  <c r="G101" i="63" s="1"/>
  <c r="F119" i="63"/>
  <c r="G119" i="63" s="1" a="1"/>
  <c r="G119" i="63" s="1"/>
  <c r="H185" i="63"/>
  <c r="J222" i="63"/>
  <c r="J227" i="63"/>
  <c r="F228" i="63"/>
  <c r="G228" i="63" s="1" a="1"/>
  <c r="G228" i="63" s="1"/>
  <c r="F243" i="63"/>
  <c r="G243" i="63" s="1" a="1"/>
  <c r="G243" i="63" s="1"/>
  <c r="I185" i="63"/>
  <c r="I244" i="63"/>
  <c r="J244" i="63"/>
  <c r="F207" i="63"/>
  <c r="G207" i="63" s="1" a="1"/>
  <c r="G207" i="63" s="1"/>
  <c r="H208" i="63"/>
  <c r="F222" i="63"/>
  <c r="G222" i="63" s="1" a="1"/>
  <c r="G222" i="63" s="1"/>
  <c r="F232" i="63"/>
  <c r="G232" i="63" s="1" a="1"/>
  <c r="G232" i="63" s="1"/>
  <c r="H233" i="63"/>
  <c r="F238" i="63"/>
  <c r="G238" i="63" s="1" a="1"/>
  <c r="G238" i="63" s="1"/>
  <c r="F240" i="63"/>
  <c r="G240" i="63" s="1" a="1"/>
  <c r="G240" i="63" s="1"/>
  <c r="J242" i="63"/>
  <c r="J256" i="63"/>
  <c r="H256" i="63"/>
  <c r="F261" i="63"/>
  <c r="G261" i="63" s="1" a="1"/>
  <c r="G261" i="63" s="1"/>
  <c r="J208" i="63"/>
  <c r="F215" i="63"/>
  <c r="G215" i="63" s="1" a="1"/>
  <c r="G215" i="63" s="1"/>
  <c r="H222" i="63"/>
  <c r="F224" i="63"/>
  <c r="G224" i="63" s="1" a="1"/>
  <c r="G224" i="63" s="1"/>
  <c r="H227" i="63"/>
  <c r="J233" i="63"/>
  <c r="H244" i="63"/>
  <c r="F245" i="63"/>
  <c r="G245" i="63" s="1" a="1"/>
  <c r="G245" i="63" s="1"/>
  <c r="F247" i="63"/>
  <c r="G247" i="63" s="1" a="1"/>
  <c r="G247" i="63" s="1"/>
  <c r="F252" i="63"/>
  <c r="G252" i="63" s="1" a="1"/>
  <c r="G252" i="63" s="1"/>
  <c r="F254" i="63"/>
  <c r="G254" i="63" s="1" a="1"/>
  <c r="G254" i="63" s="1"/>
  <c r="F255" i="63"/>
  <c r="G255" i="63" s="1" a="1"/>
  <c r="G255" i="63" s="1"/>
  <c r="F258" i="63"/>
  <c r="G258" i="63" s="1" a="1"/>
  <c r="G258" i="63" s="1"/>
  <c r="F263" i="63"/>
  <c r="G263" i="63" s="1" a="1"/>
  <c r="G263" i="63" s="1"/>
  <c r="F262" i="63"/>
  <c r="G262" i="63" s="1" a="1"/>
  <c r="G262" i="63" s="1"/>
  <c r="H251" i="63"/>
  <c r="F256" i="63"/>
  <c r="G256" i="63" s="1" a="1"/>
  <c r="G256" i="63" s="1"/>
  <c r="H258" i="63"/>
  <c r="F274" i="63"/>
  <c r="G274" i="63" s="1" a="1"/>
  <c r="G274" i="63" s="1"/>
  <c r="F286" i="63"/>
  <c r="G286" i="63" s="1" a="1"/>
  <c r="G286" i="63" s="1"/>
  <c r="F290" i="63"/>
  <c r="G290" i="63" s="1" a="1"/>
  <c r="G290" i="63" s="1"/>
  <c r="F296" i="63"/>
  <c r="G296" i="63" s="1" a="1"/>
  <c r="G296" i="63" s="1"/>
  <c r="F302" i="63"/>
  <c r="G302" i="63" s="1" a="1"/>
  <c r="G302" i="63" s="1"/>
  <c r="F310" i="63"/>
  <c r="G310" i="63" s="1" a="1"/>
  <c r="G310" i="63" s="1"/>
  <c r="J318" i="63"/>
  <c r="F319" i="63"/>
  <c r="G319" i="63" s="1" a="1"/>
  <c r="G319" i="63" s="1"/>
  <c r="F326" i="63"/>
  <c r="G326" i="63" s="1" a="1"/>
  <c r="G326" i="63" s="1"/>
  <c r="H215" i="63"/>
  <c r="H231" i="63"/>
  <c r="H243" i="63"/>
  <c r="J251" i="63"/>
  <c r="J258" i="63"/>
  <c r="F281" i="63"/>
  <c r="G281" i="63" s="1" a="1"/>
  <c r="G281" i="63" s="1"/>
  <c r="J303" i="63"/>
  <c r="F304" i="63"/>
  <c r="G304" i="63" s="1" a="1"/>
  <c r="G304" i="63" s="1"/>
  <c r="J306" i="63"/>
  <c r="J308" i="63"/>
  <c r="H313" i="63"/>
  <c r="F276" i="63"/>
  <c r="G276" i="63" s="1" a="1"/>
  <c r="G276" i="63" s="1"/>
  <c r="J313" i="63"/>
  <c r="I273" i="63"/>
  <c r="H277" i="63"/>
  <c r="F306" i="63"/>
  <c r="G306" i="63" s="1" a="1"/>
  <c r="G306" i="63" s="1"/>
  <c r="F308" i="63"/>
  <c r="G308" i="63" s="1" a="1"/>
  <c r="G308" i="63" s="1"/>
  <c r="H318" i="63"/>
  <c r="F335" i="63"/>
  <c r="G335" i="63" s="1" a="1"/>
  <c r="G335" i="63" s="1"/>
  <c r="F348" i="63"/>
  <c r="G348" i="63" s="1" a="1"/>
  <c r="G348" i="63" s="1"/>
  <c r="H301" i="63"/>
  <c r="H307" i="63"/>
  <c r="H314" i="63"/>
  <c r="H330" i="63"/>
  <c r="H342" i="63"/>
  <c r="H331" i="63"/>
  <c r="H347" i="63"/>
  <c r="I331" i="63"/>
  <c r="D35" i="25"/>
  <c r="D34" i="25"/>
  <c r="AB3" i="5" l="1"/>
  <c r="AB6" i="5" s="1"/>
  <c r="AB8" i="5" l="1"/>
  <c r="AB10" i="5"/>
  <c r="AB7" i="5"/>
  <c r="AB23" i="5"/>
  <c r="F18" i="36"/>
  <c r="C11" i="5" l="1" a="1"/>
  <c r="C11" i="5" s="1"/>
  <c r="AF6" i="14" s="1"/>
  <c r="AF7" i="14"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30" i="14" a="1"/>
  <c r="F29" i="14" a="1"/>
  <c r="AB29" i="14" a="1"/>
  <c r="D29" i="14" a="1"/>
  <c r="AB30" i="14" a="1"/>
  <c r="D112" i="61" l="1"/>
  <c r="D113" i="61" s="1"/>
  <c r="J113" i="61" s="1"/>
  <c r="V6" i="14"/>
  <c r="V7" i="14" s="1"/>
  <c r="AD6" i="14"/>
  <c r="AD7" i="14" s="1"/>
  <c r="J6" i="14"/>
  <c r="J7" i="14" s="1"/>
  <c r="F41" i="75" a="1"/>
  <c r="F41" i="75" s="1"/>
  <c r="F42" i="75" s="1" a="1"/>
  <c r="F42" i="75" s="1"/>
  <c r="AP18" i="25"/>
  <c r="AP19" i="25" s="1"/>
  <c r="AT18" i="25"/>
  <c r="AT19" i="25" s="1"/>
  <c r="AL6" i="8"/>
  <c r="AL7" i="8" s="1"/>
  <c r="AF6" i="8"/>
  <c r="AF7" i="8" s="1"/>
  <c r="C13" i="5"/>
  <c r="AX113" i="61"/>
  <c r="AP113" i="61"/>
  <c r="AB29" i="14"/>
  <c r="AB31" i="14"/>
  <c r="AB30" i="14"/>
  <c r="F30" i="14"/>
  <c r="F29" i="14"/>
  <c r="D29" i="14"/>
  <c r="P26" i="25"/>
  <c r="P25" i="25" a="1"/>
  <c r="AN25" i="25" a="1"/>
  <c r="AR25" i="25" a="1"/>
  <c r="AR26" i="25" a="1"/>
  <c r="BR113" i="61" l="1"/>
  <c r="P25" i="25"/>
  <c r="AR26" i="25"/>
  <c r="AR25" i="25"/>
  <c r="AN25" i="25"/>
  <c r="N27" i="25" a="1"/>
  <c r="N27" i="25" l="1"/>
  <c r="BL25" i="25" a="1"/>
  <c r="BL25" i="25" l="1"/>
  <c r="F54" i="33" a="1"/>
  <c r="F54" i="33" l="1"/>
  <c r="R10" i="8" l="1"/>
  <c r="R11" i="8" s="1"/>
  <c r="L11" i="8"/>
  <c r="T11" i="8" s="1"/>
  <c r="J12" i="8"/>
  <c r="J30" i="8" s="1"/>
  <c r="P11" i="8" l="1"/>
  <c r="Z11" i="8"/>
  <c r="N11" i="8"/>
  <c r="AJ11" i="8"/>
  <c r="BR110" i="61"/>
  <c r="BR108" i="61"/>
  <c r="AX97" i="61"/>
  <c r="AP97" i="61"/>
  <c r="J97" i="61"/>
  <c r="AX98" i="61"/>
  <c r="AP98" i="61"/>
  <c r="J98" i="61"/>
  <c r="BR95" i="61"/>
  <c r="BR96" i="61"/>
  <c r="D110" i="61"/>
  <c r="D109" i="61"/>
  <c r="D108" i="61"/>
  <c r="C109" i="61"/>
  <c r="C110" i="61"/>
  <c r="C108" i="61"/>
  <c r="C112" i="61"/>
  <c r="D111"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D77" i="61" s="1"/>
  <c r="CC2" i="61"/>
  <c r="CD2" i="61" s="1"/>
  <c r="BY7" i="61"/>
  <c r="BZ7" i="61" s="1"/>
  <c r="BY6" i="61"/>
  <c r="BZ6" i="61" s="1"/>
  <c r="BY5" i="61"/>
  <c r="BZ5" i="61" s="1"/>
  <c r="BY2" i="61"/>
  <c r="BZ2" i="61" s="1"/>
  <c r="BU2" i="61"/>
  <c r="BV2" i="61" s="1"/>
  <c r="BM7" i="61"/>
  <c r="BN7" i="61" s="1"/>
  <c r="BM6" i="61"/>
  <c r="BN6" i="61" s="1"/>
  <c r="BM5" i="61"/>
  <c r="BN5" i="61" s="1"/>
  <c r="BN77"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AT77" i="61" l="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AZ26" i="25"/>
  <c r="L10" i="8"/>
  <c r="AJ10" i="8" s="1"/>
  <c r="AV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F11" i="25"/>
  <c r="H31" i="14" a="1"/>
  <c r="AF31" i="14" a="1"/>
  <c r="AD31" i="14" a="1"/>
  <c r="T30" i="14" a="1"/>
  <c r="AF31" i="14" l="1"/>
  <c r="AD31" i="14"/>
  <c r="AD10" i="14"/>
  <c r="AF10" i="14"/>
  <c r="H31" i="14"/>
  <c r="J9" i="14"/>
  <c r="J19" i="14" s="1"/>
  <c r="CR5" i="61"/>
  <c r="V9" i="14"/>
  <c r="V19" i="14" s="1"/>
  <c r="CT81" i="61" a="1"/>
  <c r="CT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CL81" i="61" a="1"/>
  <c r="CL81" i="61" s="1"/>
  <c r="BV81" i="61" a="1"/>
  <c r="BV81" i="61" s="1"/>
  <c r="CJ5" i="61"/>
  <c r="BT5" i="61"/>
  <c r="C40" i="60"/>
  <c r="D40" i="60"/>
  <c r="O41" i="60" a="1"/>
  <c r="O41" i="60" s="1"/>
  <c r="P41" i="60" a="1"/>
  <c r="P41" i="60" s="1"/>
  <c r="B13" i="35"/>
  <c r="C13" i="35" s="1"/>
  <c r="H9" i="14"/>
  <c r="T9" i="14"/>
  <c r="AV11" i="25"/>
  <c r="F13" i="25"/>
  <c r="F12" i="25"/>
  <c r="C3" i="53"/>
  <c r="C8" i="53" s="1"/>
  <c r="C5" i="53"/>
  <c r="C27" i="53"/>
  <c r="C12" i="53"/>
  <c r="H30" i="14" a="1"/>
  <c r="V29" i="14" a="1"/>
  <c r="AF30" i="14" a="1"/>
  <c r="T29" i="14" a="1"/>
  <c r="J30" i="14" a="1"/>
  <c r="V30" i="14" a="1"/>
  <c r="AD30" i="14" a="1"/>
  <c r="AF30" i="14" l="1"/>
  <c r="AD30" i="14"/>
  <c r="AD9" i="14"/>
  <c r="AD19" i="14" s="1"/>
  <c r="AF9" i="14"/>
  <c r="J30" i="14"/>
  <c r="H30" i="14"/>
  <c r="V30" i="14"/>
  <c r="V29" i="14"/>
  <c r="CS5" i="61"/>
  <c r="CT5" i="61" s="1"/>
  <c r="CR8" i="61"/>
  <c r="CR13" i="61"/>
  <c r="CS13" i="61" s="1"/>
  <c r="CT13" i="61" s="1"/>
  <c r="BB17" i="25"/>
  <c r="AZ17" i="25"/>
  <c r="P9" i="8"/>
  <c r="Z9" i="8"/>
  <c r="T9" i="8"/>
  <c r="AJ9" i="8"/>
  <c r="F26" i="25"/>
  <c r="F25" i="25"/>
  <c r="F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H29" i="14" a="1"/>
  <c r="Z30" i="14" a="1"/>
  <c r="J29" i="14" a="1"/>
  <c r="Z29" i="14" a="1"/>
  <c r="AF29" i="14" a="1"/>
  <c r="CS8" i="61" l="1"/>
  <c r="CT8" i="61"/>
  <c r="BU8" i="61"/>
  <c r="BV8" i="61"/>
  <c r="CK8" i="61"/>
  <c r="CL8" i="61"/>
  <c r="AF29" i="14"/>
  <c r="AF19" i="14"/>
  <c r="J29" i="14"/>
  <c r="H29" i="14"/>
  <c r="CT77" i="61"/>
  <c r="CR18" i="61"/>
  <c r="CT80" i="61" a="1"/>
  <c r="CT80" i="61" s="1"/>
  <c r="Z30" i="14"/>
  <c r="Z29" i="14"/>
  <c r="CJ18" i="61"/>
  <c r="BV80" i="61" a="1"/>
  <c r="BV80" i="61" s="1"/>
  <c r="CL80" i="61" a="1"/>
  <c r="CL80" i="61" s="1"/>
  <c r="BT18" i="61"/>
  <c r="F3" i="60"/>
  <c r="AD30" i="8"/>
  <c r="C15" i="35"/>
  <c r="AD29" i="14" a="1"/>
  <c r="F26" i="60" a="1"/>
  <c r="X29" i="14" a="1"/>
  <c r="X30" i="14"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37" i="24" a="1"/>
  <c r="J37" i="24" a="1"/>
  <c r="N29" i="14" a="1"/>
  <c r="H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H25" i="25" l="1"/>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E37" i="72" l="1"/>
  <c r="F46" i="26"/>
  <c r="BP3" i="25"/>
  <c r="BT3" i="25"/>
  <c r="BT18" i="25" s="1"/>
  <c r="BT19" i="25" s="1"/>
  <c r="F32" i="73"/>
  <c r="E39" i="72"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BR3" i="61"/>
  <c r="CH3" i="61"/>
  <c r="CD3" i="61"/>
  <c r="G44" i="35"/>
  <c r="G46" i="35" s="1" a="1"/>
  <c r="G46" i="35" s="1"/>
  <c r="G47" i="35" s="1" a="1"/>
  <c r="G47" i="35" s="1"/>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N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H12" i="25"/>
  <c r="I13" i="21" l="1"/>
  <c r="F9" i="17"/>
  <c r="G7" i="55" l="1"/>
  <c r="D14" i="34"/>
  <c r="C14" i="34"/>
  <c r="G11" i="49"/>
  <c r="F11" i="49"/>
  <c r="G9" i="49"/>
  <c r="F9" i="49"/>
  <c r="G8" i="49"/>
  <c r="F8" i="49"/>
  <c r="G6" i="49"/>
  <c r="F6"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s="1"/>
  <c r="E13" i="57" l="1" a="1"/>
  <c r="E13" i="57" s="1"/>
  <c r="A14" i="57" l="1"/>
  <c r="B14" i="57"/>
  <c r="C14" i="57" l="1"/>
  <c r="D14" i="57" s="1"/>
  <c r="F14" i="57" s="1"/>
  <c r="E14" i="57" l="1" a="1"/>
  <c r="E14" i="57" s="1"/>
  <c r="C7" i="5"/>
  <c r="C8" i="5" s="1"/>
  <c r="AB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6" i="25" a="1"/>
  <c r="Z25"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6" i="42"/>
  <c r="B17" i="42"/>
  <c r="C18" i="42"/>
  <c r="C12" i="42"/>
  <c r="B12" i="42"/>
  <c r="H26" i="40"/>
  <c r="F26" i="40"/>
  <c r="E26" i="40"/>
  <c r="AR32" i="25"/>
  <c r="AR14" i="25"/>
  <c r="AR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F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N32" i="25"/>
  <c r="AN13" i="25"/>
  <c r="AN14" i="25"/>
  <c r="AF13" i="25"/>
  <c r="AF12" i="25"/>
  <c r="AF32" i="25"/>
  <c r="AD32" i="25"/>
  <c r="AD13" i="25"/>
  <c r="AD12" i="25"/>
  <c r="AB32" i="25"/>
  <c r="AB12" i="25"/>
  <c r="AB13" i="25"/>
  <c r="C24" i="35"/>
  <c r="C26" i="35" s="1"/>
  <c r="G25" i="35"/>
  <c r="G5" i="35"/>
  <c r="F23" i="39" l="1"/>
  <c r="C24" i="39" a="1"/>
  <c r="C24" i="39" s="1"/>
  <c r="D24" i="39"/>
  <c r="B9" i="38"/>
  <c r="D8" i="38"/>
  <c r="C8" i="38"/>
  <c r="F37" i="44"/>
  <c r="AH3" i="25"/>
  <c r="AH18" i="25" s="1"/>
  <c r="AH19" i="25" s="1"/>
  <c r="J3" i="25"/>
  <c r="J18" i="25" s="1"/>
  <c r="J19" i="25" s="1"/>
  <c r="AN17" i="25"/>
  <c r="AN18" i="25" s="1"/>
  <c r="C25" i="41"/>
  <c r="K25" i="41" s="1"/>
  <c r="I31" i="41"/>
  <c r="AD14" i="25"/>
  <c r="AD17" i="25" s="1"/>
  <c r="AB14" i="25"/>
  <c r="AF14" i="25"/>
  <c r="AF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F24" i="39" l="1"/>
  <c r="F31" i="39" s="1"/>
  <c r="C9" i="38"/>
  <c r="D9" i="38"/>
  <c r="V26" i="25"/>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F48" i="34"/>
  <c r="F49" i="34"/>
  <c r="C10" i="30"/>
  <c r="C11" i="30" s="1"/>
  <c r="C12" i="30" s="1"/>
  <c r="C13" i="30" s="1"/>
  <c r="D9" i="30"/>
  <c r="I20" i="29" a="1"/>
  <c r="I20" i="29" s="1"/>
  <c r="H22" i="29" s="1" a="1"/>
  <c r="H22" i="29" s="1"/>
  <c r="H22" i="28" a="1"/>
  <c r="H22" i="28" s="1"/>
  <c r="AH30" i="8" a="1"/>
  <c r="F6" i="32" a="1"/>
  <c r="F57" i="30" a="1"/>
  <c r="G31" i="39" l="1"/>
  <c r="D10" i="38"/>
  <c r="C10" i="38"/>
  <c r="E3" i="64"/>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E6" i="64" l="1"/>
  <c r="D11" i="38"/>
  <c r="C11" i="38"/>
  <c r="F40" i="32" a="1"/>
  <c r="F40" i="32" s="1"/>
  <c r="E36" i="64"/>
  <c r="K27" i="41"/>
  <c r="K31" i="41"/>
  <c r="AV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N32" i="25"/>
  <c r="N13" i="25"/>
  <c r="N14" i="25"/>
  <c r="D13" i="38" l="1"/>
  <c r="C13" i="38"/>
  <c r="N17" i="25"/>
  <c r="N18" i="25" s="1"/>
  <c r="M24" i="29" a="1"/>
  <c r="M24" i="29" s="1"/>
  <c r="N24" i="29" a="1"/>
  <c r="N24" i="29" s="1"/>
  <c r="J24" i="29" a="1"/>
  <c r="J24" i="29" s="1"/>
  <c r="M24" i="28" a="1"/>
  <c r="M24" i="28" s="1"/>
  <c r="N24" i="28" a="1"/>
  <c r="N24" i="28" s="1"/>
  <c r="J24" i="28" a="1"/>
  <c r="J24" i="28" s="1"/>
  <c r="C22" i="29"/>
  <c r="B14" i="38"/>
  <c r="D22" i="29"/>
  <c r="O23" i="29" a="1"/>
  <c r="O23" i="29" s="1"/>
  <c r="P23" i="29" a="1"/>
  <c r="P23" i="29" s="1"/>
  <c r="AX32" i="25"/>
  <c r="B15" i="38" l="1"/>
  <c r="D14" i="38"/>
  <c r="C14" i="38"/>
  <c r="C23" i="29"/>
  <c r="O24" i="29" a="1"/>
  <c r="O24" i="29" s="1"/>
  <c r="P24" i="29" a="1"/>
  <c r="P24" i="29" s="1"/>
  <c r="O24" i="28" a="1"/>
  <c r="O24" i="28" s="1"/>
  <c r="P24" i="28" a="1"/>
  <c r="P24" i="28" s="1"/>
  <c r="D23" i="29"/>
  <c r="N19" i="25"/>
  <c r="D15" i="38" l="1"/>
  <c r="C15" i="38"/>
  <c r="J20" i="8"/>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5" i="26" a="1"/>
  <c r="F56"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27" i="22" a="1"/>
  <c r="H51" i="18" a="1"/>
  <c r="H51" i="22" a="1"/>
  <c r="H39" i="22" a="1"/>
  <c r="H47" i="22" a="1"/>
  <c r="H31" i="22" a="1"/>
  <c r="H23" i="22" a="1"/>
  <c r="H35" i="22" a="1"/>
  <c r="H43"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J20" i="8"/>
  <c r="Z20" i="8"/>
  <c r="V20" i="8"/>
  <c r="X20" i="8" s="1"/>
  <c r="T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F33" i="74" s="1" a="1"/>
  <c r="F33" i="74" s="1"/>
  <c r="F34" i="74" s="1" a="1"/>
  <c r="F34" i="74" s="1"/>
  <c r="F35" i="74" s="1" a="1"/>
  <c r="F35" i="74" s="1"/>
  <c r="D27" i="23"/>
  <c r="C27" i="23"/>
  <c r="J31" i="23"/>
  <c r="N31" i="23" a="1"/>
  <c r="N31" i="23" s="1"/>
  <c r="M31" i="23" a="1"/>
  <c r="M31" i="23" s="1"/>
  <c r="K32" i="23" a="1"/>
  <c r="K32" i="23" s="1"/>
  <c r="L32" i="23" a="1"/>
  <c r="L32" i="23" s="1"/>
  <c r="O30" i="23" a="1"/>
  <c r="O30" i="23" s="1"/>
  <c r="P30" i="23" a="1"/>
  <c r="P30" i="23" s="1"/>
  <c r="D6" i="74"/>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I32" i="23"/>
  <c r="H35" i="23"/>
  <c r="C14" i="42"/>
  <c r="B13" i="42"/>
  <c r="C17" i="42"/>
  <c r="C17" i="19"/>
  <c r="C9" i="19"/>
  <c r="C19" i="19"/>
  <c r="C11" i="19"/>
  <c r="C15" i="19"/>
  <c r="C7" i="19"/>
  <c r="C21" i="19"/>
  <c r="C13" i="19"/>
  <c r="F15" i="62" a="1"/>
  <c r="F6" i="74" a="1"/>
  <c r="F19" i="62" a="1"/>
  <c r="L35" i="23" l="1" a="1"/>
  <c r="L35" i="23" s="1"/>
  <c r="K35" i="23" a="1"/>
  <c r="K35" i="23" s="1"/>
  <c r="N32" i="23" a="1"/>
  <c r="N32" i="23" s="1"/>
  <c r="M32" i="23" a="1"/>
  <c r="M32" i="23" s="1"/>
  <c r="P31" i="23" a="1"/>
  <c r="P31" i="23" s="1"/>
  <c r="O31" i="23" a="1"/>
  <c r="O31" i="23" s="1"/>
  <c r="F6" i="74"/>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J7" i="8"/>
  <c r="Z7" i="8"/>
  <c r="V7" i="8"/>
  <c r="X7" i="8" s="1"/>
  <c r="T7" i="8"/>
  <c r="R7" i="8"/>
  <c r="N7" i="8"/>
  <c r="L7" i="8"/>
  <c r="H7" i="8"/>
  <c r="T29" i="8"/>
  <c r="AD3" i="5" a="1"/>
  <c r="AD3" i="5" s="1"/>
  <c r="AD9" i="5" s="1"/>
  <c r="F44" i="68" a="1"/>
  <c r="F37" i="68" a="1"/>
  <c r="E5" i="42" a="1"/>
  <c r="F6" i="68" a="1"/>
  <c r="F27" i="68" a="1"/>
  <c r="F32" i="68" a="1"/>
  <c r="F23" i="62"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E6" i="15" a="1"/>
  <c r="F30" i="31" a="1"/>
  <c r="F46" i="31" a="1"/>
  <c r="F19" i="31" a="1"/>
  <c r="F38" i="31" a="1"/>
  <c r="F26" i="31" a="1"/>
  <c r="F34"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J18" i="61" a="1"/>
  <c r="E6" i="51" a="1"/>
  <c r="AL18" i="61" a="1"/>
  <c r="BB18" i="61" a="1"/>
  <c r="R18" i="61" a="1"/>
  <c r="CH18" i="61" a="1"/>
  <c r="AH18" i="61" a="1"/>
  <c r="Z18" i="61" a="1"/>
  <c r="J18" i="61" a="1"/>
  <c r="F40" i="23" a="1"/>
  <c r="CT18" i="61" a="1"/>
  <c r="F25" i="23" a="1"/>
  <c r="BN52" i="61" a="1"/>
  <c r="AD18" i="61" a="1"/>
  <c r="CD18" i="61" a="1"/>
  <c r="AP18" i="61" a="1"/>
  <c r="BV18" i="61" a="1"/>
  <c r="AX18" i="61" a="1"/>
  <c r="CP18" i="61" a="1"/>
  <c r="CL18" i="61" a="1"/>
  <c r="BN18" i="61" a="1"/>
  <c r="N18" i="61" a="1"/>
  <c r="AT18" i="61" a="1"/>
  <c r="CX18" i="61" a="1"/>
  <c r="F35" i="23" a="1"/>
  <c r="V18" i="61" a="1"/>
  <c r="F30" i="23" a="1"/>
  <c r="F8" i="23" a="1"/>
  <c r="BZ18" i="61" a="1"/>
  <c r="BF18" i="61" a="1"/>
  <c r="F5" i="36"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76" i="61" s="1" a="1"/>
  <c r="J76" i="61" s="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0" i="61" a="1"/>
  <c r="BN57" i="61" a="1"/>
  <c r="BN3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Z73" i="61" s="1"/>
  <c r="E47" i="40"/>
  <c r="L35" i="40"/>
  <c r="F41" i="40"/>
  <c r="F47" i="40"/>
  <c r="R67" i="61"/>
  <c r="N68" i="61"/>
  <c r="N69" i="61" s="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R18" i="61" a="1"/>
  <c r="BN42" i="61" a="1"/>
  <c r="Z15" i="61" a="1"/>
  <c r="CT73" i="61" l="1"/>
  <c r="F39" i="32"/>
  <c r="V25" i="8"/>
  <c r="H57" i="22"/>
  <c r="AH24" i="25"/>
  <c r="CP73" i="61"/>
  <c r="AD24" i="25"/>
  <c r="M54" i="40"/>
  <c r="G61" i="35"/>
  <c r="E35" i="42"/>
  <c r="AB24" i="25"/>
  <c r="BH24" i="25"/>
  <c r="G40" i="71"/>
  <c r="AJ25" i="8"/>
  <c r="AN24" i="25"/>
  <c r="AB28" i="14"/>
  <c r="D25" i="8"/>
  <c r="H50" i="18"/>
  <c r="F28" i="14"/>
  <c r="F53" i="26"/>
  <c r="O23" i="48"/>
  <c r="AL24" i="25"/>
  <c r="E35" i="64"/>
  <c r="AF28" i="14"/>
  <c r="H25" i="8"/>
  <c r="F45" i="45"/>
  <c r="T28" i="14"/>
  <c r="I22" i="21"/>
  <c r="F24" i="25"/>
  <c r="P25" i="8"/>
  <c r="R28" i="14"/>
  <c r="AT24" i="25"/>
  <c r="Z24" i="25"/>
  <c r="P24" i="25"/>
  <c r="L28" i="14"/>
  <c r="AV24" i="25"/>
  <c r="AH25" i="8"/>
  <c r="C30" i="52"/>
  <c r="BL24" i="25"/>
  <c r="T24" i="25"/>
  <c r="J25" i="8"/>
  <c r="L54" i="40"/>
  <c r="R24" i="25"/>
  <c r="F25" i="8"/>
  <c r="G51" i="35"/>
  <c r="BF24" i="25"/>
  <c r="BJ24" i="25"/>
  <c r="F39" i="74"/>
  <c r="BN42" i="61"/>
  <c r="BN43" i="61"/>
  <c r="BN44" i="61"/>
  <c r="F37" i="69"/>
  <c r="E44" i="72"/>
  <c r="AD28" i="14"/>
  <c r="BR21" i="61"/>
  <c r="BR25" i="61"/>
  <c r="BR18" i="61"/>
  <c r="BR22" i="61"/>
  <c r="BR26" i="61"/>
  <c r="BR19" i="61"/>
  <c r="BR23" i="61"/>
  <c r="BR27" i="61"/>
  <c r="BR20" i="61"/>
  <c r="BR24" i="61"/>
  <c r="F42" i="62"/>
  <c r="Z25" i="8"/>
  <c r="N25" i="8"/>
  <c r="AF24" i="25"/>
  <c r="BD24" i="25"/>
  <c r="F62" i="34"/>
  <c r="H28" i="14"/>
  <c r="X28" i="14"/>
  <c r="F20" i="17"/>
  <c r="F45" i="66"/>
  <c r="O3" i="49"/>
  <c r="AR24" i="25"/>
  <c r="D24" i="25"/>
  <c r="AB25" i="8"/>
  <c r="J24" i="25"/>
  <c r="L24" i="25"/>
  <c r="BR24" i="25"/>
  <c r="AD25" i="8"/>
  <c r="Z28" i="14"/>
  <c r="E37" i="69"/>
  <c r="AL25" i="8"/>
  <c r="AP24" i="25"/>
  <c r="CX73" i="61"/>
  <c r="BB24" i="25"/>
  <c r="V28" i="14"/>
  <c r="F65" i="31"/>
  <c r="K84" i="67"/>
  <c r="S38" i="9"/>
  <c r="T25" i="8"/>
  <c r="L25" i="8"/>
  <c r="BN24" i="25"/>
  <c r="AX24" i="25"/>
  <c r="P28" i="14"/>
  <c r="BP24" i="25"/>
  <c r="N28" i="14"/>
  <c r="H24" i="25"/>
  <c r="N24" i="25"/>
  <c r="F28" i="39"/>
  <c r="F52" i="33"/>
  <c r="V24" i="25"/>
  <c r="P18" i="50"/>
  <c r="C26" i="53"/>
  <c r="D28" i="14"/>
  <c r="F46" i="65"/>
  <c r="X24" i="25"/>
  <c r="AJ24" i="25"/>
  <c r="AF25" i="8"/>
  <c r="AZ24" i="25"/>
  <c r="X25" i="8"/>
  <c r="J28" i="14"/>
  <c r="F48" i="75"/>
  <c r="AD73" i="61"/>
  <c r="AH73" i="61"/>
  <c r="G28" i="39"/>
  <c r="F37" i="76"/>
  <c r="BT24" i="25"/>
  <c r="N73" i="61"/>
  <c r="Z15" i="61"/>
  <c r="BR63" i="61"/>
  <c r="AP99" i="61"/>
  <c r="AX99" i="61"/>
  <c r="J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CT15" i="61" a="1"/>
  <c r="AH22" i="25" a="1"/>
  <c r="AD22" i="25" a="1"/>
  <c r="AB25" i="14" a="1"/>
  <c r="R25" i="14" a="1"/>
  <c r="BN47" i="61" a="1"/>
  <c r="AX22" i="25" a="1"/>
  <c r="Z23" i="8" a="1"/>
  <c r="BR74" i="61" a="1"/>
  <c r="AD25" i="14" a="1"/>
  <c r="V25" i="14" a="1"/>
  <c r="V22" i="25" a="1"/>
  <c r="AH15" i="61" a="1"/>
  <c r="AF25" i="14" a="1"/>
  <c r="L23" i="8" a="1"/>
  <c r="D39" i="74" a="1"/>
  <c r="J22" i="25" a="1"/>
  <c r="BB15" i="61" a="1"/>
  <c r="CD15" i="61" a="1"/>
  <c r="CX15" i="61" a="1"/>
  <c r="CH15" i="61" a="1"/>
  <c r="AT22" i="25" a="1"/>
  <c r="Z22" i="25" a="1"/>
  <c r="L22" i="25" a="1"/>
  <c r="AF22" i="25" a="1"/>
  <c r="D48" i="75" a="1"/>
  <c r="AB23" i="8" a="1"/>
  <c r="C39" i="32" a="1"/>
  <c r="CP15" i="61" a="1"/>
  <c r="AB22" i="25" a="1"/>
  <c r="E40" i="71" a="1"/>
  <c r="AH23" i="8" a="1"/>
  <c r="BD22" i="25" a="1"/>
  <c r="P25" i="14" a="1"/>
  <c r="H84" i="67" a="1"/>
  <c r="AL15" i="61" a="1"/>
  <c r="H23" i="8" a="1"/>
  <c r="T22" i="25" a="1"/>
  <c r="AR22" i="25" a="1"/>
  <c r="BB22" i="25" a="1"/>
  <c r="AF23" i="8" a="1"/>
  <c r="AJ22" i="25" a="1"/>
  <c r="X23" i="8" a="1"/>
  <c r="BF15" i="61" a="1"/>
  <c r="CL15" i="61" a="1"/>
  <c r="V23" i="8" a="1"/>
  <c r="C35" i="42" a="1"/>
  <c r="AN22" i="25" a="1"/>
  <c r="AL22" i="25" a="1"/>
  <c r="AV22" i="25" a="1"/>
  <c r="F18" i="39" a="1"/>
  <c r="N23" i="8" a="1"/>
  <c r="H22" i="25" a="1"/>
  <c r="N15" i="61" a="1"/>
  <c r="P23" i="8" a="1"/>
  <c r="BJ22" i="25" a="1"/>
  <c r="C44" i="72" a="1"/>
  <c r="AZ22" i="25" a="1"/>
  <c r="E34" i="69" a="1"/>
  <c r="BZ15" i="61" a="1"/>
  <c r="S35" i="9" a="1"/>
  <c r="D23" i="8" a="1"/>
  <c r="L25" i="14" a="1"/>
  <c r="D22" i="25" a="1"/>
  <c r="O20" i="48" a="1"/>
  <c r="BL22" i="25" a="1"/>
  <c r="BR22" i="25" a="1"/>
  <c r="T23" i="8" a="1"/>
  <c r="Z25" i="14" a="1"/>
  <c r="AX15" i="61" a="1"/>
  <c r="AT15" i="61" a="1"/>
  <c r="AD23" i="8" a="1"/>
  <c r="AP15" i="61" a="1"/>
  <c r="F25" i="14" a="1"/>
  <c r="D25" i="14" a="1"/>
  <c r="V15" i="61" a="1"/>
  <c r="T25" i="14" a="1"/>
  <c r="J25" i="14" a="1"/>
  <c r="C62" i="23" a="1"/>
  <c r="AD15" i="61" a="1"/>
  <c r="C52" i="33" a="1"/>
  <c r="D46" i="65" a="1"/>
  <c r="E13" i="22" a="1"/>
  <c r="AJ23" i="8" a="1"/>
  <c r="BH22" i="25" a="1"/>
  <c r="C35" i="64" a="1"/>
  <c r="R22" i="25" a="1"/>
  <c r="X25" i="14" a="1"/>
  <c r="N25" i="14" a="1"/>
  <c r="D37" i="76" a="1"/>
  <c r="BJ15" i="61" a="1"/>
  <c r="F3" i="21" a="1"/>
  <c r="AL23" i="8" a="1"/>
  <c r="X22" i="25" a="1"/>
  <c r="BN22" i="25" a="1"/>
  <c r="D42" i="62" a="1"/>
  <c r="BV15" i="61" a="1"/>
  <c r="BT22" i="25" a="1"/>
  <c r="F22" i="25" a="1"/>
  <c r="J23" i="8" a="1"/>
  <c r="N22" i="25" a="1"/>
  <c r="BF22" i="25" a="1"/>
  <c r="BP22" i="25" a="1"/>
  <c r="C62" i="34" a="1"/>
  <c r="C31" i="51" a="1"/>
  <c r="AP22" i="25" a="1"/>
  <c r="R15" i="61" a="1"/>
  <c r="P22" i="25" a="1"/>
  <c r="H25" i="14" a="1"/>
  <c r="J15" i="61" a="1"/>
  <c r="D65" i="31" a="1"/>
  <c r="F23" i="8" a="1"/>
  <c r="C39" i="32" l="1"/>
  <c r="CT15" i="61"/>
  <c r="V23" i="8"/>
  <c r="AH22" i="25"/>
  <c r="E13" i="22"/>
  <c r="E40" i="71"/>
  <c r="AB25" i="14"/>
  <c r="BH22" i="25"/>
  <c r="AN22" i="25"/>
  <c r="AB22" i="25"/>
  <c r="AD22" i="25"/>
  <c r="AJ23" i="8"/>
  <c r="C35" i="42"/>
  <c r="CP15" i="61"/>
  <c r="F3" i="21"/>
  <c r="R25" i="14"/>
  <c r="T25" i="14"/>
  <c r="AF25" i="14"/>
  <c r="P23" i="8"/>
  <c r="C35" i="64"/>
  <c r="F25" i="14"/>
  <c r="F22" i="25"/>
  <c r="H23" i="8"/>
  <c r="AL22" i="25"/>
  <c r="O20" i="48"/>
  <c r="D23" i="8"/>
  <c r="AT22" i="25"/>
  <c r="T22" i="25"/>
  <c r="AV22" i="25"/>
  <c r="BL22" i="25"/>
  <c r="L25" i="14"/>
  <c r="P22" i="25"/>
  <c r="AH23" i="8"/>
  <c r="Z22" i="25"/>
  <c r="D39" i="74"/>
  <c r="F23" i="8"/>
  <c r="BJ22" i="25"/>
  <c r="R22" i="25"/>
  <c r="BF22" i="25"/>
  <c r="J23" i="8"/>
  <c r="BN48" i="61"/>
  <c r="BN49" i="61"/>
  <c r="BN47" i="61"/>
  <c r="BN63" i="61"/>
  <c r="AD25" i="14"/>
  <c r="C44" i="72"/>
  <c r="BR74" i="61"/>
  <c r="BR97" i="61" s="1"/>
  <c r="R15" i="61"/>
  <c r="AZ22" i="25"/>
  <c r="D46" i="65"/>
  <c r="V22" i="25"/>
  <c r="H22" i="25"/>
  <c r="AX22" i="25"/>
  <c r="S35" i="9"/>
  <c r="O3" i="9" s="1"/>
  <c r="BB22" i="25"/>
  <c r="E34" i="69"/>
  <c r="L22" i="25"/>
  <c r="AR22" i="25"/>
  <c r="X25" i="14"/>
  <c r="AF22" i="25"/>
  <c r="D48" i="75"/>
  <c r="AF23" i="8"/>
  <c r="D25" i="14"/>
  <c r="C52" i="33"/>
  <c r="N25" i="14"/>
  <c r="BN22" i="25"/>
  <c r="H84" i="67"/>
  <c r="CX15" i="61"/>
  <c r="Z25" i="14"/>
  <c r="J22" i="25"/>
  <c r="H25" i="14"/>
  <c r="N23" i="8"/>
  <c r="J25" i="14"/>
  <c r="AJ22" i="25"/>
  <c r="F18" i="39"/>
  <c r="BP22" i="25"/>
  <c r="L23" i="8"/>
  <c r="D65" i="31"/>
  <c r="AP22" i="25"/>
  <c r="AD23" i="8"/>
  <c r="AB23" i="8"/>
  <c r="C62" i="34"/>
  <c r="Z23" i="8"/>
  <c r="X23" i="8"/>
  <c r="X22" i="25"/>
  <c r="N22" i="25"/>
  <c r="P25" i="14"/>
  <c r="T23" i="8"/>
  <c r="V25" i="14"/>
  <c r="AL23" i="8"/>
  <c r="BR22" i="25"/>
  <c r="D22" i="25"/>
  <c r="BD22" i="25"/>
  <c r="D42" i="62"/>
  <c r="F55" i="75"/>
  <c r="D37" i="76"/>
  <c r="N15" i="61"/>
  <c r="AH15" i="61"/>
  <c r="BT22" i="25"/>
  <c r="AD15" i="61"/>
  <c r="BB15" i="61"/>
  <c r="BF15" i="61"/>
  <c r="CH15" i="61"/>
  <c r="J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L51" i="40" a="1"/>
  <c r="BR75" i="61" a="1"/>
  <c r="B28" i="36"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N15" i="61" a="1"/>
  <c r="E27" i="15" a="1"/>
  <c r="BR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8" i="30" a="1"/>
  <c r="F6" i="44"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F23" i="38" s="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20" i="38"/>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1" i="38" l="1"/>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T95" i="58"/>
  <c r="N95" i="58"/>
  <c r="R95" i="58"/>
  <c r="J95" i="58"/>
  <c r="V95" i="58"/>
  <c r="L95" i="58"/>
  <c r="P95" i="58"/>
  <c r="X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R96" i="58"/>
  <c r="N97" i="58"/>
  <c r="T96" i="58"/>
  <c r="L97"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X7" i="58" a="1"/>
  <c r="J7" i="58" a="1"/>
  <c r="V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27" i="59" a="1"/>
  <c r="F13" i="59" a="1"/>
  <c r="F20"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<sst xmlns="http://schemas.openxmlformats.org/spreadsheetml/2006/main" count="4434" uniqueCount="2673">
  <si>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</si>
  <si>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</si>
  <si>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</si>
  <si>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</si>
  <si>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</si>
  <si>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</si>
  <si>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</si>
  <si>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</si>
  <si>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</si>
  <si>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</si>
  <si>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</si>
  <si>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</si>
  <si>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</si>
  <si>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</si>
  <si>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</si>
  <si>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</si>
  <si>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</si>
  <si>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</si>
  <si>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</si>
  <si>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</si>
  <si>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</si>
  <si>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</si>
  <si>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</si>
  <si>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</si>
  <si>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</si>
  <si>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</si>
  <si>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</si>
  <si>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</si>
  <si>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</si>
  <si>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</si>
  <si>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</si>
  <si>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</si>
  <si>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</si>
  <si>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</si>
  <si>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</si>
  <si>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</si>
  <si>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</si>
  <si>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</si>
  <si>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</si>
  <si>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</si>
  <si>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</si>
  <si>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</si>
  <si>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</si>
  <si>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</si>
  <si>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</si>
  <si>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</si>
  <si>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</si>
  <si>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</si>
  <si>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</si>
  <si>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</si>
  <si>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</si>
  <si>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</si>
  <si>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</si>
  <si>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</si>
  <si>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</si>
  <si>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</si>
  <si>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</si>
  <si>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</si>
  <si>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</si>
  <si>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</si>
  <si>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</si>
  <si>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</si>
  <si>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</si>
  <si>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</si>
  <si>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</si>
  <si>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</si>
  <si>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</si>
  <si>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</si>
  <si>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</si>
  <si>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</si>
  <si>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</si>
  <si>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</si>
  <si>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</si>
  <si>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</si>
  <si>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</si>
  <si>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</si>
  <si>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</si>
  <si>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</si>
  <si>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</si>
  <si>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</si>
  <si>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</si>
  <si>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</si>
  <si>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</si>
  <si>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</si>
  <si>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</si>
  <si>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</si>
  <si>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</si>
  <si>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</si>
  <si>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</si>
  <si>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</si>
  <si>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</si>
  <si>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</si>
  <si>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</si>
  <si>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</si>
  <si>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</si>
  <si>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</si>
  <si>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</si>
  <si>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</si>
  <si>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</si>
  <si>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</si>
  <si>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</si>
  <si>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</si>
  <si>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</si>
  <si>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</si>
  <si>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</si>
  <si>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</si>
  <si>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</si>
  <si>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</si>
  <si>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</si>
  <si>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</si>
  <si>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</si>
  <si>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</si>
  <si>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</si>
  <si>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</si>
  <si>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</si>
  <si>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</si>
  <si>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</si>
  <si>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</si>
  <si>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</si>
  <si>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</si>
  <si>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</si>
  <si>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</si>
  <si>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</si>
  <si>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</si>
  <si>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</si>
  <si>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</si>
  <si>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</si>
  <si>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</si>
  <si>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</si>
  <si>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</si>
  <si>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</si>
  <si>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</si>
  <si>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</si>
  <si>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</si>
  <si>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</si>
  <si>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</si>
  <si>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</si>
  <si>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</si>
  <si>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</si>
  <si>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</si>
  <si>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</si>
  <si>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</si>
  <si>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</si>
  <si>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</si>
  <si>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</si>
  <si>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</si>
  <si>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</si>
  <si>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</si>
  <si>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</si>
  <si>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</si>
  <si>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</si>
  <si>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</si>
  <si>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</si>
  <si>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</si>
  <si>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</si>
  <si>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</si>
  <si>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</si>
  <si>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</si>
  <si>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</si>
  <si>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</si>
  <si>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</si>
  <si>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</si>
  <si>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</si>
  <si>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</si>
  <si>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</si>
  <si>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</si>
  <si>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</si>
  <si>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</si>
  <si>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</si>
  <si>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</si>
  <si>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</si>
  <si>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</si>
  <si>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</si>
  <si>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</si>
  <si>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</si>
  <si>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</si>
  <si>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</si>
  <si>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</si>
  <si>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</si>
  <si>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</si>
  <si>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</si>
  <si>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</si>
  <si>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</si>
  <si>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</si>
  <si>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</si>
  <si>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</si>
  <si>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</si>
  <si>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</si>
  <si>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</si>
  <si>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</si>
  <si>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</si>
  <si>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</si>
  <si>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</si>
  <si>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</si>
  <si>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</si>
  <si>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</si>
  <si>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</si>
  <si>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</si>
  <si>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</si>
  <si>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</si>
  <si>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</si>
  <si>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</si>
  <si>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</si>
  <si>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</si>
  <si>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</si>
  <si>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</si>
  <si>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</si>
  <si>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</si>
  <si>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</si>
  <si>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</si>
  <si>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</si>
  <si>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</si>
  <si>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</si>
  <si>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</si>
  <si>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</si>
  <si>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</si>
  <si>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</si>
  <si>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</si>
  <si>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</si>
  <si>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</si>
  <si>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</si>
  <si>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</si>
  <si>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</si>
  <si>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</si>
  <si>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</si>
  <si>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</si>
  <si>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</si>
  <si>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</si>
  <si>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</si>
  <si>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</si>
  <si>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</si>
  <si>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</si>
  <si>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</si>
  <si>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</si>
  <si>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</si>
  <si>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</si>
  <si>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</si>
  <si>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</si>
  <si>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</si>
  <si>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</si>
  <si>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</si>
  <si>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</si>
  <si>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</si>
  <si>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</si>
  <si>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</si>
  <si>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</si>
  <si>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</si>
  <si>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</si>
  <si>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</si>
  <si>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</si>
  <si>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</si>
  <si>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</si>
  <si>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</si>
  <si>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</si>
  <si>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</si>
  <si>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</si>
  <si>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</si>
  <si>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</si>
  <si>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</si>
  <si>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</si>
  <si>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</si>
  <si>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</si>
  <si>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</si>
  <si>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</si>
  <si>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</si>
  <si>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</si>
  <si>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</si>
  <si>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</si>
  <si>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</si>
  <si>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</si>
  <si>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</si>
  <si>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</si>
  <si>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</si>
  <si>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</si>
  <si>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</si>
  <si>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</si>
  <si>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</si>
  <si>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</si>
  <si>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</si>
  <si>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</si>
  <si>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</si>
  <si>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</si>
  <si>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</si>
  <si>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</si>
  <si>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</si>
  <si>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</si>
  <si>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</si>
  <si>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</si>
  <si>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</si>
  <si>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</si>
  <si>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</si>
  <si>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</si>
  <si>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</si>
  <si>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</si>
  <si>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</si>
  <si>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</si>
  <si>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</si>
  <si>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</si>
  <si>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</si>
  <si>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</si>
  <si>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</si>
  <si>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</si>
  <si>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</si>
  <si>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</si>
  <si>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</si>
  <si>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</si>
  <si>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</si>
  <si>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</si>
  <si>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</si>
  <si>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</si>
  <si>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</si>
  <si>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</si>
  <si>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</si>
  <si>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</si>
  <si>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</si>
  <si>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</si>
  <si>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</si>
  <si>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</si>
  <si>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</si>
  <si>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</si>
  <si>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</si>
  <si>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</si>
  <si>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</si>
  <si>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</si>
  <si>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</si>
  <si>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</si>
  <si>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</si>
  <si>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</si>
  <si>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</si>
  <si>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</si>
  <si>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</si>
  <si>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</si>
  <si>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</si>
  <si>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</si>
  <si>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</si>
  <si>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</si>
  <si>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</si>
  <si>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</si>
  <si>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</si>
  <si>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</si>
  <si>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</si>
  <si>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</si>
  <si>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</si>
  <si>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</si>
  <si>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</si>
  <si>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</si>
  <si>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</si>
  <si>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</si>
  <si>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</si>
  <si>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</si>
  <si>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</si>
  <si>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</si>
  <si>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</si>
  <si>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</si>
  <si>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</si>
  <si>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</si>
  <si>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</si>
  <si>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</si>
  <si>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</si>
  <si>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</si>
  <si>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</si>
  <si>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</si>
  <si>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</si>
  <si>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</si>
  <si>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</si>
  <si>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</si>
  <si>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</si>
  <si>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</si>
  <si>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</si>
  <si>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</si>
  <si>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</si>
  <si>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</si>
  <si>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</si>
  <si>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</si>
  <si>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</si>
  <si>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</si>
  <si>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</si>
  <si>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</si>
  <si>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</si>
  <si>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</si>
  <si>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</si>
  <si>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</si>
  <si>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</si>
  <si>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</si>
  <si>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</si>
  <si>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</si>
  <si>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</si>
  <si>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</si>
  <si>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</si>
  <si>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</si>
  <si>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</si>
  <si>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</si>
  <si>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</si>
  <si>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</si>
  <si>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</si>
  <si>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</si>
  <si>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</si>
  <si>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</si>
  <si>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</si>
  <si>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</si>
  <si>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</si>
  <si>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</si>
  <si>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</si>
  <si>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</si>
  <si>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</si>
  <si>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</si>
  <si>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</si>
  <si>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</si>
  <si>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</si>
  <si>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</si>
  <si>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</si>
  <si>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</si>
  <si>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</si>
  <si>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</si>
  <si>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</si>
  <si>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</si>
  <si>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</si>
  <si>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</si>
  <si>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</si>
  <si>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</si>
  <si>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</si>
  <si>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</si>
  <si>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</si>
  <si>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</si>
  <si>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</si>
  <si>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</si>
  <si>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</si>
  <si>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</si>
  <si>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</si>
  <si>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</si>
  <si>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</si>
  <si>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</si>
  <si>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</si>
  <si>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</si>
  <si>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</si>
  <si>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</si>
  <si>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</si>
  <si>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</si>
  <si>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</si>
  <si>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</si>
  <si>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</si>
  <si>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</si>
  <si>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</si>
  <si>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</si>
  <si>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</si>
  <si>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</si>
  <si>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</si>
  <si>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</si>
  <si>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</si>
  <si>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</si>
  <si>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</si>
  <si>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</si>
  <si>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</si>
  <si>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</si>
  <si>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</si>
  <si>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</si>
  <si>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</si>
  <si>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</si>
  <si>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</si>
  <si>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</si>
  <si>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</si>
  <si>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</si>
  <si>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</si>
  <si>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</si>
  <si>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</si>
  <si>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</si>
  <si>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</si>
  <si>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</si>
  <si>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</si>
  <si>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</si>
  <si>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</si>
  <si>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</si>
  <si>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</si>
  <si>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</si>
  <si>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</si>
  <si>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</si>
  <si>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</si>
  <si>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</si>
  <si>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</si>
  <si>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</si>
  <si>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</si>
  <si>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</si>
  <si>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</si>
  <si>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</si>
  <si>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</si>
  <si>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</si>
  <si>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</si>
  <si>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</si>
  <si>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</si>
  <si>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</si>
  <si>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</si>
  <si>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</si>
  <si>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</si>
  <si>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</si>
  <si>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</si>
  <si>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</si>
  <si>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</si>
  <si>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</si>
  <si>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</si>
  <si>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</si>
  <si>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</si>
  <si>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</si>
  <si>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</si>
  <si>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</si>
  <si>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</si>
  <si>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</si>
  <si>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</si>
  <si>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</si>
  <si>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</si>
  <si>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</si>
  <si>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</si>
  <si>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</si>
  <si>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</si>
  <si>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</si>
  <si>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</si>
  <si>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</si>
  <si>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</si>
  <si>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</si>
  <si>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</si>
  <si>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</si>
  <si>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</si>
  <si>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</si>
  <si>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</si>
  <si>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</si>
  <si>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</si>
  <si>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</si>
  <si>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</si>
  <si>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</si>
  <si>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</si>
  <si>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</si>
  <si>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</si>
  <si>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</si>
  <si>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</si>
  <si>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</si>
  <si>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</si>
  <si>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</si>
  <si>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</si>
  <si>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</si>
  <si>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</si>
  <si>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</si>
  <si>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</si>
  <si>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</si>
  <si>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</si>
  <si>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</si>
  <si>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</si>
  <si>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</si>
  <si>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</si>
  <si>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</si>
  <si>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</si>
  <si>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</si>
  <si>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</si>
  <si>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</si>
  <si>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</si>
  <si>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</si>
  <si>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</si>
  <si>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</si>
  <si>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</si>
  <si>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</si>
  <si>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</si>
  <si>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</si>
  <si>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</si>
  <si>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</si>
  <si>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</si>
  <si>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</si>
  <si>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</si>
  <si>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</si>
  <si>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</si>
  <si>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</si>
  <si>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</si>
  <si>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</si>
  <si>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</si>
  <si>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</si>
  <si>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</si>
  <si>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</si>
  <si>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</si>
  <si>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</si>
  <si>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</si>
  <si>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</si>
  <si>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</si>
  <si>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</si>
  <si>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</si>
  <si>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</si>
  <si>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</si>
  <si>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</si>
  <si>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</si>
  <si>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</si>
  <si>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</si>
  <si>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</si>
  <si>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</si>
  <si>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</si>
  <si>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</si>
  <si>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</si>
  <si>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</si>
  <si>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</si>
  <si>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</si>
  <si>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</si>
  <si>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</si>
  <si>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</si>
  <si>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</si>
  <si>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</si>
  <si>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</si>
  <si>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</si>
  <si>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</si>
  <si>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</si>
  <si>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</si>
  <si>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</si>
  <si>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</si>
  <si>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</si>
  <si>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</si>
  <si>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</si>
  <si>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</si>
  <si>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</si>
  <si>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</si>
  <si>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</si>
  <si>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</si>
  <si>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</si>
  <si>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</si>
  <si>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</si>
  <si>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</si>
  <si>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</si>
  <si>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</si>
  <si>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</si>
  <si>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</si>
  <si>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</si>
  <si>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</si>
  <si>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</si>
  <si>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</si>
  <si>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</si>
  <si>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</si>
  <si>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</si>
  <si>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</si>
  <si>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</si>
  <si>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</si>
  <si>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</si>
  <si>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</si>
  <si>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</si>
  <si>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</si>
  <si>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</si>
  <si>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</si>
  <si>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</si>
  <si>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</si>
  <si>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</si>
  <si>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</si>
  <si>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</si>
  <si>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</si>
  <si>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</si>
  <si>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</si>
  <si>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</si>
  <si>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</si>
  <si>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</si>
  <si>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</si>
  <si>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</si>
  <si>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</si>
  <si>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</si>
  <si>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</si>
  <si>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</si>
  <si>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</si>
  <si>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</si>
  <si>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</si>
  <si>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</si>
  <si>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</si>
  <si>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</si>
  <si>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</si>
  <si>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</si>
  <si>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</si>
  <si>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</si>
  <si>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</si>
  <si>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</si>
  <si>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</si>
  <si>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</si>
  <si>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</si>
  <si>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</si>
  <si>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</si>
  <si>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</si>
  <si>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</si>
  <si>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</si>
  <si>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</si>
  <si>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</si>
  <si>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</si>
  <si>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</si>
  <si>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</si>
  <si>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</si>
  <si>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</si>
  <si>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</si>
  <si>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</si>
  <si>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</si>
  <si>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</si>
  <si>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</si>
  <si>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</si>
  <si>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</si>
  <si>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</si>
  <si>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</si>
  <si>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</si>
  <si>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</si>
  <si>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</si>
  <si>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</si>
  <si>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</si>
  <si>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</si>
  <si>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</si>
  <si>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</si>
  <si>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</si>
  <si>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</si>
  <si>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</si>
  <si>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</si>
  <si>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</si>
  <si>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</si>
  <si>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</si>
  <si>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</si>
  <si>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</si>
  <si>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</si>
  <si>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</si>
  <si>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</si>
  <si>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</si>
  <si>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</si>
  <si>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</si>
  <si>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</si>
  <si>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</si>
  <si>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</si>
  <si>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</si>
  <si>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</si>
  <si>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</si>
  <si>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</si>
  <si>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</si>
  <si>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</si>
  <si>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</si>
  <si>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</si>
  <si>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</si>
  <si>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</si>
  <si>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</si>
  <si>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</si>
  <si>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</si>
  <si>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</si>
  <si>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</si>
  <si>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</si>
  <si>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</si>
  <si>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</si>
  <si>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</si>
  <si>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</si>
  <si>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</si>
  <si>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</si>
  <si>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</si>
  <si>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</si>
  <si>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</si>
  <si>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</si>
  <si>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</si>
  <si>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</si>
  <si>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</si>
  <si>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</si>
  <si>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</si>
  <si>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</si>
  <si>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</si>
  <si>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</si>
  <si>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</si>
  <si>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</si>
  <si>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</si>
  <si>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</si>
  <si>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</si>
  <si>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</si>
  <si>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</si>
  <si>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</si>
  <si>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</si>
  <si>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</si>
  <si>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</si>
  <si>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</si>
  <si>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</si>
  <si>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</si>
  <si>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</si>
  <si>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</si>
  <si>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</si>
  <si>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</si>
  <si>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</si>
  <si>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</si>
  <si>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</si>
  <si>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</si>
  <si>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</si>
  <si>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</si>
  <si>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</si>
  <si>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</si>
  <si>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</si>
  <si>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</si>
  <si>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</si>
  <si>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</si>
  <si>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</si>
  <si>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</si>
  <si>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</si>
  <si>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</si>
  <si>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</si>
  <si>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</si>
  <si>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</si>
  <si>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</si>
  <si>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</si>
  <si>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</si>
  <si>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</si>
  <si>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</si>
  <si>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</si>
  <si>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</si>
  <si>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</si>
  <si>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</si>
  <si>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</si>
  <si>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</si>
  <si>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</si>
  <si>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</si>
  <si>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</si>
  <si>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</si>
  <si>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</si>
  <si>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</si>
  <si>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</si>
  <si>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</si>
  <si>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</si>
  <si>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</si>
  <si>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</si>
  <si>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</si>
  <si>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</si>
  <si>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</si>
  <si>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</si>
  <si>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</si>
  <si>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</si>
  <si>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</si>
  <si>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</si>
  <si>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</si>
  <si>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</si>
  <si>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</si>
  <si>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</si>
  <si>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</si>
  <si>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</si>
  <si>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</si>
  <si>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</si>
  <si>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</si>
  <si>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</si>
  <si>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</si>
  <si>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</si>
  <si>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</si>
  <si>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</si>
  <si>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</si>
  <si>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</si>
  <si>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</si>
  <si>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</si>
  <si>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</si>
  <si>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</si>
  <si>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</si>
  <si>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</si>
  <si>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</si>
  <si>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</si>
  <si>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</si>
  <si>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</si>
  <si>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</si>
  <si>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</si>
  <si>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</si>
  <si>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</si>
  <si>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</si>
  <si>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</si>
  <si>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</si>
  <si>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</si>
  <si>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</si>
  <si>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</si>
  <si>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</si>
  <si>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</si>
  <si>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</si>
  <si>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</si>
  <si>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</si>
  <si>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</si>
  <si>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</si>
  <si>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</si>
  <si>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</si>
  <si>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</si>
  <si>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</si>
  <si>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</si>
  <si>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</si>
  <si>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</si>
  <si>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</si>
  <si>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</si>
  <si>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</si>
  <si>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</si>
  <si>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</si>
  <si>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</si>
  <si>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</si>
  <si>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</si>
  <si>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</si>
  <si>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</si>
  <si>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</si>
  <si>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</si>
  <si>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</si>
  <si>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</si>
  <si>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</si>
  <si>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</si>
  <si>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</si>
  <si>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</si>
  <si>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</si>
  <si>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</si>
  <si>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</si>
  <si>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</si>
  <si>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</si>
  <si>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</si>
  <si>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</si>
  <si>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</si>
  <si>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</si>
  <si>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</si>
  <si>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</si>
  <si>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</si>
  <si>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</si>
  <si>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</si>
  <si>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</si>
  <si>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</si>
  <si>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</si>
  <si>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</si>
  <si>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</si>
  <si>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</si>
  <si>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</si>
  <si>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</si>
  <si>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</si>
  <si>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</si>
  <si>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</si>
  <si>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</si>
  <si>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</si>
  <si>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</si>
  <si>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</si>
  <si>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</si>
  <si>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</si>
  <si>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</si>
  <si>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</si>
  <si>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</si>
  <si>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</si>
  <si>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</si>
  <si>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</si>
  <si>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</si>
  <si>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</si>
  <si>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</si>
  <si>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</si>
  <si>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</si>
  <si>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</si>
  <si>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</si>
  <si>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</si>
  <si>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</si>
  <si>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</si>
  <si>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</si>
  <si>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</si>
  <si>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</si>
  <si>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</si>
  <si>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</si>
  <si>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</si>
  <si>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</si>
  <si>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</si>
  <si>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</si>
  <si>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</si>
  <si>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</si>
  <si>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</si>
  <si>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</si>
  <si>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</si>
  <si>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</si>
  <si>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</si>
  <si>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</si>
  <si>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</si>
  <si>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</si>
  <si>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</si>
  <si>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</si>
  <si>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</si>
  <si>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</si>
  <si>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</si>
  <si>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</si>
  <si>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</si>
  <si>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</si>
  <si>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</si>
  <si>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</si>
  <si>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</si>
  <si>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</si>
  <si>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</si>
  <si>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</si>
  <si>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</si>
  <si>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</si>
  <si>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</si>
  <si>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</si>
  <si>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</si>
  <si>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</si>
  <si>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</si>
  <si>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</si>
  <si>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</si>
  <si>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</si>
  <si>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</si>
  <si>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</si>
  <si>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</si>
  <si>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</si>
  <si>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</si>
  <si>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</si>
  <si>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</si>
  <si>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</si>
  <si>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</si>
  <si>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</si>
  <si>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</si>
  <si>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</si>
  <si>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</si>
  <si>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</si>
  <si>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</si>
  <si>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</si>
  <si>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</si>
  <si>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</si>
  <si>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</si>
  <si>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</si>
  <si>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</si>
  <si>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</si>
  <si>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</si>
  <si>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</si>
  <si>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</si>
  <si>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</si>
  <si>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</si>
  <si>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</si>
  <si>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</si>
  <si>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</si>
  <si>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</si>
  <si>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</si>
  <si>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</si>
  <si>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</si>
  <si>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</si>
  <si>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</si>
  <si>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</si>
  <si>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</si>
  <si>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</si>
  <si>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</si>
  <si>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</si>
  <si>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</si>
  <si>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</si>
  <si>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</si>
  <si>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</si>
  <si>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</si>
  <si>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</si>
  <si>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</si>
  <si>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</si>
  <si>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</si>
  <si>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</si>
  <si>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</si>
  <si>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</si>
  <si>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</si>
  <si>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</si>
  <si>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</si>
  <si>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</si>
  <si>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</si>
  <si>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</si>
  <si>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</si>
  <si>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</si>
  <si>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</si>
  <si>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</si>
  <si>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</si>
  <si>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</si>
  <si>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</si>
  <si>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</si>
  <si>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</si>
  <si>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</si>
  <si>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</si>
  <si>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</si>
  <si>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</si>
  <si>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</si>
  <si>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</si>
  <si>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</si>
  <si>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</si>
  <si>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</si>
  <si>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</si>
  <si>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</si>
  <si>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</si>
  <si>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</si>
  <si>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</si>
  <si>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</si>
  <si>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</si>
  <si>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</si>
  <si>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</si>
  <si>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</si>
  <si>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</si>
  <si>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</si>
  <si>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</si>
  <si>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</si>
  <si>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</si>
  <si>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</si>
  <si>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</si>
  <si>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</si>
  <si>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</si>
  <si>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</si>
  <si>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</si>
  <si>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</si>
  <si>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</si>
  <si>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</si>
  <si>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</si>
  <si>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</si>
  <si>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</si>
  <si>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</si>
  <si>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</si>
  <si>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</si>
  <si>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</si>
  <si>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</si>
  <si>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</si>
  <si>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</si>
  <si>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</si>
  <si>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</si>
  <si>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</si>
  <si>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</si>
  <si>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</si>
  <si>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</si>
  <si>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</si>
  <si>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</si>
  <si>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</si>
  <si>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</si>
  <si>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</si>
  <si>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</si>
  <si>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</si>
  <si>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</si>
  <si>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</si>
  <si>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</si>
  <si>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</si>
  <si>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</si>
  <si>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</si>
  <si>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</si>
  <si>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</si>
  <si>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</si>
  <si>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</si>
  <si>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</si>
  <si>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</si>
  <si>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</si>
  <si>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</si>
  <si>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</si>
  <si>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</si>
  <si>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</si>
  <si>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</si>
  <si>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</si>
  <si>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</si>
  <si>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</si>
  <si>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</si>
  <si>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</si>
  <si>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</si>
  <si>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</si>
  <si>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</si>
  <si>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</si>
  <si>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</si>
  <si>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</si>
  <si>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</si>
  <si>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</si>
  <si>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</si>
  <si>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</si>
  <si>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</si>
  <si>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</si>
  <si>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</si>
  <si>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</si>
  <si>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</si>
  <si>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</si>
  <si>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</si>
  <si>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</si>
  <si>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</si>
  <si>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</si>
  <si>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</si>
  <si>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</si>
  <si>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</si>
  <si>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</si>
  <si>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</si>
  <si>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</si>
  <si>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</si>
  <si>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</si>
  <si>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</si>
  <si>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</si>
  <si>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</si>
  <si>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</si>
  <si>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</si>
  <si>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</si>
  <si>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</si>
  <si>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</si>
  <si>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</si>
  <si>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</si>
  <si>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</si>
  <si>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</si>
  <si>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</si>
  <si>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</si>
  <si>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</si>
  <si>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</si>
  <si>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</si>
  <si>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</si>
  <si>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</si>
  <si>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</si>
  <si>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</si>
  <si>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</si>
  <si>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</si>
  <si>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</si>
  <si>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</si>
  <si>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</si>
  <si>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</si>
  <si>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</si>
  <si>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</si>
  <si>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</si>
  <si>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</si>
  <si>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</si>
  <si>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</si>
  <si>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</si>
  <si>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</si>
  <si>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</si>
  <si>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</si>
  <si>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</si>
  <si>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</si>
  <si>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</si>
  <si>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</si>
  <si>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</si>
  <si>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</si>
  <si>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</si>
  <si>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</si>
  <si>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</si>
  <si>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</si>
  <si>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</si>
  <si>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</si>
  <si>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</si>
  <si>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</si>
  <si>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</si>
  <si>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</si>
  <si>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</si>
  <si>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</si>
  <si>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</si>
  <si>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</si>
  <si>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</si>
  <si>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</si>
  <si>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</si>
  <si>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</si>
  <si>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</si>
  <si>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</si>
  <si>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</si>
  <si>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</si>
  <si>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</si>
  <si>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</si>
  <si>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</si>
  <si>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</si>
  <si>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</si>
  <si>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</si>
  <si>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</si>
  <si>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</si>
  <si>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</si>
  <si>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</si>
  <si>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</si>
  <si>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</si>
  <si>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</si>
  <si>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</si>
  <si>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</si>
  <si>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</si>
  <si>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</si>
  <si>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</si>
  <si>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</si>
  <si>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</si>
  <si>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</si>
  <si>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</si>
  <si>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</si>
  <si>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</si>
  <si>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</si>
  <si>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</si>
  <si>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</si>
  <si>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</si>
  <si>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</si>
  <si>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</si>
  <si>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</si>
  <si>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</si>
  <si>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</si>
  <si>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</si>
  <si>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</si>
  <si>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</si>
  <si>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</si>
  <si>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</si>
  <si>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</si>
  <si>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</si>
  <si>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</si>
  <si>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</si>
  <si>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</si>
  <si>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</si>
  <si>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</si>
  <si>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</si>
  <si>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</si>
  <si>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</si>
  <si>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</si>
  <si>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</si>
  <si>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</si>
  <si>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</si>
  <si>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</si>
  <si>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</si>
  <si>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</si>
  <si>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</si>
  <si>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</si>
  <si>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</si>
  <si>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</si>
  <si>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</si>
  <si>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</si>
  <si>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</si>
  <si>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</si>
  <si>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</si>
  <si>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</si>
  <si>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</si>
  <si>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</si>
  <si>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</si>
  <si>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</si>
  <si>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</si>
  <si>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</si>
  <si>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</si>
  <si>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</si>
  <si>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</si>
  <si>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</si>
  <si>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</si>
  <si>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</si>
  <si>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</si>
  <si>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</si>
  <si>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</si>
  <si>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</si>
  <si>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</si>
  <si>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</si>
  <si>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</si>
  <si>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</si>
  <si>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</si>
  <si>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</si>
  <si>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</si>
  <si>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</si>
  <si>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</si>
  <si>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</si>
  <si>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</si>
  <si>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</si>
  <si>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</si>
  <si>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</si>
  <si>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</si>
  <si>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</si>
  <si>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</si>
  <si>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</si>
  <si>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</si>
  <si>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</si>
  <si>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</si>
  <si>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</si>
  <si>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</si>
  <si>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</si>
  <si>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</si>
  <si>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</si>
  <si>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</si>
  <si>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</si>
  <si>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</si>
  <si>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</si>
  <si>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</si>
  <si>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</si>
  <si>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</si>
  <si>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</si>
  <si>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</si>
  <si>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</si>
  <si>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</si>
  <si>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</si>
  <si>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</si>
  <si>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</si>
  <si>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</si>
  <si>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</si>
  <si>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</si>
  <si>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</si>
  <si>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</si>
  <si>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</si>
  <si>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</si>
  <si>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</si>
  <si>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</si>
  <si>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</si>
  <si>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</si>
  <si>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</si>
  <si>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</si>
  <si>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</si>
  <si>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</si>
  <si>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</si>
  <si>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</si>
  <si>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</si>
  <si>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</si>
  <si>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</si>
  <si>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</si>
  <si>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</si>
  <si>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</si>
  <si>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</si>
  <si>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</si>
  <si>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</si>
  <si>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</si>
  <si>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</si>
  <si>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</si>
  <si>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</si>
  <si>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</si>
  <si>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</si>
  <si>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</si>
  <si>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</si>
  <si>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</si>
  <si>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</si>
  <si>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</si>
  <si>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</si>
  <si>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</si>
  <si>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</si>
  <si>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</si>
  <si>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</si>
  <si>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</si>
  <si>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</si>
  <si>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</si>
  <si>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</si>
  <si>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</si>
  <si>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</si>
  <si>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</si>
  <si>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</si>
  <si>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</si>
  <si>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</si>
  <si>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</si>
  <si>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</si>
  <si>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</si>
  <si>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</si>
  <si>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</si>
  <si>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</si>
  <si>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</si>
  <si>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</si>
  <si>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</si>
  <si>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</si>
  <si>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</si>
  <si>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</si>
  <si>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</si>
  <si>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</si>
  <si>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</si>
  <si>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</si>
  <si>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</si>
  <si>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</si>
  <si>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</si>
  <si>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</si>
  <si>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</si>
  <si>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</si>
  <si>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</si>
  <si>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</si>
  <si>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</si>
  <si>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</si>
  <si>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</si>
  <si>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</si>
  <si>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</si>
  <si>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</si>
  <si>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</si>
  <si>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</si>
  <si>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</si>
  <si>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</si>
  <si>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</si>
  <si>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</si>
  <si>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</si>
  <si>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</si>
  <si>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</si>
  <si>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</si>
  <si>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</si>
  <si>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</si>
  <si>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</si>
  <si>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</si>
  <si>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</si>
  <si>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</si>
  <si>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</si>
  <si>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</si>
  <si>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</si>
  <si>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</si>
  <si>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</si>
  <si>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</si>
  <si>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</si>
  <si>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</si>
  <si>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</si>
  <si>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</si>
  <si>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</si>
  <si>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</si>
  <si>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</si>
  <si>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</si>
  <si>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</si>
  <si>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</si>
  <si>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</si>
  <si>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</si>
  <si>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</si>
  <si>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</si>
  <si>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</si>
  <si>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</si>
  <si>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</si>
  <si>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</si>
  <si>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</si>
  <si>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</si>
  <si>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</si>
  <si>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</si>
  <si>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</si>
  <si>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</si>
  <si>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</si>
  <si>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</si>
  <si>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</si>
  <si>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</si>
  <si>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</si>
  <si>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</si>
  <si>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</si>
  <si>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</si>
  <si>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</si>
  <si>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</si>
  <si>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</si>
  <si>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</si>
  <si>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</si>
  <si>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</si>
  <si>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</si>
  <si>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</si>
  <si>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</si>
  <si>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</si>
  <si>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</si>
  <si>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</si>
  <si>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</si>
  <si>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</si>
  <si>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</si>
  <si>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</si>
  <si>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</si>
  <si>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</si>
  <si>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</si>
  <si>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</si>
  <si>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</si>
  <si>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</si>
  <si>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</si>
  <si>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</si>
  <si>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</si>
  <si>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</si>
  <si>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</si>
  <si>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</si>
  <si>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</si>
  <si>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</si>
  <si>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</si>
  <si>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</si>
  <si>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</si>
  <si>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</si>
  <si>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</si>
  <si>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</si>
  <si>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</si>
  <si>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</si>
  <si>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</si>
  <si>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</si>
  <si>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</si>
  <si>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</si>
  <si>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</si>
  <si>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</si>
  <si>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</si>
  <si>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</si>
  <si>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</si>
  <si>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</si>
  <si>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</si>
  <si>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</si>
  <si>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</si>
  <si>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</si>
  <si>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</si>
  <si>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</si>
  <si>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</si>
  <si>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</si>
  <si>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</si>
  <si>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</si>
  <si>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</si>
  <si>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</si>
  <si>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</si>
  <si>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</si>
  <si>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</si>
  <si>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</si>
  <si>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</si>
  <si>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</si>
  <si>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</si>
  <si>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</si>
  <si>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</si>
  <si>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</si>
  <si>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</si>
  <si>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</si>
  <si>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</si>
  <si>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</si>
  <si>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</si>
  <si>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</si>
  <si>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</si>
  <si>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</si>
  <si>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</si>
  <si>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</si>
  <si>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</si>
  <si>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</si>
  <si>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</si>
  <si>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</si>
  <si>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</si>
  <si>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</si>
  <si>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</si>
  <si>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</si>
  <si>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</si>
  <si>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</si>
  <si>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</si>
  <si>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</si>
  <si>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</si>
  <si>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</si>
  <si>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</si>
  <si>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</si>
  <si>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</si>
  <si>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</si>
  <si>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</si>
  <si>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</si>
  <si>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</si>
  <si>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</si>
  <si>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</si>
  <si>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</si>
  <si>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</si>
  <si>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</si>
  <si>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</si>
  <si>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</si>
  <si>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</si>
  <si>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</si>
  <si>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</si>
  <si>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</si>
  <si>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</si>
  <si>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</si>
  <si>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</si>
  <si>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</si>
  <si>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</si>
  <si>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</si>
  <si>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</si>
  <si>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</si>
  <si>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</si>
  <si>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</si>
  <si>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</si>
  <si>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</si>
  <si>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</si>
  <si>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</si>
  <si>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</si>
  <si>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</si>
  <si>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</si>
  <si>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</si>
  <si>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</si>
  <si>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</si>
  <si>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</si>
  <si>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</si>
  <si>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</si>
  <si>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</si>
  <si>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</si>
  <si>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</si>
  <si>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</si>
  <si>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</si>
  <si>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</si>
  <si>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</si>
  <si>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</si>
  <si>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</si>
  <si>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</si>
  <si>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</si>
  <si>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</si>
  <si>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</si>
  <si>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</si>
  <si>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</si>
  <si>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</si>
  <si>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</si>
  <si>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</si>
  <si>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</si>
  <si>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</si>
  <si>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</si>
  <si>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</si>
  <si>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</si>
  <si>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</si>
  <si>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</si>
  <si>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</si>
  <si>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</si>
  <si>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</si>
  <si>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</si>
  <si>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</si>
  <si>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</si>
  <si>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</si>
  <si>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</si>
  <si>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</si>
  <si>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</si>
  <si>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</si>
  <si>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</si>
  <si>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</si>
  <si>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</si>
  <si>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</si>
  <si>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</si>
  <si>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</si>
  <si>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</si>
  <si>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</si>
  <si>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</si>
  <si>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</si>
  <si>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</si>
  <si>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</si>
  <si>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</si>
  <si>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</si>
  <si>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</si>
  <si>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</si>
  <si>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</si>
  <si>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</si>
  <si>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</si>
  <si>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</si>
  <si>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</si>
  <si>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</si>
  <si>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</si>
  <si>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</si>
  <si>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</si>
  <si>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</si>
  <si>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</si>
  <si>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</si>
  <si>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</si>
  <si>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</si>
  <si>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</si>
  <si>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</si>
  <si>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</si>
  <si>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</si>
  <si>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</si>
  <si>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</si>
  <si>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</si>
  <si>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</si>
  <si>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</si>
  <si>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</si>
  <si>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</si>
  <si>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</si>
  <si>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</si>
  <si>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</si>
  <si>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</si>
  <si>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</si>
  <si>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</si>
  <si>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</si>
  <si>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</si>
  <si>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</si>
  <si>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</si>
  <si>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</si>
  <si>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</si>
  <si>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</si>
  <si>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</si>
  <si>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</si>
  <si>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</si>
  <si>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</si>
  <si>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</si>
  <si>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</si>
  <si>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</si>
  <si>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</si>
  <si>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</si>
  <si>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</si>
  <si>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</si>
  <si>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</si>
  <si>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</si>
  <si>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</si>
  <si>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</si>
  <si>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</si>
  <si>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</si>
  <si>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</si>
  <si>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</si>
  <si>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</si>
  <si>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</si>
  <si>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</si>
  <si>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</si>
  <si>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</si>
  <si>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</si>
  <si>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</si>
  <si>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</si>
  <si>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</si>
  <si>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</si>
  <si>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</si>
  <si>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</si>
  <si>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</si>
  <si>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</si>
  <si>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</si>
  <si>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</si>
  <si>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</si>
  <si>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</si>
  <si>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</si>
  <si>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</si>
  <si>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</si>
  <si>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</si>
  <si>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</si>
  <si>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</si>
  <si>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</si>
  <si>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</si>
  <si>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</si>
  <si>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</si>
  <si>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</si>
  <si>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</si>
  <si>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</si>
  <si>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</si>
  <si>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</si>
  <si>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</si>
  <si>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</si>
  <si>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</si>
  <si>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</si>
  <si>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</si>
  <si>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</si>
  <si>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</si>
  <si>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</si>
  <si>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</si>
  <si>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</si>
  <si>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</si>
  <si>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</si>
  <si>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</si>
  <si>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</si>
  <si>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</si>
  <si>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</si>
  <si>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</si>
  <si>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</si>
  <si>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</si>
  <si>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</si>
  <si>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</si>
  <si>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</si>
  <si>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</si>
  <si>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</si>
  <si>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</si>
  <si>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</si>
  <si>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</si>
  <si>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</si>
  <si>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</si>
  <si>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</si>
  <si>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</si>
  <si>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</si>
  <si>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</si>
  <si>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</si>
  <si>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</si>
  <si>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</si>
  <si>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</si>
  <si>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</si>
  <si>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</si>
  <si>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</si>
  <si>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</si>
  <si>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</si>
  <si>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</si>
  <si>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</si>
  <si>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</si>
  <si>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</si>
  <si>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</si>
  <si>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</si>
  <si>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</si>
  <si>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</si>
  <si>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</si>
  <si>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</si>
  <si>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</si>
  <si>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</si>
  <si>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</si>
  <si>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</si>
  <si>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</si>
  <si>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</si>
  <si>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</si>
  <si>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</si>
  <si>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</si>
  <si>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</si>
  <si>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</si>
  <si>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</si>
  <si>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</si>
  <si>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</si>
  <si>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</si>
  <si>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</si>
  <si>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</si>
  <si>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</si>
  <si>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</si>
  <si>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</si>
  <si>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</si>
  <si>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</si>
  <si>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</si>
  <si>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</si>
  <si>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</si>
  <si>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</si>
  <si>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</si>
  <si>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</si>
  <si>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</si>
  <si>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</si>
  <si>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</si>
  <si>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</si>
  <si>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</si>
  <si>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</si>
  <si>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</si>
  <si>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</si>
  <si>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</si>
  <si>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</si>
  <si>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</si>
  <si>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</si>
  <si>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</si>
  <si>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</si>
  <si>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</si>
  <si>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</si>
  <si>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</si>
  <si>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</si>
  <si>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</si>
  <si>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</si>
  <si>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</si>
  <si>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</si>
  <si>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</si>
  <si>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</si>
  <si>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</si>
  <si>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</si>
  <si>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</si>
  <si>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</si>
  <si>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</si>
  <si>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</si>
  <si>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</si>
  <si>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</si>
  <si>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</si>
  <si>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</si>
  <si>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</si>
  <si>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</si>
  <si>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</si>
  <si>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</si>
  <si>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</si>
  <si>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</si>
  <si>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</si>
  <si>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</si>
  <si>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</si>
  <si>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</si>
  <si>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</si>
  <si>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</si>
  <si>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</si>
  <si>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</si>
  <si>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</si>
  <si>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</si>
  <si>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</si>
  <si>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</si>
  <si>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</si>
  <si>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</si>
  <si>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</si>
  <si>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</si>
  <si>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</si>
  <si>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</si>
  <si>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</si>
  <si>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</si>
  <si>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</si>
  <si>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</si>
  <si>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</si>
  <si>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</si>
  <si>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</si>
  <si>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</si>
  <si>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</si>
  <si>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</si>
  <si>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</si>
  <si>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</si>
  <si>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</si>
  <si>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</si>
  <si>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</si>
  <si>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</si>
  <si>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</si>
  <si>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</si>
  <si>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</si>
  <si>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</si>
  <si>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</si>
  <si>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</si>
  <si>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</si>
  <si>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</si>
  <si>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</si>
  <si>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</si>
  <si>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</si>
  <si>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</si>
  <si>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</si>
  <si>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</si>
  <si>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</si>
  <si>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</si>
  <si>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</si>
  <si>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</si>
  <si>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</si>
  <si>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</si>
  <si>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</si>
  <si>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</si>
  <si>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</si>
  <si>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</si>
  <si>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</si>
  <si>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</si>
  <si>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</si>
  <si>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</si>
  <si>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</si>
  <si>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</si>
  <si>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</si>
  <si>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</si>
  <si>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</si>
  <si>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</si>
  <si>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</si>
  <si>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</si>
  <si>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</si>
  <si>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</si>
  <si>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</si>
  <si>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</si>
  <si>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</si>
  <si>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</si>
  <si>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</si>
  <si>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</si>
  <si>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</si>
  <si>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</si>
  <si>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</si>
  <si>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</si>
  <si>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</si>
  <si>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</si>
  <si>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</si>
  <si>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</si>
  <si>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</si>
  <si>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</si>
  <si>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</si>
  <si>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</si>
  <si>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</si>
  <si>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</si>
  <si>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</si>
  <si>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</si>
  <si>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</si>
  <si>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</si>
  <si>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</si>
  <si>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</si>
  <si>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</si>
  <si>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</si>
  <si>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</si>
  <si>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</si>
  <si>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</si>
  <si>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</si>
  <si>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</si>
  <si>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</si>
  <si>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</si>
  <si>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</si>
  <si>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</si>
  <si>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</si>
  <si>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</si>
  <si>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</si>
  <si>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</si>
  <si>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</si>
  <si>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</si>
  <si>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</si>
  <si>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</si>
  <si>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</si>
  <si>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</si>
  <si>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</si>
  <si>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</si>
  <si>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</si>
  <si>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</si>
  <si>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</si>
  <si>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</si>
  <si>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</si>
  <si>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</si>
  <si>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</si>
  <si>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</si>
  <si>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</si>
  <si>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</si>
  <si>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</si>
  <si>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</si>
  <si>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</si>
  <si>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</si>
  <si>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</si>
  <si>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</si>
  <si>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</si>
  <si>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</si>
  <si>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</si>
  <si>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</si>
  <si>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</si>
  <si>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</si>
  <si>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</si>
  <si>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</si>
  <si>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</si>
  <si>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</si>
  <si>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</si>
  <si>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</si>
  <si>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</si>
  <si>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</si>
  <si>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</si>
  <si>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</si>
  <si>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</si>
  <si>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</si>
  <si>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</si>
  <si>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</si>
  <si>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</si>
  <si>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</si>
  <si>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</si>
  <si>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</si>
  <si>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</si>
  <si>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</si>
  <si>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</si>
  <si>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</si>
  <si>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</si>
  <si>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</si>
  <si>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</si>
  <si>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</si>
  <si>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</si>
  <si>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</si>
  <si>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</si>
  <si>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</si>
  <si>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</si>
  <si>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</si>
  <si>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</si>
  <si>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</si>
  <si>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</si>
  <si>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</si>
  <si>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</si>
  <si>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</si>
  <si>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</si>
  <si>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</si>
  <si>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</si>
  <si>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</si>
  <si>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</si>
  <si>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</si>
  <si>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</si>
  <si>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</si>
  <si>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</si>
  <si>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</si>
  <si>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</si>
  <si>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</si>
  <si>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</si>
  <si>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</si>
  <si>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</si>
  <si>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</si>
  <si>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</si>
  <si>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</si>
  <si>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</si>
  <si>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</si>
  <si>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</si>
  <si>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</si>
  <si>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</si>
  <si>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</si>
  <si>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</si>
  <si>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</si>
  <si>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</si>
  <si>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</si>
  <si>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</si>
  <si>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</si>
  <si>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</si>
  <si>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</si>
  <si>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</si>
  <si>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</si>
  <si>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</si>
  <si>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</si>
  <si>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</si>
  <si>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</si>
  <si>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</si>
  <si>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</si>
  <si>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</si>
  <si>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</si>
  <si>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</si>
  <si>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</si>
  <si>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</si>
  <si>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</si>
  <si>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</si>
  <si>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</si>
  <si>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</si>
  <si>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</si>
  <si>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</si>
  <si>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</si>
  <si>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</si>
  <si>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</si>
  <si>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</si>
  <si>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</si>
  <si>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</si>
  <si>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</si>
  <si>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</si>
  <si>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</si>
  <si>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</si>
  <si>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</si>
  <si>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</si>
  <si>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</si>
  <si>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</si>
  <si>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</si>
  <si>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</si>
  <si>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</si>
  <si>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</si>
  <si>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</si>
  <si>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</si>
  <si>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</si>
  <si>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</si>
  <si>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</si>
  <si>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</si>
  <si>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</si>
  <si>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</si>
  <si>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</si>
  <si>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</si>
  <si>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</si>
  <si>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</si>
  <si>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</si>
  <si>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</si>
  <si>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</si>
  <si>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</si>
  <si>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</si>
  <si>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</si>
  <si>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</si>
  <si>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</si>
  <si>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</si>
  <si>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</si>
  <si>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</si>
  <si>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</si>
  <si>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</si>
  <si>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</si>
  <si>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</si>
  <si>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</si>
  <si>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</si>
  <si>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</si>
  <si>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</si>
  <si>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</si>
  <si>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</si>
  <si>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</si>
  <si>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</si>
  <si>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</si>
  <si>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</si>
  <si>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</si>
  <si>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</si>
  <si>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</si>
  <si>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</si>
  <si>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</si>
  <si>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</si>
  <si>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</si>
  <si>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</si>
  <si>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</si>
  <si>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</si>
  <si>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</si>
  <si>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</si>
  <si>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</si>
  <si>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</si>
  <si>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</si>
  <si>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</si>
  <si>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</si>
  <si>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</si>
  <si>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</si>
  <si>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</si>
  <si>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</si>
  <si>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</si>
  <si>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</si>
  <si>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</si>
  <si>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</si>
  <si>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</si>
  <si>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</si>
  <si>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</si>
  <si>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</si>
  <si>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</si>
  <si>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</si>
  <si>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</si>
  <si>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</si>
  <si>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</si>
  <si>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</si>
  <si>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</si>
  <si>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</si>
  <si>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</si>
  <si>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</si>
  <si>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</si>
  <si>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</si>
  <si>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</si>
  <si>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</si>
  <si>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</si>
  <si>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</si>
  <si>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</si>
  <si>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</si>
  <si>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</si>
  <si>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</si>
  <si>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</si>
  <si>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</si>
  <si>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</si>
  <si>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</si>
  <si>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</si>
  <si>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</si>
  <si>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</si>
  <si>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</si>
  <si>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</si>
  <si>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</si>
  <si>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</si>
  <si>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</si>
  <si>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</si>
  <si>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</si>
  <si>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</si>
  <si>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</si>
  <si>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</si>
  <si>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</si>
  <si>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</si>
  <si>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</si>
  <si>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</si>
  <si>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</si>
  <si>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</si>
  <si>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</si>
  <si>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</si>
  <si>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</si>
  <si>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</si>
  <si>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</si>
  <si>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</si>
  <si>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</si>
  <si>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</si>
  <si>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</si>
  <si>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</si>
  <si>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</si>
  <si>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</si>
  <si>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</si>
  <si>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</si>
  <si>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</si>
  <si>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</si>
  <si>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</si>
  <si>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</si>
  <si>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</si>
  <si>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</si>
  <si>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</si>
  <si>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</si>
  <si>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</si>
  <si>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</si>
  <si>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</si>
  <si>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</si>
  <si>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</si>
  <si>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</si>
  <si>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</si>
  <si>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</si>
  <si>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</si>
  <si>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</si>
  <si>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</si>
  <si>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</si>
  <si>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</si>
  <si>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</si>
  <si>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</si>
  <si>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</si>
  <si>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</si>
  <si>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</si>
  <si>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</si>
  <si>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</si>
  <si>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</si>
  <si>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</si>
  <si>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</si>
  <si>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</si>
  <si>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</si>
  <si>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</si>
  <si>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</si>
  <si>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</si>
  <si>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</si>
  <si>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</si>
  <si>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</si>
  <si>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</si>
  <si>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</si>
  <si>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</si>
  <si>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</si>
  <si>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</si>
  <si>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</si>
  <si>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</si>
  <si>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</si>
  <si>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</si>
  <si>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</si>
  <si>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</si>
  <si>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</si>
  <si>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</si>
  <si>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</si>
  <si>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</si>
  <si>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</si>
  <si>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</si>
  <si>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</si>
  <si>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</si>
  <si>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</si>
  <si>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</si>
  <si>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</si>
  <si>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</si>
  <si>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</si>
  <si>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</si>
  <si>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</si>
  <si>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</si>
  <si>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</si>
  <si>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</si>
  <si>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</si>
  <si>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</si>
  <si>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</si>
  <si>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</si>
  <si>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</si>
  <si>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</si>
  <si>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</si>
  <si>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</si>
  <si>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</si>
  <si>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</si>
  <si>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</si>
  <si>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</si>
  <si>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</si>
  <si>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</si>
  <si>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</si>
  <si>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</si>
  <si>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</si>
  <si>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</si>
  <si>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</si>
  <si>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</si>
  <si>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</si>
  <si>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</si>
  <si>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</si>
  <si>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</si>
  <si>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</si>
  <si>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</si>
  <si>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</si>
  <si>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</si>
  <si>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</si>
  <si>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</si>
  <si>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</si>
  <si>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</si>
  <si>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</si>
  <si>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</si>
  <si>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</si>
  <si>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</si>
  <si>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</si>
  <si>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</si>
  <si>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</si>
  <si>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</si>
  <si>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</si>
  <si>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</si>
  <si>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</si>
  <si>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</si>
  <si>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</si>
  <si>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</si>
  <si>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</si>
  <si>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</si>
  <si>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</si>
  <si>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</si>
  <si>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</si>
  <si>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</si>
  <si>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</si>
  <si>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</si>
  <si>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</si>
  <si>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</si>
  <si>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</si>
  <si>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</si>
  <si>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</si>
  <si>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</si>
  <si>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</si>
  <si>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</si>
  <si>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</si>
  <si>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</si>
  <si>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</si>
  <si>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</si>
  <si>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</si>
  <si>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</si>
  <si>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</si>
  <si>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</si>
  <si>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</si>
  <si>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</si>
  <si>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</si>
  <si>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</si>
  <si>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</si>
  <si>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</si>
  <si>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</si>
  <si>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</si>
  <si>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</si>
  <si>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</si>
  <si>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</si>
  <si>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</si>
  <si>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</si>
  <si>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</si>
  <si>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</si>
  <si>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</si>
  <si>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</si>
  <si>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</si>
  <si>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</si>
  <si>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</si>
  <si>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</si>
  <si>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</si>
  <si>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</si>
  <si>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</si>
  <si>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</si>
  <si>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</si>
  <si>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</si>
  <si>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</si>
  <si>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</si>
  <si>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</si>
  <si>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</si>
  <si>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</si>
  <si>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</si>
  <si>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</si>
  <si>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</si>
  <si>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</si>
  <si>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</si>
  <si>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</si>
  <si>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</si>
  <si>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</si>
  <si>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</si>
  <si>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</si>
  <si>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</si>
  <si>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</si>
  <si>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</si>
  <si>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</si>
  <si>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</si>
  <si>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</si>
  <si>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</si>
  <si>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</si>
  <si>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</si>
  <si>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</si>
  <si>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</si>
  <si>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</si>
  <si>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</si>
  <si>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</si>
  <si>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</si>
  <si>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</si>
  <si>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</si>
  <si>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</si>
  <si>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</si>
  <si>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</si>
  <si>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</si>
  <si>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</si>
  <si>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</si>
  <si>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</si>
  <si>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</si>
  <si>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</si>
  <si>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</si>
  <si>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</si>
  <si>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</si>
  <si>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</si>
  <si>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</si>
  <si>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</si>
  <si>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</si>
  <si>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</si>
  <si>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</si>
  <si>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</si>
  <si>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</si>
  <si>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</si>
  <si>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</si>
  <si>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</si>
  <si>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</si>
  <si>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</si>
  <si>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</si>
  <si>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</si>
  <si>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</si>
  <si>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</si>
  <si>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</si>
  <si>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</si>
  <si>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</si>
  <si>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</si>
  <si>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</si>
  <si>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</si>
  <si>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</si>
  <si>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</si>
  <si>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</si>
  <si>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</si>
  <si>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</si>
  <si>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</si>
  <si>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</si>
  <si>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</si>
  <si>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</si>
  <si>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</si>
  <si>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</si>
  <si>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</si>
  <si>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</si>
  <si>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</si>
  <si>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</si>
  <si>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</si>
  <si>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</si>
  <si>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</si>
  <si>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</si>
  <si>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</si>
  <si>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</si>
  <si>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</si>
  <si>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</si>
  <si>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</si>
  <si>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</si>
  <si>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</si>
  <si>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</si>
  <si>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</si>
  <si>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</si>
  <si>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</si>
  <si>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</si>
  <si>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</si>
  <si>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</si>
  <si>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</si>
  <si>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</si>
  <si>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</si>
  <si>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</si>
  <si>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</si>
  <si>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</si>
  <si>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</si>
  <si>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</si>
  <si>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</si>
  <si>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</si>
  <si>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</si>
  <si>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</si>
  <si>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</si>
  <si>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</si>
  <si>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</si>
  <si>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</si>
  <si>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</si>
  <si>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</si>
  <si>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</si>
  <si>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</si>
  <si>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</si>
  <si>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</si>
  <si>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</si>
  <si>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</si>
  <si>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</si>
  <si>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</si>
  <si>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</si>
  <si>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</si>
  <si>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</si>
  <si>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</si>
  <si>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</si>
  <si>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</si>
  <si>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</si>
  <si>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</si>
  <si>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</si>
  <si>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</si>
  <si>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</si>
  <si>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</si>
  <si>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</si>
  <si>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</si>
  <si>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</si>
  <si>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</si>
  <si>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</si>
  <si>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</si>
  <si>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</si>
  <si>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</si>
  <si>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</si>
  <si>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</si>
  <si>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</si>
  <si>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</si>
  <si>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</si>
  <si>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</si>
  <si>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</si>
  <si>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</si>
  <si>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</si>
  <si>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</si>
  <si>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</si>
  <si>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</si>
  <si>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</si>
  <si>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</si>
  <si>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</si>
  <si>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</si>
  <si>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</si>
  <si>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</si>
  <si>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</si>
  <si>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</si>
  <si>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</si>
  <si>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</si>
  <si>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</si>
  <si>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</si>
  <si>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</si>
  <si>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</si>
  <si>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</si>
  <si>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</si>
  <si>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</si>
  <si>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</si>
  <si>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</si>
  <si>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</si>
  <si>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</si>
  <si>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</si>
  <si>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</si>
  <si>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</si>
  <si>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</si>
  <si>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</si>
  <si>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</si>
  <si>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</si>
  <si>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</si>
  <si>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</si>
  <si>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</si>
  <si>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</si>
  <si>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</si>
  <si>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</si>
  <si>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</si>
  <si>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</si>
  <si>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</si>
  <si>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</si>
  <si>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</si>
  <si>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</si>
  <si>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</si>
  <si>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</si>
  <si>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</si>
  <si>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</si>
  <si>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</si>
  <si>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</si>
  <si>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</si>
  <si>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</si>
  <si>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</si>
  <si>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</si>
  <si>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</si>
  <si>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</si>
  <si>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</si>
  <si>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</si>
  <si>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</si>
  <si>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</si>
  <si>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</si>
  <si>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</si>
  <si>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</si>
  <si>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</si>
  <si>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</si>
  <si>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</si>
  <si>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</si>
  <si>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</si>
  <si>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</si>
  <si>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</si>
  <si>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</si>
  <si>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</si>
  <si>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</si>
  <si>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</si>
  <si>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</si>
  <si>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</si>
  <si>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</si>
  <si>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</si>
  <si>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</si>
  <si>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</si>
  <si>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</si>
  <si>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</si>
  <si>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</si>
  <si>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</si>
  <si>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</si>
  <si>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</si>
  <si>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</si>
  <si>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</si>
  <si>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</si>
  <si>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</si>
  <si>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</si>
  <si>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</si>
  <si>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</si>
  <si>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</si>
  <si>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</si>
  <si>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</si>
  <si>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</si>
  <si>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</si>
  <si>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</si>
  <si>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</si>
  <si>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</si>
  <si>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</si>
  <si>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</si>
  <si>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</si>
  <si>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</si>
  <si>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</si>
  <si>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</si>
  <si>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 xml:space="preserve"> USD USD_2 USD_3 GHS </t>
  </si>
  <si>
    <t>Export.OutputOnly_These</t>
  </si>
  <si>
    <t>Export.OutputOnly_Until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</si>
</sst>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8">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2297</v>
      </c>
      <c r="Z2" t="s">
        <v>105</v>
      </c>
      <c r="AB2" t="s">
        <v>715</v>
      </c>
      <c r="AD2" t="s">
        <v>1670</v>
      </c>
      <c r="AF2" t="s">
        <v>2247</v>
      </c>
      <c r="AH2" t="s">
        <v>173</v>
      </c>
      <c r="AJ2" t="s">
        <v>106</v>
      </c>
      <c r="AL2" t="s">
        <v>2037</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2248</v>
      </c>
      <c r="AH14" t="s">
        <v>725</v>
      </c>
      <c r="AJ14" t="s">
        <v>726</v>
      </c>
      <c r="AL14" t="s">
        <v>2038</v>
      </c>
    </row>
    <row r="15" spans="2:40">
      <c r="B15" s="4" t="s">
        <v>109</v>
      </c>
      <c r="D15" t="str">
        <f xml:space="preserve"> "fill='#FFF'"</f>
        <v>fill='#FFF'</v>
      </c>
      <c r="H15" t="s">
        <v>718</v>
      </c>
      <c r="L15" t="s">
        <v>722</v>
      </c>
      <c r="N15" t="s">
        <v>2087</v>
      </c>
      <c r="P15" t="s">
        <v>1638</v>
      </c>
      <c r="R15" t="s">
        <v>730</v>
      </c>
      <c r="T15" t="s">
        <v>2087</v>
      </c>
      <c r="V15" t="s">
        <v>732</v>
      </c>
      <c r="X15" s="28" t="s">
        <v>2300</v>
      </c>
      <c r="Z15" t="s">
        <v>2128</v>
      </c>
      <c r="AD15" t="s">
        <v>1673</v>
      </c>
      <c r="AF15" t="s">
        <v>2087</v>
      </c>
      <c r="AJ15" t="s">
        <v>2087</v>
      </c>
      <c r="AL15" t="s">
        <v>2087</v>
      </c>
    </row>
    <row r="16" spans="2:40">
      <c r="B16" s="4" t="s">
        <v>110</v>
      </c>
      <c r="L16" t="s">
        <v>721</v>
      </c>
      <c r="N16" t="s">
        <v>727</v>
      </c>
      <c r="P16" t="s">
        <v>1639</v>
      </c>
      <c r="R16" t="s">
        <v>731</v>
      </c>
      <c r="T16" t="str">
        <f xml:space="preserve"> _xlfn.SINGLE(Circles.SVG_Painting_3)</f>
        <v>fill='#C8102E'</v>
      </c>
      <c r="Z16" t="s">
        <v>2087</v>
      </c>
      <c r="AF16" t="s">
        <v>2249</v>
      </c>
      <c r="AJ16" t="s">
        <v>737</v>
      </c>
      <c r="AL16" t="s">
        <v>2039</v>
      </c>
    </row>
    <row r="17" spans="2:40">
      <c r="B17" s="4" t="s">
        <v>107</v>
      </c>
      <c r="F17" t="s">
        <v>2087</v>
      </c>
      <c r="J17" t="s">
        <v>720</v>
      </c>
      <c r="AB17" t="s">
        <v>736</v>
      </c>
      <c r="AD17" t="s">
        <v>1672</v>
      </c>
      <c r="AH17" t="s">
        <v>2087</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1614</v>
      </c>
      <c r="L2" t="s">
        <v>879</v>
      </c>
      <c r="N2" t="s">
        <v>2154</v>
      </c>
      <c r="P2" t="s">
        <v>166</v>
      </c>
      <c r="R2" t="s">
        <v>492</v>
      </c>
      <c r="T2" t="s">
        <v>2151</v>
      </c>
      <c r="V2" t="s">
        <v>528</v>
      </c>
      <c r="X2" t="s">
        <v>1776</v>
      </c>
      <c r="Z2" t="s">
        <v>168</v>
      </c>
      <c r="AB2" t="s">
        <v>578</v>
      </c>
      <c r="AD2" t="s">
        <v>579</v>
      </c>
      <c r="AF2" t="s">
        <v>580</v>
      </c>
      <c r="AH2" t="s">
        <v>1627</v>
      </c>
      <c r="AJ2" t="s">
        <v>1623</v>
      </c>
      <c r="AL2" t="s">
        <v>1620</v>
      </c>
      <c r="AN2" t="s">
        <v>581</v>
      </c>
      <c r="AP2" t="s">
        <v>2274</v>
      </c>
      <c r="AR2" t="s">
        <v>656</v>
      </c>
      <c r="AT2" t="s">
        <v>2280</v>
      </c>
      <c r="AV2" t="s">
        <v>104</v>
      </c>
      <c r="AX2" t="s">
        <v>1666</v>
      </c>
      <c r="AZ2" t="s">
        <v>372</v>
      </c>
      <c r="BB2" t="s">
        <v>2306</v>
      </c>
      <c r="BD2" t="s">
        <v>795</v>
      </c>
      <c r="BF2" t="s">
        <v>2131</v>
      </c>
      <c r="BH2" t="s">
        <v>798</v>
      </c>
      <c r="BJ2" t="s">
        <v>2032</v>
      </c>
      <c r="BL2" t="s">
        <v>1704</v>
      </c>
      <c r="BN2" t="s">
        <v>929</v>
      </c>
      <c r="BP2" t="s">
        <v>172</v>
      </c>
      <c r="BR2" t="s">
        <v>2042</v>
      </c>
      <c r="BT2" t="s">
        <v>2314</v>
      </c>
      <c r="BY2" t="e">
        <f xml:space="preserve"> NA()</f>
        <v>#N/A</v>
      </c>
    </row>
    <row r="3" spans="2:77">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2305</v>
      </c>
      <c r="BB6" s="5" t="s">
        <v>2308</v>
      </c>
    </row>
    <row r="7" spans="2:77">
      <c r="B7" s="4" t="s">
        <v>373</v>
      </c>
      <c r="C7" s="5"/>
      <c r="D7" s="5" t="s">
        <v>716</v>
      </c>
      <c r="E7" s="5"/>
      <c r="F7" s="5" t="s">
        <v>1824</v>
      </c>
      <c r="G7" s="5"/>
      <c r="H7" s="5" t="s">
        <v>1067</v>
      </c>
      <c r="I7" s="5"/>
      <c r="J7" s="5" t="s">
        <v>1616</v>
      </c>
      <c r="K7" s="5"/>
      <c r="L7" s="5" t="s">
        <v>1504</v>
      </c>
      <c r="M7" s="5"/>
      <c r="N7" s="5" t="s">
        <v>752</v>
      </c>
      <c r="O7" s="5"/>
      <c r="P7" s="5" t="s">
        <v>723</v>
      </c>
      <c r="Q7" s="5"/>
      <c r="R7" s="5" t="s">
        <v>755</v>
      </c>
      <c r="S7" s="5"/>
      <c r="T7" s="5" t="s">
        <v>2152</v>
      </c>
      <c r="U7" s="5"/>
      <c r="V7" s="5" t="s">
        <v>723</v>
      </c>
      <c r="W7" s="5"/>
      <c r="X7" s="5" t="s">
        <v>1777</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2087</v>
      </c>
      <c r="AY7" s="5"/>
      <c r="AZ7" s="5" t="s">
        <v>1071</v>
      </c>
      <c r="BA7" s="5"/>
      <c r="BB7" s="5" t="s">
        <v>2087</v>
      </c>
      <c r="BC7" s="5"/>
      <c r="BD7" s="5" t="s">
        <v>1043</v>
      </c>
      <c r="BE7" s="5"/>
      <c r="BF7" s="5" t="str">
        <f xml:space="preserve"> $AV$9</f>
        <v>fill='#00A3E0'</v>
      </c>
      <c r="BG7" s="5"/>
      <c r="BH7" s="5" t="s">
        <v>2087</v>
      </c>
      <c r="BI7" s="5"/>
      <c r="BJ7" s="5" t="s">
        <v>2033</v>
      </c>
      <c r="BK7" s="5"/>
      <c r="BL7" s="5" t="s">
        <v>1705</v>
      </c>
      <c r="BM7" s="5"/>
      <c r="BN7" s="5" t="s">
        <v>930</v>
      </c>
      <c r="BO7" s="5"/>
      <c r="BP7" s="5" t="s">
        <v>2442</v>
      </c>
      <c r="BQ7" s="5"/>
      <c r="BR7" s="5" t="s">
        <v>2045</v>
      </c>
      <c r="BS7" s="5"/>
      <c r="BT7" s="5" t="s">
        <v>2315</v>
      </c>
      <c r="BU7" s="5"/>
      <c r="BV7" s="5"/>
      <c r="BW7" s="5"/>
      <c r="BX7" s="5"/>
      <c r="BY7" s="5"/>
    </row>
    <row r="8" spans="2:77">
      <c r="B8" s="4" t="s">
        <v>374</v>
      </c>
      <c r="C8" s="5"/>
      <c r="D8" s="5" t="s">
        <v>2089</v>
      </c>
      <c r="E8" s="5"/>
      <c r="F8" s="5" t="s">
        <v>2089</v>
      </c>
      <c r="G8" s="5"/>
      <c r="H8" s="5" t="s">
        <v>2087</v>
      </c>
      <c r="I8" s="5"/>
      <c r="J8" s="5" t="s">
        <v>1615</v>
      </c>
      <c r="K8" s="5"/>
      <c r="L8" s="5" t="s">
        <v>1503</v>
      </c>
      <c r="M8" s="5"/>
      <c r="N8" s="5" t="s">
        <v>2087</v>
      </c>
      <c r="O8" s="5"/>
      <c r="P8" s="5" t="s">
        <v>2087</v>
      </c>
      <c r="Q8" s="5"/>
      <c r="R8" s="5" t="s">
        <v>2087</v>
      </c>
      <c r="S8" s="5"/>
      <c r="T8" s="5" t="s">
        <v>2153</v>
      </c>
      <c r="U8" s="5"/>
      <c r="V8" s="5" t="s">
        <v>750</v>
      </c>
      <c r="W8" s="5"/>
      <c r="X8" s="5" t="s">
        <v>1778</v>
      </c>
      <c r="Y8" s="5"/>
      <c r="Z8" s="5" t="s">
        <v>2087</v>
      </c>
      <c r="AA8" s="5"/>
      <c r="AB8" s="5" t="s">
        <v>751</v>
      </c>
      <c r="AC8" s="5"/>
      <c r="AD8" s="5" t="s">
        <v>728</v>
      </c>
      <c r="AE8" s="5"/>
      <c r="AF8" s="5" t="s">
        <v>723</v>
      </c>
      <c r="AG8" s="5"/>
      <c r="AH8" s="5" t="s">
        <v>726</v>
      </c>
      <c r="AI8" s="5"/>
      <c r="AJ8" s="5" t="s">
        <v>759</v>
      </c>
      <c r="AK8" s="5"/>
      <c r="AL8" s="5" t="s">
        <v>1621</v>
      </c>
      <c r="AM8" s="5"/>
      <c r="AN8" s="5" t="s">
        <v>2087</v>
      </c>
      <c r="AO8" s="5"/>
      <c r="AP8" s="5" t="s">
        <v>2275</v>
      </c>
      <c r="AQ8" s="5"/>
      <c r="AR8" s="5" t="s">
        <v>2087</v>
      </c>
      <c r="AS8" s="5"/>
      <c r="AT8" s="5" t="s">
        <v>2128</v>
      </c>
      <c r="AU8" s="5"/>
      <c r="AV8" s="5" t="s">
        <v>2087</v>
      </c>
      <c r="AW8" s="5"/>
      <c r="AX8" s="5" t="s">
        <v>738</v>
      </c>
      <c r="AY8" s="5"/>
      <c r="AZ8" s="5" t="s">
        <v>1072</v>
      </c>
      <c r="BA8" s="5"/>
      <c r="BB8" s="5" t="s">
        <v>2128</v>
      </c>
      <c r="BC8" s="5"/>
      <c r="BD8" s="5" t="s">
        <v>2087</v>
      </c>
      <c r="BE8" s="5"/>
      <c r="BF8" s="5" t="s">
        <v>2087</v>
      </c>
      <c r="BG8" s="5"/>
      <c r="BH8" s="5" t="str">
        <f xml:space="preserve"> "stroke-width='" &amp; _xlfn.SINGLE(Simple.SVG_borderWidth) &amp; "' stroke-linejoin='round' stroke='#1B618C' fill='none' "</f>
        <v xml:space="preserve">stroke-width='44' stroke-linejoin='round' stroke='#1B618C' fill='none' </v>
      </c>
      <c r="BI8" s="5"/>
      <c r="BJ8" s="5" t="s">
        <v>2087</v>
      </c>
      <c r="BK8" s="5"/>
      <c r="BL8" s="5" t="s">
        <v>1706</v>
      </c>
      <c r="BM8" s="5"/>
      <c r="BN8" s="5" t="s">
        <v>931</v>
      </c>
      <c r="BO8" s="5"/>
      <c r="BP8" s="5" t="s">
        <v>2443</v>
      </c>
      <c r="BQ8" s="5"/>
      <c r="BR8" s="5" t="s">
        <v>2046</v>
      </c>
      <c r="BS8" s="5"/>
      <c r="BT8" s="5" t="s">
        <v>2316</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2087</v>
      </c>
      <c r="AI9" s="5"/>
      <c r="AJ9" s="5" t="s">
        <v>726</v>
      </c>
      <c r="AK9" s="5"/>
      <c r="AL9" s="5" t="s">
        <v>1622</v>
      </c>
      <c r="AM9" s="5"/>
      <c r="AN9" s="5"/>
      <c r="AO9" s="5"/>
      <c r="AP9" s="5"/>
      <c r="AQ9" s="5"/>
      <c r="AR9" s="5"/>
      <c r="AS9" s="5"/>
      <c r="AT9" s="5"/>
      <c r="AU9" s="5"/>
      <c r="AV9" s="5" t="s">
        <v>733</v>
      </c>
      <c r="AW9" s="5"/>
      <c r="AX9" s="5"/>
      <c r="AY9" s="5"/>
      <c r="AZ9" s="5" t="s">
        <v>2087</v>
      </c>
      <c r="BA9" s="5"/>
      <c r="BB9" s="5" t="s">
        <v>2307</v>
      </c>
      <c r="BC9" s="5"/>
      <c r="BD9" s="5" t="s">
        <v>797</v>
      </c>
      <c r="BE9" s="5"/>
      <c r="BF9" s="5" t="str">
        <f xml:space="preserve"> $AV$7</f>
        <v>fill='#EF3340'</v>
      </c>
      <c r="BG9" s="5"/>
      <c r="BH9" s="5"/>
      <c r="BI9" s="5"/>
      <c r="BJ9" s="5" t="s">
        <v>2034</v>
      </c>
      <c r="BK9" s="5"/>
      <c r="BL9" s="5"/>
      <c r="BM9" s="5"/>
      <c r="BN9" s="5"/>
      <c r="BO9" s="5"/>
      <c r="BP9" s="5"/>
      <c r="BQ9" s="5"/>
      <c r="BR9" s="5" t="s">
        <v>2087</v>
      </c>
      <c r="BS9" s="5"/>
      <c r="BT9" s="5" t="s">
        <v>2317</v>
      </c>
      <c r="BU9" s="5"/>
      <c r="BV9" s="5"/>
      <c r="BW9" s="5"/>
      <c r="BX9" s="5"/>
      <c r="BY9" s="5"/>
    </row>
    <row r="10" spans="2:77">
      <c r="U10" s="5"/>
      <c r="X10" s="5"/>
      <c r="AB10" s="5"/>
      <c r="AD10" s="5"/>
    </row>
    <row r="11" spans="2:77">
      <c r="B11" s="4" t="s">
        <v>365</v>
      </c>
      <c r="D11">
        <v>10</v>
      </c>
      <c r="F11">
        <f xml:space="preserve"> $D11</f>
        <v>10</v>
      </c>
      <c r="H11">
        <f xml:space="preserve"> 2 * 4</f>
        <v>8</v>
      </c>
      <c r="J11">
        <v>11</v>
      </c>
      <c r="L11">
        <f xml:space="preserve"> 2 * 4</f>
        <v>8</v>
      </c>
      <c r="N11">
        <v>27</v>
      </c>
      <c r="P11">
        <v>6</v>
      </c>
      <c r="R11">
        <v>67</v>
      </c>
      <c r="T11">
        <v>8</v>
      </c>
      <c r="V11">
        <f xml:space="preserve"> 83 * 10</f>
        <v>830</v>
      </c>
      <c r="X11">
        <v>97</v>
      </c>
      <c r="Z11">
        <v>6</v>
      </c>
      <c r="AB11">
        <v>1</v>
      </c>
      <c r="AD11">
        <v>2</v>
      </c>
      <c r="AF11">
        <v>2</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8</v>
      </c>
      <c r="J12">
        <v>14</v>
      </c>
      <c r="L12">
        <f xml:space="preserve"> _xlfn.SINGLE(Simple.MaxX)</f>
        <v>8</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2</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-8</v>
      </c>
      <c r="J13">
        <f xml:space="preserve"> - _xlfn.SINGLE(Simple.MaxX)</f>
        <v>-11</v>
      </c>
      <c r="L13">
        <f xml:space="preserve"> - _xlfn.SINGLE(Simple.MaxX)</f>
        <v>-8</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-2</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-8</v>
      </c>
      <c r="J14">
        <f xml:space="preserve"> - _xlfn.SINGLE(Simple.MaxY)</f>
        <v>-14</v>
      </c>
      <c r="L14">
        <f xml:space="preserve"> - _xlfn.SINGLE(Simple.MaxY)</f>
        <v>-8</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-2</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333</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208</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4 -4  A 4 4 0 0 1 4 4   A 4 4 0 0 1 -4 4  A 4 4 0 0 1 -4 -4  A 4 4 0 0 1 4 -4 Z'/&gt;"</f>
        <v>&lt;path fill='#00AF66' d='M 4 -4  A 4 4 0 0 1 4 4   A 4 4 0 0 1 -4 4  A 4 4 0 0 1 -4 -4  A 4 4 0 0 1 4 -4 Z'/&gt;</v>
      </c>
      <c r="I25" t="str">
        <f t="shared" si="0"/>
        <v/>
      </c>
      <c r="J25" s="5" t="str">
        <f xml:space="preserve"> "&lt;ellipse " &amp; _xlfn.SINGLE(Simple.SVG_painting_1) &amp; " ry='14' rx='11'/&gt;"</f>
        <v>&lt;ellipse fill='#C4272F' ry='14' rx='11'/&gt;</v>
      </c>
      <c r="K25" t="str">
        <f t="shared" si="0"/>
        <v/>
      </c>
      <c r="L25" s="5" t="str">
        <f xml:space="preserve"> "&lt;path " &amp; _xlfn.SINGLE(Simple.SVG_painting_2) &amp; " d='M 4 -4  A 4 4 0 0 1 4 4   A 4 4 0 0 1 -4 4  A 4 4 0 0 1 -4 -4  A 4 4 0 0 1 4 -4 Z'/&gt;"</f>
        <v>&lt;path fill='#C7363D' d='M 4 -4  A 4 4 0 0 1 4 4   A 4 4 0 0 1 -4 4  A 4 4 0 0 1 -4 -4  A 4 4 0 0 1 4 -4 Z'/&gt;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id='EU_2-h'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r='4'/&gt;"</f>
        <v>&lt;circle fill='#FFF' r='4'/&gt;</v>
      </c>
      <c r="I26" t="str">
        <f t="shared" si="0"/>
        <v/>
      </c>
      <c r="J26" s="5" t="str">
        <f xml:space="preserve"> "&lt;circle " &amp; _xlfn.SINGLE(Simple.SVG_painting_2) &amp; " r='8'/&gt;"</f>
        <v>&lt;circle fill='#F9CF02' r='8'/&gt;</v>
      </c>
      <c r="K26" t="str">
        <f t="shared" si="0"/>
        <v/>
      </c>
      <c r="L26" s="5" t="str">
        <f xml:space="preserve"> "&lt;circle " &amp; _xlfn.SINGLE(Simple.SVG_painting_1) &amp; " r='4'/&gt;"</f>
        <v>&lt;circle fill='#0C4077' r='4'/&gt;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href='#EU_2-h'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0L2 2H-2L-1 0L-2 -2H2Z'/&gt;"</f>
        <v>&lt;path fill='#009639' d='M1 0L2 2H-2L-1 0L-2 -2H2Z'/&gt;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t="str">
        <f xml:space="preserve"> "&lt;circle " &amp; _xlfn.SINGLE(Simple.SVG_painting_1) &amp; " r='5'/&gt;"</f>
        <v>&lt;circle fill='#C4272F' r='5'/&gt;</v>
      </c>
      <c r="K27" t="str">
        <f t="shared" si="0"/>
        <v/>
      </c>
      <c r="L27" s="5"/>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href='#EU_2-h'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d='M2 2V-2L-2 2V-2Z'/&gt;"</f>
        <v>&lt;path fill='black' d='M2 2V-2L-2 2V-2Z'/&gt;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href='#EU_2-h'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topLeftCell="B1"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8</v>
      </c>
      <c r="D3" s="34">
        <v>7</v>
      </c>
      <c r="E3" s="34">
        <v>2.5</v>
      </c>
      <c r="G3" s="34">
        <f xml:space="preserve"> DecimalPlaces - INT(LOG(_CoEDB.Radius_1, 10) + 0.2)</f>
        <v>4</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2230</v>
      </c>
      <c r="G26">
        <f xml:space="preserve"> _CoEDB.Radius_1</f>
        <v>8</v>
      </c>
    </row>
    <row r="27" spans="2:7">
      <c r="F27" s="4" t="s">
        <v>2232</v>
      </c>
      <c r="G27">
        <f xml:space="preserve"> _CoEDB.MaxX</f>
        <v>8</v>
      </c>
    </row>
    <row r="28" spans="2:7">
      <c r="F28" s="4" t="s">
        <v>2229</v>
      </c>
      <c r="G28">
        <f xml:space="preserve"> - G26</f>
        <v>-8</v>
      </c>
    </row>
    <row r="29" spans="2:7">
      <c r="F29" s="4" t="s">
        <v>2231</v>
      </c>
      <c r="G29">
        <f xml:space="preserve"> - G27</f>
        <v>-8</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R354"/>
  <sheetViews>
    <sheetView workbookViewId="0">
      <pane ySplit="2" topLeftCell="A3" activePane="bottomLeft" state="frozenSplit"/>
      <selection pane="bottomLeft" activeCell="B2" sqref="B2"/>
    </sheetView>
  </sheetViews>
  <sheetFormatPr baseColWidth="10" defaultRowHeight="16"/>
  <sheetData>
    <row r="2" spans="2:17" ht="17" thickBot="1">
      <c r="B2" s="3" t="s">
        <v>1827</v>
      </c>
      <c r="C2" s="3" t="s">
        <v>1828</v>
      </c>
      <c r="E2" s="3" t="s">
        <v>1829</v>
      </c>
      <c r="F2" s="3" t="s">
        <v>1830</v>
      </c>
      <c r="G2" s="3" t="s">
        <v>1983</v>
      </c>
      <c r="H2" s="3" t="s">
        <v>1831</v>
      </c>
      <c r="I2" s="3" t="s">
        <v>1832</v>
      </c>
      <c r="J2" s="3" t="s">
        <v>1833</v>
      </c>
      <c r="K2" s="3" t="s">
        <v>1834</v>
      </c>
    </row>
    <row r="3" spans="2:17">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H7" si="2" xml:space="preserve"> IF(LEN(ChartLines.Hex6)=6, HEX2DEC(LEFT(ChartLines.Hex6, 2)), "·")</f>
        <v>0</v>
      </c>
      <c r="I3">
        <f t="shared" ref="I3:I7" si="3" xml:space="preserve"> IF(LEN(ChartLines.Hex6)=6, HEX2DEC(MID(ChartLines.Hex6, 3, 2)), "·")</f>
        <v>0</v>
      </c>
      <c r="J3">
        <f t="shared" ref="J3:J7" si="4" xml:space="preserve"> IF(LEN(ChartLines.Hex6)=6, HEX2DEC(RIGHT(ChartLines.Hex6, 2)), "·")</f>
        <v>0</v>
      </c>
      <c r="K3" cm="1">
        <f t="array" ref="K3" xml:space="preserve"> 1 + ROW() - _xlfn.SINGLE(ROW(ChartLines.RowNum))</f>
        <v>1</v>
      </c>
    </row>
    <row r="4" spans="2:17">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f t="shared" si="2"/>
        <v>0</v>
      </c>
      <c r="I4">
        <f t="shared" si="3"/>
        <v>0</v>
      </c>
      <c r="J4">
        <f t="shared" si="4"/>
        <v>0</v>
      </c>
      <c r="K4" cm="1">
        <f t="array" ref="K4" xml:space="preserve"> 1 + ROW() - _xlfn.SINGLE(ROW(ChartLines.RowNum))</f>
        <v>2</v>
      </c>
    </row>
    <row r="5" spans="2:17">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f t="shared" si="2"/>
        <v>204</v>
      </c>
      <c r="I5">
        <f t="shared" si="3"/>
        <v>51</v>
      </c>
      <c r="J5">
        <f t="shared" si="4"/>
        <v>204</v>
      </c>
      <c r="K5" cm="1">
        <f t="array" ref="K5" xml:space="preserve"> 1 + ROW() - _xlfn.SINGLE(ROW(ChartLines.RowNum))</f>
        <v>3</v>
      </c>
    </row>
    <row r="6" spans="2:17">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f t="shared" si="2"/>
        <v>0</v>
      </c>
      <c r="I6">
        <f t="shared" si="3"/>
        <v>0</v>
      </c>
      <c r="J6">
        <f t="shared" si="4"/>
        <v>0</v>
      </c>
      <c r="K6" cm="1">
        <f t="array" ref="K6" xml:space="preserve"> 1 + ROW() - _xlfn.SINGLE(ROW(ChartLines.RowNum))</f>
        <v>4</v>
      </c>
    </row>
    <row r="7" spans="2:17">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f t="shared" si="2"/>
        <v>0</v>
      </c>
      <c r="I7">
        <f t="shared" si="3"/>
        <v>204</v>
      </c>
      <c r="J7">
        <f t="shared" si="4"/>
        <v>255</v>
      </c>
      <c r="K7" cm="1">
        <f t="array" ref="K7" xml:space="preserve"> 1 + ROW() - _xlfn.SINGLE(ROW(ChartLines.RowNum))</f>
        <v>5</v>
      </c>
      <c r="M7" s="4" t="s">
        <v>1981</v>
      </c>
      <c r="N7" t="s">
        <v>23</v>
      </c>
      <c r="O7" t="s">
        <v>24</v>
      </c>
      <c r="P7" t="s">
        <v>1985</v>
      </c>
      <c r="Q7" t="s">
        <v>1986</v>
      </c>
    </row>
    <row r="8" spans="2:17">
      <c r="B8" t="s">
        <v>1835</v>
      </c>
      <c r="E8" t="str">
        <f t="shared" ref="E8" si="5" xml:space="preserve"> IF(AND(LEN(ChartLines.ID)&gt;0,"Unused"&lt;&gt;ChartLines.ID), COUNTIFS(ChartLines.ID,ChartLines.ID), "·")</f>
        <v>·</v>
      </c>
      <c r="F8" t="str">
        <f t="shared" ref="F8" si="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 si="7" xml:space="preserve"> IF(LEN(ChartLines.Hex6)=6, HEX2DEC(LEFT(ChartLines.Hex6, 2)), "·")</f>
        <v>·</v>
      </c>
      <c r="I8" t="str">
        <f t="shared" ref="I8" si="8" xml:space="preserve"> IF(LEN(ChartLines.Hex6)=6, HEX2DEC(MID(ChartLines.Hex6, 3, 2)), "·")</f>
        <v>·</v>
      </c>
      <c r="J8" t="str">
        <f t="shared" ref="J8" si="9" xml:space="preserve"> IF(LEN(ChartLines.Hex6)=6, HEX2DEC(RIGHT(ChartLines.Hex6, 2)), "·")</f>
        <v>·</v>
      </c>
      <c r="K8" cm="1">
        <f t="array" ref="K8" xml:space="preserve"> 1 + ROW() - _xlfn.SINGLE(ROW(ChartLines.RowNum))</f>
        <v>6</v>
      </c>
      <c r="M8" s="4" t="s">
        <v>1982</v>
      </c>
      <c r="N8">
        <v>3.6</v>
      </c>
      <c r="O8">
        <v>1.2</v>
      </c>
      <c r="P8">
        <f xml:space="preserve"> $N8 - $O8</f>
        <v>2.4000000000000004</v>
      </c>
      <c r="Q8">
        <f xml:space="preserve"> MAX($N8:$P8)</f>
        <v>3.6</v>
      </c>
    </row>
    <row r="9" spans="2:17">
      <c r="B9" t="s">
        <v>405</v>
      </c>
      <c r="C9" t="s">
        <v>1836</v>
      </c>
      <c r="E9">
        <f t="shared" ref="E9" si="10" xml:space="preserve"> IF(AND(LEN(ChartLines.ID)&gt;0,"Unused"&lt;&gt;ChartLines.ID), COUNTIFS(ChartLines.ID,ChartLines.ID), "·")</f>
        <v>1</v>
      </c>
      <c r="F9">
        <f t="shared" ref="F9" si="11"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f t="shared" ref="H9" si="12" xml:space="preserve"> IF(LEN(ChartLines.Hex6)=6, HEX2DEC(LEFT(ChartLines.Hex6, 2)), "·")</f>
        <v>255</v>
      </c>
      <c r="I9">
        <f t="shared" ref="I9" si="13" xml:space="preserve"> IF(LEN(ChartLines.Hex6)=6, HEX2DEC(MID(ChartLines.Hex6, 3, 2)), "·")</f>
        <v>51</v>
      </c>
      <c r="J9">
        <f t="shared" ref="J9" si="14" xml:space="preserve"> IF(LEN(ChartLines.Hex6)=6, HEX2DEC(RIGHT(ChartLines.Hex6, 2)), "·")</f>
        <v>255</v>
      </c>
      <c r="K9" cm="1">
        <f t="array" ref="K9" xml:space="preserve"> 1 + ROW() - _xlfn.SINGLE(ROW(ChartLines.RowNum))</f>
        <v>7</v>
      </c>
      <c r="M9" s="4" t="s">
        <v>1987</v>
      </c>
      <c r="N9">
        <v>3</v>
      </c>
      <c r="O9">
        <v>1</v>
      </c>
      <c r="P9">
        <f xml:space="preserve"> $N9 - $O9</f>
        <v>2</v>
      </c>
      <c r="Q9">
        <f xml:space="preserve"> MAX($N9:$P9)</f>
        <v>3</v>
      </c>
    </row>
    <row r="10" spans="2:17">
      <c r="B10" t="s">
        <v>1835</v>
      </c>
      <c r="E10" t="str">
        <f t="shared" ref="E10" si="15" xml:space="preserve"> IF(AND(LEN(ChartLines.ID)&gt;0,"Unused"&lt;&gt;ChartLines.ID), COUNTIFS(ChartLines.ID,ChartLines.ID), "·")</f>
        <v>·</v>
      </c>
      <c r="F10" t="str">
        <f t="shared" ref="F10" si="16" xml:space="preserve"> IF(AND(LEN(ChartLines.ID)&gt;0,"Unused"&lt;&gt;ChartLines.ID), COUNTIFS(ChartLines.ID,ChartLines.ID,   ChartLines.RowNum,"&lt;="&amp;ChartLines.RowNum), "·")</f>
        <v>·</v>
      </c>
      <c r="G10" t="str" cm="1">
        <f t="array" ref="G10" xml:space="preserve"> _xlfn.IFS(OR(LEN(_xlfn.SINGLE(ChartLines.ID))=0,"Unused"=_xlfn.SINGLE(ChartLines.ID)), "·",   1=_xlfn.SINGLE(ChartLines.NumInstances), IF("USD"=_xlfn.SINGLE(ChartLines.ID), "SoleBig", "SoleOrdinary"),   1=_xlfn.SINGLE(ChartLines.InstanceNum), "Outer",   TRUE, "Inner")</f>
        <v>·</v>
      </c>
      <c r="H10" t="str">
        <f t="shared" ref="H10" si="17" xml:space="preserve"> IF(LEN(ChartLines.Hex6)=6, HEX2DEC(LEFT(ChartLines.Hex6, 2)), "·")</f>
        <v>·</v>
      </c>
      <c r="I10" t="str">
        <f t="shared" ref="I10" si="18" xml:space="preserve"> IF(LEN(ChartLines.Hex6)=6, HEX2DEC(MID(ChartLines.Hex6, 3, 2)), "·")</f>
        <v>·</v>
      </c>
      <c r="J10" t="str">
        <f t="shared" ref="J10" si="19" xml:space="preserve"> IF(LEN(ChartLines.Hex6)=6, HEX2DEC(RIGHT(ChartLines.Hex6, 2)), "·")</f>
        <v>·</v>
      </c>
      <c r="K10" cm="1">
        <f t="array" ref="K10" xml:space="preserve"> 1 + ROW() - _xlfn.SINGLE(ROW(ChartLines.RowNum))</f>
        <v>8</v>
      </c>
    </row>
    <row r="11" spans="2:17">
      <c r="B11" t="s">
        <v>0</v>
      </c>
      <c r="C11" t="str">
        <f xml:space="preserve"> "012169"</f>
        <v>012169</v>
      </c>
      <c r="E11">
        <f t="shared" ref="E11" si="20" xml:space="preserve"> IF(AND(LEN(ChartLines.ID)&gt;0,"Unused"&lt;&gt;ChartLines.ID), COUNTIFS(ChartLines.ID,ChartLines.ID), "·")</f>
        <v>1</v>
      </c>
      <c r="F11">
        <f t="shared" ref="F11" si="21" xml:space="preserve"> IF(AND(LEN(ChartLines.ID)&gt;0,"Unused"&lt;&gt;ChartLines.ID), COUNTIFS(ChartLines.ID,ChartLines.ID,   ChartLines.RowNum,"&lt;="&amp;ChartLines.RowNum), "·")</f>
        <v>1</v>
      </c>
      <c r="G11" t="str" cm="1">
        <f t="array" ref="G11" xml:space="preserve"> _xlfn.IFS(OR(LEN(_xlfn.SINGLE(ChartLines.ID))=0,"Unused"=_xlfn.SINGLE(ChartLines.ID)), "·",   1=_xlfn.SINGLE(ChartLines.NumInstances), IF("USD"=_xlfn.SINGLE(ChartLines.ID), "SoleBig", "SoleOrdinary"),   1=_xlfn.SINGLE(ChartLines.InstanceNum), "Outer",   TRUE, "Inner")</f>
        <v>SoleOrdinary</v>
      </c>
      <c r="H11">
        <f t="shared" ref="H11" si="22" xml:space="preserve"> IF(LEN(ChartLines.Hex6)=6, HEX2DEC(LEFT(ChartLines.Hex6, 2)), "·")</f>
        <v>1</v>
      </c>
      <c r="I11">
        <f t="shared" ref="I11" si="23" xml:space="preserve"> IF(LEN(ChartLines.Hex6)=6, HEX2DEC(MID(ChartLines.Hex6, 3, 2)), "·")</f>
        <v>33</v>
      </c>
      <c r="J11">
        <f t="shared" ref="J11" si="24" xml:space="preserve"> IF(LEN(ChartLines.Hex6)=6, HEX2DEC(RIGHT(ChartLines.Hex6, 2)), "·")</f>
        <v>105</v>
      </c>
      <c r="K11" cm="1">
        <f t="array" ref="K11" xml:space="preserve"> 1 + ROW() - _xlfn.SINGLE(ROW(ChartLines.RowNum))</f>
        <v>9</v>
      </c>
      <c r="M11" s="4" t="s">
        <v>1984</v>
      </c>
      <c r="N11">
        <f xml:space="preserve"> _xlfn.MAXIFS(ChartLines_Thicknesses.StrokeWidth,   ChartLines_Thicknesses.StrokeWidth,"&gt;0")</f>
        <v>3.6</v>
      </c>
    </row>
    <row r="12" spans="2:17">
      <c r="B12" t="s">
        <v>1835</v>
      </c>
      <c r="E12" t="str">
        <f t="shared" ref="E12:E33" si="25" xml:space="preserve"> IF(AND(LEN(ChartLines.ID)&gt;0,"Unused"&lt;&gt;ChartLines.ID), COUNTIFS(ChartLines.ID,ChartLines.ID), "·")</f>
        <v>·</v>
      </c>
      <c r="F12" t="str">
        <f t="shared" ref="F12:F33" si="26"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f t="shared" ref="H12:H33" si="27" xml:space="preserve"> IF(LEN(ChartLines.Hex6)=6, HEX2DEC(LEFT(ChartLines.Hex6, 2)), "·")</f>
        <v>·</v>
      </c>
      <c r="I12" t="str">
        <f t="shared" ref="I12:I33" si="28" xml:space="preserve"> IF(LEN(ChartLines.Hex6)=6, HEX2DEC(MID(ChartLines.Hex6, 3, 2)), "·")</f>
        <v>·</v>
      </c>
      <c r="J12" t="str">
        <f t="shared" ref="J12:J33" si="29" xml:space="preserve"> IF(LEN(ChartLines.Hex6)=6, HEX2DEC(RIGHT(ChartLines.Hex6, 2)), "·")</f>
        <v>·</v>
      </c>
      <c r="K12" cm="1">
        <f t="array" ref="K12" xml:space="preserve"> 1 + ROW() - _xlfn.SINGLE(ROW(ChartLines.RowNum))</f>
        <v>10</v>
      </c>
      <c r="M12" s="4" t="s">
        <v>1958</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2254</v>
      </c>
      <c r="C13" t="str">
        <f xml:space="preserve"> "012169"</f>
        <v>012169</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1</v>
      </c>
      <c r="I13">
        <f t="shared" si="28"/>
        <v>33</v>
      </c>
      <c r="J13">
        <f t="shared" si="29"/>
        <v>105</v>
      </c>
      <c r="K13" cm="1">
        <f t="array" ref="K13" xml:space="preserve"> 1 + ROW() - _xlfn.SINGLE(ROW(ChartLines.RowNum))</f>
        <v>11</v>
      </c>
      <c r="M13" s="4" t="s">
        <v>1955</v>
      </c>
      <c r="N13" s="5" t="s">
        <v>1956</v>
      </c>
    </row>
    <row r="14" spans="2:17">
      <c r="B14" t="s">
        <v>2254</v>
      </c>
      <c r="C14" t="s">
        <v>1839</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1957</v>
      </c>
      <c r="N14" s="5" t="s">
        <v>15</v>
      </c>
    </row>
    <row r="15" spans="2:17">
      <c r="B15" t="s">
        <v>2255</v>
      </c>
      <c r="C15" t="s">
        <v>1857</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218</v>
      </c>
      <c r="I15">
        <f t="shared" si="28"/>
        <v>41</v>
      </c>
      <c r="J15">
        <f t="shared" si="29"/>
        <v>28</v>
      </c>
      <c r="K15" cm="1">
        <f t="array" ref="K15" xml:space="preserve"> 1 + ROW() - _xlfn.SINGLE(ROW(ChartLines.RowNum))</f>
        <v>13</v>
      </c>
    </row>
    <row r="16" spans="2:17">
      <c r="B16" t="s">
        <v>2255</v>
      </c>
      <c r="C16" t="s">
        <v>1940</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255</v>
      </c>
      <c r="I16">
        <f t="shared" si="28"/>
        <v>199</v>
      </c>
      <c r="J16">
        <f t="shared" si="29"/>
        <v>44</v>
      </c>
      <c r="K16" cm="1">
        <f t="array" ref="K16" xml:space="preserve"> 1 + ROW() - _xlfn.SINGLE(ROW(ChartLines.RowNum))</f>
        <v>14</v>
      </c>
    </row>
    <row r="17" spans="2:18">
      <c r="B17" t="s">
        <v>2256</v>
      </c>
      <c r="C17" t="s">
        <v>1844</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8">
      <c r="B18" t="s">
        <v>2256</v>
      </c>
      <c r="C18" t="s">
        <v>1839</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255</v>
      </c>
      <c r="I18">
        <f t="shared" si="28"/>
        <v>255</v>
      </c>
      <c r="J18">
        <f t="shared" si="29"/>
        <v>255</v>
      </c>
      <c r="K18" cm="1">
        <f t="array" ref="K18" xml:space="preserve"> 1 + ROW() - _xlfn.SINGLE(ROW(ChartLines.RowNum))</f>
        <v>16</v>
      </c>
    </row>
    <row r="19" spans="2:18">
      <c r="B19" t="s">
        <v>2257</v>
      </c>
      <c r="C19" t="s">
        <v>2253</v>
      </c>
      <c r="E19">
        <f t="shared" si="25"/>
        <v>2</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Outer</v>
      </c>
      <c r="H19">
        <f t="shared" si="27"/>
        <v>0</v>
      </c>
      <c r="I19">
        <f t="shared" si="28"/>
        <v>177</v>
      </c>
      <c r="J19">
        <f t="shared" si="29"/>
        <v>64</v>
      </c>
      <c r="K19" cm="1">
        <f t="array" ref="K19" xml:space="preserve"> 1 + ROW() - _xlfn.SINGLE(ROW(ChartLines.RowNum))</f>
        <v>17</v>
      </c>
      <c r="N19" s="66"/>
      <c r="O19" s="42"/>
      <c r="P19" s="42"/>
      <c r="Q19" s="66"/>
      <c r="R19" s="66"/>
    </row>
    <row r="20" spans="2:18">
      <c r="B20" t="s">
        <v>2257</v>
      </c>
      <c r="C20" t="s">
        <v>1844</v>
      </c>
      <c r="E20">
        <f t="shared" si="25"/>
        <v>2</v>
      </c>
      <c r="F20">
        <f t="shared" si="26"/>
        <v>2</v>
      </c>
      <c r="G20" t="str" cm="1">
        <f t="array" ref="G20" xml:space="preserve"> _xlfn.IFS(OR(LEN(_xlfn.SINGLE(ChartLines.ID))=0,"Unused"=_xlfn.SINGLE(ChartLines.ID)), "·",   1=_xlfn.SINGLE(ChartLines.NumInstances), IF("USD"=_xlfn.SINGLE(ChartLines.ID), "SoleBig", "SoleOrdinary"),   1=_xlfn.SINGLE(ChartLines.InstanceNum), "Outer",   TRUE, "Inner")</f>
        <v>Inner</v>
      </c>
      <c r="H20">
        <f t="shared" si="27"/>
        <v>200</v>
      </c>
      <c r="I20">
        <f t="shared" si="28"/>
        <v>16</v>
      </c>
      <c r="J20">
        <f t="shared" si="29"/>
        <v>46</v>
      </c>
      <c r="K20" cm="1">
        <f t="array" ref="K20" xml:space="preserve"> 1 + ROW() - _xlfn.SINGLE(ROW(ChartLines.RowNum))</f>
        <v>18</v>
      </c>
    </row>
    <row r="21" spans="2:18">
      <c r="B21" t="s">
        <v>2258</v>
      </c>
      <c r="C21" t="s">
        <v>1844</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200</v>
      </c>
      <c r="I21">
        <f t="shared" si="28"/>
        <v>16</v>
      </c>
      <c r="J21">
        <f t="shared" si="29"/>
        <v>46</v>
      </c>
      <c r="K21" cm="1">
        <f t="array" ref="K21" xml:space="preserve"> 1 + ROW() - _xlfn.SINGLE(ROW(ChartLines.RowNum))</f>
        <v>19</v>
      </c>
    </row>
    <row r="22" spans="2:18">
      <c r="B22" t="s">
        <v>2258</v>
      </c>
      <c r="C22" t="s">
        <v>2253</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0</v>
      </c>
      <c r="I22">
        <f t="shared" si="28"/>
        <v>177</v>
      </c>
      <c r="J22">
        <f t="shared" si="29"/>
        <v>64</v>
      </c>
      <c r="K22" cm="1">
        <f t="array" ref="K22" xml:space="preserve"> 1 + ROW() - _xlfn.SINGLE(ROW(ChartLines.RowNum))</f>
        <v>20</v>
      </c>
    </row>
    <row r="23" spans="2:18">
      <c r="B23" t="s">
        <v>7</v>
      </c>
      <c r="C23" t="s">
        <v>1837</v>
      </c>
      <c r="E23">
        <f t="shared" si="25"/>
        <v>1</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SoleOrdinary</v>
      </c>
      <c r="H23">
        <f t="shared" si="27"/>
        <v>239</v>
      </c>
      <c r="I23">
        <f t="shared" si="28"/>
        <v>51</v>
      </c>
      <c r="J23">
        <f t="shared" si="29"/>
        <v>64</v>
      </c>
      <c r="K23" cm="1">
        <f t="array" ref="K23" xml:space="preserve"> 1 + ROW() - _xlfn.SINGLE(ROW(ChartLines.RowNum))</f>
        <v>21</v>
      </c>
    </row>
    <row r="24" spans="2:18">
      <c r="B24" t="s">
        <v>1835</v>
      </c>
      <c r="E24" t="str">
        <f t="shared" si="25"/>
        <v>·</v>
      </c>
      <c r="F24" t="str">
        <f t="shared" si="26"/>
        <v>·</v>
      </c>
      <c r="G24" t="str" cm="1">
        <f t="array" ref="G24" xml:space="preserve"> _xlfn.IFS(OR(LEN(_xlfn.SINGLE(ChartLines.ID))=0,"Unused"=_xlfn.SINGLE(ChartLines.ID)), "·",   1=_xlfn.SINGLE(ChartLines.NumInstances), IF("USD"=_xlfn.SINGLE(ChartLines.ID), "SoleBig", "SoleOrdinary"),   1=_xlfn.SINGLE(ChartLines.InstanceNum), "Outer",   TRUE, "Inner")</f>
        <v>·</v>
      </c>
      <c r="H24" t="str">
        <f t="shared" si="27"/>
        <v>·</v>
      </c>
      <c r="I24" t="str">
        <f t="shared" si="28"/>
        <v>·</v>
      </c>
      <c r="J24" t="str">
        <f t="shared" si="29"/>
        <v>·</v>
      </c>
      <c r="K24" cm="1">
        <f t="array" ref="K24" xml:space="preserve"> 1 + ROW() - _xlfn.SINGLE(ROW(ChartLines.RowNum))</f>
        <v>22</v>
      </c>
    </row>
    <row r="25" spans="2:18">
      <c r="B25" t="s">
        <v>1539</v>
      </c>
      <c r="C25" t="s">
        <v>1838</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8">
      <c r="B26" t="s">
        <v>1539</v>
      </c>
      <c r="C26" t="s">
        <v>1839</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255</v>
      </c>
      <c r="I26">
        <f t="shared" si="28"/>
        <v>255</v>
      </c>
      <c r="J26">
        <f t="shared" si="29"/>
        <v>255</v>
      </c>
      <c r="K26" cm="1">
        <f t="array" ref="K26" xml:space="preserve"> 1 + ROW() - _xlfn.SINGLE(ROW(ChartLines.RowNum))</f>
        <v>24</v>
      </c>
    </row>
    <row r="27" spans="2:18">
      <c r="B27" t="s">
        <v>2281</v>
      </c>
      <c r="C27" t="s">
        <v>1838</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8">
      <c r="B28" t="s">
        <v>2281</v>
      </c>
      <c r="C28" t="s">
        <v>2288</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204</v>
      </c>
      <c r="J28">
        <f t="shared" si="29"/>
        <v>102</v>
      </c>
      <c r="K28" cm="1">
        <f t="array" ref="K28" xml:space="preserve"> 1 + ROW() - _xlfn.SINGLE(ROW(ChartLines.RowNum))</f>
        <v>26</v>
      </c>
    </row>
    <row r="29" spans="2:18">
      <c r="B29" t="s">
        <v>1840</v>
      </c>
      <c r="C29" t="s">
        <v>1838</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255</v>
      </c>
      <c r="I29">
        <f t="shared" si="28"/>
        <v>0</v>
      </c>
      <c r="J29">
        <f t="shared" si="29"/>
        <v>0</v>
      </c>
      <c r="K29" cm="1">
        <f t="array" ref="K29" xml:space="preserve"> 1 + ROW() - _xlfn.SINGLE(ROW(ChartLines.RowNum))</f>
        <v>27</v>
      </c>
    </row>
    <row r="30" spans="2:18">
      <c r="B30" t="s">
        <v>1840</v>
      </c>
      <c r="C30" t="str">
        <f xml:space="preserve"> "000000"</f>
        <v>000000</v>
      </c>
      <c r="E30">
        <f t="shared" si="25"/>
        <v>2</v>
      </c>
      <c r="F30">
        <f t="shared" si="26"/>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si="27"/>
        <v>0</v>
      </c>
      <c r="I30">
        <f t="shared" si="28"/>
        <v>0</v>
      </c>
      <c r="J30">
        <f t="shared" si="29"/>
        <v>0</v>
      </c>
      <c r="K30" cm="1">
        <f t="array" ref="K30" xml:space="preserve"> 1 + ROW() - _xlfn.SINGLE(ROW(ChartLines.RowNum))</f>
        <v>28</v>
      </c>
    </row>
    <row r="31" spans="2:18">
      <c r="B31" t="s">
        <v>2299</v>
      </c>
      <c r="C31" t="s">
        <v>1838</v>
      </c>
      <c r="E31">
        <f t="shared" si="25"/>
        <v>2</v>
      </c>
      <c r="F31">
        <f t="shared" si="26"/>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si="27"/>
        <v>255</v>
      </c>
      <c r="I31">
        <f t="shared" si="28"/>
        <v>0</v>
      </c>
      <c r="J31">
        <f t="shared" si="29"/>
        <v>0</v>
      </c>
      <c r="K31" cm="1">
        <f t="array" ref="K31" xml:space="preserve"> 1 + ROW() - _xlfn.SINGLE(ROW(ChartLines.RowNum))</f>
        <v>29</v>
      </c>
    </row>
    <row r="32" spans="2:18">
      <c r="B32" t="s">
        <v>2299</v>
      </c>
      <c r="C32" t="str">
        <f xml:space="preserve"> "666666"</f>
        <v>666666</v>
      </c>
      <c r="E32">
        <f t="shared" si="25"/>
        <v>2</v>
      </c>
      <c r="F32">
        <f t="shared" si="26"/>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si="27"/>
        <v>102</v>
      </c>
      <c r="I32">
        <f t="shared" si="28"/>
        <v>102</v>
      </c>
      <c r="J32">
        <f t="shared" si="29"/>
        <v>102</v>
      </c>
      <c r="K32" cm="1">
        <f t="array" ref="K32" xml:space="preserve"> 1 + ROW() - _xlfn.SINGLE(ROW(ChartLines.RowNum))</f>
        <v>30</v>
      </c>
    </row>
    <row r="33" spans="2:11">
      <c r="B33" t="s">
        <v>1841</v>
      </c>
      <c r="C33" t="s">
        <v>1842</v>
      </c>
      <c r="E33">
        <f t="shared" si="25"/>
        <v>2</v>
      </c>
      <c r="F33">
        <f t="shared" si="26"/>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si="27"/>
        <v>0</v>
      </c>
      <c r="I33">
        <f t="shared" si="28"/>
        <v>132</v>
      </c>
      <c r="J33">
        <f t="shared" si="29"/>
        <v>61</v>
      </c>
      <c r="K33" cm="1">
        <f t="array" ref="K33" xml:space="preserve"> 1 + ROW() - _xlfn.SINGLE(ROW(ChartLines.RowNum))</f>
        <v>31</v>
      </c>
    </row>
    <row r="34" spans="2:11">
      <c r="B34" t="s">
        <v>1841</v>
      </c>
      <c r="C34" t="s">
        <v>1843</v>
      </c>
      <c r="E34">
        <f t="shared" ref="E34" si="30" xml:space="preserve"> IF(AND(LEN(ChartLines.ID)&gt;0,"Unused"&lt;&gt;ChartLines.ID), COUNTIFS(ChartLines.ID,ChartLines.ID), "·")</f>
        <v>2</v>
      </c>
      <c r="F34">
        <f t="shared" ref="F34" si="3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32" xml:space="preserve"> IF(LEN(ChartLines.Hex6)=6, HEX2DEC(LEFT(ChartLines.Hex6, 2)), "·")</f>
        <v>255</v>
      </c>
      <c r="I34">
        <f t="shared" ref="I34" si="33" xml:space="preserve"> IF(LEN(ChartLines.Hex6)=6, HEX2DEC(MID(ChartLines.Hex6, 3, 2)), "·")</f>
        <v>205</v>
      </c>
      <c r="J34">
        <f t="shared" ref="J34" si="34" xml:space="preserve"> IF(LEN(ChartLines.Hex6)=6, HEX2DEC(RIGHT(ChartLines.Hex6, 2)), "·")</f>
        <v>0</v>
      </c>
      <c r="K34" cm="1">
        <f t="array" ref="K34" xml:space="preserve"> 1 + ROW() - _xlfn.SINGLE(ROW(ChartLines.RowNum))</f>
        <v>32</v>
      </c>
    </row>
    <row r="35" spans="2:11">
      <c r="B35" t="s">
        <v>122</v>
      </c>
      <c r="C35" t="str">
        <f xml:space="preserve"> "012169"</f>
        <v>012169</v>
      </c>
      <c r="E35">
        <f t="shared" ref="E35" si="35" xml:space="preserve"> IF(AND(LEN(ChartLines.ID)&gt;0,"Unused"&lt;&gt;ChartLines.ID), COUNTIFS(ChartLines.ID,ChartLines.ID), "·")</f>
        <v>2</v>
      </c>
      <c r="F35">
        <f t="shared" ref="F35" si="3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37" xml:space="preserve"> IF(LEN(ChartLines.Hex6)=6, HEX2DEC(LEFT(ChartLines.Hex6, 2)), "·")</f>
        <v>1</v>
      </c>
      <c r="I35">
        <f t="shared" ref="I35" si="38" xml:space="preserve"> IF(LEN(ChartLines.Hex6)=6, HEX2DEC(MID(ChartLines.Hex6, 3, 2)), "·")</f>
        <v>33</v>
      </c>
      <c r="J35">
        <f t="shared" ref="J35" si="39" xml:space="preserve"> IF(LEN(ChartLines.Hex6)=6, HEX2DEC(RIGHT(ChartLines.Hex6, 2)), "·")</f>
        <v>105</v>
      </c>
      <c r="K35" cm="1">
        <f t="array" ref="K35" xml:space="preserve"> 1 + ROW() - _xlfn.SINGLE(ROW(ChartLines.RowNum))</f>
        <v>33</v>
      </c>
    </row>
    <row r="36" spans="2:11">
      <c r="B36" t="s">
        <v>122</v>
      </c>
      <c r="C36" t="s">
        <v>1844</v>
      </c>
      <c r="E36">
        <f t="shared" ref="E36" si="40" xml:space="preserve"> IF(AND(LEN(ChartLines.ID)&gt;0,"Unused"&lt;&gt;ChartLines.ID), COUNTIFS(ChartLines.ID,ChartLines.ID), "·")</f>
        <v>2</v>
      </c>
      <c r="F36">
        <f t="shared" ref="F36" si="4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42" xml:space="preserve"> IF(LEN(ChartLines.Hex6)=6, HEX2DEC(LEFT(ChartLines.Hex6, 2)), "·")</f>
        <v>200</v>
      </c>
      <c r="I36">
        <f t="shared" ref="I36" si="43" xml:space="preserve"> IF(LEN(ChartLines.Hex6)=6, HEX2DEC(MID(ChartLines.Hex6, 3, 2)), "·")</f>
        <v>16</v>
      </c>
      <c r="J36">
        <f t="shared" ref="J36" si="44" xml:space="preserve"> IF(LEN(ChartLines.Hex6)=6, HEX2DEC(RIGHT(ChartLines.Hex6, 2)), "·")</f>
        <v>46</v>
      </c>
      <c r="K36" cm="1">
        <f t="array" ref="K36" xml:space="preserve"> 1 + ROW() - _xlfn.SINGLE(ROW(ChartLines.RowNum))</f>
        <v>34</v>
      </c>
    </row>
    <row r="37" spans="2:11">
      <c r="B37" t="s">
        <v>126</v>
      </c>
      <c r="C37" t="str">
        <f xml:space="preserve"> "004B87"</f>
        <v>004B87</v>
      </c>
      <c r="E37">
        <f t="shared" ref="E37" si="45" xml:space="preserve"> IF(AND(LEN(ChartLines.ID)&gt;0,"Unused"&lt;&gt;ChartLines.ID), COUNTIFS(ChartLines.ID,ChartLines.ID), "·")</f>
        <v>2</v>
      </c>
      <c r="F37">
        <f t="shared" ref="F37" si="46"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f t="shared" ref="H37" si="47" xml:space="preserve"> IF(LEN(ChartLines.Hex6)=6, HEX2DEC(LEFT(ChartLines.Hex6, 2)), "·")</f>
        <v>0</v>
      </c>
      <c r="I37">
        <f t="shared" ref="I37" si="48" xml:space="preserve"> IF(LEN(ChartLines.Hex6)=6, HEX2DEC(MID(ChartLines.Hex6, 3, 2)), "·")</f>
        <v>75</v>
      </c>
      <c r="J37">
        <f t="shared" ref="J37" si="49" xml:space="preserve"> IF(LEN(ChartLines.Hex6)=6, HEX2DEC(RIGHT(ChartLines.Hex6, 2)), "·")</f>
        <v>135</v>
      </c>
      <c r="K37" cm="1">
        <f t="array" ref="K37" xml:space="preserve"> 1 + ROW() - _xlfn.SINGLE(ROW(ChartLines.RowNum))</f>
        <v>35</v>
      </c>
    </row>
    <row r="38" spans="2:11">
      <c r="B38" t="s">
        <v>126</v>
      </c>
      <c r="C38" t="s">
        <v>1845</v>
      </c>
      <c r="E38">
        <f t="shared" ref="E38" si="50" xml:space="preserve"> IF(AND(LEN(ChartLines.ID)&gt;0,"Unused"&lt;&gt;ChartLines.ID), COUNTIFS(ChartLines.ID,ChartLines.ID), "·")</f>
        <v>2</v>
      </c>
      <c r="F38">
        <f t="shared" ref="F38" si="51"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f t="shared" ref="H38" si="52" xml:space="preserve"> IF(LEN(ChartLines.Hex6)=6, HEX2DEC(LEFT(ChartLines.Hex6, 2)), "·")</f>
        <v>255</v>
      </c>
      <c r="I38">
        <f t="shared" ref="I38" si="53" xml:space="preserve"> IF(LEN(ChartLines.Hex6)=6, HEX2DEC(MID(ChartLines.Hex6, 3, 2)), "·")</f>
        <v>209</v>
      </c>
      <c r="J38">
        <f t="shared" ref="J38" si="54" xml:space="preserve"> IF(LEN(ChartLines.Hex6)=6, HEX2DEC(RIGHT(ChartLines.Hex6, 2)), "·")</f>
        <v>0</v>
      </c>
      <c r="K38" cm="1">
        <f t="array" ref="K38" xml:space="preserve"> 1 + ROW() - _xlfn.SINGLE(ROW(ChartLines.RowNum))</f>
        <v>36</v>
      </c>
    </row>
    <row r="39" spans="2:11">
      <c r="B39" t="s">
        <v>128</v>
      </c>
      <c r="C39" t="s">
        <v>1846</v>
      </c>
      <c r="E39">
        <f t="shared" ref="E39" si="55" xml:space="preserve"> IF(AND(LEN(ChartLines.ID)&gt;0,"Unused"&lt;&gt;ChartLines.ID), COUNTIFS(ChartLines.ID,ChartLines.ID), "·")</f>
        <v>2</v>
      </c>
      <c r="F39">
        <f t="shared" ref="F39" si="56"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f t="shared" ref="H39" si="57" xml:space="preserve"> IF(LEN(ChartLines.Hex6)=6, HEX2DEC(LEFT(ChartLines.Hex6, 2)), "·")</f>
        <v>186</v>
      </c>
      <c r="I39">
        <f t="shared" ref="I39" si="58" xml:space="preserve"> IF(LEN(ChartLines.Hex6)=6, HEX2DEC(MID(ChartLines.Hex6, 3, 2)), "·")</f>
        <v>12</v>
      </c>
      <c r="J39">
        <f t="shared" ref="J39" si="59" xml:space="preserve"> IF(LEN(ChartLines.Hex6)=6, HEX2DEC(RIGHT(ChartLines.Hex6, 2)), "·")</f>
        <v>47</v>
      </c>
      <c r="K39" cm="1">
        <f t="array" ref="K39" xml:space="preserve"> 1 + ROW() - _xlfn.SINGLE(ROW(ChartLines.RowNum))</f>
        <v>37</v>
      </c>
    </row>
    <row r="40" spans="2:11">
      <c r="B40" t="s">
        <v>128</v>
      </c>
      <c r="C40" t="s">
        <v>1847</v>
      </c>
      <c r="E40">
        <f t="shared" ref="E40" si="60" xml:space="preserve"> IF(AND(LEN(ChartLines.ID)&gt;0,"Unused"&lt;&gt;ChartLines.ID), COUNTIFS(ChartLines.ID,ChartLines.ID), "·")</f>
        <v>2</v>
      </c>
      <c r="F40">
        <f t="shared" ref="F40" si="6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f t="shared" ref="H40" si="62" xml:space="preserve"> IF(LEN(ChartLines.Hex6)=6, HEX2DEC(LEFT(ChartLines.Hex6, 2)), "·")</f>
        <v>0</v>
      </c>
      <c r="I40">
        <f t="shared" ref="I40" si="63" xml:space="preserve"> IF(LEN(ChartLines.Hex6)=6, HEX2DEC(MID(ChartLines.Hex6, 3, 2)), "·")</f>
        <v>32</v>
      </c>
      <c r="J40">
        <f t="shared" ref="J40" si="64" xml:space="preserve"> IF(LEN(ChartLines.Hex6)=6, HEX2DEC(RIGHT(ChartLines.Hex6, 2)), "·")</f>
        <v>91</v>
      </c>
      <c r="K40" cm="1">
        <f t="array" ref="K40" xml:space="preserve"> 1 + ROW() - _xlfn.SINGLE(ROW(ChartLines.RowNum))</f>
        <v>38</v>
      </c>
    </row>
    <row r="41" spans="2:11">
      <c r="E41" t="str">
        <f t="shared" ref="E41" si="65" xml:space="preserve"> IF(AND(LEN(ChartLines.ID)&gt;0,"Unused"&lt;&gt;ChartLines.ID), COUNTIFS(ChartLines.ID,ChartLines.ID), "·")</f>
        <v>·</v>
      </c>
      <c r="F41" t="str">
        <f t="shared" ref="F41" si="66" xml:space="preserve"> IF(AND(LEN(ChartLines.ID)&gt;0,"Unused"&lt;&gt;ChartLines.ID), COUNTIFS(ChartLines.ID,ChartLines.ID,   ChartLines.RowNum,"&lt;="&amp;ChartLines.RowNum), "·")</f>
        <v>·</v>
      </c>
      <c r="G41" t="str" cm="1">
        <f t="array" ref="G41" xml:space="preserve"> _xlfn.IFS(OR(LEN(_xlfn.SINGLE(ChartLines.ID))=0,"Unused"=_xlfn.SINGLE(ChartLines.ID)), "·",   1=_xlfn.SINGLE(ChartLines.NumInstances), IF("USD"=_xlfn.SINGLE(ChartLines.ID), "SoleBig", "SoleOrdinary"),   1=_xlfn.SINGLE(ChartLines.InstanceNum), "Outer",   TRUE, "Inner")</f>
        <v>·</v>
      </c>
      <c r="H41" t="str">
        <f t="shared" ref="H41" si="67" xml:space="preserve"> IF(LEN(ChartLines.Hex6)=6, HEX2DEC(LEFT(ChartLines.Hex6, 2)), "·")</f>
        <v>·</v>
      </c>
      <c r="I41" t="str">
        <f t="shared" ref="I41" si="68" xml:space="preserve"> IF(LEN(ChartLines.Hex6)=6, HEX2DEC(MID(ChartLines.Hex6, 3, 2)), "·")</f>
        <v>·</v>
      </c>
      <c r="J41" t="str">
        <f t="shared" ref="J41" si="69" xml:space="preserve"> IF(LEN(ChartLines.Hex6)=6, HEX2DEC(RIGHT(ChartLines.Hex6, 2)), "·")</f>
        <v>·</v>
      </c>
      <c r="K41" cm="1">
        <f t="array" ref="K41" xml:space="preserve"> 1 + ROW() - _xlfn.SINGLE(ROW(ChartLines.RowNum))</f>
        <v>39</v>
      </c>
    </row>
    <row r="42" spans="2:11">
      <c r="B42" t="s">
        <v>794</v>
      </c>
      <c r="C42" t="s">
        <v>1836</v>
      </c>
      <c r="E42">
        <f t="shared" ref="E42:E48" si="70" xml:space="preserve"> IF(AND(LEN(ChartLines.ID)&gt;0,"Unused"&lt;&gt;ChartLines.ID), COUNTIFS(ChartLines.ID,ChartLines.ID), "·")</f>
        <v>2</v>
      </c>
      <c r="F42">
        <f t="shared" ref="F42:F48" si="7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8" si="72" xml:space="preserve"> IF(LEN(ChartLines.Hex6)=6, HEX2DEC(LEFT(ChartLines.Hex6, 2)), "·")</f>
        <v>255</v>
      </c>
      <c r="I42">
        <f t="shared" ref="I42:I48" si="73" xml:space="preserve"> IF(LEN(ChartLines.Hex6)=6, HEX2DEC(MID(ChartLines.Hex6, 3, 2)), "·")</f>
        <v>51</v>
      </c>
      <c r="J42">
        <f t="shared" ref="J42:J48" si="74" xml:space="preserve"> IF(LEN(ChartLines.Hex6)=6, HEX2DEC(RIGHT(ChartLines.Hex6, 2)), "·")</f>
        <v>255</v>
      </c>
      <c r="K42" cm="1">
        <f t="array" ref="K42" xml:space="preserve"> 1 + ROW() - _xlfn.SINGLE(ROW(ChartLines.RowNum))</f>
        <v>40</v>
      </c>
    </row>
    <row r="43" spans="2:11">
      <c r="B43" t="s">
        <v>794</v>
      </c>
      <c r="C43" t="s">
        <v>1839</v>
      </c>
      <c r="E43">
        <f t="shared" ref="E43:E49" si="75" xml:space="preserve"> IF(AND(LEN(ChartLines.ID)&gt;0,"Unused"&lt;&gt;ChartLines.ID), COUNTIFS(ChartLines.ID,ChartLines.ID), "·")</f>
        <v>2</v>
      </c>
      <c r="F43">
        <f t="shared" ref="F43:F49" si="7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9" si="77" xml:space="preserve"> IF(LEN(ChartLines.Hex6)=6, HEX2DEC(LEFT(ChartLines.Hex6, 2)), "·")</f>
        <v>255</v>
      </c>
      <c r="I43">
        <f t="shared" ref="I43:I49" si="78" xml:space="preserve"> IF(LEN(ChartLines.Hex6)=6, HEX2DEC(MID(ChartLines.Hex6, 3, 2)), "·")</f>
        <v>255</v>
      </c>
      <c r="J43">
        <f t="shared" ref="J43:J49" si="79" xml:space="preserve"> IF(LEN(ChartLines.Hex6)=6, HEX2DEC(RIGHT(ChartLines.Hex6, 2)), "·")</f>
        <v>255</v>
      </c>
      <c r="K43" cm="1">
        <f t="array" ref="K43" xml:space="preserve"> 1 + ROW() - _xlfn.SINGLE(ROW(ChartLines.RowNum))</f>
        <v>41</v>
      </c>
    </row>
    <row r="44" spans="2:11">
      <c r="B44" t="s">
        <v>2652</v>
      </c>
      <c r="C44" t="s">
        <v>1836</v>
      </c>
      <c r="E44">
        <f t="shared" si="70"/>
        <v>2</v>
      </c>
      <c r="F44">
        <f t="shared" si="7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72"/>
        <v>255</v>
      </c>
      <c r="I44">
        <f t="shared" si="73"/>
        <v>51</v>
      </c>
      <c r="J44">
        <f t="shared" si="74"/>
        <v>255</v>
      </c>
      <c r="K44" cm="1">
        <f t="array" ref="K44" xml:space="preserve"> 1 + ROW() - _xlfn.SINGLE(ROW(ChartLines.RowNum))</f>
        <v>42</v>
      </c>
    </row>
    <row r="45" spans="2:11">
      <c r="B45" t="s">
        <v>2652</v>
      </c>
      <c r="C45" t="s">
        <v>2660</v>
      </c>
      <c r="E45">
        <f t="shared" si="75"/>
        <v>2</v>
      </c>
      <c r="F45">
        <f t="shared" si="7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77"/>
        <v>0</v>
      </c>
      <c r="I45">
        <f t="shared" si="78"/>
        <v>255</v>
      </c>
      <c r="J45">
        <f t="shared" si="79"/>
        <v>0</v>
      </c>
      <c r="K45" cm="1">
        <f t="array" ref="K45" xml:space="preserve"> 1 + ROW() - _xlfn.SINGLE(ROW(ChartLines.RowNum))</f>
        <v>43</v>
      </c>
    </row>
    <row r="46" spans="2:11">
      <c r="B46" t="s">
        <v>2653</v>
      </c>
      <c r="C46" t="s">
        <v>1836</v>
      </c>
      <c r="E46">
        <f t="shared" si="70"/>
        <v>2</v>
      </c>
      <c r="F46">
        <f t="shared" si="71"/>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si="72"/>
        <v>255</v>
      </c>
      <c r="I46">
        <f t="shared" si="73"/>
        <v>51</v>
      </c>
      <c r="J46">
        <f t="shared" si="74"/>
        <v>255</v>
      </c>
      <c r="K46" cm="1">
        <f t="array" ref="K46" xml:space="preserve"> 1 + ROW() - _xlfn.SINGLE(ROW(ChartLines.RowNum))</f>
        <v>44</v>
      </c>
    </row>
    <row r="47" spans="2:11">
      <c r="B47" t="s">
        <v>2653</v>
      </c>
      <c r="C47" t="s">
        <v>2661</v>
      </c>
      <c r="E47">
        <f t="shared" si="75"/>
        <v>2</v>
      </c>
      <c r="F47">
        <f t="shared" si="76"/>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si="77"/>
        <v>253</v>
      </c>
      <c r="I47">
        <f t="shared" si="78"/>
        <v>203</v>
      </c>
      <c r="J47">
        <f t="shared" si="79"/>
        <v>11</v>
      </c>
      <c r="K47" cm="1">
        <f t="array" ref="K47" xml:space="preserve"> 1 + ROW() - _xlfn.SINGLE(ROW(ChartLines.RowNum))</f>
        <v>45</v>
      </c>
    </row>
    <row r="48" spans="2:11">
      <c r="B48" t="s">
        <v>2654</v>
      </c>
      <c r="C48" t="s">
        <v>1836</v>
      </c>
      <c r="E48">
        <f t="shared" si="70"/>
        <v>2</v>
      </c>
      <c r="F48">
        <f t="shared" si="7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72"/>
        <v>255</v>
      </c>
      <c r="I48">
        <f t="shared" si="73"/>
        <v>51</v>
      </c>
      <c r="J48">
        <f t="shared" si="74"/>
        <v>255</v>
      </c>
      <c r="K48" cm="1">
        <f t="array" ref="K48" xml:space="preserve"> 1 + ROW() - _xlfn.SINGLE(ROW(ChartLines.RowNum))</f>
        <v>46</v>
      </c>
    </row>
    <row r="49" spans="2:11">
      <c r="B49" t="s">
        <v>2654</v>
      </c>
      <c r="C49" t="str">
        <f xml:space="preserve"> "003399"</f>
        <v>003399</v>
      </c>
      <c r="E49">
        <f t="shared" si="75"/>
        <v>2</v>
      </c>
      <c r="F49">
        <f t="shared" si="7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77"/>
        <v>0</v>
      </c>
      <c r="I49">
        <f t="shared" si="78"/>
        <v>51</v>
      </c>
      <c r="J49">
        <f t="shared" si="79"/>
        <v>153</v>
      </c>
      <c r="K49" cm="1">
        <f t="array" ref="K49" xml:space="preserve"> 1 + ROW() - _xlfn.SINGLE(ROW(ChartLines.RowNum))</f>
        <v>47</v>
      </c>
    </row>
    <row r="50" spans="2:11">
      <c r="B50" t="s">
        <v>796</v>
      </c>
      <c r="C50" t="str">
        <f xml:space="preserve"> "000000"</f>
        <v>000000</v>
      </c>
      <c r="E50">
        <f t="shared" ref="E50" si="80" xml:space="preserve"> IF(AND(LEN(ChartLines.ID)&gt;0,"Unused"&lt;&gt;ChartLines.ID), COUNTIFS(ChartLines.ID,ChartLines.ID), "·")</f>
        <v>2</v>
      </c>
      <c r="F50">
        <f t="shared" ref="F50" si="8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 si="82" xml:space="preserve"> IF(LEN(ChartLines.Hex6)=6, HEX2DEC(LEFT(ChartLines.Hex6, 2)), "·")</f>
        <v>0</v>
      </c>
      <c r="I50">
        <f t="shared" ref="I50" si="83" xml:space="preserve"> IF(LEN(ChartLines.Hex6)=6, HEX2DEC(MID(ChartLines.Hex6, 3, 2)), "·")</f>
        <v>0</v>
      </c>
      <c r="J50">
        <f t="shared" ref="J50" si="84" xml:space="preserve"> IF(LEN(ChartLines.Hex6)=6, HEX2DEC(RIGHT(ChartLines.Hex6, 2)), "·")</f>
        <v>0</v>
      </c>
      <c r="K50" cm="1">
        <f t="array" ref="K50" xml:space="preserve"> 1 + ROW() - _xlfn.SINGLE(ROW(ChartLines.RowNum))</f>
        <v>48</v>
      </c>
    </row>
    <row r="51" spans="2:11">
      <c r="B51" t="s">
        <v>796</v>
      </c>
      <c r="C51" t="s">
        <v>1836</v>
      </c>
      <c r="E51">
        <f t="shared" ref="E51" si="85" xml:space="preserve"> IF(AND(LEN(ChartLines.ID)&gt;0,"Unused"&lt;&gt;ChartLines.ID), COUNTIFS(ChartLines.ID,ChartLines.ID), "·")</f>
        <v>2</v>
      </c>
      <c r="F51">
        <f t="shared" ref="F51" si="8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 si="87" xml:space="preserve"> IF(LEN(ChartLines.Hex6)=6, HEX2DEC(LEFT(ChartLines.Hex6, 2)), "·")</f>
        <v>255</v>
      </c>
      <c r="I51">
        <f t="shared" ref="I51" si="88" xml:space="preserve"> IF(LEN(ChartLines.Hex6)=6, HEX2DEC(MID(ChartLines.Hex6, 3, 2)), "·")</f>
        <v>51</v>
      </c>
      <c r="J51">
        <f t="shared" ref="J51" si="89" xml:space="preserve"> IF(LEN(ChartLines.Hex6)=6, HEX2DEC(RIGHT(ChartLines.Hex6, 2)), "·")</f>
        <v>255</v>
      </c>
      <c r="K51" cm="1">
        <f t="array" ref="K51" xml:space="preserve"> 1 + ROW() - _xlfn.SINGLE(ROW(ChartLines.RowNum))</f>
        <v>49</v>
      </c>
    </row>
    <row r="52" spans="2:11">
      <c r="B52" t="s">
        <v>581</v>
      </c>
      <c r="C52" t="str">
        <f xml:space="preserve"> "000000"</f>
        <v>000000</v>
      </c>
      <c r="E52">
        <f t="shared" ref="E52:E54" si="90" xml:space="preserve"> IF(AND(LEN(ChartLines.ID)&gt;0,"Unused"&lt;&gt;ChartLines.ID), COUNTIFS(ChartLines.ID,ChartLines.ID), "·")</f>
        <v>2</v>
      </c>
      <c r="F52">
        <f t="shared" ref="F52:F54" si="91"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ref="H52:H54" si="92" xml:space="preserve"> IF(LEN(ChartLines.Hex6)=6, HEX2DEC(LEFT(ChartLines.Hex6, 2)), "·")</f>
        <v>0</v>
      </c>
      <c r="I52">
        <f t="shared" ref="I52:I54" si="93" xml:space="preserve"> IF(LEN(ChartLines.Hex6)=6, HEX2DEC(MID(ChartLines.Hex6, 3, 2)), "·")</f>
        <v>0</v>
      </c>
      <c r="J52">
        <f t="shared" ref="J52:J54" si="94" xml:space="preserve"> IF(LEN(ChartLines.Hex6)=6, HEX2DEC(RIGHT(ChartLines.Hex6, 2)), "·")</f>
        <v>0</v>
      </c>
      <c r="K52" cm="1">
        <f t="array" ref="K52" xml:space="preserve"> 1 + ROW() - _xlfn.SINGLE(ROW(ChartLines.RowNum))</f>
        <v>50</v>
      </c>
    </row>
    <row r="53" spans="2:11">
      <c r="B53" t="s">
        <v>581</v>
      </c>
      <c r="C53" t="s">
        <v>1839</v>
      </c>
      <c r="E53">
        <f t="shared" ref="E53:E55" si="95" xml:space="preserve"> IF(AND(LEN(ChartLines.ID)&gt;0,"Unused"&lt;&gt;ChartLines.ID), COUNTIFS(ChartLines.ID,ChartLines.ID), "·")</f>
        <v>2</v>
      </c>
      <c r="F53">
        <f t="shared" ref="F53:F55" si="96"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ref="H53:H55" si="97" xml:space="preserve"> IF(LEN(ChartLines.Hex6)=6, HEX2DEC(LEFT(ChartLines.Hex6, 2)), "·")</f>
        <v>255</v>
      </c>
      <c r="I53">
        <f t="shared" ref="I53:I55" si="98" xml:space="preserve"> IF(LEN(ChartLines.Hex6)=6, HEX2DEC(MID(ChartLines.Hex6, 3, 2)), "·")</f>
        <v>255</v>
      </c>
      <c r="J53">
        <f t="shared" ref="J53:J55" si="99" xml:space="preserve"> IF(LEN(ChartLines.Hex6)=6, HEX2DEC(RIGHT(ChartLines.Hex6, 2)), "·")</f>
        <v>255</v>
      </c>
      <c r="K53" cm="1">
        <f t="array" ref="K53" xml:space="preserve"> 1 + ROW() - _xlfn.SINGLE(ROW(ChartLines.RowNum))</f>
        <v>51</v>
      </c>
    </row>
    <row r="54" spans="2:11">
      <c r="B54" t="s">
        <v>2274</v>
      </c>
      <c r="C54" t="str">
        <f xml:space="preserve"> "000000"</f>
        <v>000000</v>
      </c>
      <c r="E54">
        <f t="shared" si="90"/>
        <v>2</v>
      </c>
      <c r="F54">
        <f t="shared" si="91"/>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si="92"/>
        <v>0</v>
      </c>
      <c r="I54">
        <f t="shared" si="93"/>
        <v>0</v>
      </c>
      <c r="J54">
        <f t="shared" si="94"/>
        <v>0</v>
      </c>
      <c r="K54" cm="1">
        <f t="array" ref="K54" xml:space="preserve"> 1 + ROW() - _xlfn.SINGLE(ROW(ChartLines.RowNum))</f>
        <v>52</v>
      </c>
    </row>
    <row r="55" spans="2:11">
      <c r="B55" t="s">
        <v>2274</v>
      </c>
      <c r="C55" t="s">
        <v>1838</v>
      </c>
      <c r="E55">
        <f t="shared" si="95"/>
        <v>2</v>
      </c>
      <c r="F55">
        <f t="shared" si="96"/>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si="97"/>
        <v>255</v>
      </c>
      <c r="I55">
        <f t="shared" si="98"/>
        <v>0</v>
      </c>
      <c r="J55">
        <f t="shared" si="99"/>
        <v>0</v>
      </c>
      <c r="K55" cm="1">
        <f t="array" ref="K55" xml:space="preserve"> 1 + ROW() - _xlfn.SINGLE(ROW(ChartLines.RowNum))</f>
        <v>53</v>
      </c>
    </row>
    <row r="56" spans="2:11">
      <c r="B56" t="s">
        <v>598</v>
      </c>
      <c r="C56" t="s">
        <v>1848</v>
      </c>
      <c r="E56">
        <f t="shared" ref="E56:E58" si="100" xml:space="preserve"> IF(AND(LEN(ChartLines.ID)&gt;0,"Unused"&lt;&gt;ChartLines.ID), COUNTIFS(ChartLines.ID,ChartLines.ID), "·")</f>
        <v>2</v>
      </c>
      <c r="F56">
        <f t="shared" ref="F56:F58" si="101" xml:space="preserve"> IF(AND(LEN(ChartLines.ID)&gt;0,"Unused"&lt;&gt;ChartLines.ID), COUNTIFS(ChartLines.ID,ChartLines.ID,   ChartLines.RowNum,"&lt;="&amp;ChartLines.RowNum), "·")</f>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ref="H56:H58" si="102" xml:space="preserve"> IF(LEN(ChartLines.Hex6)=6, HEX2DEC(LEFT(ChartLines.Hex6, 2)), "·")</f>
        <v>0</v>
      </c>
      <c r="I56">
        <f t="shared" ref="I56:I58" si="103" xml:space="preserve"> IF(LEN(ChartLines.Hex6)=6, HEX2DEC(MID(ChartLines.Hex6, 3, 2)), "·")</f>
        <v>85</v>
      </c>
      <c r="J56">
        <f t="shared" ref="J56:J58" si="104" xml:space="preserve"> IF(LEN(ChartLines.Hex6)=6, HEX2DEC(RIGHT(ChartLines.Hex6, 2)), "·")</f>
        <v>164</v>
      </c>
      <c r="K56" cm="1">
        <f t="array" ref="K56" xml:space="preserve"> 1 + ROW() - _xlfn.SINGLE(ROW(ChartLines.RowNum))</f>
        <v>54</v>
      </c>
    </row>
    <row r="57" spans="2:11">
      <c r="B57" t="s">
        <v>598</v>
      </c>
      <c r="C57" t="s">
        <v>1849</v>
      </c>
      <c r="E57">
        <f t="shared" ref="E57:E59" si="105" xml:space="preserve"> IF(AND(LEN(ChartLines.ID)&gt;0,"Unused"&lt;&gt;ChartLines.ID), COUNTIFS(ChartLines.ID,ChartLines.ID), "·")</f>
        <v>2</v>
      </c>
      <c r="F57">
        <f t="shared" ref="F57:F59" si="106" xml:space="preserve"> IF(AND(LEN(ChartLines.ID)&gt;0,"Unused"&lt;&gt;ChartLines.ID), COUNTIFS(ChartLines.ID,ChartLines.ID,   ChartLines.RowNum,"&lt;="&amp;ChartLines.RowNum), "·")</f>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ref="H57:H59" si="107" xml:space="preserve"> IF(LEN(ChartLines.Hex6)=6, HEX2DEC(LEFT(ChartLines.Hex6, 2)), "·")</f>
        <v>239</v>
      </c>
      <c r="I57">
        <f t="shared" ref="I57:I59" si="108" xml:space="preserve"> IF(LEN(ChartLines.Hex6)=6, HEX2DEC(MID(ChartLines.Hex6, 3, 2)), "·")</f>
        <v>65</v>
      </c>
      <c r="J57">
        <f t="shared" ref="J57:J59" si="109" xml:space="preserve"> IF(LEN(ChartLines.Hex6)=6, HEX2DEC(RIGHT(ChartLines.Hex6, 2)), "·")</f>
        <v>53</v>
      </c>
      <c r="K57" cm="1">
        <f t="array" ref="K57" xml:space="preserve"> 1 + ROW() - _xlfn.SINGLE(ROW(ChartLines.RowNum))</f>
        <v>55</v>
      </c>
    </row>
    <row r="58" spans="2:11">
      <c r="B58" t="s">
        <v>2276</v>
      </c>
      <c r="C58" t="s">
        <v>1848</v>
      </c>
      <c r="E58">
        <f t="shared" si="100"/>
        <v>2</v>
      </c>
      <c r="F58">
        <f t="shared" si="101"/>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si="102"/>
        <v>0</v>
      </c>
      <c r="I58">
        <f t="shared" si="103"/>
        <v>85</v>
      </c>
      <c r="J58">
        <f t="shared" si="104"/>
        <v>164</v>
      </c>
      <c r="K58" cm="1">
        <f t="array" ref="K58" xml:space="preserve"> 1 + ROW() - _xlfn.SINGLE(ROW(ChartLines.RowNum))</f>
        <v>56</v>
      </c>
    </row>
    <row r="59" spans="2:11">
      <c r="B59" t="s">
        <v>2276</v>
      </c>
      <c r="C59" t="str">
        <f xml:space="preserve"> "000000"</f>
        <v>000000</v>
      </c>
      <c r="E59">
        <f t="shared" si="105"/>
        <v>2</v>
      </c>
      <c r="F59">
        <f t="shared" si="106"/>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si="107"/>
        <v>0</v>
      </c>
      <c r="I59">
        <f t="shared" si="108"/>
        <v>0</v>
      </c>
      <c r="J59">
        <f t="shared" si="109"/>
        <v>0</v>
      </c>
      <c r="K59" cm="1">
        <f t="array" ref="K59" xml:space="preserve"> 1 + ROW() - _xlfn.SINGLE(ROW(ChartLines.RowNum))</f>
        <v>57</v>
      </c>
    </row>
    <row r="60" spans="2:11">
      <c r="B60" t="s">
        <v>635</v>
      </c>
      <c r="C60" t="s">
        <v>1850</v>
      </c>
      <c r="E60">
        <f t="shared" ref="E60:E62" si="110" xml:space="preserve"> IF(AND(LEN(ChartLines.ID)&gt;0,"Unused"&lt;&gt;ChartLines.ID), COUNTIFS(ChartLines.ID,ChartLines.ID), "·")</f>
        <v>2</v>
      </c>
      <c r="F60">
        <f t="shared" ref="F60:F62" si="111" xml:space="preserve"> IF(AND(LEN(ChartLines.ID)&gt;0,"Unused"&lt;&gt;ChartLines.ID), COUNTIFS(ChartLines.ID,ChartLines.ID,   ChartLines.RowNum,"&lt;="&amp;ChartLines.RowNum), "·")</f>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ref="H60:H62" si="112" xml:space="preserve"> IF(LEN(ChartLines.Hex6)=6, HEX2DEC(LEFT(ChartLines.Hex6, 2)), "·")</f>
        <v>0</v>
      </c>
      <c r="I60">
        <f t="shared" ref="I60:I62" si="113" xml:space="preserve"> IF(LEN(ChartLines.Hex6)=6, HEX2DEC(MID(ChartLines.Hex6, 3, 2)), "·")</f>
        <v>140</v>
      </c>
      <c r="J60">
        <f t="shared" ref="J60:J62" si="114" xml:space="preserve"> IF(LEN(ChartLines.Hex6)=6, HEX2DEC(RIGHT(ChartLines.Hex6, 2)), "·")</f>
        <v>69</v>
      </c>
      <c r="K60" cm="1">
        <f t="array" ref="K60" xml:space="preserve"> 1 + ROW() - _xlfn.SINGLE(ROW(ChartLines.RowNum))</f>
        <v>58</v>
      </c>
    </row>
    <row r="61" spans="2:11">
      <c r="B61" t="s">
        <v>635</v>
      </c>
      <c r="C61" t="s">
        <v>1851</v>
      </c>
      <c r="E61">
        <f t="shared" ref="E61:E63" si="115" xml:space="preserve"> IF(AND(LEN(ChartLines.ID)&gt;0,"Unused"&lt;&gt;ChartLines.ID), COUNTIFS(ChartLines.ID,ChartLines.ID), "·")</f>
        <v>2</v>
      </c>
      <c r="F61">
        <f t="shared" ref="F61:F63" si="116" xml:space="preserve"> IF(AND(LEN(ChartLines.ID)&gt;0,"Unused"&lt;&gt;ChartLines.ID), COUNTIFS(ChartLines.ID,ChartLines.ID,   ChartLines.RowNum,"&lt;="&amp;ChartLines.RowNum), "·")</f>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ref="H61:H63" si="117" xml:space="preserve"> IF(LEN(ChartLines.Hex6)=6, HEX2DEC(LEFT(ChartLines.Hex6, 2)), "·")</f>
        <v>205</v>
      </c>
      <c r="I61">
        <f t="shared" ref="I61:I63" si="118" xml:space="preserve"> IF(LEN(ChartLines.Hex6)=6, HEX2DEC(MID(ChartLines.Hex6, 3, 2)), "·")</f>
        <v>33</v>
      </c>
      <c r="J61">
        <f t="shared" ref="J61:J63" si="119" xml:space="preserve"> IF(LEN(ChartLines.Hex6)=6, HEX2DEC(RIGHT(ChartLines.Hex6, 2)), "·")</f>
        <v>42</v>
      </c>
      <c r="K61" cm="1">
        <f t="array" ref="K61" xml:space="preserve"> 1 + ROW() - _xlfn.SINGLE(ROW(ChartLines.RowNum))</f>
        <v>59</v>
      </c>
    </row>
    <row r="62" spans="2:11">
      <c r="B62" t="s">
        <v>2277</v>
      </c>
      <c r="C62" t="s">
        <v>1850</v>
      </c>
      <c r="E62">
        <f t="shared" si="110"/>
        <v>2</v>
      </c>
      <c r="F62">
        <f t="shared" si="111"/>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si="112"/>
        <v>0</v>
      </c>
      <c r="I62">
        <f t="shared" si="113"/>
        <v>140</v>
      </c>
      <c r="J62">
        <f t="shared" si="114"/>
        <v>69</v>
      </c>
      <c r="K62" cm="1">
        <f t="array" ref="K62" xml:space="preserve"> 1 + ROW() - _xlfn.SINGLE(ROW(ChartLines.RowNum))</f>
        <v>60</v>
      </c>
    </row>
    <row r="63" spans="2:11">
      <c r="B63" t="s">
        <v>2277</v>
      </c>
      <c r="C63" t="str">
        <f xml:space="preserve"> "000000"</f>
        <v>000000</v>
      </c>
      <c r="E63">
        <f t="shared" si="115"/>
        <v>2</v>
      </c>
      <c r="F63">
        <f t="shared" si="116"/>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si="117"/>
        <v>0</v>
      </c>
      <c r="I63">
        <f t="shared" si="118"/>
        <v>0</v>
      </c>
      <c r="J63">
        <f t="shared" si="119"/>
        <v>0</v>
      </c>
      <c r="K63" cm="1">
        <f t="array" ref="K63" xml:space="preserve"> 1 + ROW() - _xlfn.SINGLE(ROW(ChartLines.RowNum))</f>
        <v>61</v>
      </c>
    </row>
    <row r="64" spans="2:11">
      <c r="B64" t="s">
        <v>170</v>
      </c>
      <c r="C64" t="s">
        <v>2147</v>
      </c>
      <c r="E64">
        <f t="shared" ref="E64:E66" si="120" xml:space="preserve"> IF(AND(LEN(ChartLines.ID)&gt;0,"Unused"&lt;&gt;ChartLines.ID), COUNTIFS(ChartLines.ID,ChartLines.ID), "·")</f>
        <v>2</v>
      </c>
      <c r="F64">
        <f t="shared" ref="F64:F66" si="121" xml:space="preserve"> IF(AND(LEN(ChartLines.ID)&gt;0,"Unused"&lt;&gt;ChartLines.ID), COUNTIFS(ChartLines.ID,ChartLines.ID,   ChartLines.RowNum,"&lt;="&amp;ChartLines.RowNum), "·")</f>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ref="H64:H66" si="122" xml:space="preserve"> IF(LEN(ChartLines.Hex6)=6, HEX2DEC(LEFT(ChartLines.Hex6, 2)), "·")</f>
        <v>173</v>
      </c>
      <c r="I64">
        <f t="shared" ref="I64:I66" si="123" xml:space="preserve"> IF(LEN(ChartLines.Hex6)=6, HEX2DEC(MID(ChartLines.Hex6, 3, 2)), "·")</f>
        <v>21</v>
      </c>
      <c r="J64">
        <f t="shared" ref="J64:J66" si="124" xml:space="preserve"> IF(LEN(ChartLines.Hex6)=6, HEX2DEC(RIGHT(ChartLines.Hex6, 2)), "·")</f>
        <v>25</v>
      </c>
      <c r="K64" cm="1">
        <f t="array" ref="K64" xml:space="preserve"> 1 + ROW() - _xlfn.SINGLE(ROW(ChartLines.RowNum))</f>
        <v>62</v>
      </c>
    </row>
    <row r="65" spans="2:11">
      <c r="B65" t="s">
        <v>170</v>
      </c>
      <c r="C65" t="s">
        <v>2148</v>
      </c>
      <c r="E65">
        <f t="shared" ref="E65:E67" si="125" xml:space="preserve"> IF(AND(LEN(ChartLines.ID)&gt;0,"Unused"&lt;&gt;ChartLines.ID), COUNTIFS(ChartLines.ID,ChartLines.ID), "·")</f>
        <v>2</v>
      </c>
      <c r="F65">
        <f t="shared" ref="F65:F67" si="126" xml:space="preserve"> IF(AND(LEN(ChartLines.ID)&gt;0,"Unused"&lt;&gt;ChartLines.ID), COUNTIFS(ChartLines.ID,ChartLines.ID,   ChartLines.RowNum,"&lt;="&amp;ChartLines.RowNum), "·")</f>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ref="H65:H67" si="127" xml:space="preserve"> IF(LEN(ChartLines.Hex6)=6, HEX2DEC(LEFT(ChartLines.Hex6, 2)), "·")</f>
        <v>250</v>
      </c>
      <c r="I65">
        <f t="shared" ref="I65:I67" si="128" xml:space="preserve"> IF(LEN(ChartLines.Hex6)=6, HEX2DEC(MID(ChartLines.Hex6, 3, 2)), "·")</f>
        <v>189</v>
      </c>
      <c r="J65">
        <f t="shared" ref="J65:J67" si="129" xml:space="preserve"> IF(LEN(ChartLines.Hex6)=6, HEX2DEC(RIGHT(ChartLines.Hex6, 2)), "·")</f>
        <v>0</v>
      </c>
      <c r="K65" cm="1">
        <f t="array" ref="K65" xml:space="preserve"> 1 + ROW() - _xlfn.SINGLE(ROW(ChartLines.RowNum))</f>
        <v>63</v>
      </c>
    </row>
    <row r="66" spans="2:11">
      <c r="B66" t="s">
        <v>2278</v>
      </c>
      <c r="C66" t="s">
        <v>2147</v>
      </c>
      <c r="E66">
        <f t="shared" si="120"/>
        <v>2</v>
      </c>
      <c r="F66">
        <f t="shared" si="121"/>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si="122"/>
        <v>173</v>
      </c>
      <c r="I66">
        <f t="shared" si="123"/>
        <v>21</v>
      </c>
      <c r="J66">
        <f t="shared" si="124"/>
        <v>25</v>
      </c>
      <c r="K66" cm="1">
        <f t="array" ref="K66" xml:space="preserve"> 1 + ROW() - _xlfn.SINGLE(ROW(ChartLines.RowNum))</f>
        <v>64</v>
      </c>
    </row>
    <row r="67" spans="2:11">
      <c r="B67" t="s">
        <v>2278</v>
      </c>
      <c r="C67" t="s">
        <v>2288</v>
      </c>
      <c r="E67">
        <f t="shared" si="125"/>
        <v>2</v>
      </c>
      <c r="F67">
        <f t="shared" si="126"/>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si="127"/>
        <v>102</v>
      </c>
      <c r="I67">
        <f t="shared" si="128"/>
        <v>204</v>
      </c>
      <c r="J67">
        <f t="shared" si="129"/>
        <v>102</v>
      </c>
      <c r="K67" cm="1">
        <f t="array" ref="K67" xml:space="preserve"> 1 + ROW() - _xlfn.SINGLE(ROW(ChartLines.RowNum))</f>
        <v>65</v>
      </c>
    </row>
    <row r="68" spans="2:11">
      <c r="B68" t="s">
        <v>636</v>
      </c>
      <c r="C68" t="s">
        <v>1852</v>
      </c>
      <c r="E68">
        <f t="shared" ref="E68:E70" si="130" xml:space="preserve"> IF(AND(LEN(ChartLines.ID)&gt;0,"Unused"&lt;&gt;ChartLines.ID), COUNTIFS(ChartLines.ID,ChartLines.ID), "·")</f>
        <v>2</v>
      </c>
      <c r="F68">
        <f t="shared" ref="F68:F70" si="131" xml:space="preserve"> IF(AND(LEN(ChartLines.ID)&gt;0,"Unused"&lt;&gt;ChartLines.ID), COUNTIFS(ChartLines.ID,ChartLines.ID,   ChartLines.RowNum,"&lt;="&amp;ChartLines.RowNum), "·")</f>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ref="H68:H70" si="132" xml:space="preserve"> IF(LEN(ChartLines.Hex6)=6, HEX2DEC(LEFT(ChartLines.Hex6, 2)), "·")</f>
        <v>0</v>
      </c>
      <c r="I68">
        <f t="shared" ref="I68:I70" si="133" xml:space="preserve"> IF(LEN(ChartLines.Hex6)=6, HEX2DEC(MID(ChartLines.Hex6, 3, 2)), "·")</f>
        <v>61</v>
      </c>
      <c r="J68">
        <f t="shared" ref="J68:J70" si="134" xml:space="preserve"> IF(LEN(ChartLines.Hex6)=6, HEX2DEC(RIGHT(ChartLines.Hex6, 2)), "·")</f>
        <v>165</v>
      </c>
      <c r="K68" cm="1">
        <f t="array" ref="K68" xml:space="preserve"> 1 + ROW() - _xlfn.SINGLE(ROW(ChartLines.RowNum))</f>
        <v>66</v>
      </c>
    </row>
    <row r="69" spans="2:11">
      <c r="B69" t="s">
        <v>636</v>
      </c>
      <c r="C69" t="s">
        <v>1853</v>
      </c>
      <c r="E69">
        <f t="shared" ref="E69:E71" si="135" xml:space="preserve"> IF(AND(LEN(ChartLines.ID)&gt;0,"Unused"&lt;&gt;ChartLines.ID), COUNTIFS(ChartLines.ID,ChartLines.ID), "·")</f>
        <v>2</v>
      </c>
      <c r="F69">
        <f t="shared" ref="F69:F71" si="136" xml:space="preserve"> IF(AND(LEN(ChartLines.ID)&gt;0,"Unused"&lt;&gt;ChartLines.ID), COUNTIFS(ChartLines.ID,ChartLines.ID,   ChartLines.RowNum,"&lt;="&amp;ChartLines.RowNum), "·")</f>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ref="H69:H71" si="137" xml:space="preserve"> IF(LEN(ChartLines.Hex6)=6, HEX2DEC(LEFT(ChartLines.Hex6, 2)), "·")</f>
        <v>250</v>
      </c>
      <c r="I69">
        <f t="shared" ref="I69:I71" si="138" xml:space="preserve"> IF(LEN(ChartLines.Hex6)=6, HEX2DEC(MID(ChartLines.Hex6, 3, 2)), "·")</f>
        <v>155</v>
      </c>
      <c r="J69">
        <f t="shared" ref="J69:J71" si="139" xml:space="preserve"> IF(LEN(ChartLines.Hex6)=6, HEX2DEC(RIGHT(ChartLines.Hex6, 2)), "·")</f>
        <v>30</v>
      </c>
      <c r="K69" cm="1">
        <f t="array" ref="K69" xml:space="preserve"> 1 + ROW() - _xlfn.SINGLE(ROW(ChartLines.RowNum))</f>
        <v>67</v>
      </c>
    </row>
    <row r="70" spans="2:11">
      <c r="B70" t="s">
        <v>2289</v>
      </c>
      <c r="C70" t="s">
        <v>2290</v>
      </c>
      <c r="E70">
        <f t="shared" si="130"/>
        <v>2</v>
      </c>
      <c r="F70">
        <f t="shared" si="131"/>
        <v>1</v>
      </c>
      <c r="G70" t="str" cm="1">
        <f t="array" ref="G70" xml:space="preserve"> _xlfn.IFS(OR(LEN(_xlfn.SINGLE(ChartLines.ID))=0,"Unused"=_xlfn.SINGLE(ChartLines.ID)), "·",   1=_xlfn.SINGLE(ChartLines.NumInstances), IF("USD"=_xlfn.SINGLE(ChartLines.ID), "SoleBig", "SoleOrdinary"),   1=_xlfn.SINGLE(ChartLines.InstanceNum), "Outer",   TRUE, "Inner")</f>
        <v>Outer</v>
      </c>
      <c r="H70">
        <f t="shared" si="132"/>
        <v>173</v>
      </c>
      <c r="I70">
        <f t="shared" si="133"/>
        <v>29</v>
      </c>
      <c r="J70">
        <f t="shared" si="134"/>
        <v>37</v>
      </c>
      <c r="K70" cm="1">
        <f t="array" ref="K70" xml:space="preserve"> 1 + ROW() - _xlfn.SINGLE(ROW(ChartLines.RowNum))</f>
        <v>68</v>
      </c>
    </row>
    <row r="71" spans="2:11">
      <c r="B71" t="s">
        <v>2289</v>
      </c>
      <c r="C71" t="s">
        <v>1853</v>
      </c>
      <c r="E71">
        <f t="shared" si="135"/>
        <v>2</v>
      </c>
      <c r="F71">
        <f t="shared" si="136"/>
        <v>2</v>
      </c>
      <c r="G71" t="str" cm="1">
        <f t="array" ref="G71" xml:space="preserve"> _xlfn.IFS(OR(LEN(_xlfn.SINGLE(ChartLines.ID))=0,"Unused"=_xlfn.SINGLE(ChartLines.ID)), "·",   1=_xlfn.SINGLE(ChartLines.NumInstances), IF("USD"=_xlfn.SINGLE(ChartLines.ID), "SoleBig", "SoleOrdinary"),   1=_xlfn.SINGLE(ChartLines.InstanceNum), "Outer",   TRUE, "Inner")</f>
        <v>Inner</v>
      </c>
      <c r="H71">
        <f t="shared" si="137"/>
        <v>250</v>
      </c>
      <c r="I71">
        <f t="shared" si="138"/>
        <v>155</v>
      </c>
      <c r="J71">
        <f t="shared" si="139"/>
        <v>30</v>
      </c>
      <c r="K71" cm="1">
        <f t="array" ref="K71" xml:space="preserve"> 1 + ROW() - _xlfn.SINGLE(ROW(ChartLines.RowNum))</f>
        <v>69</v>
      </c>
    </row>
    <row r="72" spans="2:11">
      <c r="B72" t="s">
        <v>655</v>
      </c>
      <c r="C72">
        <v>663319</v>
      </c>
      <c r="E72">
        <f t="shared" ref="E72:E74" si="140" xml:space="preserve"> IF(AND(LEN(ChartLines.ID)&gt;0,"Unused"&lt;&gt;ChartLines.ID), COUNTIFS(ChartLines.ID,ChartLines.ID), "·")</f>
        <v>2</v>
      </c>
      <c r="F72">
        <f t="shared" ref="F72:F74" si="141" xml:space="preserve"> IF(AND(LEN(ChartLines.ID)&gt;0,"Unused"&lt;&gt;ChartLines.ID), COUNTIFS(ChartLines.ID,ChartLines.ID,   ChartLines.RowNum,"&lt;="&amp;ChartLines.RowNum), "·")</f>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ref="H72:H74" si="142" xml:space="preserve"> IF(LEN(ChartLines.Hex6)=6, HEX2DEC(LEFT(ChartLines.Hex6, 2)), "·")</f>
        <v>102</v>
      </c>
      <c r="I72">
        <f t="shared" ref="I72:I74" si="143" xml:space="preserve"> IF(LEN(ChartLines.Hex6)=6, HEX2DEC(MID(ChartLines.Hex6, 3, 2)), "·")</f>
        <v>51</v>
      </c>
      <c r="J72">
        <f t="shared" ref="J72:J74" si="144" xml:space="preserve"> IF(LEN(ChartLines.Hex6)=6, HEX2DEC(RIGHT(ChartLines.Hex6, 2)), "·")</f>
        <v>25</v>
      </c>
      <c r="K72" cm="1">
        <f t="array" ref="K72" xml:space="preserve"> 1 + ROW() - _xlfn.SINGLE(ROW(ChartLines.RowNum))</f>
        <v>70</v>
      </c>
    </row>
    <row r="73" spans="2:11">
      <c r="B73" t="s">
        <v>655</v>
      </c>
      <c r="C73" t="s">
        <v>1854</v>
      </c>
      <c r="E73">
        <f t="shared" ref="E73:E75" si="145" xml:space="preserve"> IF(AND(LEN(ChartLines.ID)&gt;0,"Unused"&lt;&gt;ChartLines.ID), COUNTIFS(ChartLines.ID,ChartLines.ID), "·")</f>
        <v>2</v>
      </c>
      <c r="F73">
        <f t="shared" ref="F73:F75" si="146" xml:space="preserve"> IF(AND(LEN(ChartLines.ID)&gt;0,"Unused"&lt;&gt;ChartLines.ID), COUNTIFS(ChartLines.ID,ChartLines.ID,   ChartLines.RowNum,"&lt;="&amp;ChartLines.RowNum), "·")</f>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ref="H73:H75" si="147" xml:space="preserve"> IF(LEN(ChartLines.Hex6)=6, HEX2DEC(LEFT(ChartLines.Hex6, 2)), "·")</f>
        <v>255</v>
      </c>
      <c r="I73">
        <f t="shared" ref="I73:I75" si="148" xml:space="preserve"> IF(LEN(ChartLines.Hex6)=6, HEX2DEC(MID(ChartLines.Hex6, 3, 2)), "·")</f>
        <v>204</v>
      </c>
      <c r="J73">
        <f t="shared" ref="J73:J75" si="149" xml:space="preserve"> IF(LEN(ChartLines.Hex6)=6, HEX2DEC(RIGHT(ChartLines.Hex6, 2)), "·")</f>
        <v>51</v>
      </c>
      <c r="K73" cm="1">
        <f t="array" ref="K73" xml:space="preserve"> 1 + ROW() - _xlfn.SINGLE(ROW(ChartLines.RowNum))</f>
        <v>71</v>
      </c>
    </row>
    <row r="74" spans="2:11">
      <c r="B74" t="s">
        <v>2291</v>
      </c>
      <c r="C74" t="s">
        <v>1854</v>
      </c>
      <c r="E74">
        <f t="shared" si="140"/>
        <v>2</v>
      </c>
      <c r="F74">
        <f t="shared" si="141"/>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si="142"/>
        <v>255</v>
      </c>
      <c r="I74">
        <f t="shared" si="143"/>
        <v>204</v>
      </c>
      <c r="J74">
        <f t="shared" si="144"/>
        <v>51</v>
      </c>
      <c r="K74" cm="1">
        <f t="array" ref="K74" xml:space="preserve"> 1 + ROW() - _xlfn.SINGLE(ROW(ChartLines.RowNum))</f>
        <v>72</v>
      </c>
    </row>
    <row r="75" spans="2:11">
      <c r="B75" t="s">
        <v>2291</v>
      </c>
      <c r="C75">
        <v>663319</v>
      </c>
      <c r="E75">
        <f t="shared" si="145"/>
        <v>2</v>
      </c>
      <c r="F75">
        <f t="shared" si="146"/>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si="147"/>
        <v>102</v>
      </c>
      <c r="I75">
        <f t="shared" si="148"/>
        <v>51</v>
      </c>
      <c r="J75">
        <f t="shared" si="149"/>
        <v>25</v>
      </c>
      <c r="K75" cm="1">
        <f t="array" ref="K75" xml:space="preserve"> 1 + ROW() - _xlfn.SINGLE(ROW(ChartLines.RowNum))</f>
        <v>73</v>
      </c>
    </row>
    <row r="76" spans="2:11">
      <c r="B76" t="s">
        <v>656</v>
      </c>
      <c r="C76" t="s">
        <v>1844</v>
      </c>
      <c r="E76">
        <f t="shared" ref="E76:E78" si="150" xml:space="preserve"> IF(AND(LEN(ChartLines.ID)&gt;0,"Unused"&lt;&gt;ChartLines.ID), COUNTIFS(ChartLines.ID,ChartLines.ID), "·")</f>
        <v>2</v>
      </c>
      <c r="F76">
        <f t="shared" ref="F76:F78" si="151" xml:space="preserve"> IF(AND(LEN(ChartLines.ID)&gt;0,"Unused"&lt;&gt;ChartLines.ID), COUNTIFS(ChartLines.ID,ChartLines.ID,   ChartLines.RowNum,"&lt;="&amp;ChartLines.RowNum), "·")</f>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ref="H76:H78" si="152" xml:space="preserve"> IF(LEN(ChartLines.Hex6)=6, HEX2DEC(LEFT(ChartLines.Hex6, 2)), "·")</f>
        <v>200</v>
      </c>
      <c r="I76">
        <f t="shared" ref="I76:I78" si="153" xml:space="preserve"> IF(LEN(ChartLines.Hex6)=6, HEX2DEC(MID(ChartLines.Hex6, 3, 2)), "·")</f>
        <v>16</v>
      </c>
      <c r="J76">
        <f t="shared" ref="J76:J78" si="154" xml:space="preserve"> IF(LEN(ChartLines.Hex6)=6, HEX2DEC(RIGHT(ChartLines.Hex6, 2)), "·")</f>
        <v>46</v>
      </c>
      <c r="K76" cm="1">
        <f t="array" ref="K76" xml:space="preserve"> 1 + ROW() - _xlfn.SINGLE(ROW(ChartLines.RowNum))</f>
        <v>74</v>
      </c>
    </row>
    <row r="77" spans="2:11">
      <c r="B77" t="s">
        <v>656</v>
      </c>
      <c r="C77" t="s">
        <v>1839</v>
      </c>
      <c r="E77">
        <f t="shared" ref="E77:E79" si="155" xml:space="preserve"> IF(AND(LEN(ChartLines.ID)&gt;0,"Unused"&lt;&gt;ChartLines.ID), COUNTIFS(ChartLines.ID,ChartLines.ID), "·")</f>
        <v>2</v>
      </c>
      <c r="F77">
        <f t="shared" ref="F77:F79" si="156" xml:space="preserve"> IF(AND(LEN(ChartLines.ID)&gt;0,"Unused"&lt;&gt;ChartLines.ID), COUNTIFS(ChartLines.ID,ChartLines.ID,   ChartLines.RowNum,"&lt;="&amp;ChartLines.RowNum), "·")</f>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ref="H77:H79" si="157" xml:space="preserve"> IF(LEN(ChartLines.Hex6)=6, HEX2DEC(LEFT(ChartLines.Hex6, 2)), "·")</f>
        <v>255</v>
      </c>
      <c r="I77">
        <f t="shared" ref="I77:I79" si="158" xml:space="preserve"> IF(LEN(ChartLines.Hex6)=6, HEX2DEC(MID(ChartLines.Hex6, 3, 2)), "·")</f>
        <v>255</v>
      </c>
      <c r="J77">
        <f t="shared" ref="J77:J79" si="159" xml:space="preserve"> IF(LEN(ChartLines.Hex6)=6, HEX2DEC(RIGHT(ChartLines.Hex6, 2)), "·")</f>
        <v>255</v>
      </c>
      <c r="K77" cm="1">
        <f t="array" ref="K77" xml:space="preserve"> 1 + ROW() - _xlfn.SINGLE(ROW(ChartLines.RowNum))</f>
        <v>75</v>
      </c>
    </row>
    <row r="78" spans="2:11">
      <c r="B78" t="s">
        <v>2280</v>
      </c>
      <c r="C78" t="s">
        <v>1844</v>
      </c>
      <c r="E78">
        <f t="shared" si="150"/>
        <v>2</v>
      </c>
      <c r="F78">
        <f t="shared" si="151"/>
        <v>1</v>
      </c>
      <c r="G78" t="str" cm="1">
        <f t="array" ref="G78" xml:space="preserve"> _xlfn.IFS(OR(LEN(_xlfn.SINGLE(ChartLines.ID))=0,"Unused"=_xlfn.SINGLE(ChartLines.ID)), "·",   1=_xlfn.SINGLE(ChartLines.NumInstances), IF("USD"=_xlfn.SINGLE(ChartLines.ID), "SoleBig", "SoleOrdinary"),   1=_xlfn.SINGLE(ChartLines.InstanceNum), "Outer",   TRUE, "Inner")</f>
        <v>Outer</v>
      </c>
      <c r="H78">
        <f t="shared" si="152"/>
        <v>200</v>
      </c>
      <c r="I78">
        <f t="shared" si="153"/>
        <v>16</v>
      </c>
      <c r="J78">
        <f t="shared" si="154"/>
        <v>46</v>
      </c>
      <c r="K78" cm="1">
        <f t="array" ref="K78" xml:space="preserve"> 1 + ROW() - _xlfn.SINGLE(ROW(ChartLines.RowNum))</f>
        <v>76</v>
      </c>
    </row>
    <row r="79" spans="2:11">
      <c r="B79" t="s">
        <v>2280</v>
      </c>
      <c r="C79" t="str">
        <f xml:space="preserve"> "000000"</f>
        <v>000000</v>
      </c>
      <c r="E79">
        <f t="shared" si="155"/>
        <v>2</v>
      </c>
      <c r="F79">
        <f t="shared" si="156"/>
        <v>2</v>
      </c>
      <c r="G79" t="str" cm="1">
        <f t="array" ref="G79" xml:space="preserve"> _xlfn.IFS(OR(LEN(_xlfn.SINGLE(ChartLines.ID))=0,"Unused"=_xlfn.SINGLE(ChartLines.ID)), "·",   1=_xlfn.SINGLE(ChartLines.NumInstances), IF("USD"=_xlfn.SINGLE(ChartLines.ID), "SoleBig", "SoleOrdinary"),   1=_xlfn.SINGLE(ChartLines.InstanceNum), "Outer",   TRUE, "Inner")</f>
        <v>Inner</v>
      </c>
      <c r="H79">
        <f t="shared" si="157"/>
        <v>0</v>
      </c>
      <c r="I79">
        <f t="shared" si="158"/>
        <v>0</v>
      </c>
      <c r="J79">
        <f t="shared" si="159"/>
        <v>0</v>
      </c>
      <c r="K79" cm="1">
        <f t="array" ref="K79" xml:space="preserve"> 1 + ROW() - _xlfn.SINGLE(ROW(ChartLines.RowNum))</f>
        <v>77</v>
      </c>
    </row>
    <row r="80" spans="2:11">
      <c r="B80" t="s">
        <v>657</v>
      </c>
      <c r="C80" t="s">
        <v>1855</v>
      </c>
      <c r="E80">
        <f t="shared" ref="E80:E82" si="160" xml:space="preserve"> IF(AND(LEN(ChartLines.ID)&gt;0,"Unused"&lt;&gt;ChartLines.ID), COUNTIFS(ChartLines.ID,ChartLines.ID), "·")</f>
        <v>1</v>
      </c>
      <c r="F80">
        <f t="shared" ref="F80:F82" si="161" xml:space="preserve"> IF(AND(LEN(ChartLines.ID)&gt;0,"Unused"&lt;&gt;ChartLines.ID), COUNTIFS(ChartLines.ID,ChartLines.ID,   ChartLines.RowNum,"&lt;="&amp;ChartLines.RowNum), "·")</f>
        <v>1</v>
      </c>
      <c r="G80" t="str" cm="1">
        <f t="array" ref="G80" xml:space="preserve"> _xlfn.IFS(OR(LEN(_xlfn.SINGLE(ChartLines.ID))=0,"Unused"=_xlfn.SINGLE(ChartLines.ID)), "·",   1=_xlfn.SINGLE(ChartLines.NumInstances), IF("USD"=_xlfn.SINGLE(ChartLines.ID), "SoleBig", "SoleOrdinary"),   1=_xlfn.SINGLE(ChartLines.InstanceNum), "Outer",   TRUE, "Inner")</f>
        <v>SoleOrdinary</v>
      </c>
      <c r="H80">
        <f t="shared" ref="H80:H82" si="162" xml:space="preserve"> IF(LEN(ChartLines.Hex6)=6, HEX2DEC(LEFT(ChartLines.Hex6, 2)), "·")</f>
        <v>0</v>
      </c>
      <c r="I80">
        <f t="shared" ref="I80:I82" si="163" xml:space="preserve"> IF(LEN(ChartLines.Hex6)=6, HEX2DEC(MID(ChartLines.Hex6, 3, 2)), "·")</f>
        <v>47</v>
      </c>
      <c r="J80">
        <f t="shared" ref="J80:J82" si="164" xml:space="preserve"> IF(LEN(ChartLines.Hex6)=6, HEX2DEC(RIGHT(ChartLines.Hex6, 2)), "·")</f>
        <v>108</v>
      </c>
      <c r="K80" cm="1">
        <f t="array" ref="K80" xml:space="preserve"> 1 + ROW() - _xlfn.SINGLE(ROW(ChartLines.RowNum))</f>
        <v>78</v>
      </c>
    </row>
    <row r="81" spans="2:11">
      <c r="B81" t="s">
        <v>1835</v>
      </c>
      <c r="E81" t="str">
        <f t="shared" ref="E81:E83" si="165" xml:space="preserve"> IF(AND(LEN(ChartLines.ID)&gt;0,"Unused"&lt;&gt;ChartLines.ID), COUNTIFS(ChartLines.ID,ChartLines.ID), "·")</f>
        <v>·</v>
      </c>
      <c r="F81" t="str">
        <f t="shared" ref="F81:F83" si="166" xml:space="preserve"> IF(AND(LEN(ChartLines.ID)&gt;0,"Unused"&lt;&gt;ChartLines.ID), COUNTIFS(ChartLines.ID,ChartLines.ID,   ChartLines.RowNum,"&lt;="&amp;ChartLines.RowNum), "·")</f>
        <v>·</v>
      </c>
      <c r="G81" t="str" cm="1">
        <f t="array" ref="G81" xml:space="preserve"> _xlfn.IFS(OR(LEN(_xlfn.SINGLE(ChartLines.ID))=0,"Unused"=_xlfn.SINGLE(ChartLines.ID)), "·",   1=_xlfn.SINGLE(ChartLines.NumInstances), IF("USD"=_xlfn.SINGLE(ChartLines.ID), "SoleBig", "SoleOrdinary"),   1=_xlfn.SINGLE(ChartLines.InstanceNum), "Outer",   TRUE, "Inner")</f>
        <v>·</v>
      </c>
      <c r="H81" t="str">
        <f t="shared" ref="H81:H83" si="167" xml:space="preserve"> IF(LEN(ChartLines.Hex6)=6, HEX2DEC(LEFT(ChartLines.Hex6, 2)), "·")</f>
        <v>·</v>
      </c>
      <c r="I81" t="str">
        <f t="shared" ref="I81:I83" si="168" xml:space="preserve"> IF(LEN(ChartLines.Hex6)=6, HEX2DEC(MID(ChartLines.Hex6, 3, 2)), "·")</f>
        <v>·</v>
      </c>
      <c r="J81" t="str">
        <f t="shared" ref="J81:J83" si="169" xml:space="preserve"> IF(LEN(ChartLines.Hex6)=6, HEX2DEC(RIGHT(ChartLines.Hex6, 2)), "·")</f>
        <v>·</v>
      </c>
      <c r="K81" cm="1">
        <f t="array" ref="K81" xml:space="preserve"> 1 + ROW() - _xlfn.SINGLE(ROW(ChartLines.RowNum))</f>
        <v>79</v>
      </c>
    </row>
    <row r="82" spans="2:11">
      <c r="B82" t="s">
        <v>2292</v>
      </c>
      <c r="C82" t="s">
        <v>1855</v>
      </c>
      <c r="E82">
        <f t="shared" si="160"/>
        <v>2</v>
      </c>
      <c r="F82">
        <f t="shared" si="161"/>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si="162"/>
        <v>0</v>
      </c>
      <c r="I82">
        <f t="shared" si="163"/>
        <v>47</v>
      </c>
      <c r="J82">
        <f t="shared" si="164"/>
        <v>108</v>
      </c>
      <c r="K82" cm="1">
        <f t="array" ref="K82" xml:space="preserve"> 1 + ROW() - _xlfn.SINGLE(ROW(ChartLines.RowNum))</f>
        <v>80</v>
      </c>
    </row>
    <row r="83" spans="2:11">
      <c r="B83" t="s">
        <v>2292</v>
      </c>
      <c r="C83" t="str">
        <f xml:space="preserve"> "66CC66"</f>
        <v>66CC66</v>
      </c>
      <c r="E83">
        <f t="shared" si="165"/>
        <v>2</v>
      </c>
      <c r="F83">
        <f t="shared" si="166"/>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si="167"/>
        <v>102</v>
      </c>
      <c r="I83">
        <f t="shared" si="168"/>
        <v>204</v>
      </c>
      <c r="J83">
        <f t="shared" si="169"/>
        <v>102</v>
      </c>
      <c r="K83" cm="1">
        <f t="array" ref="K83" xml:space="preserve"> 1 + ROW() - _xlfn.SINGLE(ROW(ChartLines.RowNum))</f>
        <v>81</v>
      </c>
    </row>
    <row r="84" spans="2:11">
      <c r="B84" t="s">
        <v>171</v>
      </c>
      <c r="C84" t="s">
        <v>1856</v>
      </c>
      <c r="E84">
        <f t="shared" ref="E84:E86" si="170" xml:space="preserve"> IF(AND(LEN(ChartLines.ID)&gt;0,"Unused"&lt;&gt;ChartLines.ID), COUNTIFS(ChartLines.ID,ChartLines.ID), "·")</f>
        <v>2</v>
      </c>
      <c r="F84">
        <f t="shared" ref="F84:F86" si="171" xml:space="preserve"> IF(AND(LEN(ChartLines.ID)&gt;0,"Unused"&lt;&gt;ChartLines.ID), COUNTIFS(ChartLines.ID,ChartLines.ID,   ChartLines.RowNum,"&lt;="&amp;ChartLines.RowNum), "·")</f>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ref="H84:H86" si="172" xml:space="preserve"> IF(LEN(ChartLines.Hex6)=6, HEX2DEC(LEFT(ChartLines.Hex6, 2)), "·")</f>
        <v>0</v>
      </c>
      <c r="I84">
        <f t="shared" ref="I84:I86" si="173" xml:space="preserve"> IF(LEN(ChartLines.Hex6)=6, HEX2DEC(MID(ChartLines.Hex6, 3, 2)), "·")</f>
        <v>76</v>
      </c>
      <c r="J84">
        <f t="shared" ref="J84:J86" si="174" xml:space="preserve"> IF(LEN(ChartLines.Hex6)=6, HEX2DEC(RIGHT(ChartLines.Hex6, 2)), "·")</f>
        <v>152</v>
      </c>
      <c r="K84" cm="1">
        <f t="array" ref="K84" xml:space="preserve"> 1 + ROW() - _xlfn.SINGLE(ROW(ChartLines.RowNum))</f>
        <v>82</v>
      </c>
    </row>
    <row r="85" spans="2:11">
      <c r="B85" t="s">
        <v>171</v>
      </c>
      <c r="C85" t="s">
        <v>1839</v>
      </c>
      <c r="E85">
        <f t="shared" ref="E85:E87" si="175" xml:space="preserve"> IF(AND(LEN(ChartLines.ID)&gt;0,"Unused"&lt;&gt;ChartLines.ID), COUNTIFS(ChartLines.ID,ChartLines.ID), "·")</f>
        <v>2</v>
      </c>
      <c r="F85">
        <f t="shared" ref="F85:F87" si="176" xml:space="preserve"> IF(AND(LEN(ChartLines.ID)&gt;0,"Unused"&lt;&gt;ChartLines.ID), COUNTIFS(ChartLines.ID,ChartLines.ID,   ChartLines.RowNum,"&lt;="&amp;ChartLines.RowNum), "·")</f>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ref="H85:H87" si="177" xml:space="preserve"> IF(LEN(ChartLines.Hex6)=6, HEX2DEC(LEFT(ChartLines.Hex6, 2)), "·")</f>
        <v>255</v>
      </c>
      <c r="I85">
        <f t="shared" ref="I85:I87" si="178" xml:space="preserve"> IF(LEN(ChartLines.Hex6)=6, HEX2DEC(MID(ChartLines.Hex6, 3, 2)), "·")</f>
        <v>255</v>
      </c>
      <c r="J85">
        <f t="shared" ref="J85:J87" si="179" xml:space="preserve"> IF(LEN(ChartLines.Hex6)=6, HEX2DEC(RIGHT(ChartLines.Hex6, 2)), "·")</f>
        <v>255</v>
      </c>
      <c r="K85" cm="1">
        <f t="array" ref="K85" xml:space="preserve"> 1 + ROW() - _xlfn.SINGLE(ROW(ChartLines.RowNum))</f>
        <v>83</v>
      </c>
    </row>
    <row r="86" spans="2:11">
      <c r="B86" t="s">
        <v>2296</v>
      </c>
      <c r="C86" t="s">
        <v>1856</v>
      </c>
      <c r="E86">
        <f t="shared" si="170"/>
        <v>2</v>
      </c>
      <c r="F86">
        <f t="shared" si="171"/>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si="172"/>
        <v>0</v>
      </c>
      <c r="I86">
        <f t="shared" si="173"/>
        <v>76</v>
      </c>
      <c r="J86">
        <f t="shared" si="174"/>
        <v>152</v>
      </c>
      <c r="K86" cm="1">
        <f t="array" ref="K86" xml:space="preserve"> 1 + ROW() - _xlfn.SINGLE(ROW(ChartLines.RowNum))</f>
        <v>84</v>
      </c>
    </row>
    <row r="87" spans="2:11">
      <c r="B87" t="s">
        <v>2296</v>
      </c>
      <c r="C87" t="str">
        <f xml:space="preserve"> "00FF00"</f>
        <v>00FF00</v>
      </c>
      <c r="E87">
        <f t="shared" si="175"/>
        <v>2</v>
      </c>
      <c r="F87">
        <f t="shared" si="176"/>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si="177"/>
        <v>0</v>
      </c>
      <c r="I87">
        <f t="shared" si="178"/>
        <v>255</v>
      </c>
      <c r="J87">
        <f t="shared" si="179"/>
        <v>0</v>
      </c>
      <c r="K87" cm="1">
        <f t="array" ref="K87" xml:space="preserve"> 1 + ROW() - _xlfn.SINGLE(ROW(ChartLines.RowNum))</f>
        <v>85</v>
      </c>
    </row>
    <row r="88" spans="2:11">
      <c r="B88" t="s">
        <v>103</v>
      </c>
      <c r="C88" t="s">
        <v>1857</v>
      </c>
      <c r="E88">
        <f t="shared" ref="E88:E90" si="180" xml:space="preserve"> IF(AND(LEN(ChartLines.ID)&gt;0,"Unused"&lt;&gt;ChartLines.ID), COUNTIFS(ChartLines.ID,ChartLines.ID), "·")</f>
        <v>1</v>
      </c>
      <c r="F88">
        <f t="shared" ref="F88:F90" si="181" xml:space="preserve"> IF(AND(LEN(ChartLines.ID)&gt;0,"Unused"&lt;&gt;ChartLines.ID), COUNTIFS(ChartLines.ID,ChartLines.ID,   ChartLines.RowNum,"&lt;="&amp;ChartLines.RowNum), "·")</f>
        <v>1</v>
      </c>
      <c r="G88" t="str" cm="1">
        <f t="array" ref="G88" xml:space="preserve"> _xlfn.IFS(OR(LEN(_xlfn.SINGLE(ChartLines.ID))=0,"Unused"=_xlfn.SINGLE(ChartLines.ID)), "·",   1=_xlfn.SINGLE(ChartLines.NumInstances), IF("USD"=_xlfn.SINGLE(ChartLines.ID), "SoleBig", "SoleOrdinary"),   1=_xlfn.SINGLE(ChartLines.InstanceNum), "Outer",   TRUE, "Inner")</f>
        <v>SoleOrdinary</v>
      </c>
      <c r="H88">
        <f t="shared" ref="H88:H90" si="182" xml:space="preserve"> IF(LEN(ChartLines.Hex6)=6, HEX2DEC(LEFT(ChartLines.Hex6, 2)), "·")</f>
        <v>218</v>
      </c>
      <c r="I88">
        <f t="shared" ref="I88:I90" si="183" xml:space="preserve"> IF(LEN(ChartLines.Hex6)=6, HEX2DEC(MID(ChartLines.Hex6, 3, 2)), "·")</f>
        <v>41</v>
      </c>
      <c r="J88">
        <f t="shared" ref="J88:J90" si="184" xml:space="preserve"> IF(LEN(ChartLines.Hex6)=6, HEX2DEC(RIGHT(ChartLines.Hex6, 2)), "·")</f>
        <v>28</v>
      </c>
      <c r="K88" cm="1">
        <f t="array" ref="K88" xml:space="preserve"> 1 + ROW() - _xlfn.SINGLE(ROW(ChartLines.RowNum))</f>
        <v>86</v>
      </c>
    </row>
    <row r="89" spans="2:11">
      <c r="B89" t="s">
        <v>1835</v>
      </c>
      <c r="E89" t="str">
        <f t="shared" ref="E89:E91" si="185" xml:space="preserve"> IF(AND(LEN(ChartLines.ID)&gt;0,"Unused"&lt;&gt;ChartLines.ID), COUNTIFS(ChartLines.ID,ChartLines.ID), "·")</f>
        <v>·</v>
      </c>
      <c r="F89" t="str">
        <f t="shared" ref="F89:F91" si="186" xml:space="preserve"> IF(AND(LEN(ChartLines.ID)&gt;0,"Unused"&lt;&gt;ChartLines.ID), COUNTIFS(ChartLines.ID,ChartLines.ID,   ChartLines.RowNum,"&lt;="&amp;ChartLines.RowNum), "·")</f>
        <v>·</v>
      </c>
      <c r="G89" t="str" cm="1">
        <f t="array" ref="G89" xml:space="preserve"> _xlfn.IFS(OR(LEN(_xlfn.SINGLE(ChartLines.ID))=0,"Unused"=_xlfn.SINGLE(ChartLines.ID)), "·",   1=_xlfn.SINGLE(ChartLines.NumInstances), IF("USD"=_xlfn.SINGLE(ChartLines.ID), "SoleBig", "SoleOrdinary"),   1=_xlfn.SINGLE(ChartLines.InstanceNum), "Outer",   TRUE, "Inner")</f>
        <v>·</v>
      </c>
      <c r="H89" t="str">
        <f t="shared" ref="H89:H91" si="187" xml:space="preserve"> IF(LEN(ChartLines.Hex6)=6, HEX2DEC(LEFT(ChartLines.Hex6, 2)), "·")</f>
        <v>·</v>
      </c>
      <c r="I89" t="str">
        <f t="shared" ref="I89:I91" si="188" xml:space="preserve"> IF(LEN(ChartLines.Hex6)=6, HEX2DEC(MID(ChartLines.Hex6, 3, 2)), "·")</f>
        <v>·</v>
      </c>
      <c r="J89" t="str">
        <f t="shared" ref="J89:J91" si="189" xml:space="preserve"> IF(LEN(ChartLines.Hex6)=6, HEX2DEC(RIGHT(ChartLines.Hex6, 2)), "·")</f>
        <v>·</v>
      </c>
      <c r="K89" cm="1">
        <f t="array" ref="K89" xml:space="preserve"> 1 + ROW() - _xlfn.SINGLE(ROW(ChartLines.RowNum))</f>
        <v>87</v>
      </c>
    </row>
    <row r="90" spans="2:11">
      <c r="B90" t="s">
        <v>2297</v>
      </c>
      <c r="C90" t="s">
        <v>1857</v>
      </c>
      <c r="E90">
        <f t="shared" si="180"/>
        <v>2</v>
      </c>
      <c r="F90">
        <f t="shared" si="181"/>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si="182"/>
        <v>218</v>
      </c>
      <c r="I90">
        <f t="shared" si="183"/>
        <v>41</v>
      </c>
      <c r="J90">
        <f t="shared" si="184"/>
        <v>28</v>
      </c>
      <c r="K90" cm="1">
        <f t="array" ref="K90" xml:space="preserve"> 1 + ROW() - _xlfn.SINGLE(ROW(ChartLines.RowNum))</f>
        <v>88</v>
      </c>
    </row>
    <row r="91" spans="2:11">
      <c r="B91" t="s">
        <v>2297</v>
      </c>
      <c r="C91" t="str">
        <f xml:space="preserve"> "00FF00"</f>
        <v>00FF00</v>
      </c>
      <c r="E91">
        <f t="shared" si="185"/>
        <v>2</v>
      </c>
      <c r="F91">
        <f t="shared" si="186"/>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si="187"/>
        <v>0</v>
      </c>
      <c r="I91">
        <f t="shared" si="188"/>
        <v>255</v>
      </c>
      <c r="J91">
        <f t="shared" si="189"/>
        <v>0</v>
      </c>
      <c r="K91" cm="1">
        <f t="array" ref="K91" xml:space="preserve"> 1 + ROW() - _xlfn.SINGLE(ROW(ChartLines.RowNum))</f>
        <v>89</v>
      </c>
    </row>
    <row r="92" spans="2:11">
      <c r="B92" t="s">
        <v>675</v>
      </c>
      <c r="C92" t="s">
        <v>1858</v>
      </c>
      <c r="E92">
        <f t="shared" ref="E92:E94" si="190" xml:space="preserve"> IF(AND(LEN(ChartLines.ID)&gt;0,"Unused"&lt;&gt;ChartLines.ID), COUNTIFS(ChartLines.ID,ChartLines.ID), "·")</f>
        <v>2</v>
      </c>
      <c r="F92">
        <f t="shared" ref="F92:F94" si="19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Outer</v>
      </c>
      <c r="H92">
        <f t="shared" ref="H92:H94" si="192" xml:space="preserve"> IF(LEN(ChartLines.Hex6)=6, HEX2DEC(LEFT(ChartLines.Hex6, 2)), "·")</f>
        <v>255</v>
      </c>
      <c r="I92">
        <f t="shared" ref="I92:I94" si="193" xml:space="preserve"> IF(LEN(ChartLines.Hex6)=6, HEX2DEC(MID(ChartLines.Hex6, 3, 2)), "·")</f>
        <v>136</v>
      </c>
      <c r="J92">
        <f t="shared" ref="J92:J94" si="194" xml:space="preserve"> IF(LEN(ChartLines.Hex6)=6, HEX2DEC(RIGHT(ChartLines.Hex6, 2)), "·")</f>
        <v>62</v>
      </c>
      <c r="K92" cm="1">
        <f t="array" ref="K92" xml:space="preserve"> 1 + ROW() - _xlfn.SINGLE(ROW(ChartLines.RowNum))</f>
        <v>90</v>
      </c>
    </row>
    <row r="93" spans="2:11">
      <c r="B93" t="s">
        <v>675</v>
      </c>
      <c r="C93" t="s">
        <v>1859</v>
      </c>
      <c r="E93">
        <f t="shared" ref="E93:E95" si="195" xml:space="preserve"> IF(AND(LEN(ChartLines.ID)&gt;0,"Unused"&lt;&gt;ChartLines.ID), COUNTIFS(ChartLines.ID,ChartLines.ID), "·")</f>
        <v>2</v>
      </c>
      <c r="F93">
        <f t="shared" ref="F93:F95" si="196" xml:space="preserve"> IF(AND(LEN(ChartLines.ID)&gt;0,"Unused"&lt;&gt;ChartLines.ID), COUNTIFS(ChartLines.ID,ChartLines.ID,   ChartLines.RowNum,"&lt;="&amp;ChartLines.RowNum), "·")</f>
        <v>2</v>
      </c>
      <c r="G93" t="str" cm="1">
        <f t="array" ref="G93" xml:space="preserve"> _xlfn.IFS(OR(LEN(_xlfn.SINGLE(ChartLines.ID))=0,"Unused"=_xlfn.SINGLE(ChartLines.ID)), "·",   1=_xlfn.SINGLE(ChartLines.NumInstances), IF("USD"=_xlfn.SINGLE(ChartLines.ID), "SoleBig", "SoleOrdinary"),   1=_xlfn.SINGLE(ChartLines.InstanceNum), "Outer",   TRUE, "Inner")</f>
        <v>Inner</v>
      </c>
      <c r="H93">
        <f t="shared" ref="H93:H95" si="197" xml:space="preserve"> IF(LEN(ChartLines.Hex6)=6, HEX2DEC(LEFT(ChartLines.Hex6, 2)), "·")</f>
        <v>22</v>
      </c>
      <c r="I93">
        <f t="shared" ref="I93:I95" si="198" xml:space="preserve"> IF(LEN(ChartLines.Hex6)=6, HEX2DEC(MID(ChartLines.Hex6, 3, 2)), "·")</f>
        <v>155</v>
      </c>
      <c r="J93">
        <f t="shared" ref="J93:J95" si="199" xml:space="preserve"> IF(LEN(ChartLines.Hex6)=6, HEX2DEC(RIGHT(ChartLines.Hex6, 2)), "·")</f>
        <v>98</v>
      </c>
      <c r="K93" cm="1">
        <f t="array" ref="K93" xml:space="preserve"> 1 + ROW() - _xlfn.SINGLE(ROW(ChartLines.RowNum))</f>
        <v>91</v>
      </c>
    </row>
    <row r="94" spans="2:11">
      <c r="B94" t="s">
        <v>2298</v>
      </c>
      <c r="C94" t="s">
        <v>1859</v>
      </c>
      <c r="E94">
        <f t="shared" si="190"/>
        <v>2</v>
      </c>
      <c r="F94">
        <f t="shared" si="191"/>
        <v>1</v>
      </c>
      <c r="G94" t="str" cm="1">
        <f t="array" ref="G94" xml:space="preserve"> _xlfn.IFS(OR(LEN(_xlfn.SINGLE(ChartLines.ID))=0,"Unused"=_xlfn.SINGLE(ChartLines.ID)), "·",   1=_xlfn.SINGLE(ChartLines.NumInstances), IF("USD"=_xlfn.SINGLE(ChartLines.ID), "SoleBig", "SoleOrdinary"),   1=_xlfn.SINGLE(ChartLines.InstanceNum), "Outer",   TRUE, "Inner")</f>
        <v>Outer</v>
      </c>
      <c r="H94">
        <f t="shared" si="192"/>
        <v>22</v>
      </c>
      <c r="I94">
        <f t="shared" si="193"/>
        <v>155</v>
      </c>
      <c r="J94">
        <f t="shared" si="194"/>
        <v>98</v>
      </c>
      <c r="K94" cm="1">
        <f t="array" ref="K94" xml:space="preserve"> 1 + ROW() - _xlfn.SINGLE(ROW(ChartLines.RowNum))</f>
        <v>92</v>
      </c>
    </row>
    <row r="95" spans="2:11">
      <c r="B95" t="s">
        <v>2298</v>
      </c>
      <c r="C95" t="s">
        <v>1858</v>
      </c>
      <c r="E95">
        <f t="shared" si="195"/>
        <v>2</v>
      </c>
      <c r="F95">
        <f t="shared" si="196"/>
        <v>2</v>
      </c>
      <c r="G95" t="str" cm="1">
        <f t="array" ref="G95" xml:space="preserve"> _xlfn.IFS(OR(LEN(_xlfn.SINGLE(ChartLines.ID))=0,"Unused"=_xlfn.SINGLE(ChartLines.ID)), "·",   1=_xlfn.SINGLE(ChartLines.NumInstances), IF("USD"=_xlfn.SINGLE(ChartLines.ID), "SoleBig", "SoleOrdinary"),   1=_xlfn.SINGLE(ChartLines.InstanceNum), "Outer",   TRUE, "Inner")</f>
        <v>Inner</v>
      </c>
      <c r="H95">
        <f t="shared" si="197"/>
        <v>255</v>
      </c>
      <c r="I95">
        <f t="shared" si="198"/>
        <v>136</v>
      </c>
      <c r="J95">
        <f t="shared" si="199"/>
        <v>62</v>
      </c>
      <c r="K95" cm="1">
        <f t="array" ref="K95" xml:space="preserve"> 1 + ROW() - _xlfn.SINGLE(ROW(ChartLines.RowNum))</f>
        <v>93</v>
      </c>
    </row>
    <row r="96" spans="2:11">
      <c r="B96" t="s">
        <v>358</v>
      </c>
      <c r="C96" t="s">
        <v>1837</v>
      </c>
      <c r="E96">
        <f t="shared" ref="E96:E98" si="200" xml:space="preserve"> IF(AND(LEN(ChartLines.ID)&gt;0,"Unused"&lt;&gt;ChartLines.ID), COUNTIFS(ChartLines.ID,ChartLines.ID), "·")</f>
        <v>2</v>
      </c>
      <c r="F96">
        <f t="shared" ref="F96:F98" si="20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H98" si="202" xml:space="preserve"> IF(LEN(ChartLines.Hex6)=6, HEX2DEC(LEFT(ChartLines.Hex6, 2)), "·")</f>
        <v>239</v>
      </c>
      <c r="I96">
        <f t="shared" ref="I96:I98" si="203" xml:space="preserve"> IF(LEN(ChartLines.Hex6)=6, HEX2DEC(MID(ChartLines.Hex6, 3, 2)), "·")</f>
        <v>51</v>
      </c>
      <c r="J96">
        <f t="shared" ref="J96:J98" si="204" xml:space="preserve"> IF(LEN(ChartLines.Hex6)=6, HEX2DEC(RIGHT(ChartLines.Hex6, 2)), "·")</f>
        <v>64</v>
      </c>
      <c r="K96" cm="1">
        <f t="array" ref="K96" xml:space="preserve"> 1 + ROW() - _xlfn.SINGLE(ROW(ChartLines.RowNum))</f>
        <v>94</v>
      </c>
    </row>
    <row r="97" spans="2:11">
      <c r="B97" t="s">
        <v>358</v>
      </c>
      <c r="C97" t="s">
        <v>1860</v>
      </c>
      <c r="E97">
        <f t="shared" ref="E97:E99" si="205" xml:space="preserve"> IF(AND(LEN(ChartLines.ID)&gt;0,"Unused"&lt;&gt;ChartLines.ID), COUNTIFS(ChartLines.ID,ChartLines.ID), "·")</f>
        <v>2</v>
      </c>
      <c r="F97">
        <f t="shared" ref="F97:F99" si="20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H99" si="207" xml:space="preserve"> IF(LEN(ChartLines.Hex6)=6, HEX2DEC(LEFT(ChartLines.Hex6, 2)), "·")</f>
        <v>3</v>
      </c>
      <c r="I97">
        <f t="shared" ref="I97:I99" si="208" xml:space="preserve"> IF(LEN(ChartLines.Hex6)=6, HEX2DEC(MID(ChartLines.Hex6, 3, 2)), "·")</f>
        <v>77</v>
      </c>
      <c r="J97">
        <f t="shared" ref="J97:J99" si="209" xml:space="preserve"> IF(LEN(ChartLines.Hex6)=6, HEX2DEC(RIGHT(ChartLines.Hex6, 2)), "·")</f>
        <v>163</v>
      </c>
      <c r="K97" cm="1">
        <f t="array" ref="K97" xml:space="preserve"> 1 + ROW() - _xlfn.SINGLE(ROW(ChartLines.RowNum))</f>
        <v>95</v>
      </c>
    </row>
    <row r="98" spans="2:11">
      <c r="B98" t="s">
        <v>2293</v>
      </c>
      <c r="C98" t="s">
        <v>1860</v>
      </c>
      <c r="E98">
        <f t="shared" si="200"/>
        <v>2</v>
      </c>
      <c r="F98">
        <f t="shared" si="201"/>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si="202"/>
        <v>3</v>
      </c>
      <c r="I98">
        <f t="shared" si="203"/>
        <v>77</v>
      </c>
      <c r="J98">
        <f t="shared" si="204"/>
        <v>163</v>
      </c>
      <c r="K98" cm="1">
        <f t="array" ref="K98" xml:space="preserve"> 1 + ROW() - _xlfn.SINGLE(ROW(ChartLines.RowNum))</f>
        <v>96</v>
      </c>
    </row>
    <row r="99" spans="2:11">
      <c r="B99" t="s">
        <v>2293</v>
      </c>
      <c r="C99" t="s">
        <v>1837</v>
      </c>
      <c r="E99">
        <f t="shared" si="205"/>
        <v>2</v>
      </c>
      <c r="F99">
        <f t="shared" si="206"/>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si="207"/>
        <v>239</v>
      </c>
      <c r="I99">
        <f t="shared" si="208"/>
        <v>51</v>
      </c>
      <c r="J99">
        <f t="shared" si="209"/>
        <v>64</v>
      </c>
      <c r="K99" cm="1">
        <f t="array" ref="K99" xml:space="preserve"> 1 + ROW() - _xlfn.SINGLE(ROW(ChartLines.RowNum))</f>
        <v>97</v>
      </c>
    </row>
    <row r="100" spans="2:11">
      <c r="B100" t="s">
        <v>614</v>
      </c>
      <c r="C100" t="s">
        <v>2162</v>
      </c>
      <c r="E100">
        <f t="shared" ref="E100" si="210" xml:space="preserve"> IF(AND(LEN(ChartLines.ID)&gt;0,"Unused"&lt;&gt;ChartLines.ID), COUNTIFS(ChartLines.ID,ChartLines.ID), "·")</f>
        <v>2</v>
      </c>
      <c r="F100">
        <f t="shared" ref="F100" si="21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12" xml:space="preserve"> IF(LEN(ChartLines.Hex6)=6, HEX2DEC(LEFT(ChartLines.Hex6, 2)), "·")</f>
        <v>0</v>
      </c>
      <c r="I100">
        <f t="shared" ref="I100" si="213" xml:space="preserve"> IF(LEN(ChartLines.Hex6)=6, HEX2DEC(MID(ChartLines.Hex6, 3, 2)), "·")</f>
        <v>96</v>
      </c>
      <c r="J100">
        <f t="shared" ref="J100" si="214" xml:space="preserve"> IF(LEN(ChartLines.Hex6)=6, HEX2DEC(RIGHT(ChartLines.Hex6, 2)), "·")</f>
        <v>255</v>
      </c>
      <c r="K100" cm="1">
        <f t="array" ref="K100" xml:space="preserve"> 1 + ROW() - _xlfn.SINGLE(ROW(ChartLines.RowNum))</f>
        <v>98</v>
      </c>
    </row>
    <row r="101" spans="2:11">
      <c r="B101" t="s">
        <v>614</v>
      </c>
      <c r="C101" t="s">
        <v>1861</v>
      </c>
      <c r="E101">
        <f t="shared" ref="E101" si="215" xml:space="preserve"> IF(AND(LEN(ChartLines.ID)&gt;0,"Unused"&lt;&gt;ChartLines.ID), COUNTIFS(ChartLines.ID,ChartLines.ID), "·")</f>
        <v>2</v>
      </c>
      <c r="F101">
        <f t="shared" ref="F101" si="21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17" xml:space="preserve"> IF(LEN(ChartLines.Hex6)=6, HEX2DEC(LEFT(ChartLines.Hex6, 2)), "·")</f>
        <v>255</v>
      </c>
      <c r="I101">
        <f t="shared" ref="I101" si="218" xml:space="preserve"> IF(LEN(ChartLines.Hex6)=6, HEX2DEC(MID(ChartLines.Hex6, 3, 2)), "·")</f>
        <v>230</v>
      </c>
      <c r="J101">
        <f t="shared" ref="J101" si="219" xml:space="preserve"> IF(LEN(ChartLines.Hex6)=6, HEX2DEC(RIGHT(ChartLines.Hex6, 2)), "·")</f>
        <v>0</v>
      </c>
      <c r="K101" cm="1">
        <f t="array" ref="K101" xml:space="preserve"> 1 + ROW() - _xlfn.SINGLE(ROW(ChartLines.RowNum))</f>
        <v>99</v>
      </c>
    </row>
    <row r="102" spans="2:11">
      <c r="B102" t="s">
        <v>104</v>
      </c>
      <c r="C102" t="s">
        <v>1862</v>
      </c>
      <c r="E102">
        <f t="shared" ref="E102" si="220" xml:space="preserve"> IF(AND(LEN(ChartLines.ID)&gt;0,"Unused"&lt;&gt;ChartLines.ID), COUNTIFS(ChartLines.ID,ChartLines.ID), "·")</f>
        <v>1</v>
      </c>
      <c r="F102">
        <f t="shared" ref="F102" si="22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SoleOrdinary</v>
      </c>
      <c r="H102">
        <f t="shared" ref="H102" si="222" xml:space="preserve"> IF(LEN(ChartLines.Hex6)=6, HEX2DEC(LEFT(ChartLines.Hex6, 2)), "·")</f>
        <v>0</v>
      </c>
      <c r="I102">
        <f t="shared" ref="I102" si="223" xml:space="preserve"> IF(LEN(ChartLines.Hex6)=6, HEX2DEC(MID(ChartLines.Hex6, 3, 2)), "·")</f>
        <v>163</v>
      </c>
      <c r="J102">
        <f t="shared" ref="J102" si="224" xml:space="preserve"> IF(LEN(ChartLines.Hex6)=6, HEX2DEC(RIGHT(ChartLines.Hex6, 2)), "·")</f>
        <v>224</v>
      </c>
      <c r="K102" cm="1">
        <f t="array" ref="K102" xml:space="preserve"> 1 + ROW() - _xlfn.SINGLE(ROW(ChartLines.RowNum))</f>
        <v>100</v>
      </c>
    </row>
    <row r="103" spans="2:11">
      <c r="B103" t="s">
        <v>1835</v>
      </c>
      <c r="E103" t="str">
        <f t="shared" ref="E103" si="225" xml:space="preserve"> IF(AND(LEN(ChartLines.ID)&gt;0,"Unused"&lt;&gt;ChartLines.ID), COUNTIFS(ChartLines.ID,ChartLines.ID), "·")</f>
        <v>·</v>
      </c>
      <c r="F103" t="str">
        <f t="shared" ref="F103" si="226" xml:space="preserve"> IF(AND(LEN(ChartLines.ID)&gt;0,"Unused"&lt;&gt;ChartLines.ID), COUNTIFS(ChartLines.ID,ChartLines.ID,   ChartLines.RowNum,"&lt;="&amp;ChartLines.RowNum), "·")</f>
        <v>·</v>
      </c>
      <c r="G103" t="str" cm="1">
        <f t="array" ref="G103" xml:space="preserve"> _xlfn.IFS(OR(LEN(_xlfn.SINGLE(ChartLines.ID))=0,"Unused"=_xlfn.SINGLE(ChartLines.ID)), "·",   1=_xlfn.SINGLE(ChartLines.NumInstances), IF("USD"=_xlfn.SINGLE(ChartLines.ID), "SoleBig", "SoleOrdinary"),   1=_xlfn.SINGLE(ChartLines.InstanceNum), "Outer",   TRUE, "Inner")</f>
        <v>·</v>
      </c>
      <c r="H103" t="str">
        <f t="shared" ref="H103" si="227" xml:space="preserve"> IF(LEN(ChartLines.Hex6)=6, HEX2DEC(LEFT(ChartLines.Hex6, 2)), "·")</f>
        <v>·</v>
      </c>
      <c r="I103" t="str">
        <f t="shared" ref="I103" si="228" xml:space="preserve"> IF(LEN(ChartLines.Hex6)=6, HEX2DEC(MID(ChartLines.Hex6, 3, 2)), "·")</f>
        <v>·</v>
      </c>
      <c r="J103" t="str">
        <f t="shared" ref="J103" si="229" xml:space="preserve"> IF(LEN(ChartLines.Hex6)=6, HEX2DEC(RIGHT(ChartLines.Hex6, 2)), "·")</f>
        <v>·</v>
      </c>
      <c r="K103" cm="1">
        <f t="array" ref="K103" xml:space="preserve"> 1 + ROW() - _xlfn.SINGLE(ROW(ChartLines.RowNum))</f>
        <v>101</v>
      </c>
    </row>
    <row r="104" spans="2:11">
      <c r="B104" t="s">
        <v>1666</v>
      </c>
      <c r="C104" t="str">
        <f xml:space="preserve"> "000000"</f>
        <v>000000</v>
      </c>
      <c r="E104">
        <f t="shared" ref="E104" si="230" xml:space="preserve"> IF(AND(LEN(ChartLines.ID)&gt;0,"Unused"&lt;&gt;ChartLines.ID), COUNTIFS(ChartLines.ID,ChartLines.ID), "·")</f>
        <v>1</v>
      </c>
      <c r="F104">
        <f t="shared" ref="F104" si="23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f t="shared" ref="H104" si="232" xml:space="preserve"> IF(LEN(ChartLines.Hex6)=6, HEX2DEC(LEFT(ChartLines.Hex6, 2)), "·")</f>
        <v>0</v>
      </c>
      <c r="I104">
        <f t="shared" ref="I104" si="233" xml:space="preserve"> IF(LEN(ChartLines.Hex6)=6, HEX2DEC(MID(ChartLines.Hex6, 3, 2)), "·")</f>
        <v>0</v>
      </c>
      <c r="J104">
        <f t="shared" ref="J104" si="234" xml:space="preserve"> IF(LEN(ChartLines.Hex6)=6, HEX2DEC(RIGHT(ChartLines.Hex6, 2)), "·")</f>
        <v>0</v>
      </c>
      <c r="K104" cm="1">
        <f t="array" ref="K104" xml:space="preserve"> 1 + ROW() - _xlfn.SINGLE(ROW(ChartLines.RowNum))</f>
        <v>102</v>
      </c>
    </row>
    <row r="105" spans="2:11">
      <c r="B105" t="s">
        <v>1835</v>
      </c>
      <c r="E105" t="str">
        <f t="shared" ref="E105" si="235" xml:space="preserve"> IF(AND(LEN(ChartLines.ID)&gt;0,"Unused"&lt;&gt;ChartLines.ID), COUNTIFS(ChartLines.ID,ChartLines.ID), "·")</f>
        <v>·</v>
      </c>
      <c r="F105" t="str">
        <f t="shared" ref="F105" si="236"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f t="shared" ref="H105" si="237" xml:space="preserve"> IF(LEN(ChartLines.Hex6)=6, HEX2DEC(LEFT(ChartLines.Hex6, 2)), "·")</f>
        <v>·</v>
      </c>
      <c r="I105" t="str">
        <f t="shared" ref="I105" si="238" xml:space="preserve"> IF(LEN(ChartLines.Hex6)=6, HEX2DEC(MID(ChartLines.Hex6, 3, 2)), "·")</f>
        <v>·</v>
      </c>
      <c r="J105" t="str">
        <f t="shared" ref="J105" si="239" xml:space="preserve"> IF(LEN(ChartLines.Hex6)=6, HEX2DEC(RIGHT(ChartLines.Hex6, 2)), "·")</f>
        <v>·</v>
      </c>
      <c r="K105" cm="1">
        <f t="array" ref="K105" xml:space="preserve"> 1 + ROW() - _xlfn.SINGLE(ROW(ChartLines.RowNum))</f>
        <v>103</v>
      </c>
    </row>
    <row r="106" spans="2:11">
      <c r="B106" t="s">
        <v>359</v>
      </c>
      <c r="C106" t="s">
        <v>1863</v>
      </c>
      <c r="E106">
        <f t="shared" ref="E106" si="240" xml:space="preserve"> IF(AND(LEN(ChartLines.ID)&gt;0,"Unused"&lt;&gt;ChartLines.ID), COUNTIFS(ChartLines.ID,ChartLines.ID), "·")</f>
        <v>2</v>
      </c>
      <c r="F106">
        <f t="shared" ref="F106" si="24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42" xml:space="preserve"> IF(LEN(ChartLines.Hex6)=6, HEX2DEC(LEFT(ChartLines.Hex6, 2)), "·")</f>
        <v>0</v>
      </c>
      <c r="I106">
        <f t="shared" ref="I106" si="243" xml:space="preserve"> IF(LEN(ChartLines.Hex6)=6, HEX2DEC(MID(ChartLines.Hex6, 3, 2)), "·")</f>
        <v>106</v>
      </c>
      <c r="J106">
        <f t="shared" ref="J106" si="244" xml:space="preserve"> IF(LEN(ChartLines.Hex6)=6, HEX2DEC(RIGHT(ChartLines.Hex6, 2)), "·")</f>
        <v>68</v>
      </c>
      <c r="K106" cm="1">
        <f t="array" ref="K106" xml:space="preserve"> 1 + ROW() - _xlfn.SINGLE(ROW(ChartLines.RowNum))</f>
        <v>104</v>
      </c>
    </row>
    <row r="107" spans="2:11">
      <c r="B107" t="s">
        <v>359</v>
      </c>
      <c r="C107" t="s">
        <v>1864</v>
      </c>
      <c r="E107">
        <f t="shared" ref="E107" si="245" xml:space="preserve"> IF(AND(LEN(ChartLines.ID)&gt;0,"Unused"&lt;&gt;ChartLines.ID), COUNTIFS(ChartLines.ID,ChartLines.ID), "·")</f>
        <v>2</v>
      </c>
      <c r="F107">
        <f t="shared" ref="F107" si="24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47" xml:space="preserve"> IF(LEN(ChartLines.Hex6)=6, HEX2DEC(LEFT(ChartLines.Hex6, 2)), "·")</f>
        <v>253</v>
      </c>
      <c r="I107">
        <f t="shared" ref="I107" si="248" xml:space="preserve"> IF(LEN(ChartLines.Hex6)=6, HEX2DEC(MID(ChartLines.Hex6, 3, 2)), "·")</f>
        <v>185</v>
      </c>
      <c r="J107">
        <f t="shared" ref="J107" si="249" xml:space="preserve"> IF(LEN(ChartLines.Hex6)=6, HEX2DEC(RIGHT(ChartLines.Hex6, 2)), "·")</f>
        <v>19</v>
      </c>
      <c r="K107" cm="1">
        <f t="array" ref="K107" xml:space="preserve"> 1 + ROW() - _xlfn.SINGLE(ROW(ChartLines.RowNum))</f>
        <v>105</v>
      </c>
    </row>
    <row r="108" spans="2:11">
      <c r="B108" t="s">
        <v>676</v>
      </c>
      <c r="C108" t="s">
        <v>1865</v>
      </c>
      <c r="E108">
        <f t="shared" ref="E108" si="250" xml:space="preserve"> IF(AND(LEN(ChartLines.ID)&gt;0,"Unused"&lt;&gt;ChartLines.ID), COUNTIFS(ChartLines.ID,ChartLines.ID), "·")</f>
        <v>2</v>
      </c>
      <c r="F108">
        <f t="shared" ref="F108" si="25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252" xml:space="preserve"> IF(LEN(ChartLines.Hex6)=6, HEX2DEC(LEFT(ChartLines.Hex6, 2)), "·")</f>
        <v>157</v>
      </c>
      <c r="I108">
        <f t="shared" ref="I108" si="253" xml:space="preserve"> IF(LEN(ChartLines.Hex6)=6, HEX2DEC(MID(ChartLines.Hex6, 3, 2)), "·")</f>
        <v>34</v>
      </c>
      <c r="J108">
        <f t="shared" ref="J108" si="254" xml:space="preserve"> IF(LEN(ChartLines.Hex6)=6, HEX2DEC(RIGHT(ChartLines.Hex6, 2)), "·")</f>
        <v>53</v>
      </c>
      <c r="K108" cm="1">
        <f t="array" ref="K108" xml:space="preserve"> 1 + ROW() - _xlfn.SINGLE(ROW(ChartLines.RowNum))</f>
        <v>106</v>
      </c>
    </row>
    <row r="109" spans="2:11">
      <c r="B109" t="s">
        <v>676</v>
      </c>
      <c r="C109" t="s">
        <v>1839</v>
      </c>
      <c r="E109">
        <f t="shared" ref="E109" si="255" xml:space="preserve"> IF(AND(LEN(ChartLines.ID)&gt;0,"Unused"&lt;&gt;ChartLines.ID), COUNTIFS(ChartLines.ID,ChartLines.ID), "·")</f>
        <v>2</v>
      </c>
      <c r="F109">
        <f t="shared" ref="F109" si="25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 si="257" xml:space="preserve"> IF(LEN(ChartLines.Hex6)=6, HEX2DEC(LEFT(ChartLines.Hex6, 2)), "·")</f>
        <v>255</v>
      </c>
      <c r="I109">
        <f t="shared" ref="I109" si="258" xml:space="preserve"> IF(LEN(ChartLines.Hex6)=6, HEX2DEC(MID(ChartLines.Hex6, 3, 2)), "·")</f>
        <v>255</v>
      </c>
      <c r="J109">
        <f t="shared" ref="J109" si="259" xml:space="preserve"> IF(LEN(ChartLines.Hex6)=6, HEX2DEC(RIGHT(ChartLines.Hex6, 2)), "·")</f>
        <v>255</v>
      </c>
      <c r="K109" cm="1">
        <f t="array" ref="K109" xml:space="preserve"> 1 + ROW() - _xlfn.SINGLE(ROW(ChartLines.RowNum))</f>
        <v>107</v>
      </c>
    </row>
    <row r="110" spans="2:11">
      <c r="B110" t="s">
        <v>105</v>
      </c>
      <c r="C110" t="s">
        <v>1866</v>
      </c>
      <c r="E110">
        <f t="shared" ref="E110" si="260" xml:space="preserve"> IF(AND(LEN(ChartLines.ID)&gt;0,"Unused"&lt;&gt;ChartLines.ID), COUNTIFS(ChartLines.ID,ChartLines.ID), "·")</f>
        <v>2</v>
      </c>
      <c r="F110">
        <f t="shared" ref="F110" si="26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ref="H110" si="262" xml:space="preserve"> IF(LEN(ChartLines.Hex6)=6, HEX2DEC(LEFT(ChartLines.Hex6, 2)), "·")</f>
        <v>0</v>
      </c>
      <c r="I110">
        <f t="shared" ref="I110" si="263" xml:space="preserve"> IF(LEN(ChartLines.Hex6)=6, HEX2DEC(MID(ChartLines.Hex6, 3, 2)), "·")</f>
        <v>114</v>
      </c>
      <c r="J110">
        <f t="shared" ref="J110" si="264" xml:space="preserve"> IF(LEN(ChartLines.Hex6)=6, HEX2DEC(RIGHT(ChartLines.Hex6, 2)), "·")</f>
        <v>206</v>
      </c>
      <c r="K110" cm="1">
        <f t="array" ref="K110" xml:space="preserve"> 1 + ROW() - _xlfn.SINGLE(ROW(ChartLines.RowNum))</f>
        <v>108</v>
      </c>
    </row>
    <row r="111" spans="2:11">
      <c r="B111" t="s">
        <v>105</v>
      </c>
      <c r="C111" t="str">
        <f xml:space="preserve"> "000000"</f>
        <v>000000</v>
      </c>
      <c r="E111">
        <f t="shared" ref="E111" si="265" xml:space="preserve"> IF(AND(LEN(ChartLines.ID)&gt;0,"Unused"&lt;&gt;ChartLines.ID), COUNTIFS(ChartLines.ID,ChartLines.ID), "·")</f>
        <v>2</v>
      </c>
      <c r="F111">
        <f t="shared" ref="F111" si="266"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ref="H111" si="267" xml:space="preserve"> IF(LEN(ChartLines.Hex6)=6, HEX2DEC(LEFT(ChartLines.Hex6, 2)), "·")</f>
        <v>0</v>
      </c>
      <c r="I111">
        <f t="shared" ref="I111" si="268" xml:space="preserve"> IF(LEN(ChartLines.Hex6)=6, HEX2DEC(MID(ChartLines.Hex6, 3, 2)), "·")</f>
        <v>0</v>
      </c>
      <c r="J111">
        <f t="shared" ref="J111" si="269" xml:space="preserve"> IF(LEN(ChartLines.Hex6)=6, HEX2DEC(RIGHT(ChartLines.Hex6, 2)), "·")</f>
        <v>0</v>
      </c>
      <c r="K111" cm="1">
        <f t="array" ref="K111" xml:space="preserve"> 1 + ROW() - _xlfn.SINGLE(ROW(ChartLines.RowNum))</f>
        <v>109</v>
      </c>
    </row>
    <row r="112" spans="2:11">
      <c r="B112" t="s">
        <v>694</v>
      </c>
      <c r="C112" t="s">
        <v>1867</v>
      </c>
      <c r="E112">
        <f t="shared" ref="E112" si="270" xml:space="preserve"> IF(AND(LEN(ChartLines.ID)&gt;0,"Unused"&lt;&gt;ChartLines.ID), COUNTIFS(ChartLines.ID,ChartLines.ID), "·")</f>
        <v>2</v>
      </c>
      <c r="F112">
        <f t="shared" ref="F112" si="271"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ref="H112" si="272" xml:space="preserve"> IF(LEN(ChartLines.Hex6)=6, HEX2DEC(LEFT(ChartLines.Hex6, 2)), "·")</f>
        <v>213</v>
      </c>
      <c r="I112">
        <f t="shared" ref="I112" si="273" xml:space="preserve"> IF(LEN(ChartLines.Hex6)=6, HEX2DEC(MID(ChartLines.Hex6, 3, 2)), "·")</f>
        <v>120</v>
      </c>
      <c r="J112">
        <f t="shared" ref="J112" si="274" xml:space="preserve"> IF(LEN(ChartLines.Hex6)=6, HEX2DEC(RIGHT(ChartLines.Hex6, 2)), "·")</f>
        <v>0</v>
      </c>
      <c r="K112" cm="1">
        <f t="array" ref="K112" xml:space="preserve"> 1 + ROW() - _xlfn.SINGLE(ROW(ChartLines.RowNum))</f>
        <v>110</v>
      </c>
    </row>
    <row r="113" spans="2:11">
      <c r="B113" t="s">
        <v>694</v>
      </c>
      <c r="C113" t="s">
        <v>1868</v>
      </c>
      <c r="E113">
        <f t="shared" ref="E113" si="275" xml:space="preserve"> IF(AND(LEN(ChartLines.ID)&gt;0,"Unused"&lt;&gt;ChartLines.ID), COUNTIFS(ChartLines.ID,ChartLines.ID), "·")</f>
        <v>2</v>
      </c>
      <c r="F113">
        <f t="shared" ref="F113" si="276"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ref="H113" si="277" xml:space="preserve"> IF(LEN(ChartLines.Hex6)=6, HEX2DEC(LEFT(ChartLines.Hex6, 2)), "·")</f>
        <v>78</v>
      </c>
      <c r="I113">
        <f t="shared" ref="I113" si="278" xml:space="preserve"> IF(LEN(ChartLines.Hex6)=6, HEX2DEC(MID(ChartLines.Hex6, 3, 2)), "·")</f>
        <v>91</v>
      </c>
      <c r="J113">
        <f t="shared" ref="J113" si="279" xml:space="preserve"> IF(LEN(ChartLines.Hex6)=6, HEX2DEC(RIGHT(ChartLines.Hex6, 2)), "·")</f>
        <v>49</v>
      </c>
      <c r="K113" cm="1">
        <f t="array" ref="K113" xml:space="preserve"> 1 + ROW() - _xlfn.SINGLE(ROW(ChartLines.RowNum))</f>
        <v>111</v>
      </c>
    </row>
    <row r="114" spans="2:11">
      <c r="B114" t="s">
        <v>714</v>
      </c>
      <c r="C114" t="s">
        <v>1869</v>
      </c>
      <c r="E114">
        <f t="shared" ref="E114" si="280" xml:space="preserve"> IF(AND(LEN(ChartLines.ID)&gt;0,"Unused"&lt;&gt;ChartLines.ID), COUNTIFS(ChartLines.ID,ChartLines.ID), "·")</f>
        <v>2</v>
      </c>
      <c r="F114">
        <f t="shared" ref="F114" si="281"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f t="shared" ref="H114" si="282" xml:space="preserve"> IF(LEN(ChartLines.Hex6)=6, HEX2DEC(LEFT(ChartLines.Hex6, 2)), "·")</f>
        <v>207</v>
      </c>
      <c r="I114">
        <f t="shared" ref="I114" si="283" xml:space="preserve"> IF(LEN(ChartLines.Hex6)=6, HEX2DEC(MID(ChartLines.Hex6, 3, 2)), "·")</f>
        <v>20</v>
      </c>
      <c r="J114">
        <f t="shared" ref="J114" si="284" xml:space="preserve"> IF(LEN(ChartLines.Hex6)=6, HEX2DEC(RIGHT(ChartLines.Hex6, 2)), "·")</f>
        <v>43</v>
      </c>
      <c r="K114" cm="1">
        <f t="array" ref="K114" xml:space="preserve"> 1 + ROW() - _xlfn.SINGLE(ROW(ChartLines.RowNum))</f>
        <v>112</v>
      </c>
    </row>
    <row r="115" spans="2:11">
      <c r="B115" t="s">
        <v>714</v>
      </c>
      <c r="C115" t="s">
        <v>2160</v>
      </c>
      <c r="E115">
        <f t="shared" ref="E115" si="285" xml:space="preserve"> IF(AND(LEN(ChartLines.ID)&gt;0,"Unused"&lt;&gt;ChartLines.ID), COUNTIFS(ChartLines.ID,ChartLines.ID), "·")</f>
        <v>2</v>
      </c>
      <c r="F115">
        <f t="shared" ref="F115" si="286"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f t="shared" ref="H115" si="287" xml:space="preserve"> IF(LEN(ChartLines.Hex6)=6, HEX2DEC(LEFT(ChartLines.Hex6, 2)), "·")</f>
        <v>192</v>
      </c>
      <c r="I115">
        <f t="shared" ref="I115" si="288" xml:space="preserve"> IF(LEN(ChartLines.Hex6)=6, HEX2DEC(MID(ChartLines.Hex6, 3, 2)), "·")</f>
        <v>192</v>
      </c>
      <c r="J115">
        <f t="shared" ref="J115" si="289" xml:space="preserve"> IF(LEN(ChartLines.Hex6)=6, HEX2DEC(RIGHT(ChartLines.Hex6, 2)), "·")</f>
        <v>192</v>
      </c>
      <c r="K115" cm="1">
        <f t="array" ref="K115" xml:space="preserve"> 1 + ROW() - _xlfn.SINGLE(ROW(ChartLines.RowNum))</f>
        <v>113</v>
      </c>
    </row>
    <row r="116" spans="2:11">
      <c r="B116" t="s">
        <v>715</v>
      </c>
      <c r="C116" t="s">
        <v>1870</v>
      </c>
      <c r="E116">
        <f t="shared" ref="E116" si="290" xml:space="preserve"> IF(AND(LEN(ChartLines.ID)&gt;0,"Unused"&lt;&gt;ChartLines.ID), COUNTIFS(ChartLines.ID,ChartLines.ID), "·")</f>
        <v>2</v>
      </c>
      <c r="F116">
        <f t="shared" ref="F116" si="291"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f t="shared" ref="H116" si="292" xml:space="preserve"> IF(LEN(ChartLines.Hex6)=6, HEX2DEC(LEFT(ChartLines.Hex6, 2)), "·")</f>
        <v>33</v>
      </c>
      <c r="I116">
        <f t="shared" ref="I116" si="293" xml:space="preserve"> IF(LEN(ChartLines.Hex6)=6, HEX2DEC(MID(ChartLines.Hex6, 3, 2)), "·")</f>
        <v>95</v>
      </c>
      <c r="J116">
        <f t="shared" ref="J116" si="294" xml:space="preserve"> IF(LEN(ChartLines.Hex6)=6, HEX2DEC(RIGHT(ChartLines.Hex6, 2)), "·")</f>
        <v>143</v>
      </c>
      <c r="K116" cm="1">
        <f t="array" ref="K116" xml:space="preserve"> 1 + ROW() - _xlfn.SINGLE(ROW(ChartLines.RowNum))</f>
        <v>114</v>
      </c>
    </row>
    <row r="117" spans="2:11">
      <c r="B117" t="s">
        <v>715</v>
      </c>
      <c r="C117" t="s">
        <v>1871</v>
      </c>
      <c r="E117">
        <f t="shared" ref="E117" si="295" xml:space="preserve"> IF(AND(LEN(ChartLines.ID)&gt;0,"Unused"&lt;&gt;ChartLines.ID), COUNTIFS(ChartLines.ID,ChartLines.ID), "·")</f>
        <v>2</v>
      </c>
      <c r="F117">
        <f t="shared" ref="F117" si="296"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f t="shared" ref="H117" si="297" xml:space="preserve"> IF(LEN(ChartLines.Hex6)=6, HEX2DEC(LEFT(ChartLines.Hex6, 2)), "·")</f>
        <v>211</v>
      </c>
      <c r="I117">
        <f t="shared" ref="I117" si="298" xml:space="preserve"> IF(LEN(ChartLines.Hex6)=6, HEX2DEC(MID(ChartLines.Hex6, 3, 2)), "·")</f>
        <v>174</v>
      </c>
      <c r="J117">
        <f t="shared" ref="J117" si="299" xml:space="preserve"> IF(LEN(ChartLines.Hex6)=6, HEX2DEC(RIGHT(ChartLines.Hex6, 2)), "·")</f>
        <v>69</v>
      </c>
      <c r="K117" cm="1">
        <f t="array" ref="K117" xml:space="preserve"> 1 + ROW() - _xlfn.SINGLE(ROW(ChartLines.RowNum))</f>
        <v>115</v>
      </c>
    </row>
    <row r="118" spans="2:11">
      <c r="B118" t="s">
        <v>1704</v>
      </c>
      <c r="C118" t="str">
        <f xml:space="preserve"> "000000"</f>
        <v>000000</v>
      </c>
      <c r="E118">
        <f t="shared" ref="E118" si="300" xml:space="preserve"> IF(AND(LEN(ChartLines.ID)&gt;0,"Unused"&lt;&gt;ChartLines.ID), COUNTIFS(ChartLines.ID,ChartLines.ID), "·")</f>
        <v>2</v>
      </c>
      <c r="F118">
        <f t="shared" ref="F118" si="301"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f t="shared" ref="H118" si="302" xml:space="preserve"> IF(LEN(ChartLines.Hex6)=6, HEX2DEC(LEFT(ChartLines.Hex6, 2)), "·")</f>
        <v>0</v>
      </c>
      <c r="I118">
        <f t="shared" ref="I118" si="303" xml:space="preserve"> IF(LEN(ChartLines.Hex6)=6, HEX2DEC(MID(ChartLines.Hex6, 3, 2)), "·")</f>
        <v>0</v>
      </c>
      <c r="J118">
        <f t="shared" ref="J118" si="304" xml:space="preserve"> IF(LEN(ChartLines.Hex6)=6, HEX2DEC(RIGHT(ChartLines.Hex6, 2)), "·")</f>
        <v>0</v>
      </c>
      <c r="K118" cm="1">
        <f t="array" ref="K118" xml:space="preserve"> 1 + ROW() - _xlfn.SINGLE(ROW(ChartLines.RowNum))</f>
        <v>116</v>
      </c>
    </row>
    <row r="119" spans="2:11">
      <c r="B119" t="s">
        <v>1704</v>
      </c>
      <c r="C119" t="s">
        <v>1872</v>
      </c>
      <c r="E119">
        <f t="shared" ref="E119:E147" si="305" xml:space="preserve"> IF(AND(LEN(ChartLines.ID)&gt;0,"Unused"&lt;&gt;ChartLines.ID), COUNTIFS(ChartLines.ID,ChartLines.ID), "·")</f>
        <v>2</v>
      </c>
      <c r="F119">
        <f t="shared" ref="F119:F147" si="306"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f t="shared" ref="H119:H147" si="307" xml:space="preserve"> IF(LEN(ChartLines.Hex6)=6, HEX2DEC(LEFT(ChartLines.Hex6, 2)), "·")</f>
        <v>208</v>
      </c>
      <c r="I119">
        <f t="shared" ref="I119:I147" si="308" xml:space="preserve"> IF(LEN(ChartLines.Hex6)=6, HEX2DEC(MID(ChartLines.Hex6, 3, 2)), "·")</f>
        <v>166</v>
      </c>
      <c r="J119">
        <f t="shared" ref="J119:J147" si="309" xml:space="preserve"> IF(LEN(ChartLines.Hex6)=6, HEX2DEC(RIGHT(ChartLines.Hex6, 2)), "·")</f>
        <v>80</v>
      </c>
      <c r="K119" cm="1">
        <f t="array" ref="K119" xml:space="preserve"> 1 + ROW() - _xlfn.SINGLE(ROW(ChartLines.RowNum))</f>
        <v>117</v>
      </c>
    </row>
    <row r="120" spans="2:11">
      <c r="B120" t="s">
        <v>795</v>
      </c>
      <c r="C120" t="s">
        <v>1873</v>
      </c>
      <c r="E120">
        <f t="shared" si="305"/>
        <v>2</v>
      </c>
      <c r="F120">
        <f t="shared" si="306"/>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f t="shared" si="307"/>
        <v>255</v>
      </c>
      <c r="I120">
        <f t="shared" si="308"/>
        <v>213</v>
      </c>
      <c r="J120">
        <f t="shared" si="309"/>
        <v>0</v>
      </c>
      <c r="K120" cm="1">
        <f t="array" ref="K120" xml:space="preserve"> 1 + ROW() - _xlfn.SINGLE(ROW(ChartLines.RowNum))</f>
        <v>118</v>
      </c>
    </row>
    <row r="121" spans="2:11">
      <c r="B121" t="s">
        <v>795</v>
      </c>
      <c r="C121" t="str">
        <f xml:space="preserve"> "004494"</f>
        <v>004494</v>
      </c>
      <c r="E121">
        <f t="shared" si="305"/>
        <v>2</v>
      </c>
      <c r="F121">
        <f t="shared" si="306"/>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f t="shared" si="307"/>
        <v>0</v>
      </c>
      <c r="I121">
        <f t="shared" si="308"/>
        <v>68</v>
      </c>
      <c r="J121">
        <f t="shared" si="309"/>
        <v>148</v>
      </c>
      <c r="K121" cm="1">
        <f t="array" ref="K121" xml:space="preserve"> 1 + ROW() - _xlfn.SINGLE(ROW(ChartLines.RowNum))</f>
        <v>119</v>
      </c>
    </row>
    <row r="122" spans="2:11">
      <c r="B122" t="s">
        <v>2131</v>
      </c>
      <c r="C122" t="s">
        <v>1862</v>
      </c>
      <c r="E122">
        <f t="shared" si="305"/>
        <v>2</v>
      </c>
      <c r="F122">
        <f t="shared" si="306"/>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f t="shared" si="307"/>
        <v>0</v>
      </c>
      <c r="I122">
        <f t="shared" si="308"/>
        <v>163</v>
      </c>
      <c r="J122">
        <f t="shared" si="309"/>
        <v>224</v>
      </c>
      <c r="K122" cm="1">
        <f t="array" ref="K122" xml:space="preserve"> 1 + ROW() - _xlfn.SINGLE(ROW(ChartLines.RowNum))</f>
        <v>120</v>
      </c>
    </row>
    <row r="123" spans="2:11">
      <c r="B123" t="s">
        <v>2131</v>
      </c>
      <c r="C123" t="s">
        <v>1837</v>
      </c>
      <c r="E123">
        <f t="shared" si="305"/>
        <v>2</v>
      </c>
      <c r="F123">
        <f t="shared" si="306"/>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f t="shared" si="307"/>
        <v>239</v>
      </c>
      <c r="I123">
        <f t="shared" si="308"/>
        <v>51</v>
      </c>
      <c r="J123">
        <f t="shared" si="309"/>
        <v>64</v>
      </c>
      <c r="K123" cm="1">
        <f t="array" ref="K123" xml:space="preserve"> 1 + ROW() - _xlfn.SINGLE(ROW(ChartLines.RowNum))</f>
        <v>121</v>
      </c>
    </row>
    <row r="124" spans="2:11">
      <c r="E124" t="str">
        <f t="shared" si="305"/>
        <v>·</v>
      </c>
      <c r="F124" t="str">
        <f t="shared" si="306"/>
        <v>·</v>
      </c>
      <c r="G124" t="str" cm="1">
        <f t="array" ref="G124" xml:space="preserve"> _xlfn.IFS(OR(LEN(_xlfn.SINGLE(ChartLines.ID))=0,"Unused"=_xlfn.SINGLE(ChartLines.ID)), "·",   1=_xlfn.SINGLE(ChartLines.NumInstances), IF("USD"=_xlfn.SINGLE(ChartLines.ID), "SoleBig", "SoleOrdinary"),   1=_xlfn.SINGLE(ChartLines.InstanceNum), "Outer",   TRUE, "Inner")</f>
        <v>·</v>
      </c>
      <c r="H124" t="str">
        <f t="shared" si="307"/>
        <v>·</v>
      </c>
      <c r="I124" t="str">
        <f t="shared" si="308"/>
        <v>·</v>
      </c>
      <c r="J124" t="str">
        <f t="shared" si="309"/>
        <v>·</v>
      </c>
      <c r="K124" cm="1">
        <f t="array" ref="K124" xml:space="preserve"> 1 + ROW() - _xlfn.SINGLE(ROW(ChartLines.RowNum))</f>
        <v>122</v>
      </c>
    </row>
    <row r="125" spans="2:11">
      <c r="B125" t="s">
        <v>132</v>
      </c>
      <c r="C125" t="s">
        <v>1857</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218</v>
      </c>
      <c r="I125">
        <f t="shared" si="308"/>
        <v>41</v>
      </c>
      <c r="J125">
        <f t="shared" si="309"/>
        <v>28</v>
      </c>
      <c r="K125" cm="1">
        <f t="array" ref="K125" xml:space="preserve"> 1 + ROW() - _xlfn.SINGLE(ROW(ChartLines.RowNum))</f>
        <v>123</v>
      </c>
    </row>
    <row r="126" spans="2:11">
      <c r="B126" t="s">
        <v>132</v>
      </c>
      <c r="C126" t="s">
        <v>1839</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255</v>
      </c>
      <c r="I126">
        <f t="shared" si="308"/>
        <v>255</v>
      </c>
      <c r="J126">
        <f t="shared" si="309"/>
        <v>255</v>
      </c>
      <c r="K126" cm="1">
        <f t="array" ref="K126" xml:space="preserve"> 1 + ROW() - _xlfn.SINGLE(ROW(ChartLines.RowNum))</f>
        <v>124</v>
      </c>
    </row>
    <row r="127" spans="2:11">
      <c r="B127" t="s">
        <v>1540</v>
      </c>
      <c r="C127" t="s">
        <v>1874</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2</v>
      </c>
      <c r="I127">
        <f t="shared" si="308"/>
        <v>82</v>
      </c>
      <c r="J127">
        <f t="shared" si="309"/>
        <v>156</v>
      </c>
      <c r="K127" cm="1">
        <f t="array" ref="K127" xml:space="preserve"> 1 + ROW() - _xlfn.SINGLE(ROW(ChartLines.RowNum))</f>
        <v>125</v>
      </c>
    </row>
    <row r="128" spans="2:11">
      <c r="B128" t="s">
        <v>1540</v>
      </c>
      <c r="C128" t="s">
        <v>1875</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220</v>
      </c>
      <c r="I128">
        <f t="shared" si="308"/>
        <v>30</v>
      </c>
      <c r="J128">
        <f t="shared" si="309"/>
        <v>53</v>
      </c>
      <c r="K128" cm="1">
        <f t="array" ref="K128" xml:space="preserve"> 1 + ROW() - _xlfn.SINGLE(ROW(ChartLines.RowNum))</f>
        <v>126</v>
      </c>
    </row>
    <row r="129" spans="2:11">
      <c r="B129" t="s">
        <v>326</v>
      </c>
      <c r="C129" t="s">
        <v>1980</v>
      </c>
      <c r="E129">
        <f t="shared" si="305"/>
        <v>1</v>
      </c>
      <c r="F129">
        <f t="shared" si="306"/>
        <v>1</v>
      </c>
      <c r="G129" t="str" cm="1">
        <f t="array" ref="G129" xml:space="preserve"> _xlfn.IFS(OR(LEN(_xlfn.SINGLE(ChartLines.ID))=0,"Unused"=_xlfn.SINGLE(ChartLines.ID)), "·",   1=_xlfn.SINGLE(ChartLines.NumInstances), IF("USD"=_xlfn.SINGLE(ChartLines.ID), "SoleBig", "SoleOrdinary"),   1=_xlfn.SINGLE(ChartLines.InstanceNum), "Outer",   TRUE, "Inner")</f>
        <v>SoleOrdinary</v>
      </c>
      <c r="H129">
        <f t="shared" si="307"/>
        <v>210</v>
      </c>
      <c r="I129">
        <f t="shared" si="308"/>
        <v>38</v>
      </c>
      <c r="J129">
        <f t="shared" si="309"/>
        <v>48</v>
      </c>
      <c r="K129" cm="1">
        <f t="array" ref="K129" xml:space="preserve"> 1 + ROW() - _xlfn.SINGLE(ROW(ChartLines.RowNum))</f>
        <v>127</v>
      </c>
    </row>
    <row r="130" spans="2:11">
      <c r="B130" t="s">
        <v>1835</v>
      </c>
      <c r="E130" t="str">
        <f t="shared" si="305"/>
        <v>·</v>
      </c>
      <c r="F130" t="str">
        <f t="shared" si="306"/>
        <v>·</v>
      </c>
      <c r="G130" t="str" cm="1">
        <f t="array" ref="G130" xml:space="preserve"> _xlfn.IFS(OR(LEN(_xlfn.SINGLE(ChartLines.ID))=0,"Unused"=_xlfn.SINGLE(ChartLines.ID)), "·",   1=_xlfn.SINGLE(ChartLines.NumInstances), IF("USD"=_xlfn.SINGLE(ChartLines.ID), "SoleBig", "SoleOrdinary"),   1=_xlfn.SINGLE(ChartLines.InstanceNum), "Outer",   TRUE, "Inner")</f>
        <v>·</v>
      </c>
      <c r="H130" t="str">
        <f t="shared" si="307"/>
        <v>·</v>
      </c>
      <c r="I130" t="str">
        <f t="shared" si="308"/>
        <v>·</v>
      </c>
      <c r="J130" t="str">
        <f t="shared" si="309"/>
        <v>·</v>
      </c>
      <c r="K130" cm="1">
        <f t="array" ref="K130" xml:space="preserve"> 1 + ROW() - _xlfn.SINGLE(ROW(ChartLines.RowNum))</f>
        <v>128</v>
      </c>
    </row>
    <row r="131" spans="2:11">
      <c r="B131" t="s">
        <v>372</v>
      </c>
      <c r="C131" t="s">
        <v>1877</v>
      </c>
      <c r="E131">
        <f t="shared" si="305"/>
        <v>2</v>
      </c>
      <c r="F131">
        <f t="shared" si="306"/>
        <v>1</v>
      </c>
      <c r="G131" t="str" cm="1">
        <f t="array" ref="G131" xml:space="preserve"> _xlfn.IFS(OR(LEN(_xlfn.SINGLE(ChartLines.ID))=0,"Unused"=_xlfn.SINGLE(ChartLines.ID)), "·",   1=_xlfn.SINGLE(ChartLines.NumInstances), IF("USD"=_xlfn.SINGLE(ChartLines.ID), "SoleBig", "SoleOrdinary"),   1=_xlfn.SINGLE(ChartLines.InstanceNum), "Outer",   TRUE, "Inner")</f>
        <v>Outer</v>
      </c>
      <c r="H131">
        <f t="shared" si="307"/>
        <v>215</v>
      </c>
      <c r="I131">
        <f t="shared" si="308"/>
        <v>20</v>
      </c>
      <c r="J131">
        <f t="shared" si="309"/>
        <v>26</v>
      </c>
      <c r="K131" cm="1">
        <f t="array" ref="K131" xml:space="preserve"> 1 + ROW() - _xlfn.SINGLE(ROW(ChartLines.RowNum))</f>
        <v>129</v>
      </c>
    </row>
    <row r="132" spans="2:11">
      <c r="B132" t="s">
        <v>372</v>
      </c>
      <c r="C132" t="s">
        <v>1876</v>
      </c>
      <c r="E132">
        <f t="shared" si="305"/>
        <v>2</v>
      </c>
      <c r="F132">
        <f t="shared" si="306"/>
        <v>2</v>
      </c>
      <c r="G132" t="str" cm="1">
        <f t="array" ref="G132" xml:space="preserve"> _xlfn.IFS(OR(LEN(_xlfn.SINGLE(ChartLines.ID))=0,"Unused"=_xlfn.SINGLE(ChartLines.ID)), "·",   1=_xlfn.SINGLE(ChartLines.NumInstances), IF("USD"=_xlfn.SINGLE(ChartLines.ID), "SoleBig", "SoleOrdinary"),   1=_xlfn.SINGLE(ChartLines.InstanceNum), "Outer",   TRUE, "Inner")</f>
        <v>Inner</v>
      </c>
      <c r="H132">
        <f t="shared" si="307"/>
        <v>17</v>
      </c>
      <c r="I132">
        <f t="shared" si="308"/>
        <v>69</v>
      </c>
      <c r="J132">
        <f t="shared" si="309"/>
        <v>126</v>
      </c>
      <c r="K132" cm="1">
        <f t="array" ref="K132" xml:space="preserve"> 1 + ROW() - _xlfn.SINGLE(ROW(ChartLines.RowNum))</f>
        <v>130</v>
      </c>
    </row>
    <row r="133" spans="2:11">
      <c r="B133" t="s">
        <v>357</v>
      </c>
      <c r="C133" t="s">
        <v>1842</v>
      </c>
      <c r="E133">
        <f t="shared" si="305"/>
        <v>2</v>
      </c>
      <c r="F133">
        <f t="shared" si="306"/>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f t="shared" si="307"/>
        <v>0</v>
      </c>
      <c r="I133">
        <f t="shared" si="308"/>
        <v>132</v>
      </c>
      <c r="J133">
        <f t="shared" si="309"/>
        <v>61</v>
      </c>
      <c r="K133" cm="1">
        <f t="array" ref="K133" xml:space="preserve"> 1 + ROW() - _xlfn.SINGLE(ROW(ChartLines.RowNum))</f>
        <v>131</v>
      </c>
    </row>
    <row r="134" spans="2:11">
      <c r="B134" t="s">
        <v>357</v>
      </c>
      <c r="C134" t="s">
        <v>1878</v>
      </c>
      <c r="E134">
        <f t="shared" si="305"/>
        <v>2</v>
      </c>
      <c r="F134">
        <f t="shared" si="306"/>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f t="shared" si="307"/>
        <v>206</v>
      </c>
      <c r="I134">
        <f t="shared" si="308"/>
        <v>41</v>
      </c>
      <c r="J134">
        <f t="shared" si="309"/>
        <v>57</v>
      </c>
      <c r="K134" cm="1">
        <f t="array" ref="K134" xml:space="preserve"> 1 + ROW() - _xlfn.SINGLE(ROW(ChartLines.RowNum))</f>
        <v>132</v>
      </c>
    </row>
    <row r="135" spans="2:11">
      <c r="B135" t="s">
        <v>376</v>
      </c>
      <c r="C135" t="s">
        <v>1879</v>
      </c>
      <c r="E135">
        <f t="shared" si="305"/>
        <v>2</v>
      </c>
      <c r="F135">
        <f t="shared" si="306"/>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f t="shared" si="307"/>
        <v>0</v>
      </c>
      <c r="I135">
        <f t="shared" si="308"/>
        <v>43</v>
      </c>
      <c r="J135">
        <f t="shared" si="309"/>
        <v>127</v>
      </c>
      <c r="K135" cm="1">
        <f t="array" ref="K135" xml:space="preserve"> 1 + ROW() - _xlfn.SINGLE(ROW(ChartLines.RowNum))</f>
        <v>133</v>
      </c>
    </row>
    <row r="136" spans="2:11">
      <c r="B136" t="s">
        <v>376</v>
      </c>
      <c r="C136" t="s">
        <v>1880</v>
      </c>
      <c r="E136">
        <f t="shared" si="305"/>
        <v>2</v>
      </c>
      <c r="F136">
        <f t="shared" si="306"/>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f t="shared" si="307"/>
        <v>252</v>
      </c>
      <c r="I136">
        <f t="shared" si="308"/>
        <v>209</v>
      </c>
      <c r="J136">
        <f t="shared" si="309"/>
        <v>22</v>
      </c>
      <c r="K136" cm="1">
        <f t="array" ref="K136" xml:space="preserve"> 1 + ROW() - _xlfn.SINGLE(ROW(ChartLines.RowNum))</f>
        <v>134</v>
      </c>
    </row>
    <row r="137" spans="2:11">
      <c r="B137" t="s">
        <v>393</v>
      </c>
      <c r="C137" t="s">
        <v>1881</v>
      </c>
      <c r="E137">
        <f t="shared" si="305"/>
        <v>2</v>
      </c>
      <c r="F137">
        <f t="shared" si="306"/>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f t="shared" si="307"/>
        <v>0</v>
      </c>
      <c r="I137">
        <f t="shared" si="308"/>
        <v>175</v>
      </c>
      <c r="J137">
        <f t="shared" si="309"/>
        <v>102</v>
      </c>
      <c r="K137" cm="1">
        <f t="array" ref="K137" xml:space="preserve"> 1 + ROW() - _xlfn.SINGLE(ROW(ChartLines.RowNum))</f>
        <v>135</v>
      </c>
    </row>
    <row r="138" spans="2:11">
      <c r="B138" t="s">
        <v>393</v>
      </c>
      <c r="C138" t="s">
        <v>1839</v>
      </c>
      <c r="E138">
        <f t="shared" si="305"/>
        <v>2</v>
      </c>
      <c r="F138">
        <f t="shared" si="306"/>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f t="shared" si="307"/>
        <v>255</v>
      </c>
      <c r="I138">
        <f t="shared" si="308"/>
        <v>255</v>
      </c>
      <c r="J138">
        <f t="shared" si="309"/>
        <v>255</v>
      </c>
      <c r="K138" cm="1">
        <f t="array" ref="K138" xml:space="preserve"> 1 + ROW() - _xlfn.SINGLE(ROW(ChartLines.RowNum))</f>
        <v>136</v>
      </c>
    </row>
    <row r="139" spans="2:11">
      <c r="E139" t="str">
        <f t="shared" si="305"/>
        <v>·</v>
      </c>
      <c r="F139" t="str">
        <f t="shared" si="306"/>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si="307"/>
        <v>·</v>
      </c>
      <c r="I139" t="str">
        <f t="shared" si="308"/>
        <v>·</v>
      </c>
      <c r="J139" t="str">
        <f t="shared" si="309"/>
        <v>·</v>
      </c>
      <c r="K139" cm="1">
        <f t="array" ref="K139" xml:space="preserve"> 1 + ROW() - _xlfn.SINGLE(ROW(ChartLines.RowNum))</f>
        <v>137</v>
      </c>
    </row>
    <row r="140" spans="2:11">
      <c r="B140" t="s">
        <v>133</v>
      </c>
      <c r="C140" t="s">
        <v>1882</v>
      </c>
      <c r="E140">
        <f t="shared" si="305"/>
        <v>2</v>
      </c>
      <c r="F140">
        <f t="shared" si="306"/>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si="307"/>
        <v>222</v>
      </c>
      <c r="I140">
        <f t="shared" si="308"/>
        <v>41</v>
      </c>
      <c r="J140">
        <f t="shared" si="309"/>
        <v>16</v>
      </c>
      <c r="K140" cm="1">
        <f t="array" ref="K140" xml:space="preserve"> 1 + ROW() - _xlfn.SINGLE(ROW(ChartLines.RowNum))</f>
        <v>138</v>
      </c>
    </row>
    <row r="141" spans="2:11">
      <c r="B141" t="s">
        <v>133</v>
      </c>
      <c r="C141" t="s">
        <v>1883</v>
      </c>
      <c r="E141">
        <f t="shared" si="305"/>
        <v>2</v>
      </c>
      <c r="F141">
        <f t="shared" si="306"/>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si="307"/>
        <v>255</v>
      </c>
      <c r="I141">
        <f t="shared" si="308"/>
        <v>222</v>
      </c>
      <c r="J141">
        <f t="shared" si="309"/>
        <v>0</v>
      </c>
      <c r="K141" cm="1">
        <f t="array" ref="K141" xml:space="preserve"> 1 + ROW() - _xlfn.SINGLE(ROW(ChartLines.RowNum))</f>
        <v>139</v>
      </c>
    </row>
    <row r="142" spans="2:11">
      <c r="B142" t="s">
        <v>1884</v>
      </c>
      <c r="C142" t="s">
        <v>1838</v>
      </c>
      <c r="E142">
        <f t="shared" si="305"/>
        <v>1</v>
      </c>
      <c r="F142">
        <f t="shared" si="306"/>
        <v>1</v>
      </c>
      <c r="G142" t="str" cm="1">
        <f t="array" ref="G142" xml:space="preserve"> _xlfn.IFS(OR(LEN(_xlfn.SINGLE(ChartLines.ID))=0,"Unused"=_xlfn.SINGLE(ChartLines.ID)), "·",   1=_xlfn.SINGLE(ChartLines.NumInstances), IF("USD"=_xlfn.SINGLE(ChartLines.ID), "SoleBig", "SoleOrdinary"),   1=_xlfn.SINGLE(ChartLines.InstanceNum), "Outer",   TRUE, "Inner")</f>
        <v>SoleOrdinary</v>
      </c>
      <c r="H142">
        <f t="shared" si="307"/>
        <v>255</v>
      </c>
      <c r="I142">
        <f t="shared" si="308"/>
        <v>0</v>
      </c>
      <c r="J142">
        <f t="shared" si="309"/>
        <v>0</v>
      </c>
      <c r="K142" cm="1">
        <f t="array" ref="K142" xml:space="preserve"> 1 + ROW() - _xlfn.SINGLE(ROW(ChartLines.RowNum))</f>
        <v>140</v>
      </c>
    </row>
    <row r="143" spans="2:11">
      <c r="B143" t="s">
        <v>1835</v>
      </c>
      <c r="E143" t="str">
        <f t="shared" si="305"/>
        <v>·</v>
      </c>
      <c r="F143" t="str">
        <f t="shared" si="306"/>
        <v>·</v>
      </c>
      <c r="G143" t="str" cm="1">
        <f t="array" ref="G143" xml:space="preserve"> _xlfn.IFS(OR(LEN(_xlfn.SINGLE(ChartLines.ID))=0,"Unused"=_xlfn.SINGLE(ChartLines.ID)), "·",   1=_xlfn.SINGLE(ChartLines.NumInstances), IF("USD"=_xlfn.SINGLE(ChartLines.ID), "SoleBig", "SoleOrdinary"),   1=_xlfn.SINGLE(ChartLines.InstanceNum), "Outer",   TRUE, "Inner")</f>
        <v>·</v>
      </c>
      <c r="H143" t="str">
        <f t="shared" si="307"/>
        <v>·</v>
      </c>
      <c r="I143" t="str">
        <f t="shared" si="308"/>
        <v>·</v>
      </c>
      <c r="J143" t="str">
        <f t="shared" si="309"/>
        <v>·</v>
      </c>
      <c r="K143" cm="1">
        <f t="array" ref="K143" xml:space="preserve"> 1 + ROW() - _xlfn.SINGLE(ROW(ChartLines.RowNum))</f>
        <v>141</v>
      </c>
    </row>
    <row r="144" spans="2:11">
      <c r="B144" t="s">
        <v>203</v>
      </c>
      <c r="C144" t="s">
        <v>1885</v>
      </c>
      <c r="E144">
        <f t="shared" si="305"/>
        <v>2</v>
      </c>
      <c r="F144">
        <f t="shared" si="306"/>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si="307"/>
        <v>0</v>
      </c>
      <c r="I144">
        <f t="shared" si="308"/>
        <v>41</v>
      </c>
      <c r="J144">
        <f t="shared" si="309"/>
        <v>204</v>
      </c>
      <c r="K144" cm="1">
        <f t="array" ref="K144" xml:space="preserve"> 1 + ROW() - _xlfn.SINGLE(ROW(ChartLines.RowNum))</f>
        <v>142</v>
      </c>
    </row>
    <row r="145" spans="2:11">
      <c r="B145" t="s">
        <v>203</v>
      </c>
      <c r="C145" t="s">
        <v>1839</v>
      </c>
      <c r="E145">
        <f t="shared" si="305"/>
        <v>2</v>
      </c>
      <c r="F145">
        <f t="shared" si="306"/>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si="307"/>
        <v>255</v>
      </c>
      <c r="I145">
        <f t="shared" si="308"/>
        <v>255</v>
      </c>
      <c r="J145">
        <f t="shared" si="309"/>
        <v>255</v>
      </c>
      <c r="K145" cm="1">
        <f t="array" ref="K145" xml:space="preserve"> 1 + ROW() - _xlfn.SINGLE(ROW(ChartLines.RowNum))</f>
        <v>143</v>
      </c>
    </row>
    <row r="146" spans="2:11">
      <c r="B146" t="s">
        <v>1886</v>
      </c>
      <c r="C146" t="s">
        <v>1887</v>
      </c>
      <c r="E146">
        <f t="shared" si="305"/>
        <v>2</v>
      </c>
      <c r="F146">
        <f t="shared" si="306"/>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07"/>
        <v>205</v>
      </c>
      <c r="I146">
        <f t="shared" si="308"/>
        <v>46</v>
      </c>
      <c r="J146">
        <f t="shared" si="309"/>
        <v>58</v>
      </c>
      <c r="K146" cm="1">
        <f t="array" ref="K146" xml:space="preserve"> 1 + ROW() - _xlfn.SINGLE(ROW(ChartLines.RowNum))</f>
        <v>144</v>
      </c>
    </row>
    <row r="147" spans="2:11">
      <c r="B147" t="s">
        <v>1886</v>
      </c>
      <c r="C147" t="s">
        <v>1888</v>
      </c>
      <c r="E147">
        <f t="shared" si="305"/>
        <v>2</v>
      </c>
      <c r="F147">
        <f t="shared" si="30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07"/>
        <v>0</v>
      </c>
      <c r="I147">
        <f t="shared" si="308"/>
        <v>71</v>
      </c>
      <c r="J147">
        <f t="shared" si="309"/>
        <v>160</v>
      </c>
      <c r="K147" cm="1">
        <f t="array" ref="K147" xml:space="preserve"> 1 + ROW() - _xlfn.SINGLE(ROW(ChartLines.RowNum))</f>
        <v>145</v>
      </c>
    </row>
    <row r="148" spans="2:11">
      <c r="B148" t="s">
        <v>136</v>
      </c>
      <c r="C148" t="s">
        <v>1889</v>
      </c>
      <c r="E148">
        <f t="shared" ref="E148" si="310" xml:space="preserve"> IF(AND(LEN(ChartLines.ID)&gt;0,"Unused"&lt;&gt;ChartLines.ID), COUNTIFS(ChartLines.ID,ChartLines.ID), "·")</f>
        <v>1</v>
      </c>
      <c r="F148">
        <f t="shared" ref="F148" si="31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SoleOrdinary</v>
      </c>
      <c r="H148">
        <f t="shared" ref="H148" si="312" xml:space="preserve"> IF(LEN(ChartLines.Hex6)=6, HEX2DEC(LEFT(ChartLines.Hex6, 2)), "·")</f>
        <v>167</v>
      </c>
      <c r="I148">
        <f t="shared" ref="I148" si="313" xml:space="preserve"> IF(LEN(ChartLines.Hex6)=6, HEX2DEC(MID(ChartLines.Hex6, 3, 2)), "·")</f>
        <v>131</v>
      </c>
      <c r="J148">
        <f t="shared" ref="J148" si="314" xml:space="preserve"> IF(LEN(ChartLines.Hex6)=6, HEX2DEC(RIGHT(ChartLines.Hex6, 2)), "·")</f>
        <v>55</v>
      </c>
      <c r="K148" cm="1">
        <f t="array" ref="K148" xml:space="preserve"> 1 + ROW() - _xlfn.SINGLE(ROW(ChartLines.RowNum))</f>
        <v>146</v>
      </c>
    </row>
    <row r="149" spans="2:11">
      <c r="B149" t="s">
        <v>1835</v>
      </c>
      <c r="E149" t="str">
        <f t="shared" ref="E149" si="315" xml:space="preserve"> IF(AND(LEN(ChartLines.ID)&gt;0,"Unused"&lt;&gt;ChartLines.ID), COUNTIFS(ChartLines.ID,ChartLines.ID), "·")</f>
        <v>·</v>
      </c>
      <c r="F149" t="str">
        <f t="shared" ref="F149" si="316" xml:space="preserve"> IF(AND(LEN(ChartLines.ID)&gt;0,"Unused"&lt;&gt;ChartLines.ID), COUNTIFS(ChartLines.ID,ChartLines.ID,   ChartLines.RowNum,"&lt;="&amp;ChartLines.RowNum), "·")</f>
        <v>·</v>
      </c>
      <c r="G149" t="str" cm="1">
        <f t="array" ref="G149" xml:space="preserve"> _xlfn.IFS(OR(LEN(_xlfn.SINGLE(ChartLines.ID))=0,"Unused"=_xlfn.SINGLE(ChartLines.ID)), "·",   1=_xlfn.SINGLE(ChartLines.NumInstances), IF("USD"=_xlfn.SINGLE(ChartLines.ID), "SoleBig", "SoleOrdinary"),   1=_xlfn.SINGLE(ChartLines.InstanceNum), "Outer",   TRUE, "Inner")</f>
        <v>·</v>
      </c>
      <c r="H149" t="str">
        <f t="shared" ref="H149" si="317" xml:space="preserve"> IF(LEN(ChartLines.Hex6)=6, HEX2DEC(LEFT(ChartLines.Hex6, 2)), "·")</f>
        <v>·</v>
      </c>
      <c r="I149" t="str">
        <f t="shared" ref="I149" si="318" xml:space="preserve"> IF(LEN(ChartLines.Hex6)=6, HEX2DEC(MID(ChartLines.Hex6, 3, 2)), "·")</f>
        <v>·</v>
      </c>
      <c r="J149" t="str">
        <f t="shared" ref="J149" si="319" xml:space="preserve"> IF(LEN(ChartLines.Hex6)=6, HEX2DEC(RIGHT(ChartLines.Hex6, 2)), "·")</f>
        <v>·</v>
      </c>
      <c r="K149" cm="1">
        <f t="array" ref="K149" xml:space="preserve"> 1 + ROW() - _xlfn.SINGLE(ROW(ChartLines.RowNum))</f>
        <v>147</v>
      </c>
    </row>
    <row r="150" spans="2:11">
      <c r="B150" t="s">
        <v>235</v>
      </c>
      <c r="C150" t="str">
        <f xml:space="preserve"> "DECE05"</f>
        <v>DECE05</v>
      </c>
      <c r="E150">
        <f t="shared" ref="E150" si="320" xml:space="preserve"> IF(AND(LEN(ChartLines.ID)&gt;0,"Unused"&lt;&gt;ChartLines.ID), COUNTIFS(ChartLines.ID,ChartLines.ID), "·")</f>
        <v>2</v>
      </c>
      <c r="F150">
        <f t="shared" ref="F150" si="32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22" xml:space="preserve"> IF(LEN(ChartLines.Hex6)=6, HEX2DEC(LEFT(ChartLines.Hex6, 2)), "·")</f>
        <v>222</v>
      </c>
      <c r="I150">
        <f t="shared" ref="I150" si="323" xml:space="preserve"> IF(LEN(ChartLines.Hex6)=6, HEX2DEC(MID(ChartLines.Hex6, 3, 2)), "·")</f>
        <v>206</v>
      </c>
      <c r="J150">
        <f t="shared" ref="J150" si="324" xml:space="preserve"> IF(LEN(ChartLines.Hex6)=6, HEX2DEC(RIGHT(ChartLines.Hex6, 2)), "·")</f>
        <v>5</v>
      </c>
      <c r="K150" cm="1">
        <f t="array" ref="K150" xml:space="preserve"> 1 + ROW() - _xlfn.SINGLE(ROW(ChartLines.RowNum))</f>
        <v>148</v>
      </c>
    </row>
    <row r="151" spans="2:11">
      <c r="B151" t="s">
        <v>235</v>
      </c>
      <c r="C151" t="s">
        <v>1890</v>
      </c>
      <c r="E151">
        <f t="shared" ref="E151" si="325" xml:space="preserve"> IF(AND(LEN(ChartLines.ID)&gt;0,"Unused"&lt;&gt;ChartLines.ID), COUNTIFS(ChartLines.ID,ChartLines.ID), "·")</f>
        <v>2</v>
      </c>
      <c r="F151">
        <f t="shared" ref="F151" si="32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27" xml:space="preserve"> IF(LEN(ChartLines.Hex6)=6, HEX2DEC(LEFT(ChartLines.Hex6, 2)), "·")</f>
        <v>0</v>
      </c>
      <c r="I151">
        <f t="shared" ref="I151" si="328" xml:space="preserve"> IF(LEN(ChartLines.Hex6)=6, HEX2DEC(MID(ChartLines.Hex6, 3, 2)), "·")</f>
        <v>50</v>
      </c>
      <c r="J151">
        <f t="shared" ref="J151" si="329" xml:space="preserve"> IF(LEN(ChartLines.Hex6)=6, HEX2DEC(RIGHT(ChartLines.Hex6, 2)), "·")</f>
        <v>106</v>
      </c>
      <c r="K151" cm="1">
        <f t="array" ref="K151" xml:space="preserve"> 1 + ROW() - _xlfn.SINGLE(ROW(ChartLines.RowNum))</f>
        <v>149</v>
      </c>
    </row>
    <row r="152" spans="2:11">
      <c r="B152" t="s">
        <v>162</v>
      </c>
      <c r="C152" t="s">
        <v>1838</v>
      </c>
      <c r="E152">
        <f t="shared" ref="E152" si="330" xml:space="preserve"> IF(AND(LEN(ChartLines.ID)&gt;0,"Unused"&lt;&gt;ChartLines.ID), COUNTIFS(ChartLines.ID,ChartLines.ID), "·")</f>
        <v>2</v>
      </c>
      <c r="F152">
        <f t="shared" ref="F152" si="33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32" xml:space="preserve"> IF(LEN(ChartLines.Hex6)=6, HEX2DEC(LEFT(ChartLines.Hex6, 2)), "·")</f>
        <v>255</v>
      </c>
      <c r="I152">
        <f t="shared" ref="I152" si="333" xml:space="preserve"> IF(LEN(ChartLines.Hex6)=6, HEX2DEC(MID(ChartLines.Hex6, 3, 2)), "·")</f>
        <v>0</v>
      </c>
      <c r="J152">
        <f t="shared" ref="J152" si="334" xml:space="preserve"> IF(LEN(ChartLines.Hex6)=6, HEX2DEC(RIGHT(ChartLines.Hex6, 2)), "·")</f>
        <v>0</v>
      </c>
      <c r="K152" cm="1">
        <f t="array" ref="K152" xml:space="preserve"> 1 + ROW() - _xlfn.SINGLE(ROW(ChartLines.RowNum))</f>
        <v>150</v>
      </c>
    </row>
    <row r="153" spans="2:11">
      <c r="B153" t="s">
        <v>162</v>
      </c>
      <c r="C153" t="s">
        <v>1839</v>
      </c>
      <c r="E153">
        <f t="shared" ref="E153" si="335" xml:space="preserve"> IF(AND(LEN(ChartLines.ID)&gt;0,"Unused"&lt;&gt;ChartLines.ID), COUNTIFS(ChartLines.ID,ChartLines.ID), "·")</f>
        <v>2</v>
      </c>
      <c r="F153">
        <f t="shared" ref="F153" si="33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37" xml:space="preserve"> IF(LEN(ChartLines.Hex6)=6, HEX2DEC(LEFT(ChartLines.Hex6, 2)), "·")</f>
        <v>255</v>
      </c>
      <c r="I153">
        <f t="shared" ref="I153" si="338" xml:space="preserve"> IF(LEN(ChartLines.Hex6)=6, HEX2DEC(MID(ChartLines.Hex6, 3, 2)), "·")</f>
        <v>255</v>
      </c>
      <c r="J153">
        <f t="shared" ref="J153" si="339" xml:space="preserve"> IF(LEN(ChartLines.Hex6)=6, HEX2DEC(RIGHT(ChartLines.Hex6, 2)), "·")</f>
        <v>255</v>
      </c>
      <c r="K153" cm="1">
        <f t="array" ref="K153" xml:space="preserve"> 1 + ROW() - _xlfn.SINGLE(ROW(ChartLines.RowNum))</f>
        <v>151</v>
      </c>
    </row>
    <row r="154" spans="2:11">
      <c r="B154" t="s">
        <v>163</v>
      </c>
      <c r="C154" t="s">
        <v>1891</v>
      </c>
      <c r="E154">
        <f t="shared" ref="E154:E156" si="340" xml:space="preserve"> IF(AND(LEN(ChartLines.ID)&gt;0,"Unused"&lt;&gt;ChartLines.ID), COUNTIFS(ChartLines.ID,ChartLines.ID), "·")</f>
        <v>2</v>
      </c>
      <c r="F154">
        <f t="shared" ref="F154:F156" si="34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H156" si="342" xml:space="preserve"> IF(LEN(ChartLines.Hex6)=6, HEX2DEC(LEFT(ChartLines.Hex6, 2)), "·")</f>
        <v>254</v>
      </c>
      <c r="I154">
        <f t="shared" ref="I154:I156" si="343" xml:space="preserve"> IF(LEN(ChartLines.Hex6)=6, HEX2DEC(MID(ChartLines.Hex6, 3, 2)), "·")</f>
        <v>0</v>
      </c>
      <c r="J154">
        <f t="shared" ref="J154:J156" si="344" xml:space="preserve"> IF(LEN(ChartLines.Hex6)=6, HEX2DEC(RIGHT(ChartLines.Hex6, 2)), "·")</f>
        <v>0</v>
      </c>
      <c r="K154" cm="1">
        <f t="array" ref="K154" xml:space="preserve"> 1 + ROW() - _xlfn.SINGLE(ROW(ChartLines.RowNum))</f>
        <v>152</v>
      </c>
    </row>
    <row r="155" spans="2:11">
      <c r="B155" t="s">
        <v>163</v>
      </c>
      <c r="C155" t="str">
        <f xml:space="preserve"> "010080"</f>
        <v>010080</v>
      </c>
      <c r="E155">
        <f t="shared" ref="E155:E157" si="345" xml:space="preserve"> IF(AND(LEN(ChartLines.ID)&gt;0,"Unused"&lt;&gt;ChartLines.ID), COUNTIFS(ChartLines.ID,ChartLines.ID), "·")</f>
        <v>2</v>
      </c>
      <c r="F155">
        <f t="shared" ref="F155:F157" si="34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H157" si="347" xml:space="preserve"> IF(LEN(ChartLines.Hex6)=6, HEX2DEC(LEFT(ChartLines.Hex6, 2)), "·")</f>
        <v>1</v>
      </c>
      <c r="I155">
        <f t="shared" ref="I155:I157" si="348" xml:space="preserve"> IF(LEN(ChartLines.Hex6)=6, HEX2DEC(MID(ChartLines.Hex6, 3, 2)), "·")</f>
        <v>0</v>
      </c>
      <c r="J155">
        <f t="shared" ref="J155:J157" si="349" xml:space="preserve"> IF(LEN(ChartLines.Hex6)=6, HEX2DEC(RIGHT(ChartLines.Hex6, 2)), "·")</f>
        <v>128</v>
      </c>
      <c r="K155" cm="1">
        <f t="array" ref="K155" xml:space="preserve"> 1 + ROW() - _xlfn.SINGLE(ROW(ChartLines.RowNum))</f>
        <v>153</v>
      </c>
    </row>
    <row r="156" spans="2:11">
      <c r="B156" t="s">
        <v>2379</v>
      </c>
      <c r="C156" t="s">
        <v>2408</v>
      </c>
      <c r="E156">
        <f t="shared" si="340"/>
        <v>2</v>
      </c>
      <c r="F156">
        <f t="shared" si="341"/>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si="342"/>
        <v>52</v>
      </c>
      <c r="I156">
        <f t="shared" si="343"/>
        <v>178</v>
      </c>
      <c r="J156">
        <f t="shared" si="344"/>
        <v>51</v>
      </c>
      <c r="K156" cm="1">
        <f t="array" ref="K156" xml:space="preserve"> 1 + ROW() - _xlfn.SINGLE(ROW(ChartLines.RowNum))</f>
        <v>154</v>
      </c>
    </row>
    <row r="157" spans="2:11">
      <c r="B157" t="s">
        <v>2379</v>
      </c>
      <c r="C157" t="s">
        <v>2407</v>
      </c>
      <c r="E157">
        <f t="shared" si="345"/>
        <v>2</v>
      </c>
      <c r="F157">
        <f t="shared" si="346"/>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si="347"/>
        <v>254</v>
      </c>
      <c r="I157">
        <f t="shared" si="348"/>
        <v>203</v>
      </c>
      <c r="J157">
        <f t="shared" si="349"/>
        <v>0</v>
      </c>
      <c r="K157" cm="1">
        <f t="array" ref="K157" xml:space="preserve"> 1 + ROW() - _xlfn.SINGLE(ROW(ChartLines.RowNum))</f>
        <v>155</v>
      </c>
    </row>
    <row r="158" spans="2:11">
      <c r="B158" t="s">
        <v>248</v>
      </c>
      <c r="C158" t="s">
        <v>1892</v>
      </c>
      <c r="E158">
        <f t="shared" ref="E158" si="350" xml:space="preserve"> IF(AND(LEN(ChartLines.ID)&gt;0,"Unused"&lt;&gt;ChartLines.ID), COUNTIFS(ChartLines.ID,ChartLines.ID), "·")</f>
        <v>2</v>
      </c>
      <c r="F158">
        <f t="shared" ref="F158" si="35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352" xml:space="preserve"> IF(LEN(ChartLines.Hex6)=6, HEX2DEC(LEFT(ChartLines.Hex6, 2)), "·")</f>
        <v>0</v>
      </c>
      <c r="I158">
        <f t="shared" ref="I158" si="353" xml:space="preserve"> IF(LEN(ChartLines.Hex6)=6, HEX2DEC(MID(ChartLines.Hex6, 3, 2)), "·")</f>
        <v>56</v>
      </c>
      <c r="J158">
        <f t="shared" ref="J158" si="354" xml:space="preserve"> IF(LEN(ChartLines.Hex6)=6, HEX2DEC(RIGHT(ChartLines.Hex6, 2)), "·")</f>
        <v>168</v>
      </c>
      <c r="K158" cm="1">
        <f t="array" ref="K158" xml:space="preserve"> 1 + ROW() - _xlfn.SINGLE(ROW(ChartLines.RowNum))</f>
        <v>156</v>
      </c>
    </row>
    <row r="159" spans="2:11">
      <c r="B159" t="s">
        <v>248</v>
      </c>
      <c r="C159" t="s">
        <v>1880</v>
      </c>
      <c r="E159">
        <f t="shared" ref="E159" si="355" xml:space="preserve"> IF(AND(LEN(ChartLines.ID)&gt;0,"Unused"&lt;&gt;ChartLines.ID), COUNTIFS(ChartLines.ID,ChartLines.ID), "·")</f>
        <v>2</v>
      </c>
      <c r="F159">
        <f t="shared" ref="F159" si="35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357" xml:space="preserve"> IF(LEN(ChartLines.Hex6)=6, HEX2DEC(LEFT(ChartLines.Hex6, 2)), "·")</f>
        <v>252</v>
      </c>
      <c r="I159">
        <f t="shared" ref="I159" si="358" xml:space="preserve"> IF(LEN(ChartLines.Hex6)=6, HEX2DEC(MID(ChartLines.Hex6, 3, 2)), "·")</f>
        <v>209</v>
      </c>
      <c r="J159">
        <f t="shared" ref="J159" si="359" xml:space="preserve"> IF(LEN(ChartLines.Hex6)=6, HEX2DEC(RIGHT(ChartLines.Hex6, 2)), "·")</f>
        <v>22</v>
      </c>
      <c r="K159" cm="1">
        <f t="array" ref="K159" xml:space="preserve"> 1 + ROW() - _xlfn.SINGLE(ROW(ChartLines.RowNum))</f>
        <v>157</v>
      </c>
    </row>
    <row r="160" spans="2:11">
      <c r="B160" t="s">
        <v>261</v>
      </c>
      <c r="C160" t="s">
        <v>1893</v>
      </c>
      <c r="E160">
        <f t="shared" ref="E160" si="360" xml:space="preserve"> IF(AND(LEN(ChartLines.ID)&gt;0,"Unused"&lt;&gt;ChartLines.ID), COUNTIFS(ChartLines.ID,ChartLines.ID), "·")</f>
        <v>2</v>
      </c>
      <c r="F160">
        <f t="shared" ref="F160" si="36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 si="362" xml:space="preserve"> IF(LEN(ChartLines.Hex6)=6, HEX2DEC(LEFT(ChartLines.Hex6, 2)), "·")</f>
        <v>255</v>
      </c>
      <c r="I160">
        <f t="shared" ref="I160" si="363" xml:space="preserve"> IF(LEN(ChartLines.Hex6)=6, HEX2DEC(MID(ChartLines.Hex6, 3, 2)), "·")</f>
        <v>255</v>
      </c>
      <c r="J160">
        <f t="shared" ref="J160" si="364" xml:space="preserve"> IF(LEN(ChartLines.Hex6)=6, HEX2DEC(RIGHT(ChartLines.Hex6, 2)), "·")</f>
        <v>0</v>
      </c>
      <c r="K160" cm="1">
        <f t="array" ref="K160" xml:space="preserve"> 1 + ROW() - _xlfn.SINGLE(ROW(ChartLines.RowNum))</f>
        <v>158</v>
      </c>
    </row>
    <row r="161" spans="2:11">
      <c r="B161" t="s">
        <v>261</v>
      </c>
      <c r="C161" t="s">
        <v>1894</v>
      </c>
      <c r="E161">
        <f t="shared" ref="E161" si="365" xml:space="preserve"> IF(AND(LEN(ChartLines.ID)&gt;0,"Unused"&lt;&gt;ChartLines.ID), COUNTIFS(ChartLines.ID,ChartLines.ID), "·")</f>
        <v>2</v>
      </c>
      <c r="F161">
        <f t="shared" ref="F161" si="36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 si="367" xml:space="preserve"> IF(LEN(ChartLines.Hex6)=6, HEX2DEC(LEFT(ChartLines.Hex6, 2)), "·")</f>
        <v>218</v>
      </c>
      <c r="I161">
        <f t="shared" ref="I161" si="368" xml:space="preserve"> IF(LEN(ChartLines.Hex6)=6, HEX2DEC(MID(ChartLines.Hex6, 3, 2)), "·")</f>
        <v>37</v>
      </c>
      <c r="J161">
        <f t="shared" ref="J161" si="369" xml:space="preserve"> IF(LEN(ChartLines.Hex6)=6, HEX2DEC(RIGHT(ChartLines.Hex6, 2)), "·")</f>
        <v>29</v>
      </c>
      <c r="K161" cm="1">
        <f t="array" ref="K161" xml:space="preserve"> 1 + ROW() - _xlfn.SINGLE(ROW(ChartLines.RowNum))</f>
        <v>159</v>
      </c>
    </row>
    <row r="162" spans="2:11">
      <c r="B162" t="s">
        <v>296</v>
      </c>
      <c r="C162" t="str">
        <f xml:space="preserve"> "250E62"</f>
        <v>250E62</v>
      </c>
      <c r="E162">
        <f t="shared" ref="E162" si="370" xml:space="preserve"> IF(AND(LEN(ChartLines.ID)&gt;0,"Unused"&lt;&gt;ChartLines.ID), COUNTIFS(ChartLines.ID,ChartLines.ID), "·")</f>
        <v>2</v>
      </c>
      <c r="F162">
        <f t="shared" ref="F162" si="371"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ref="H162" si="372" xml:space="preserve"> IF(LEN(ChartLines.Hex6)=6, HEX2DEC(LEFT(ChartLines.Hex6, 2)), "·")</f>
        <v>37</v>
      </c>
      <c r="I162">
        <f t="shared" ref="I162" si="373" xml:space="preserve"> IF(LEN(ChartLines.Hex6)=6, HEX2DEC(MID(ChartLines.Hex6, 3, 2)), "·")</f>
        <v>14</v>
      </c>
      <c r="J162">
        <f t="shared" ref="J162" si="374" xml:space="preserve"> IF(LEN(ChartLines.Hex6)=6, HEX2DEC(RIGHT(ChartLines.Hex6, 2)), "·")</f>
        <v>98</v>
      </c>
      <c r="K162" cm="1">
        <f t="array" ref="K162" xml:space="preserve"> 1 + ROW() - _xlfn.SINGLE(ROW(ChartLines.RowNum))</f>
        <v>160</v>
      </c>
    </row>
    <row r="163" spans="2:11">
      <c r="B163" t="s">
        <v>296</v>
      </c>
      <c r="C163" t="s">
        <v>1839</v>
      </c>
      <c r="E163">
        <f t="shared" ref="E163" si="375" xml:space="preserve"> IF(AND(LEN(ChartLines.ID)&gt;0,"Unused"&lt;&gt;ChartLines.ID), COUNTIFS(ChartLines.ID,ChartLines.ID), "·")</f>
        <v>2</v>
      </c>
      <c r="F163">
        <f t="shared" ref="F163" si="376"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ref="H163" si="377" xml:space="preserve"> IF(LEN(ChartLines.Hex6)=6, HEX2DEC(LEFT(ChartLines.Hex6, 2)), "·")</f>
        <v>255</v>
      </c>
      <c r="I163">
        <f t="shared" ref="I163" si="378" xml:space="preserve"> IF(LEN(ChartLines.Hex6)=6, HEX2DEC(MID(ChartLines.Hex6, 3, 2)), "·")</f>
        <v>255</v>
      </c>
      <c r="J163">
        <f t="shared" ref="J163" si="379" xml:space="preserve"> IF(LEN(ChartLines.Hex6)=6, HEX2DEC(RIGHT(ChartLines.Hex6, 2)), "·")</f>
        <v>255</v>
      </c>
      <c r="K163" cm="1">
        <f t="array" ref="K163" xml:space="preserve"> 1 + ROW() - _xlfn.SINGLE(ROW(ChartLines.RowNum))</f>
        <v>161</v>
      </c>
    </row>
    <row r="164" spans="2:11">
      <c r="B164" t="s">
        <v>135</v>
      </c>
      <c r="C164" t="s">
        <v>1895</v>
      </c>
      <c r="E164">
        <f t="shared" ref="E164" si="380" xml:space="preserve"> IF(AND(LEN(ChartLines.ID)&gt;0,"Unused"&lt;&gt;ChartLines.ID), COUNTIFS(ChartLines.ID,ChartLines.ID), "·")</f>
        <v>2</v>
      </c>
      <c r="F164">
        <f t="shared" ref="F164" si="381"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ref="H164" si="382" xml:space="preserve"> IF(LEN(ChartLines.Hex6)=6, HEX2DEC(LEFT(ChartLines.Hex6, 2)), "·")</f>
        <v>1</v>
      </c>
      <c r="I164">
        <f t="shared" ref="I164" si="383" xml:space="preserve"> IF(LEN(ChartLines.Hex6)=6, HEX2DEC(MID(ChartLines.Hex6, 3, 2)), "·")</f>
        <v>65</v>
      </c>
      <c r="J164">
        <f t="shared" ref="J164" si="384" xml:space="preserve"> IF(LEN(ChartLines.Hex6)=6, HEX2DEC(RIGHT(ChartLines.Hex6, 2)), "·")</f>
        <v>28</v>
      </c>
      <c r="K164" cm="1">
        <f t="array" ref="K164" xml:space="preserve"> 1 + ROW() - _xlfn.SINGLE(ROW(ChartLines.RowNum))</f>
        <v>162</v>
      </c>
    </row>
    <row r="165" spans="2:11">
      <c r="B165" t="s">
        <v>135</v>
      </c>
      <c r="C165" t="s">
        <v>1839</v>
      </c>
      <c r="E165">
        <f t="shared" ref="E165" si="385" xml:space="preserve"> IF(AND(LEN(ChartLines.ID)&gt;0,"Unused"&lt;&gt;ChartLines.ID), COUNTIFS(ChartLines.ID,ChartLines.ID), "·")</f>
        <v>2</v>
      </c>
      <c r="F165">
        <f t="shared" ref="F165" si="386"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ref="H165" si="387" xml:space="preserve"> IF(LEN(ChartLines.Hex6)=6, HEX2DEC(LEFT(ChartLines.Hex6, 2)), "·")</f>
        <v>255</v>
      </c>
      <c r="I165">
        <f t="shared" ref="I165" si="388" xml:space="preserve"> IF(LEN(ChartLines.Hex6)=6, HEX2DEC(MID(ChartLines.Hex6, 3, 2)), "·")</f>
        <v>255</v>
      </c>
      <c r="J165">
        <f t="shared" ref="J165" si="389" xml:space="preserve"> IF(LEN(ChartLines.Hex6)=6, HEX2DEC(RIGHT(ChartLines.Hex6, 2)), "·")</f>
        <v>255</v>
      </c>
      <c r="K165" cm="1">
        <f t="array" ref="K165" xml:space="preserve"> 1 + ROW() - _xlfn.SINGLE(ROW(ChartLines.RowNum))</f>
        <v>163</v>
      </c>
    </row>
    <row r="166" spans="2:11">
      <c r="B166" t="s">
        <v>97</v>
      </c>
      <c r="C166" t="s">
        <v>1896</v>
      </c>
      <c r="E166">
        <f t="shared" ref="E166" si="390" xml:space="preserve"> IF(AND(LEN(ChartLines.ID)&gt;0,"Unused"&lt;&gt;ChartLines.ID), COUNTIFS(ChartLines.ID,ChartLines.ID), "·")</f>
        <v>2</v>
      </c>
      <c r="F166">
        <f t="shared" ref="F166" si="39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392" xml:space="preserve"> IF(LEN(ChartLines.Hex6)=6, HEX2DEC(LEFT(ChartLines.Hex6, 2)), "·")</f>
        <v>0</v>
      </c>
      <c r="I166">
        <f t="shared" ref="I166" si="393" xml:space="preserve"> IF(LEN(ChartLines.Hex6)=6, HEX2DEC(MID(ChartLines.Hex6, 3, 2)), "·")</f>
        <v>106</v>
      </c>
      <c r="J166">
        <f t="shared" ref="J166" si="394" xml:space="preserve"> IF(LEN(ChartLines.Hex6)=6, HEX2DEC(RIGHT(ChartLines.Hex6, 2)), "·")</f>
        <v>78</v>
      </c>
      <c r="K166" cm="1">
        <f t="array" ref="K166" xml:space="preserve"> 1 + ROW() - _xlfn.SINGLE(ROW(ChartLines.RowNum))</f>
        <v>164</v>
      </c>
    </row>
    <row r="167" spans="2:11">
      <c r="B167" t="s">
        <v>97</v>
      </c>
      <c r="C167" t="s">
        <v>1897</v>
      </c>
      <c r="E167">
        <f t="shared" ref="E167" si="395" xml:space="preserve"> IF(AND(LEN(ChartLines.ID)&gt;0,"Unused"&lt;&gt;ChartLines.ID), COUNTIFS(ChartLines.ID,ChartLines.ID), "·")</f>
        <v>2</v>
      </c>
      <c r="F167">
        <f t="shared" ref="F167" si="39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 si="397" xml:space="preserve"> IF(LEN(ChartLines.Hex6)=6, HEX2DEC(LEFT(ChartLines.Hex6, 2)), "·")</f>
        <v>244</v>
      </c>
      <c r="I167">
        <f t="shared" ref="I167" si="398" xml:space="preserve"> IF(LEN(ChartLines.Hex6)=6, HEX2DEC(MID(ChartLines.Hex6, 3, 2)), "·")</f>
        <v>42</v>
      </c>
      <c r="J167">
        <f t="shared" ref="J167" si="399" xml:space="preserve"> IF(LEN(ChartLines.Hex6)=6, HEX2DEC(RIGHT(ChartLines.Hex6, 2)), "·")</f>
        <v>65</v>
      </c>
      <c r="K167" cm="1">
        <f t="array" ref="K167" xml:space="preserve"> 1 + ROW() - _xlfn.SINGLE(ROW(ChartLines.RowNum))</f>
        <v>165</v>
      </c>
    </row>
    <row r="168" spans="2:11">
      <c r="B168" t="s">
        <v>164</v>
      </c>
      <c r="C168" t="s">
        <v>1898</v>
      </c>
      <c r="E168">
        <f t="shared" ref="E168" si="400" xml:space="preserve"> IF(AND(LEN(ChartLines.ID)&gt;0,"Unused"&lt;&gt;ChartLines.ID), COUNTIFS(ChartLines.ID,ChartLines.ID), "·")</f>
        <v>2</v>
      </c>
      <c r="F168">
        <f t="shared" ref="F168" si="401"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ref="H168" si="402" xml:space="preserve"> IF(LEN(ChartLines.Hex6)=6, HEX2DEC(LEFT(ChartLines.Hex6, 2)), "·")</f>
        <v>121</v>
      </c>
      <c r="I168">
        <f t="shared" ref="I168" si="403" xml:space="preserve"> IF(LEN(ChartLines.Hex6)=6, HEX2DEC(MID(ChartLines.Hex6, 3, 2)), "·")</f>
        <v>5</v>
      </c>
      <c r="J168">
        <f t="shared" ref="J168" si="404" xml:space="preserve"> IF(LEN(ChartLines.Hex6)=6, HEX2DEC(RIGHT(ChartLines.Hex6, 2)), "·")</f>
        <v>44</v>
      </c>
      <c r="K168" cm="1">
        <f t="array" ref="K168" xml:space="preserve"> 1 + ROW() - _xlfn.SINGLE(ROW(ChartLines.RowNum))</f>
        <v>166</v>
      </c>
    </row>
    <row r="169" spans="2:11">
      <c r="B169" t="s">
        <v>164</v>
      </c>
      <c r="C169" t="s">
        <v>1899</v>
      </c>
      <c r="E169">
        <f t="shared" ref="E169" si="405" xml:space="preserve"> IF(AND(LEN(ChartLines.ID)&gt;0,"Unused"&lt;&gt;ChartLines.ID), COUNTIFS(ChartLines.ID,ChartLines.ID), "·")</f>
        <v>2</v>
      </c>
      <c r="F169">
        <f t="shared" ref="F169" si="406"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ref="H169" si="407" xml:space="preserve"> IF(LEN(ChartLines.Hex6)=6, HEX2DEC(LEFT(ChartLines.Hex6, 2)), "·")</f>
        <v>253</v>
      </c>
      <c r="I169">
        <f t="shared" ref="I169" si="408" xml:space="preserve"> IF(LEN(ChartLines.Hex6)=6, HEX2DEC(MID(ChartLines.Hex6, 3, 2)), "·")</f>
        <v>178</v>
      </c>
      <c r="J169">
        <f t="shared" ref="J169" si="409" xml:space="preserve"> IF(LEN(ChartLines.Hex6)=6, HEX2DEC(RIGHT(ChartLines.Hex6, 2)), "·")</f>
        <v>33</v>
      </c>
      <c r="K169" cm="1">
        <f t="array" ref="K169" xml:space="preserve"> 1 + ROW() - _xlfn.SINGLE(ROW(ChartLines.RowNum))</f>
        <v>167</v>
      </c>
    </row>
    <row r="170" spans="2:11">
      <c r="B170" t="s">
        <v>1900</v>
      </c>
      <c r="C170" t="s">
        <v>1901</v>
      </c>
      <c r="E170">
        <f t="shared" ref="E170:E174" si="410" xml:space="preserve"> IF(AND(LEN(ChartLines.ID)&gt;0,"Unused"&lt;&gt;ChartLines.ID), COUNTIFS(ChartLines.ID,ChartLines.ID), "·")</f>
        <v>2</v>
      </c>
      <c r="F170">
        <f t="shared" ref="F170:F174" si="41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ref="H170:H174" si="412" xml:space="preserve"> IF(LEN(ChartLines.Hex6)=6, HEX2DEC(LEFT(ChartLines.Hex6, 2)), "·")</f>
        <v>0</v>
      </c>
      <c r="I170">
        <f t="shared" ref="I170:I174" si="413" xml:space="preserve"> IF(LEN(ChartLines.Hex6)=6, HEX2DEC(MID(ChartLines.Hex6, 3, 2)), "·")</f>
        <v>174</v>
      </c>
      <c r="J170">
        <f t="shared" ref="J170:J174" si="414" xml:space="preserve"> IF(LEN(ChartLines.Hex6)=6, HEX2DEC(RIGHT(ChartLines.Hex6, 2)), "·")</f>
        <v>199</v>
      </c>
      <c r="K170" cm="1">
        <f t="array" ref="K170" xml:space="preserve"> 1 + ROW() - _xlfn.SINGLE(ROW(ChartLines.RowNum))</f>
        <v>168</v>
      </c>
    </row>
    <row r="171" spans="2:11">
      <c r="B171" t="s">
        <v>1900</v>
      </c>
      <c r="C171" t="s">
        <v>1902</v>
      </c>
      <c r="E171">
        <f t="shared" ref="E171:E175" si="415" xml:space="preserve"> IF(AND(LEN(ChartLines.ID)&gt;0,"Unused"&lt;&gt;ChartLines.ID), COUNTIFS(ChartLines.ID,ChartLines.ID), "·")</f>
        <v>2</v>
      </c>
      <c r="F171">
        <f t="shared" ref="F171:F175" si="416"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ref="H171:H175" si="417" xml:space="preserve"> IF(LEN(ChartLines.Hex6)=6, HEX2DEC(LEFT(ChartLines.Hex6, 2)), "·")</f>
        <v>246</v>
      </c>
      <c r="I171">
        <f t="shared" ref="I171:I175" si="418" xml:space="preserve"> IF(LEN(ChartLines.Hex6)=6, HEX2DEC(MID(ChartLines.Hex6, 3, 2)), "·")</f>
        <v>229</v>
      </c>
      <c r="J171">
        <f t="shared" ref="J171:J175" si="419" xml:space="preserve"> IF(LEN(ChartLines.Hex6)=6, HEX2DEC(RIGHT(ChartLines.Hex6, 2)), "·")</f>
        <v>0</v>
      </c>
      <c r="K171" cm="1">
        <f t="array" ref="K171" xml:space="preserve"> 1 + ROW() - _xlfn.SINGLE(ROW(ChartLines.RowNum))</f>
        <v>169</v>
      </c>
    </row>
    <row r="172" spans="2:11">
      <c r="B172" t="s">
        <v>2311</v>
      </c>
      <c r="C172" t="s">
        <v>2406</v>
      </c>
      <c r="E172">
        <f t="shared" si="410"/>
        <v>2</v>
      </c>
      <c r="F172">
        <f t="shared" si="411"/>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f t="shared" si="412"/>
        <v>30</v>
      </c>
      <c r="I172">
        <f t="shared" si="413"/>
        <v>181</v>
      </c>
      <c r="J172">
        <f t="shared" si="414"/>
        <v>58</v>
      </c>
      <c r="K172" cm="1">
        <f t="array" ref="K172" xml:space="preserve"> 1 + ROW() - _xlfn.SINGLE(ROW(ChartLines.RowNum))</f>
        <v>170</v>
      </c>
    </row>
    <row r="173" spans="2:11">
      <c r="B173" t="s">
        <v>2311</v>
      </c>
      <c r="C173" t="s">
        <v>2405</v>
      </c>
      <c r="E173">
        <f t="shared" si="415"/>
        <v>2</v>
      </c>
      <c r="F173">
        <f t="shared" si="416"/>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f t="shared" si="417"/>
        <v>0</v>
      </c>
      <c r="I173">
        <f t="shared" si="418"/>
        <v>153</v>
      </c>
      <c r="J173">
        <f t="shared" si="419"/>
        <v>181</v>
      </c>
      <c r="K173" cm="1">
        <f t="array" ref="K173" xml:space="preserve"> 1 + ROW() - _xlfn.SINGLE(ROW(ChartLines.RowNum))</f>
        <v>171</v>
      </c>
    </row>
    <row r="174" spans="2:11">
      <c r="B174" t="s">
        <v>2409</v>
      </c>
      <c r="C174" t="s">
        <v>1940</v>
      </c>
      <c r="E174">
        <f t="shared" si="410"/>
        <v>2</v>
      </c>
      <c r="F174">
        <f t="shared" si="411"/>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f t="shared" si="412"/>
        <v>255</v>
      </c>
      <c r="I174">
        <f t="shared" si="413"/>
        <v>199</v>
      </c>
      <c r="J174">
        <f t="shared" si="414"/>
        <v>44</v>
      </c>
      <c r="K174" cm="1">
        <f t="array" ref="K174" xml:space="preserve"> 1 + ROW() - _xlfn.SINGLE(ROW(ChartLines.RowNum))</f>
        <v>172</v>
      </c>
    </row>
    <row r="175" spans="2:11">
      <c r="B175" t="s">
        <v>2409</v>
      </c>
      <c r="C175" t="s">
        <v>2410</v>
      </c>
      <c r="E175">
        <f t="shared" si="415"/>
        <v>2</v>
      </c>
      <c r="F175">
        <f t="shared" si="416"/>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f t="shared" si="417"/>
        <v>0</v>
      </c>
      <c r="I175">
        <f t="shared" si="418"/>
        <v>133</v>
      </c>
      <c r="J175">
        <f t="shared" si="419"/>
        <v>58</v>
      </c>
      <c r="K175" cm="1">
        <f t="array" ref="K175" xml:space="preserve"> 1 + ROW() - _xlfn.SINGLE(ROW(ChartLines.RowNum))</f>
        <v>173</v>
      </c>
    </row>
    <row r="176" spans="2:11">
      <c r="B176" t="s">
        <v>1614</v>
      </c>
      <c r="C176" t="s">
        <v>1903</v>
      </c>
      <c r="E176">
        <f t="shared" ref="E176" si="420" xml:space="preserve"> IF(AND(LEN(ChartLines.ID)&gt;0,"Unused"&lt;&gt;ChartLines.ID), COUNTIFS(ChartLines.ID,ChartLines.ID), "·")</f>
        <v>2</v>
      </c>
      <c r="F176">
        <f t="shared" ref="F176" si="421" xml:space="preserve"> IF(AND(LEN(ChartLines.ID)&gt;0,"Unused"&lt;&gt;ChartLines.ID), COUNTIFS(ChartLines.ID,ChartLines.ID,   ChartLines.RowNum,"&lt;="&amp;ChartLines.RowNum), "·")</f>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f t="shared" ref="H176" si="422" xml:space="preserve"> IF(LEN(ChartLines.Hex6)=6, HEX2DEC(LEFT(ChartLines.Hex6, 2)), "·")</f>
        <v>0</v>
      </c>
      <c r="I176">
        <f t="shared" ref="I176" si="423" xml:space="preserve"> IF(LEN(ChartLines.Hex6)=6, HEX2DEC(MID(ChartLines.Hex6, 3, 2)), "·")</f>
        <v>102</v>
      </c>
      <c r="J176">
        <f t="shared" ref="J176" si="424" xml:space="preserve"> IF(LEN(ChartLines.Hex6)=6, HEX2DEC(RIGHT(ChartLines.Hex6, 2)), "·")</f>
        <v>179</v>
      </c>
      <c r="K176" cm="1">
        <f t="array" ref="K176" xml:space="preserve"> 1 + ROW() - _xlfn.SINGLE(ROW(ChartLines.RowNum))</f>
        <v>174</v>
      </c>
    </row>
    <row r="177" spans="2:11">
      <c r="B177" t="s">
        <v>1614</v>
      </c>
      <c r="C177" t="s">
        <v>1904</v>
      </c>
      <c r="E177">
        <f t="shared" ref="E177:E181" si="425" xml:space="preserve"> IF(AND(LEN(ChartLines.ID)&gt;0,"Unused"&lt;&gt;ChartLines.ID), COUNTIFS(ChartLines.ID,ChartLines.ID), "·")</f>
        <v>2</v>
      </c>
      <c r="F177">
        <f t="shared" ref="F177:F181" si="426" xml:space="preserve"> IF(AND(LEN(ChartLines.ID)&gt;0,"Unused"&lt;&gt;ChartLines.ID), COUNTIFS(ChartLines.ID,ChartLines.ID,   ChartLines.RowNum,"&lt;="&amp;ChartLines.RowNum), "·")</f>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f t="shared" ref="H177:H181" si="427" xml:space="preserve"> IF(LEN(ChartLines.Hex6)=6, HEX2DEC(LEFT(ChartLines.Hex6, 2)), "·")</f>
        <v>218</v>
      </c>
      <c r="I177">
        <f t="shared" ref="I177:I181" si="428" xml:space="preserve"> IF(LEN(ChartLines.Hex6)=6, HEX2DEC(MID(ChartLines.Hex6, 3, 2)), "·")</f>
        <v>32</v>
      </c>
      <c r="J177">
        <f t="shared" ref="J177:J181" si="429" xml:space="preserve"> IF(LEN(ChartLines.Hex6)=6, HEX2DEC(RIGHT(ChartLines.Hex6, 2)), "·")</f>
        <v>50</v>
      </c>
      <c r="K177" cm="1">
        <f t="array" ref="K177" xml:space="preserve"> 1 + ROW() - _xlfn.SINGLE(ROW(ChartLines.RowNum))</f>
        <v>175</v>
      </c>
    </row>
    <row r="178" spans="2:11">
      <c r="B178" t="s">
        <v>2420</v>
      </c>
      <c r="C178" t="s">
        <v>2422</v>
      </c>
      <c r="E178">
        <f t="shared" si="425"/>
        <v>2</v>
      </c>
      <c r="F178">
        <f t="shared" si="426"/>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f t="shared" si="427"/>
        <v>220</v>
      </c>
      <c r="I178">
        <f t="shared" si="428"/>
        <v>20</v>
      </c>
      <c r="J178">
        <f t="shared" si="429"/>
        <v>60</v>
      </c>
      <c r="K178" cm="1">
        <f t="array" ref="K178" xml:space="preserve"> 1 + ROW() - _xlfn.SINGLE(ROW(ChartLines.RowNum))</f>
        <v>176</v>
      </c>
    </row>
    <row r="179" spans="2:11">
      <c r="B179" t="s">
        <v>2420</v>
      </c>
      <c r="C179" t="str">
        <f xml:space="preserve"> "000000"</f>
        <v>000000</v>
      </c>
      <c r="E179">
        <f t="shared" si="425"/>
        <v>2</v>
      </c>
      <c r="F179">
        <f t="shared" si="426"/>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f t="shared" si="427"/>
        <v>0</v>
      </c>
      <c r="I179">
        <f t="shared" si="428"/>
        <v>0</v>
      </c>
      <c r="J179">
        <f t="shared" si="429"/>
        <v>0</v>
      </c>
      <c r="K179" cm="1">
        <f t="array" ref="K179" xml:space="preserve"> 1 + ROW() - _xlfn.SINGLE(ROW(ChartLines.RowNum))</f>
        <v>177</v>
      </c>
    </row>
    <row r="180" spans="2:11">
      <c r="B180" t="s">
        <v>2268</v>
      </c>
      <c r="C180" t="str">
        <f xml:space="preserve"> "000000"</f>
        <v>000000</v>
      </c>
      <c r="E180">
        <f t="shared" si="425"/>
        <v>2</v>
      </c>
      <c r="F180">
        <f t="shared" si="426"/>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f t="shared" si="427"/>
        <v>0</v>
      </c>
      <c r="I180">
        <f t="shared" si="428"/>
        <v>0</v>
      </c>
      <c r="J180">
        <f t="shared" si="429"/>
        <v>0</v>
      </c>
      <c r="K180" cm="1">
        <f t="array" ref="K180" xml:space="preserve"> 1 + ROW() - _xlfn.SINGLE(ROW(ChartLines.RowNum))</f>
        <v>178</v>
      </c>
    </row>
    <row r="181" spans="2:11">
      <c r="B181" t="s">
        <v>2268</v>
      </c>
      <c r="C181" t="s">
        <v>2301</v>
      </c>
      <c r="E181">
        <f t="shared" si="425"/>
        <v>2</v>
      </c>
      <c r="F181">
        <f t="shared" si="426"/>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f t="shared" si="427"/>
        <v>237</v>
      </c>
      <c r="I181">
        <f t="shared" si="428"/>
        <v>28</v>
      </c>
      <c r="J181">
        <f t="shared" si="429"/>
        <v>39</v>
      </c>
      <c r="K181" cm="1">
        <f t="array" ref="K181" xml:space="preserve"> 1 + ROW() - _xlfn.SINGLE(ROW(ChartLines.RowNum))</f>
        <v>179</v>
      </c>
    </row>
    <row r="182" spans="2:11">
      <c r="E182" t="str">
        <f t="shared" ref="E182" si="430" xml:space="preserve"> IF(AND(LEN(ChartLines.ID)&gt;0,"Unused"&lt;&gt;ChartLines.ID), COUNTIFS(ChartLines.ID,ChartLines.ID), "·")</f>
        <v>·</v>
      </c>
      <c r="F182" t="str">
        <f t="shared" ref="F182" si="431" xml:space="preserve"> IF(AND(LEN(ChartLines.ID)&gt;0,"Unused"&lt;&gt;ChartLines.ID), COUNTIFS(ChartLines.ID,ChartLines.ID,   ChartLines.RowNum,"&lt;="&amp;ChartLines.RowNum), "·")</f>
        <v>·</v>
      </c>
      <c r="G182" t="str" cm="1">
        <f t="array" ref="G182" xml:space="preserve"> _xlfn.IFS(OR(LEN(_xlfn.SINGLE(ChartLines.ID))=0,"Unused"=_xlfn.SINGLE(ChartLines.ID)), "·",   1=_xlfn.SINGLE(ChartLines.NumInstances), IF("USD"=_xlfn.SINGLE(ChartLines.ID), "SoleBig", "SoleOrdinary"),   1=_xlfn.SINGLE(ChartLines.InstanceNum), "Outer",   TRUE, "Inner")</f>
        <v>·</v>
      </c>
      <c r="H182" t="str">
        <f t="shared" ref="H182" si="432" xml:space="preserve"> IF(LEN(ChartLines.Hex6)=6, HEX2DEC(LEFT(ChartLines.Hex6, 2)), "·")</f>
        <v>·</v>
      </c>
      <c r="I182" t="str">
        <f t="shared" ref="I182" si="433" xml:space="preserve"> IF(LEN(ChartLines.Hex6)=6, HEX2DEC(MID(ChartLines.Hex6, 3, 2)), "·")</f>
        <v>·</v>
      </c>
      <c r="J182" t="str">
        <f t="shared" ref="J182" si="434" xml:space="preserve"> IF(LEN(ChartLines.Hex6)=6, HEX2DEC(RIGHT(ChartLines.Hex6, 2)), "·")</f>
        <v>·</v>
      </c>
      <c r="K182" cm="1">
        <f t="array" ref="K182" xml:space="preserve"> 1 + ROW() - _xlfn.SINGLE(ROW(ChartLines.RowNum))</f>
        <v>180</v>
      </c>
    </row>
    <row r="183" spans="2:11">
      <c r="B183" t="s">
        <v>879</v>
      </c>
      <c r="C183" t="s">
        <v>1905</v>
      </c>
      <c r="E183">
        <f t="shared" ref="E183" si="435" xml:space="preserve"> IF(AND(LEN(ChartLines.ID)&gt;0,"Unused"&lt;&gt;ChartLines.ID), COUNTIFS(ChartLines.ID,ChartLines.ID), "·")</f>
        <v>2</v>
      </c>
      <c r="F183">
        <f t="shared" ref="F183" si="43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37" xml:space="preserve"> IF(LEN(ChartLines.Hex6)=6, HEX2DEC(LEFT(ChartLines.Hex6, 2)), "·")</f>
        <v>199</v>
      </c>
      <c r="I183">
        <f t="shared" ref="I183" si="438" xml:space="preserve"> IF(LEN(ChartLines.Hex6)=6, HEX2DEC(MID(ChartLines.Hex6, 3, 2)), "·")</f>
        <v>54</v>
      </c>
      <c r="J183">
        <f t="shared" ref="J183" si="439" xml:space="preserve"> IF(LEN(ChartLines.Hex6)=6, HEX2DEC(RIGHT(ChartLines.Hex6, 2)), "·")</f>
        <v>61</v>
      </c>
      <c r="K183" cm="1">
        <f t="array" ref="K183" xml:space="preserve"> 1 + ROW() - _xlfn.SINGLE(ROW(ChartLines.RowNum))</f>
        <v>181</v>
      </c>
    </row>
    <row r="184" spans="2:11">
      <c r="B184" t="s">
        <v>879</v>
      </c>
      <c r="C184" t="s">
        <v>1906</v>
      </c>
      <c r="E184">
        <f t="shared" ref="E184" si="440" xml:space="preserve"> IF(AND(LEN(ChartLines.ID)&gt;0,"Unused"&lt;&gt;ChartLines.ID), COUNTIFS(ChartLines.ID,ChartLines.ID), "·")</f>
        <v>2</v>
      </c>
      <c r="F184">
        <f t="shared" ref="F184" si="44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 si="442" xml:space="preserve"> IF(LEN(ChartLines.Hex6)=6, HEX2DEC(LEFT(ChartLines.Hex6, 2)), "·")</f>
        <v>12</v>
      </c>
      <c r="I184">
        <f t="shared" ref="I184" si="443" xml:space="preserve"> IF(LEN(ChartLines.Hex6)=6, HEX2DEC(MID(ChartLines.Hex6, 3, 2)), "·")</f>
        <v>64</v>
      </c>
      <c r="J184">
        <f t="shared" ref="J184" si="444" xml:space="preserve"> IF(LEN(ChartLines.Hex6)=6, HEX2DEC(RIGHT(ChartLines.Hex6, 2)), "·")</f>
        <v>119</v>
      </c>
      <c r="K184" cm="1">
        <f t="array" ref="K184" xml:space="preserve"> 1 + ROW() - _xlfn.SINGLE(ROW(ChartLines.RowNum))</f>
        <v>182</v>
      </c>
    </row>
    <row r="185" spans="2:11">
      <c r="B185" t="s">
        <v>394</v>
      </c>
      <c r="C185" t="str">
        <f xml:space="preserve"> "000000"</f>
        <v>000000</v>
      </c>
      <c r="E185">
        <f t="shared" ref="E185" si="445" xml:space="preserve"> IF(AND(LEN(ChartLines.ID)&gt;0,"Unused"&lt;&gt;ChartLines.ID), COUNTIFS(ChartLines.ID,ChartLines.ID), "·")</f>
        <v>2</v>
      </c>
      <c r="F185">
        <f t="shared" ref="F185" si="446" xml:space="preserve"> IF(AND(LEN(ChartLines.ID)&gt;0,"Unused"&lt;&gt;ChartLines.ID), COUNTIFS(ChartLines.ID,ChartLines.ID,   ChartLines.RowNum,"&lt;="&amp;ChartLines.RowNum), "·")</f>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ref="H185" si="447" xml:space="preserve"> IF(LEN(ChartLines.Hex6)=6, HEX2DEC(LEFT(ChartLines.Hex6, 2)), "·")</f>
        <v>0</v>
      </c>
      <c r="I185">
        <f t="shared" ref="I185" si="448" xml:space="preserve"> IF(LEN(ChartLines.Hex6)=6, HEX2DEC(MID(ChartLines.Hex6, 3, 2)), "·")</f>
        <v>0</v>
      </c>
      <c r="J185">
        <f t="shared" ref="J185" si="449" xml:space="preserve"> IF(LEN(ChartLines.Hex6)=6, HEX2DEC(RIGHT(ChartLines.Hex6, 2)), "·")</f>
        <v>0</v>
      </c>
      <c r="K185" cm="1">
        <f t="array" ref="K185" xml:space="preserve"> 1 + ROW() - _xlfn.SINGLE(ROW(ChartLines.RowNum))</f>
        <v>183</v>
      </c>
    </row>
    <row r="186" spans="2:11">
      <c r="B186" t="s">
        <v>394</v>
      </c>
      <c r="C186" t="s">
        <v>1857</v>
      </c>
      <c r="E186">
        <f t="shared" ref="E186" si="450" xml:space="preserve"> IF(AND(LEN(ChartLines.ID)&gt;0,"Unused"&lt;&gt;ChartLines.ID), COUNTIFS(ChartLines.ID,ChartLines.ID), "·")</f>
        <v>2</v>
      </c>
      <c r="F186">
        <f t="shared" ref="F186" si="451" xml:space="preserve"> IF(AND(LEN(ChartLines.ID)&gt;0,"Unused"&lt;&gt;ChartLines.ID), COUNTIFS(ChartLines.ID,ChartLines.ID,   ChartLines.RowNum,"&lt;="&amp;ChartLines.RowNum), "·")</f>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ref="H186" si="452" xml:space="preserve"> IF(LEN(ChartLines.Hex6)=6, HEX2DEC(LEFT(ChartLines.Hex6, 2)), "·")</f>
        <v>218</v>
      </c>
      <c r="I186">
        <f t="shared" ref="I186" si="453" xml:space="preserve"> IF(LEN(ChartLines.Hex6)=6, HEX2DEC(MID(ChartLines.Hex6, 3, 2)), "·")</f>
        <v>41</v>
      </c>
      <c r="J186">
        <f t="shared" ref="J186" si="454" xml:space="preserve"> IF(LEN(ChartLines.Hex6)=6, HEX2DEC(RIGHT(ChartLines.Hex6, 2)), "·")</f>
        <v>28</v>
      </c>
      <c r="K186" cm="1">
        <f t="array" ref="K186" xml:space="preserve"> 1 + ROW() - _xlfn.SINGLE(ROW(ChartLines.RowNum))</f>
        <v>184</v>
      </c>
    </row>
    <row r="187" spans="2:11">
      <c r="B187" t="s">
        <v>406</v>
      </c>
      <c r="C187" t="s">
        <v>1907</v>
      </c>
      <c r="E187">
        <f t="shared" ref="E187" si="455" xml:space="preserve"> IF(AND(LEN(ChartLines.ID)&gt;0,"Unused"&lt;&gt;ChartLines.ID), COUNTIFS(ChartLines.ID,ChartLines.ID), "·")</f>
        <v>2</v>
      </c>
      <c r="F187">
        <f t="shared" ref="F187" si="456"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ref="H187" si="457" xml:space="preserve"> IF(LEN(ChartLines.Hex6)=6, HEX2DEC(LEFT(ChartLines.Hex6, 2)), "·")</f>
        <v>206</v>
      </c>
      <c r="I187">
        <f t="shared" ref="I187" si="458" xml:space="preserve"> IF(LEN(ChartLines.Hex6)=6, HEX2DEC(MID(ChartLines.Hex6, 3, 2)), "·")</f>
        <v>32</v>
      </c>
      <c r="J187">
        <f t="shared" ref="J187" si="459" xml:space="preserve"> IF(LEN(ChartLines.Hex6)=6, HEX2DEC(RIGHT(ChartLines.Hex6, 2)), "·")</f>
        <v>40</v>
      </c>
      <c r="K187" cm="1">
        <f t="array" ref="K187" xml:space="preserve"> 1 + ROW() - _xlfn.SINGLE(ROW(ChartLines.RowNum))</f>
        <v>185</v>
      </c>
    </row>
    <row r="188" spans="2:11">
      <c r="B188" t="s">
        <v>406</v>
      </c>
      <c r="C188" t="s">
        <v>1908</v>
      </c>
      <c r="E188">
        <f t="shared" ref="E188" si="460" xml:space="preserve"> IF(AND(LEN(ChartLines.ID)&gt;0,"Unused"&lt;&gt;ChartLines.ID), COUNTIFS(ChartLines.ID,ChartLines.ID), "·")</f>
        <v>2</v>
      </c>
      <c r="F188">
        <f t="shared" ref="F188" si="461"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ref="H188" si="462" xml:space="preserve"> IF(LEN(ChartLines.Hex6)=6, HEX2DEC(LEFT(ChartLines.Hex6, 2)), "·")</f>
        <v>249</v>
      </c>
      <c r="I188">
        <f t="shared" ref="I188" si="463" xml:space="preserve"> IF(LEN(ChartLines.Hex6)=6, HEX2DEC(MID(ChartLines.Hex6, 3, 2)), "·")</f>
        <v>214</v>
      </c>
      <c r="J188">
        <f t="shared" ref="J188" si="464" xml:space="preserve"> IF(LEN(ChartLines.Hex6)=6, HEX2DEC(RIGHT(ChartLines.Hex6, 2)), "·")</f>
        <v>22</v>
      </c>
      <c r="K188" cm="1">
        <f t="array" ref="K188" xml:space="preserve"> 1 + ROW() - _xlfn.SINGLE(ROW(ChartLines.RowNum))</f>
        <v>186</v>
      </c>
    </row>
    <row r="189" spans="2:11">
      <c r="B189" t="s">
        <v>1670</v>
      </c>
      <c r="C189" t="s">
        <v>1909</v>
      </c>
      <c r="E189">
        <f t="shared" ref="E189" si="465" xml:space="preserve"> IF(AND(LEN(ChartLines.ID)&gt;0,"Unused"&lt;&gt;ChartLines.ID), COUNTIFS(ChartLines.ID,ChartLines.ID), "·")</f>
        <v>2</v>
      </c>
      <c r="F189">
        <f t="shared" ref="F189" si="46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67" xml:space="preserve"> IF(LEN(ChartLines.Hex6)=6, HEX2DEC(LEFT(ChartLines.Hex6, 2)), "·")</f>
        <v>255</v>
      </c>
      <c r="I189">
        <f t="shared" ref="I189" si="468" xml:space="preserve"> IF(LEN(ChartLines.Hex6)=6, HEX2DEC(MID(ChartLines.Hex6, 3, 2)), "·")</f>
        <v>210</v>
      </c>
      <c r="J189">
        <f t="shared" ref="J189" si="469" xml:space="preserve"> IF(LEN(ChartLines.Hex6)=6, HEX2DEC(RIGHT(ChartLines.Hex6, 2)), "·")</f>
        <v>0</v>
      </c>
      <c r="K189" cm="1">
        <f t="array" ref="K189" xml:space="preserve"> 1 + ROW() - _xlfn.SINGLE(ROW(ChartLines.RowNum))</f>
        <v>187</v>
      </c>
    </row>
    <row r="190" spans="2:11">
      <c r="B190" t="s">
        <v>1670</v>
      </c>
      <c r="C190" t="s">
        <v>1910</v>
      </c>
      <c r="E190">
        <f t="shared" ref="E190" si="470" xml:space="preserve"> IF(AND(LEN(ChartLines.ID)&gt;0,"Unused"&lt;&gt;ChartLines.ID), COUNTIFS(ChartLines.ID,ChartLines.ID), "·")</f>
        <v>2</v>
      </c>
      <c r="F190">
        <f t="shared" ref="F190" si="47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472" xml:space="preserve"> IF(LEN(ChartLines.Hex6)=6, HEX2DEC(LEFT(ChartLines.Hex6, 2)), "·")</f>
        <v>204</v>
      </c>
      <c r="I190">
        <f t="shared" ref="I190" si="473" xml:space="preserve"> IF(LEN(ChartLines.Hex6)=6, HEX2DEC(MID(ChartLines.Hex6, 3, 2)), "·")</f>
        <v>9</v>
      </c>
      <c r="J190">
        <f t="shared" ref="J190" si="474" xml:space="preserve"> IF(LEN(ChartLines.Hex6)=6, HEX2DEC(RIGHT(ChartLines.Hex6, 2)), "·")</f>
        <v>47</v>
      </c>
      <c r="K190" cm="1">
        <f t="array" ref="K190" xml:space="preserve"> 1 + ROW() - _xlfn.SINGLE(ROW(ChartLines.RowNum))</f>
        <v>188</v>
      </c>
    </row>
    <row r="191" spans="2:11">
      <c r="B191" t="s">
        <v>165</v>
      </c>
      <c r="C191" t="s">
        <v>1911</v>
      </c>
      <c r="E191">
        <f t="shared" ref="E191" si="475" xml:space="preserve"> IF(AND(LEN(ChartLines.ID)&gt;0,"Unused"&lt;&gt;ChartLines.ID), COUNTIFS(ChartLines.ID,ChartLines.ID), "·")</f>
        <v>2</v>
      </c>
      <c r="F191">
        <f t="shared" ref="F191" si="47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477" xml:space="preserve"> IF(LEN(ChartLines.Hex6)=6, HEX2DEC(LEFT(ChartLines.Hex6, 2)), "·")</f>
        <v>0</v>
      </c>
      <c r="I191">
        <f t="shared" ref="I191" si="478" xml:space="preserve"> IF(LEN(ChartLines.Hex6)=6, HEX2DEC(MID(ChartLines.Hex6, 3, 2)), "·")</f>
        <v>87</v>
      </c>
      <c r="J191">
        <f t="shared" ref="J191" si="479" xml:space="preserve"> IF(LEN(ChartLines.Hex6)=6, HEX2DEC(RIGHT(ChartLines.Hex6, 2)), "·")</f>
        <v>183</v>
      </c>
      <c r="K191" cm="1">
        <f t="array" ref="K191" xml:space="preserve"> 1 + ROW() - _xlfn.SINGLE(ROW(ChartLines.RowNum))</f>
        <v>189</v>
      </c>
    </row>
    <row r="192" spans="2:11">
      <c r="B192" t="s">
        <v>165</v>
      </c>
      <c r="C192" t="s">
        <v>1979</v>
      </c>
      <c r="E192">
        <f t="shared" ref="E192" si="480" xml:space="preserve"> IF(AND(LEN(ChartLines.ID)&gt;0,"Unused"&lt;&gt;ChartLines.ID), COUNTIFS(ChartLines.ID,ChartLines.ID), "·")</f>
        <v>2</v>
      </c>
      <c r="F192">
        <f t="shared" ref="F192" si="48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482" xml:space="preserve"> IF(LEN(ChartLines.Hex6)=6, HEX2DEC(LEFT(ChartLines.Hex6, 2)), "·")</f>
        <v>255</v>
      </c>
      <c r="I192">
        <f t="shared" ref="I192" si="483" xml:space="preserve"> IF(LEN(ChartLines.Hex6)=6, HEX2DEC(MID(ChartLines.Hex6, 3, 2)), "·")</f>
        <v>215</v>
      </c>
      <c r="J192">
        <f t="shared" ref="J192" si="484" xml:space="preserve"> IF(LEN(ChartLines.Hex6)=6, HEX2DEC(RIGHT(ChartLines.Hex6, 2)), "·")</f>
        <v>0</v>
      </c>
      <c r="K192" cm="1">
        <f t="array" ref="K192" xml:space="preserve"> 1 + ROW() - _xlfn.SINGLE(ROW(ChartLines.RowNum))</f>
        <v>190</v>
      </c>
    </row>
    <row r="193" spans="2:11">
      <c r="B193" t="s">
        <v>1912</v>
      </c>
      <c r="C193" t="s">
        <v>1838</v>
      </c>
      <c r="E193">
        <f t="shared" ref="E193" si="485" xml:space="preserve"> IF(AND(LEN(ChartLines.ID)&gt;0,"Unused"&lt;&gt;ChartLines.ID), COUNTIFS(ChartLines.ID,ChartLines.ID), "·")</f>
        <v>2</v>
      </c>
      <c r="F193">
        <f t="shared" ref="F193" si="486"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f t="shared" ref="H193" si="487" xml:space="preserve"> IF(LEN(ChartLines.Hex6)=6, HEX2DEC(LEFT(ChartLines.Hex6, 2)), "·")</f>
        <v>255</v>
      </c>
      <c r="I193">
        <f t="shared" ref="I193" si="488" xml:space="preserve"> IF(LEN(ChartLines.Hex6)=6, HEX2DEC(MID(ChartLines.Hex6, 3, 2)), "·")</f>
        <v>0</v>
      </c>
      <c r="J193">
        <f t="shared" ref="J193" si="489" xml:space="preserve"> IF(LEN(ChartLines.Hex6)=6, HEX2DEC(RIGHT(ChartLines.Hex6, 2)), "·")</f>
        <v>0</v>
      </c>
      <c r="K193" cm="1">
        <f t="array" ref="K193" xml:space="preserve"> 1 + ROW() - _xlfn.SINGLE(ROW(ChartLines.RowNum))</f>
        <v>191</v>
      </c>
    </row>
    <row r="194" spans="2:11">
      <c r="B194" t="s">
        <v>1912</v>
      </c>
      <c r="C194" t="s">
        <v>1839</v>
      </c>
      <c r="E194">
        <f t="shared" ref="E194:E198" si="490" xml:space="preserve"> IF(AND(LEN(ChartLines.ID)&gt;0,"Unused"&lt;&gt;ChartLines.ID), COUNTIFS(ChartLines.ID,ChartLines.ID), "·")</f>
        <v>2</v>
      </c>
      <c r="F194">
        <f t="shared" ref="F194:F198" si="491"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f t="shared" ref="H194:H198" si="492" xml:space="preserve"> IF(LEN(ChartLines.Hex6)=6, HEX2DEC(LEFT(ChartLines.Hex6, 2)), "·")</f>
        <v>255</v>
      </c>
      <c r="I194">
        <f t="shared" ref="I194:I198" si="493" xml:space="preserve"> IF(LEN(ChartLines.Hex6)=6, HEX2DEC(MID(ChartLines.Hex6, 3, 2)), "·")</f>
        <v>255</v>
      </c>
      <c r="J194">
        <f t="shared" ref="J194:J198" si="494" xml:space="preserve"> IF(LEN(ChartLines.Hex6)=6, HEX2DEC(RIGHT(ChartLines.Hex6, 2)), "·")</f>
        <v>255</v>
      </c>
      <c r="K194" cm="1">
        <f t="array" ref="K194" xml:space="preserve"> 1 + ROW() - _xlfn.SINGLE(ROW(ChartLines.RowNum))</f>
        <v>192</v>
      </c>
    </row>
    <row r="195" spans="2:11">
      <c r="B195" t="s">
        <v>2414</v>
      </c>
      <c r="C195" t="s">
        <v>2416</v>
      </c>
      <c r="E195">
        <f t="shared" si="490"/>
        <v>2</v>
      </c>
      <c r="F195">
        <f t="shared" si="491"/>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f t="shared" si="492"/>
        <v>0</v>
      </c>
      <c r="I195">
        <f t="shared" si="493"/>
        <v>152</v>
      </c>
      <c r="J195">
        <f t="shared" si="494"/>
        <v>195</v>
      </c>
      <c r="K195" cm="1">
        <f t="array" ref="K195" xml:space="preserve"> 1 + ROW() - _xlfn.SINGLE(ROW(ChartLines.RowNum))</f>
        <v>193</v>
      </c>
    </row>
    <row r="196" spans="2:11">
      <c r="B196" t="s">
        <v>2414</v>
      </c>
      <c r="C196" t="s">
        <v>1839</v>
      </c>
      <c r="E196">
        <f t="shared" si="490"/>
        <v>2</v>
      </c>
      <c r="F196">
        <f t="shared" si="491"/>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f t="shared" si="492"/>
        <v>255</v>
      </c>
      <c r="I196">
        <f t="shared" si="493"/>
        <v>255</v>
      </c>
      <c r="J196">
        <f t="shared" si="494"/>
        <v>255</v>
      </c>
      <c r="K196" cm="1">
        <f t="array" ref="K196" xml:space="preserve"> 1 + ROW() - _xlfn.SINGLE(ROW(ChartLines.RowNum))</f>
        <v>194</v>
      </c>
    </row>
    <row r="197" spans="2:11">
      <c r="B197" t="s">
        <v>2415</v>
      </c>
      <c r="C197" t="s">
        <v>1934</v>
      </c>
      <c r="E197">
        <f t="shared" si="490"/>
        <v>2</v>
      </c>
      <c r="F197">
        <f t="shared" si="491"/>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f t="shared" si="492"/>
        <v>0</v>
      </c>
      <c r="I197">
        <f t="shared" si="493"/>
        <v>51</v>
      </c>
      <c r="J197">
        <f t="shared" si="494"/>
        <v>160</v>
      </c>
      <c r="K197" cm="1">
        <f t="array" ref="K197" xml:space="preserve"> 1 + ROW() - _xlfn.SINGLE(ROW(ChartLines.RowNum))</f>
        <v>195</v>
      </c>
    </row>
    <row r="198" spans="2:11">
      <c r="B198" t="s">
        <v>2415</v>
      </c>
      <c r="C198" t="s">
        <v>2417</v>
      </c>
      <c r="E198">
        <f t="shared" si="490"/>
        <v>2</v>
      </c>
      <c r="F198">
        <f t="shared" si="491"/>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f t="shared" si="492"/>
        <v>242</v>
      </c>
      <c r="I198">
        <f t="shared" si="493"/>
        <v>168</v>
      </c>
      <c r="J198">
        <f t="shared" si="494"/>
        <v>0</v>
      </c>
      <c r="K198" cm="1">
        <f t="array" ref="K198" xml:space="preserve"> 1 + ROW() - _xlfn.SINGLE(ROW(ChartLines.RowNum))</f>
        <v>196</v>
      </c>
    </row>
    <row r="199" spans="2:11">
      <c r="B199" t="s">
        <v>2154</v>
      </c>
      <c r="C199" t="s">
        <v>1913</v>
      </c>
      <c r="E199">
        <f t="shared" ref="E199" si="495" xml:space="preserve"> IF(AND(LEN(ChartLines.ID)&gt;0,"Unused"&lt;&gt;ChartLines.ID), COUNTIFS(ChartLines.ID,ChartLines.ID), "·")</f>
        <v>2</v>
      </c>
      <c r="F199">
        <f t="shared" ref="F199" si="496" xml:space="preserve"> IF(AND(LEN(ChartLines.ID)&gt;0,"Unused"&lt;&gt;ChartLines.ID), COUNTIFS(ChartLines.ID,ChartLines.ID,   ChartLines.RowNum,"&lt;="&amp;ChartLines.RowNum), "·")</f>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f t="shared" ref="H199" si="497" xml:space="preserve"> IF(LEN(ChartLines.Hex6)=6, HEX2DEC(LEFT(ChartLines.Hex6, 2)), "·")</f>
        <v>207</v>
      </c>
      <c r="I199">
        <f t="shared" ref="I199" si="498" xml:space="preserve"> IF(LEN(ChartLines.Hex6)=6, HEX2DEC(MID(ChartLines.Hex6, 3, 2)), "·")</f>
        <v>16</v>
      </c>
      <c r="J199">
        <f t="shared" ref="J199" si="499" xml:space="preserve"> IF(LEN(ChartLines.Hex6)=6, HEX2DEC(RIGHT(ChartLines.Hex6, 2)), "·")</f>
        <v>26</v>
      </c>
      <c r="K199" cm="1">
        <f t="array" ref="K199" xml:space="preserve"> 1 + ROW() - _xlfn.SINGLE(ROW(ChartLines.RowNum))</f>
        <v>197</v>
      </c>
    </row>
    <row r="200" spans="2:11">
      <c r="B200" t="s">
        <v>2154</v>
      </c>
      <c r="C200" t="s">
        <v>1839</v>
      </c>
      <c r="E200">
        <f t="shared" ref="E200" si="500" xml:space="preserve"> IF(AND(LEN(ChartLines.ID)&gt;0,"Unused"&lt;&gt;ChartLines.ID), COUNTIFS(ChartLines.ID,ChartLines.ID), "·")</f>
        <v>2</v>
      </c>
      <c r="F200">
        <f t="shared" ref="F200" si="501" xml:space="preserve"> IF(AND(LEN(ChartLines.ID)&gt;0,"Unused"&lt;&gt;ChartLines.ID), COUNTIFS(ChartLines.ID,ChartLines.ID,   ChartLines.RowNum,"&lt;="&amp;ChartLines.RowNum), "·")</f>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f t="shared" ref="H200" si="502" xml:space="preserve"> IF(LEN(ChartLines.Hex6)=6, HEX2DEC(LEFT(ChartLines.Hex6, 2)), "·")</f>
        <v>255</v>
      </c>
      <c r="I200">
        <f t="shared" ref="I200" si="503" xml:space="preserve"> IF(LEN(ChartLines.Hex6)=6, HEX2DEC(MID(ChartLines.Hex6, 3, 2)), "·")</f>
        <v>255</v>
      </c>
      <c r="J200">
        <f t="shared" ref="J200" si="504" xml:space="preserve"> IF(LEN(ChartLines.Hex6)=6, HEX2DEC(RIGHT(ChartLines.Hex6, 2)), "·")</f>
        <v>255</v>
      </c>
      <c r="K200" cm="1">
        <f t="array" ref="K200" xml:space="preserve"> 1 + ROW() - _xlfn.SINGLE(ROW(ChartLines.RowNum))</f>
        <v>198</v>
      </c>
    </row>
    <row r="201" spans="2:11">
      <c r="B201" t="s">
        <v>407</v>
      </c>
      <c r="C201" t="s">
        <v>2077</v>
      </c>
      <c r="E201">
        <f t="shared" ref="E201" si="505" xml:space="preserve"> IF(AND(LEN(ChartLines.ID)&gt;0,"Unused"&lt;&gt;ChartLines.ID), COUNTIFS(ChartLines.ID,ChartLines.ID), "·")</f>
        <v>2</v>
      </c>
      <c r="F201">
        <f t="shared" ref="F201" si="506" xml:space="preserve"> IF(AND(LEN(ChartLines.ID)&gt;0,"Unused"&lt;&gt;ChartLines.ID), COUNTIFS(ChartLines.ID,ChartLines.ID,   ChartLines.RowNum,"&lt;="&amp;ChartLines.RowNum), "·")</f>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f t="shared" ref="H201" si="507" xml:space="preserve"> IF(LEN(ChartLines.Hex6)=6, HEX2DEC(LEFT(ChartLines.Hex6, 2)), "·")</f>
        <v>106</v>
      </c>
      <c r="I201">
        <f t="shared" ref="I201" si="508" xml:space="preserve"> IF(LEN(ChartLines.Hex6)=6, HEX2DEC(MID(ChartLines.Hex6, 3, 2)), "·")</f>
        <v>87</v>
      </c>
      <c r="J201">
        <f t="shared" ref="J201" si="509" xml:space="preserve"> IF(LEN(ChartLines.Hex6)=6, HEX2DEC(RIGHT(ChartLines.Hex6, 2)), "·")</f>
        <v>27</v>
      </c>
      <c r="K201" cm="1">
        <f t="array" ref="K201" xml:space="preserve"> 1 + ROW() - _xlfn.SINGLE(ROW(ChartLines.RowNum))</f>
        <v>199</v>
      </c>
    </row>
    <row r="202" spans="2:11">
      <c r="B202" t="s">
        <v>407</v>
      </c>
      <c r="C202" t="s">
        <v>2068</v>
      </c>
      <c r="E202">
        <f t="shared" ref="E202" si="510" xml:space="preserve"> IF(AND(LEN(ChartLines.ID)&gt;0,"Unused"&lt;&gt;ChartLines.ID), COUNTIFS(ChartLines.ID,ChartLines.ID), "·")</f>
        <v>2</v>
      </c>
      <c r="F202">
        <f t="shared" ref="F202" si="511" xml:space="preserve"> IF(AND(LEN(ChartLines.ID)&gt;0,"Unused"&lt;&gt;ChartLines.ID), COUNTIFS(ChartLines.ID,ChartLines.ID,   ChartLines.RowNum,"&lt;="&amp;ChartLines.RowNum), "·")</f>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f t="shared" ref="H202" si="512" xml:space="preserve"> IF(LEN(ChartLines.Hex6)=6, HEX2DEC(LEFT(ChartLines.Hex6, 2)), "·")</f>
        <v>212</v>
      </c>
      <c r="I202">
        <f t="shared" ref="I202" si="513" xml:space="preserve"> IF(LEN(ChartLines.Hex6)=6, HEX2DEC(MID(ChartLines.Hex6, 3, 2)), "·")</f>
        <v>175</v>
      </c>
      <c r="J202">
        <f t="shared" ref="J202" si="514" xml:space="preserve"> IF(LEN(ChartLines.Hex6)=6, HEX2DEC(RIGHT(ChartLines.Hex6, 2)), "·")</f>
        <v>55</v>
      </c>
      <c r="K202" cm="1">
        <f t="array" ref="K202" xml:space="preserve"> 1 + ROW() - _xlfn.SINGLE(ROW(ChartLines.RowNum))</f>
        <v>200</v>
      </c>
    </row>
    <row r="203" spans="2:11">
      <c r="E203" t="str">
        <f t="shared" ref="E203" si="515" xml:space="preserve"> IF(AND(LEN(ChartLines.ID)&gt;0,"Unused"&lt;&gt;ChartLines.ID), COUNTIFS(ChartLines.ID,ChartLines.ID), "·")</f>
        <v>·</v>
      </c>
      <c r="F203" t="str">
        <f t="shared" ref="F203" si="516" xml:space="preserve"> IF(AND(LEN(ChartLines.ID)&gt;0,"Unused"&lt;&gt;ChartLines.ID), COUNTIFS(ChartLines.ID,ChartLines.ID,   ChartLines.RowNum,"&lt;="&amp;ChartLines.RowNum), "·")</f>
        <v>·</v>
      </c>
      <c r="G203" t="str" cm="1">
        <f t="array" ref="G203" xml:space="preserve"> _xlfn.IFS(OR(LEN(_xlfn.SINGLE(ChartLines.ID))=0,"Unused"=_xlfn.SINGLE(ChartLines.ID)), "·",   1=_xlfn.SINGLE(ChartLines.NumInstances), IF("USD"=_xlfn.SINGLE(ChartLines.ID), "SoleBig", "SoleOrdinary"),   1=_xlfn.SINGLE(ChartLines.InstanceNum), "Outer",   TRUE, "Inner")</f>
        <v>·</v>
      </c>
      <c r="H203" t="str">
        <f t="shared" ref="H203" si="517" xml:space="preserve"> IF(LEN(ChartLines.Hex6)=6, HEX2DEC(LEFT(ChartLines.Hex6, 2)), "·")</f>
        <v>·</v>
      </c>
      <c r="I203" t="str">
        <f t="shared" ref="I203" si="518" xml:space="preserve"> IF(LEN(ChartLines.Hex6)=6, HEX2DEC(MID(ChartLines.Hex6, 3, 2)), "·")</f>
        <v>·</v>
      </c>
      <c r="J203" t="str">
        <f t="shared" ref="J203" si="519" xml:space="preserve"> IF(LEN(ChartLines.Hex6)=6, HEX2DEC(RIGHT(ChartLines.Hex6, 2)), "·")</f>
        <v>·</v>
      </c>
      <c r="K203" cm="1">
        <f t="array" ref="K203" xml:space="preserve"> 1 + ROW() - _xlfn.SINGLE(ROW(ChartLines.RowNum))</f>
        <v>201</v>
      </c>
    </row>
    <row r="204" spans="2:11">
      <c r="B204" t="s">
        <v>134</v>
      </c>
      <c r="C204" t="s">
        <v>1914</v>
      </c>
      <c r="E204">
        <f t="shared" ref="E204" si="520" xml:space="preserve"> IF(AND(LEN(ChartLines.ID)&gt;0,"Unused"&lt;&gt;ChartLines.ID), COUNTIFS(ChartLines.ID,ChartLines.ID), "·")</f>
        <v>1</v>
      </c>
      <c r="F204">
        <f t="shared" ref="F204" si="521" xml:space="preserve"> IF(AND(LEN(ChartLines.ID)&gt;0,"Unused"&lt;&gt;ChartLines.ID), COUNTIFS(ChartLines.ID,ChartLines.ID,   ChartLines.RowNum,"&lt;="&amp;ChartLines.RowNum), "·")</f>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ref="H204" si="522" xml:space="preserve"> IF(LEN(ChartLines.Hex6)=6, HEX2DEC(LEFT(ChartLines.Hex6, 2)), "·")</f>
        <v>227</v>
      </c>
      <c r="I204">
        <f t="shared" ref="I204" si="523" xml:space="preserve"> IF(LEN(ChartLines.Hex6)=6, HEX2DEC(MID(ChartLines.Hex6, 3, 2)), "·")</f>
        <v>10</v>
      </c>
      <c r="J204">
        <f t="shared" ref="J204" si="524" xml:space="preserve"> IF(LEN(ChartLines.Hex6)=6, HEX2DEC(RIGHT(ChartLines.Hex6, 2)), "·")</f>
        <v>23</v>
      </c>
      <c r="K204" cm="1">
        <f t="array" ref="K204" xml:space="preserve"> 1 + ROW() - _xlfn.SINGLE(ROW(ChartLines.RowNum))</f>
        <v>202</v>
      </c>
    </row>
    <row r="205" spans="2:11">
      <c r="B205" t="s">
        <v>1835</v>
      </c>
      <c r="E205" t="str">
        <f t="shared" ref="E205" si="525" xml:space="preserve"> IF(AND(LEN(ChartLines.ID)&gt;0,"Unused"&lt;&gt;ChartLines.ID), COUNTIFS(ChartLines.ID,ChartLines.ID), "·")</f>
        <v>·</v>
      </c>
      <c r="F205" t="str">
        <f t="shared" ref="F205" si="526" xml:space="preserve"> IF(AND(LEN(ChartLines.ID)&gt;0,"Unused"&lt;&gt;ChartLines.ID), COUNTIFS(ChartLines.ID,ChartLines.ID,   ChartLines.RowNum,"&lt;="&amp;ChartLines.RowNum), "·")</f>
        <v>·</v>
      </c>
      <c r="G205" t="str" cm="1">
        <f t="array" ref="G205" xml:space="preserve"> _xlfn.IFS(OR(LEN(_xlfn.SINGLE(ChartLines.ID))=0,"Unused"=_xlfn.SINGLE(ChartLines.ID)), "·",   1=_xlfn.SINGLE(ChartLines.NumInstances), IF("USD"=_xlfn.SINGLE(ChartLines.ID), "SoleBig", "SoleOrdinary"),   1=_xlfn.SINGLE(ChartLines.InstanceNum), "Outer",   TRUE, "Inner")</f>
        <v>·</v>
      </c>
      <c r="H205" t="str">
        <f t="shared" ref="H205" si="527" xml:space="preserve"> IF(LEN(ChartLines.Hex6)=6, HEX2DEC(LEFT(ChartLines.Hex6, 2)), "·")</f>
        <v>·</v>
      </c>
      <c r="I205" t="str">
        <f t="shared" ref="I205" si="528" xml:space="preserve"> IF(LEN(ChartLines.Hex6)=6, HEX2DEC(MID(ChartLines.Hex6, 3, 2)), "·")</f>
        <v>·</v>
      </c>
      <c r="J205" t="str">
        <f t="shared" ref="J205" si="529" xml:space="preserve"> IF(LEN(ChartLines.Hex6)=6, HEX2DEC(RIGHT(ChartLines.Hex6, 2)), "·")</f>
        <v>·</v>
      </c>
      <c r="K205" cm="1">
        <f t="array" ref="K205" xml:space="preserve"> 1 + ROW() - _xlfn.SINGLE(ROW(ChartLines.RowNum))</f>
        <v>203</v>
      </c>
    </row>
    <row r="206" spans="2:11">
      <c r="B206" t="s">
        <v>166</v>
      </c>
      <c r="C206" t="str">
        <f xml:space="preserve"> "009639"</f>
        <v>009639</v>
      </c>
      <c r="E206">
        <f t="shared" ref="E206" si="530" xml:space="preserve"> IF(AND(LEN(ChartLines.ID)&gt;0,"Unused"&lt;&gt;ChartLines.ID), COUNTIFS(ChartLines.ID,ChartLines.ID), "·")</f>
        <v>2</v>
      </c>
      <c r="F206">
        <f t="shared" ref="F206" si="531" xml:space="preserve"> IF(AND(LEN(ChartLines.ID)&gt;0,"Unused"&lt;&gt;ChartLines.ID), COUNTIFS(ChartLines.ID,ChartLines.ID,   ChartLines.RowNum,"&lt;="&amp;ChartLines.RowNum), "·")</f>
        <v>1</v>
      </c>
      <c r="G206" t="str" cm="1">
        <f t="array" ref="G206" xml:space="preserve"> _xlfn.IFS(OR(LEN(_xlfn.SINGLE(ChartLines.ID))=0,"Unused"=_xlfn.SINGLE(ChartLines.ID)), "·",   1=_xlfn.SINGLE(ChartLines.NumInstances), IF("USD"=_xlfn.SINGLE(ChartLines.ID), "SoleBig", "SoleOrdinary"),   1=_xlfn.SINGLE(ChartLines.InstanceNum), "Outer",   TRUE, "Inner")</f>
        <v>Outer</v>
      </c>
      <c r="H206">
        <f t="shared" ref="H206" si="532" xml:space="preserve"> IF(LEN(ChartLines.Hex6)=6, HEX2DEC(LEFT(ChartLines.Hex6, 2)), "·")</f>
        <v>0</v>
      </c>
      <c r="I206">
        <f t="shared" ref="I206" si="533" xml:space="preserve"> IF(LEN(ChartLines.Hex6)=6, HEX2DEC(MID(ChartLines.Hex6, 3, 2)), "·")</f>
        <v>150</v>
      </c>
      <c r="J206">
        <f t="shared" ref="J206" si="534" xml:space="preserve"> IF(LEN(ChartLines.Hex6)=6, HEX2DEC(RIGHT(ChartLines.Hex6, 2)), "·")</f>
        <v>57</v>
      </c>
      <c r="K206" cm="1">
        <f t="array" ref="K206" xml:space="preserve"> 1 + ROW() - _xlfn.SINGLE(ROW(ChartLines.RowNum))</f>
        <v>204</v>
      </c>
    </row>
    <row r="207" spans="2:11">
      <c r="B207" t="s">
        <v>166</v>
      </c>
      <c r="C207" t="s">
        <v>1839</v>
      </c>
      <c r="E207">
        <f t="shared" ref="E207" si="535" xml:space="preserve"> IF(AND(LEN(ChartLines.ID)&gt;0,"Unused"&lt;&gt;ChartLines.ID), COUNTIFS(ChartLines.ID,ChartLines.ID), "·")</f>
        <v>2</v>
      </c>
      <c r="F207">
        <f t="shared" ref="F207" si="536" xml:space="preserve"> IF(AND(LEN(ChartLines.ID)&gt;0,"Unused"&lt;&gt;ChartLines.ID), COUNTIFS(ChartLines.ID,ChartLines.ID,   ChartLines.RowNum,"&lt;="&amp;ChartLines.RowNum), "·")</f>
        <v>2</v>
      </c>
      <c r="G207" t="str" cm="1">
        <f t="array" ref="G207" xml:space="preserve"> _xlfn.IFS(OR(LEN(_xlfn.SINGLE(ChartLines.ID))=0,"Unused"=_xlfn.SINGLE(ChartLines.ID)), "·",   1=_xlfn.SINGLE(ChartLines.NumInstances), IF("USD"=_xlfn.SINGLE(ChartLines.ID), "SoleBig", "SoleOrdinary"),   1=_xlfn.SINGLE(ChartLines.InstanceNum), "Outer",   TRUE, "Inner")</f>
        <v>Inner</v>
      </c>
      <c r="H207">
        <f t="shared" ref="H207" si="537" xml:space="preserve"> IF(LEN(ChartLines.Hex6)=6, HEX2DEC(LEFT(ChartLines.Hex6, 2)), "·")</f>
        <v>255</v>
      </c>
      <c r="I207">
        <f t="shared" ref="I207" si="538" xml:space="preserve"> IF(LEN(ChartLines.Hex6)=6, HEX2DEC(MID(ChartLines.Hex6, 3, 2)), "·")</f>
        <v>255</v>
      </c>
      <c r="J207">
        <f t="shared" ref="J207" si="539" xml:space="preserve"> IF(LEN(ChartLines.Hex6)=6, HEX2DEC(RIGHT(ChartLines.Hex6, 2)), "·")</f>
        <v>255</v>
      </c>
      <c r="K207" cm="1">
        <f t="array" ref="K207" xml:space="preserve"> 1 + ROW() - _xlfn.SINGLE(ROW(ChartLines.RowNum))</f>
        <v>205</v>
      </c>
    </row>
    <row r="208" spans="2:11">
      <c r="B208" t="s">
        <v>459</v>
      </c>
      <c r="C208" t="str">
        <f xml:space="preserve"> "009639"</f>
        <v>009639</v>
      </c>
      <c r="E208">
        <f t="shared" ref="E208" si="540" xml:space="preserve"> IF(AND(LEN(ChartLines.ID)&gt;0,"Unused"&lt;&gt;ChartLines.ID), COUNTIFS(ChartLines.ID,ChartLines.ID), "·")</f>
        <v>2</v>
      </c>
      <c r="F208">
        <f t="shared" ref="F208" si="541"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Outer</v>
      </c>
      <c r="H208">
        <f t="shared" ref="H208" si="542" xml:space="preserve"> IF(LEN(ChartLines.Hex6)=6, HEX2DEC(LEFT(ChartLines.Hex6, 2)), "·")</f>
        <v>0</v>
      </c>
      <c r="I208">
        <f t="shared" ref="I208" si="543" xml:space="preserve"> IF(LEN(ChartLines.Hex6)=6, HEX2DEC(MID(ChartLines.Hex6, 3, 2)), "·")</f>
        <v>150</v>
      </c>
      <c r="J208">
        <f t="shared" ref="J208" si="544" xml:space="preserve"> IF(LEN(ChartLines.Hex6)=6, HEX2DEC(RIGHT(ChartLines.Hex6, 2)), "·")</f>
        <v>57</v>
      </c>
      <c r="K208" cm="1">
        <f t="array" ref="K208" xml:space="preserve"> 1 + ROW() - _xlfn.SINGLE(ROW(ChartLines.RowNum))</f>
        <v>206</v>
      </c>
    </row>
    <row r="209" spans="2:11">
      <c r="B209" t="s">
        <v>459</v>
      </c>
      <c r="C209" t="s">
        <v>1837</v>
      </c>
      <c r="E209">
        <f t="shared" ref="E209:E211" si="545" xml:space="preserve"> IF(AND(LEN(ChartLines.ID)&gt;0,"Unused"&lt;&gt;ChartLines.ID), COUNTIFS(ChartLines.ID,ChartLines.ID), "·")</f>
        <v>2</v>
      </c>
      <c r="F209">
        <f t="shared" ref="F209:F211" si="546" xml:space="preserve"> IF(AND(LEN(ChartLines.ID)&gt;0,"Unused"&lt;&gt;ChartLines.ID), COUNTIFS(ChartLines.ID,ChartLines.ID,   ChartLines.RowNum,"&lt;="&amp;ChartLines.RowNum), "·")</f>
        <v>2</v>
      </c>
      <c r="G209" t="str" cm="1">
        <f t="array" ref="G209" xml:space="preserve"> _xlfn.IFS(OR(LEN(_xlfn.SINGLE(ChartLines.ID))=0,"Unused"=_xlfn.SINGLE(ChartLines.ID)), "·",   1=_xlfn.SINGLE(ChartLines.NumInstances), IF("USD"=_xlfn.SINGLE(ChartLines.ID), "SoleBig", "SoleOrdinary"),   1=_xlfn.SINGLE(ChartLines.InstanceNum), "Outer",   TRUE, "Inner")</f>
        <v>Inner</v>
      </c>
      <c r="H209">
        <f t="shared" ref="H209:H211" si="547" xml:space="preserve"> IF(LEN(ChartLines.Hex6)=6, HEX2DEC(LEFT(ChartLines.Hex6, 2)), "·")</f>
        <v>239</v>
      </c>
      <c r="I209">
        <f t="shared" ref="I209:I211" si="548" xml:space="preserve"> IF(LEN(ChartLines.Hex6)=6, HEX2DEC(MID(ChartLines.Hex6, 3, 2)), "·")</f>
        <v>51</v>
      </c>
      <c r="J209">
        <f t="shared" ref="J209:J211" si="549" xml:space="preserve"> IF(LEN(ChartLines.Hex6)=6, HEX2DEC(RIGHT(ChartLines.Hex6, 2)), "·")</f>
        <v>64</v>
      </c>
      <c r="K209" cm="1">
        <f t="array" ref="K209" xml:space="preserve"> 1 + ROW() - _xlfn.SINGLE(ROW(ChartLines.RowNum))</f>
        <v>207</v>
      </c>
    </row>
    <row r="210" spans="2:11">
      <c r="B210" t="s">
        <v>1978</v>
      </c>
      <c r="C210" t="s">
        <v>1844</v>
      </c>
      <c r="E210">
        <f t="shared" si="545"/>
        <v>2</v>
      </c>
      <c r="F210">
        <f t="shared" si="546"/>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f t="shared" si="547"/>
        <v>200</v>
      </c>
      <c r="I210">
        <f t="shared" si="548"/>
        <v>16</v>
      </c>
      <c r="J210">
        <f t="shared" si="549"/>
        <v>46</v>
      </c>
      <c r="K210" cm="1">
        <f t="array" ref="K210" xml:space="preserve"> 1 + ROW() - _xlfn.SINGLE(ROW(ChartLines.RowNum))</f>
        <v>208</v>
      </c>
    </row>
    <row r="211" spans="2:11">
      <c r="B211" t="s">
        <v>1978</v>
      </c>
      <c r="C211" t="s">
        <v>1979</v>
      </c>
      <c r="E211">
        <f t="shared" si="545"/>
        <v>2</v>
      </c>
      <c r="F211">
        <f t="shared" si="546"/>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f t="shared" si="547"/>
        <v>255</v>
      </c>
      <c r="I211">
        <f t="shared" si="548"/>
        <v>215</v>
      </c>
      <c r="J211">
        <f t="shared" si="549"/>
        <v>0</v>
      </c>
      <c r="K211" cm="1">
        <f t="array" ref="K211" xml:space="preserve"> 1 + ROW() - _xlfn.SINGLE(ROW(ChartLines.RowNum))</f>
        <v>209</v>
      </c>
    </row>
    <row r="212" spans="2:11">
      <c r="B212" t="s">
        <v>473</v>
      </c>
      <c r="C212" t="s">
        <v>1915</v>
      </c>
      <c r="E212">
        <f t="shared" ref="E212" si="550" xml:space="preserve"> IF(AND(LEN(ChartLines.ID)&gt;0,"Unused"&lt;&gt;ChartLines.ID), COUNTIFS(ChartLines.ID,ChartLines.ID), "·")</f>
        <v>2</v>
      </c>
      <c r="F212">
        <f t="shared" ref="F212" si="551"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f t="shared" ref="H212" si="552" xml:space="preserve"> IF(LEN(ChartLines.Hex6)=6, HEX2DEC(LEFT(ChartLines.Hex6, 2)), "·")</f>
        <v>108</v>
      </c>
      <c r="I212">
        <f t="shared" ref="I212" si="553" xml:space="preserve"> IF(LEN(ChartLines.Hex6)=6, HEX2DEC(MID(ChartLines.Hex6, 3, 2)), "·")</f>
        <v>29</v>
      </c>
      <c r="J212">
        <f t="shared" ref="J212" si="554" xml:space="preserve"> IF(LEN(ChartLines.Hex6)=6, HEX2DEC(RIGHT(ChartLines.Hex6, 2)), "·")</f>
        <v>69</v>
      </c>
      <c r="K212" cm="1">
        <f t="array" ref="K212" xml:space="preserve"> 1 + ROW() - _xlfn.SINGLE(ROW(ChartLines.RowNum))</f>
        <v>210</v>
      </c>
    </row>
    <row r="213" spans="2:11">
      <c r="B213" t="s">
        <v>473</v>
      </c>
      <c r="C213" t="s">
        <v>1839</v>
      </c>
      <c r="E213">
        <f t="shared" ref="E213:E214" si="555" xml:space="preserve"> IF(AND(LEN(ChartLines.ID)&gt;0,"Unused"&lt;&gt;ChartLines.ID), COUNTIFS(ChartLines.ID,ChartLines.ID), "·")</f>
        <v>2</v>
      </c>
      <c r="F213">
        <f t="shared" ref="F213:F214" si="556"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f t="shared" ref="H213:H214" si="557" xml:space="preserve"> IF(LEN(ChartLines.Hex6)=6, HEX2DEC(LEFT(ChartLines.Hex6, 2)), "·")</f>
        <v>255</v>
      </c>
      <c r="I213">
        <f t="shared" ref="I213:I214" si="558" xml:space="preserve"> IF(LEN(ChartLines.Hex6)=6, HEX2DEC(MID(ChartLines.Hex6, 3, 2)), "·")</f>
        <v>255</v>
      </c>
      <c r="J213">
        <f t="shared" ref="J213:J214" si="559" xml:space="preserve"> IF(LEN(ChartLines.Hex6)=6, HEX2DEC(RIGHT(ChartLines.Hex6, 2)), "·")</f>
        <v>255</v>
      </c>
      <c r="K213" cm="1">
        <f t="array" ref="K213" xml:space="preserve"> 1 + ROW() - _xlfn.SINGLE(ROW(ChartLines.RowNum))</f>
        <v>211</v>
      </c>
    </row>
    <row r="214" spans="2:11">
      <c r="B214" t="s">
        <v>2413</v>
      </c>
      <c r="C214" t="s">
        <v>1857</v>
      </c>
      <c r="E214">
        <f t="shared" si="555"/>
        <v>1</v>
      </c>
      <c r="F214">
        <f t="shared" si="556"/>
        <v>1</v>
      </c>
      <c r="G214" t="str" cm="1">
        <f t="array" ref="G214" xml:space="preserve"> _xlfn.IFS(OR(LEN(_xlfn.SINGLE(ChartLines.ID))=0,"Unused"=_xlfn.SINGLE(ChartLines.ID)), "·",   1=_xlfn.SINGLE(ChartLines.NumInstances), IF("USD"=_xlfn.SINGLE(ChartLines.ID), "SoleBig", "SoleOrdinary"),   1=_xlfn.SINGLE(ChartLines.InstanceNum), "Outer",   TRUE, "Inner")</f>
        <v>SoleOrdinary</v>
      </c>
      <c r="H214">
        <f t="shared" si="557"/>
        <v>218</v>
      </c>
      <c r="I214">
        <f t="shared" si="558"/>
        <v>41</v>
      </c>
      <c r="J214">
        <f t="shared" si="559"/>
        <v>28</v>
      </c>
      <c r="K214" cm="1">
        <f t="array" ref="K214" xml:space="preserve"> 1 + ROW() - _xlfn.SINGLE(ROW(ChartLines.RowNum))</f>
        <v>212</v>
      </c>
    </row>
    <row r="215" spans="2:11">
      <c r="B215" t="s">
        <v>1916</v>
      </c>
      <c r="C215" t="str">
        <f xml:space="preserve"> "000000"</f>
        <v>000000</v>
      </c>
      <c r="E215">
        <f t="shared" ref="E215" si="560" xml:space="preserve"> IF(AND(LEN(ChartLines.ID)&gt;0,"Unused"&lt;&gt;ChartLines.ID), COUNTIFS(ChartLines.ID,ChartLines.ID), "·")</f>
        <v>2</v>
      </c>
      <c r="F215">
        <f t="shared" ref="F215" si="56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 si="562" xml:space="preserve"> IF(LEN(ChartLines.Hex6)=6, HEX2DEC(LEFT(ChartLines.Hex6, 2)), "·")</f>
        <v>0</v>
      </c>
      <c r="I215">
        <f t="shared" ref="I215" si="563" xml:space="preserve"> IF(LEN(ChartLines.Hex6)=6, HEX2DEC(MID(ChartLines.Hex6, 3, 2)), "·")</f>
        <v>0</v>
      </c>
      <c r="J215">
        <f t="shared" ref="J215" si="564" xml:space="preserve"> IF(LEN(ChartLines.Hex6)=6, HEX2DEC(RIGHT(ChartLines.Hex6, 2)), "·")</f>
        <v>0</v>
      </c>
      <c r="K215" cm="1">
        <f t="array" ref="K215" xml:space="preserve"> 1 + ROW() - _xlfn.SINGLE(ROW(ChartLines.RowNum))</f>
        <v>213</v>
      </c>
    </row>
    <row r="216" spans="2:11">
      <c r="B216" t="s">
        <v>1916</v>
      </c>
      <c r="C216" t="s">
        <v>1917</v>
      </c>
      <c r="E216">
        <f t="shared" ref="E216:E220" si="565" xml:space="preserve"> IF(AND(LEN(ChartLines.ID)&gt;0,"Unused"&lt;&gt;ChartLines.ID), COUNTIFS(ChartLines.ID,ChartLines.ID), "·")</f>
        <v>2</v>
      </c>
      <c r="F216">
        <f t="shared" ref="F216:F220" si="56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20" si="567" xml:space="preserve"> IF(LEN(ChartLines.Hex6)=6, HEX2DEC(LEFT(ChartLines.Hex6, 2)), "·")</f>
        <v>206</v>
      </c>
      <c r="I216">
        <f t="shared" ref="I216:I220" si="568" xml:space="preserve"> IF(LEN(ChartLines.Hex6)=6, HEX2DEC(MID(ChartLines.Hex6, 3, 2)), "·")</f>
        <v>17</v>
      </c>
      <c r="J216">
        <f t="shared" ref="J216:J220" si="569" xml:space="preserve"> IF(LEN(ChartLines.Hex6)=6, HEX2DEC(RIGHT(ChartLines.Hex6, 2)), "·")</f>
        <v>38</v>
      </c>
      <c r="K216" cm="1">
        <f t="array" ref="K216" xml:space="preserve"> 1 + ROW() - _xlfn.SINGLE(ROW(ChartLines.RowNum))</f>
        <v>214</v>
      </c>
    </row>
    <row r="217" spans="2:11">
      <c r="B217" t="s">
        <v>2026</v>
      </c>
      <c r="C217" t="s">
        <v>2025</v>
      </c>
      <c r="E217">
        <f t="shared" si="565"/>
        <v>2</v>
      </c>
      <c r="F217">
        <f t="shared" si="566"/>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67"/>
        <v>196</v>
      </c>
      <c r="I217">
        <f t="shared" si="568"/>
        <v>156</v>
      </c>
      <c r="J217">
        <f t="shared" si="569"/>
        <v>91</v>
      </c>
      <c r="K217" cm="1">
        <f t="array" ref="K217" xml:space="preserve"> 1 + ROW() - _xlfn.SINGLE(ROW(ChartLines.RowNum))</f>
        <v>215</v>
      </c>
    </row>
    <row r="218" spans="2:11">
      <c r="B218" t="s">
        <v>2026</v>
      </c>
      <c r="C218" t="str">
        <f xml:space="preserve"> "000000"</f>
        <v>000000</v>
      </c>
      <c r="E218">
        <f t="shared" si="565"/>
        <v>2</v>
      </c>
      <c r="F218">
        <f t="shared" si="56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67"/>
        <v>0</v>
      </c>
      <c r="I218">
        <f t="shared" si="568"/>
        <v>0</v>
      </c>
      <c r="J218">
        <f t="shared" si="569"/>
        <v>0</v>
      </c>
      <c r="K218" cm="1">
        <f t="array" ref="K218" xml:space="preserve"> 1 + ROW() - _xlfn.SINGLE(ROW(ChartLines.RowNum))</f>
        <v>216</v>
      </c>
    </row>
    <row r="219" spans="2:11">
      <c r="B219" t="s">
        <v>2310</v>
      </c>
      <c r="C219" t="s">
        <v>2404</v>
      </c>
      <c r="E219">
        <f t="shared" si="565"/>
        <v>2</v>
      </c>
      <c r="F219">
        <f t="shared" si="566"/>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si="567"/>
        <v>0</v>
      </c>
      <c r="I219">
        <f t="shared" si="568"/>
        <v>122</v>
      </c>
      <c r="J219">
        <f t="shared" si="569"/>
        <v>61</v>
      </c>
      <c r="K219" cm="1">
        <f t="array" ref="K219" xml:space="preserve"> 1 + ROW() - _xlfn.SINGLE(ROW(ChartLines.RowNum))</f>
        <v>217</v>
      </c>
    </row>
    <row r="220" spans="2:11">
      <c r="B220" t="s">
        <v>2310</v>
      </c>
      <c r="C220" t="str">
        <f xml:space="preserve"> "000000"</f>
        <v>000000</v>
      </c>
      <c r="E220">
        <f t="shared" si="565"/>
        <v>2</v>
      </c>
      <c r="F220">
        <f t="shared" si="566"/>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si="567"/>
        <v>0</v>
      </c>
      <c r="I220">
        <f t="shared" si="568"/>
        <v>0</v>
      </c>
      <c r="J220">
        <f t="shared" si="569"/>
        <v>0</v>
      </c>
      <c r="K220" cm="1">
        <f t="array" ref="K220" xml:space="preserve"> 1 + ROW() - _xlfn.SINGLE(ROW(ChartLines.RowNum))</f>
        <v>218</v>
      </c>
    </row>
    <row r="221" spans="2:11">
      <c r="B221" t="s">
        <v>491</v>
      </c>
      <c r="C221" t="s">
        <v>1917</v>
      </c>
      <c r="E221">
        <f t="shared" ref="E221" si="570" xml:space="preserve"> IF(AND(LEN(ChartLines.ID)&gt;0,"Unused"&lt;&gt;ChartLines.ID), COUNTIFS(ChartLines.ID,ChartLines.ID), "·")</f>
        <v>2</v>
      </c>
      <c r="F221">
        <f t="shared" ref="F221" si="57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572" xml:space="preserve"> IF(LEN(ChartLines.Hex6)=6, HEX2DEC(LEFT(ChartLines.Hex6, 2)), "·")</f>
        <v>206</v>
      </c>
      <c r="I221">
        <f t="shared" ref="I221" si="573" xml:space="preserve"> IF(LEN(ChartLines.Hex6)=6, HEX2DEC(MID(ChartLines.Hex6, 3, 2)), "·")</f>
        <v>17</v>
      </c>
      <c r="J221">
        <f t="shared" ref="J221" si="574" xml:space="preserve"> IF(LEN(ChartLines.Hex6)=6, HEX2DEC(RIGHT(ChartLines.Hex6, 2)), "·")</f>
        <v>38</v>
      </c>
      <c r="K221" cm="1">
        <f t="array" ref="K221" xml:space="preserve"> 1 + ROW() - _xlfn.SINGLE(ROW(ChartLines.RowNum))</f>
        <v>219</v>
      </c>
    </row>
    <row r="222" spans="2:11">
      <c r="B222" t="s">
        <v>491</v>
      </c>
      <c r="C222" t="str">
        <f xml:space="preserve"> "000000"</f>
        <v>000000</v>
      </c>
      <c r="E222">
        <f t="shared" ref="E222" si="575" xml:space="preserve"> IF(AND(LEN(ChartLines.ID)&gt;0,"Unused"&lt;&gt;ChartLines.ID), COUNTIFS(ChartLines.ID,ChartLines.ID), "·")</f>
        <v>2</v>
      </c>
      <c r="F222">
        <f t="shared" ref="F222" si="57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577" xml:space="preserve"> IF(LEN(ChartLines.Hex6)=6, HEX2DEC(LEFT(ChartLines.Hex6, 2)), "·")</f>
        <v>0</v>
      </c>
      <c r="I222">
        <f t="shared" ref="I222" si="578" xml:space="preserve"> IF(LEN(ChartLines.Hex6)=6, HEX2DEC(MID(ChartLines.Hex6, 3, 2)), "·")</f>
        <v>0</v>
      </c>
      <c r="J222">
        <f t="shared" ref="J222" si="579" xml:space="preserve"> IF(LEN(ChartLines.Hex6)=6, HEX2DEC(RIGHT(ChartLines.Hex6, 2)), "·")</f>
        <v>0</v>
      </c>
      <c r="K222" cm="1">
        <f t="array" ref="K222" xml:space="preserve"> 1 + ROW() - _xlfn.SINGLE(ROW(ChartLines.RowNum))</f>
        <v>220</v>
      </c>
    </row>
    <row r="223" spans="2:11">
      <c r="B223" t="s">
        <v>167</v>
      </c>
      <c r="C223" t="s">
        <v>1837</v>
      </c>
      <c r="E223">
        <f t="shared" ref="E223" si="580" xml:space="preserve"> IF(AND(LEN(ChartLines.ID)&gt;0,"Unused"&lt;&gt;ChartLines.ID), COUNTIFS(ChartLines.ID,ChartLines.ID), "·")</f>
        <v>2</v>
      </c>
      <c r="F223">
        <f t="shared" ref="F223" si="58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582" xml:space="preserve"> IF(LEN(ChartLines.Hex6)=6, HEX2DEC(LEFT(ChartLines.Hex6, 2)), "·")</f>
        <v>239</v>
      </c>
      <c r="I223">
        <f t="shared" ref="I223" si="583" xml:space="preserve"> IF(LEN(ChartLines.Hex6)=6, HEX2DEC(MID(ChartLines.Hex6, 3, 2)), "·")</f>
        <v>51</v>
      </c>
      <c r="J223">
        <f t="shared" ref="J223" si="584" xml:space="preserve"> IF(LEN(ChartLines.Hex6)=6, HEX2DEC(RIGHT(ChartLines.Hex6, 2)), "·")</f>
        <v>64</v>
      </c>
      <c r="K223" cm="1">
        <f t="array" ref="K223" xml:space="preserve"> 1 + ROW() - _xlfn.SINGLE(ROW(ChartLines.RowNum))</f>
        <v>221</v>
      </c>
    </row>
    <row r="224" spans="2:11">
      <c r="B224" t="s">
        <v>167</v>
      </c>
      <c r="C224" t="str">
        <f xml:space="preserve"> "009639"</f>
        <v>009639</v>
      </c>
      <c r="E224">
        <f t="shared" ref="E224" si="585" xml:space="preserve"> IF(AND(LEN(ChartLines.ID)&gt;0,"Unused"&lt;&gt;ChartLines.ID), COUNTIFS(ChartLines.ID,ChartLines.ID), "·")</f>
        <v>2</v>
      </c>
      <c r="F224">
        <f t="shared" ref="F224" si="58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587" xml:space="preserve"> IF(LEN(ChartLines.Hex6)=6, HEX2DEC(LEFT(ChartLines.Hex6, 2)), "·")</f>
        <v>0</v>
      </c>
      <c r="I224">
        <f t="shared" ref="I224" si="588" xml:space="preserve"> IF(LEN(ChartLines.Hex6)=6, HEX2DEC(MID(ChartLines.Hex6, 3, 2)), "·")</f>
        <v>150</v>
      </c>
      <c r="J224">
        <f t="shared" ref="J224" si="589" xml:space="preserve"> IF(LEN(ChartLines.Hex6)=6, HEX2DEC(RIGHT(ChartLines.Hex6, 2)), "·")</f>
        <v>57</v>
      </c>
      <c r="K224" cm="1">
        <f t="array" ref="K224" xml:space="preserve"> 1 + ROW() - _xlfn.SINGLE(ROW(ChartLines.RowNum))</f>
        <v>222</v>
      </c>
    </row>
    <row r="225" spans="2:11">
      <c r="B225" t="s">
        <v>2306</v>
      </c>
      <c r="C225" t="str">
        <f xml:space="preserve"> "009736"</f>
        <v>009736</v>
      </c>
      <c r="E225">
        <f t="shared" ref="E225:E227" si="590" xml:space="preserve"> IF(AND(LEN(ChartLines.ID)&gt;0,"Unused"&lt;&gt;ChartLines.ID), COUNTIFS(ChartLines.ID,ChartLines.ID), "·")</f>
        <v>2</v>
      </c>
      <c r="F225">
        <f t="shared" ref="F225:F227" si="59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H227" si="592" xml:space="preserve"> IF(LEN(ChartLines.Hex6)=6, HEX2DEC(LEFT(ChartLines.Hex6, 2)), "·")</f>
        <v>0</v>
      </c>
      <c r="I225">
        <f t="shared" ref="I225:I227" si="593" xml:space="preserve"> IF(LEN(ChartLines.Hex6)=6, HEX2DEC(MID(ChartLines.Hex6, 3, 2)), "·")</f>
        <v>151</v>
      </c>
      <c r="J225">
        <f t="shared" ref="J225:J227" si="594" xml:space="preserve"> IF(LEN(ChartLines.Hex6)=6, HEX2DEC(RIGHT(ChartLines.Hex6, 2)), "·")</f>
        <v>54</v>
      </c>
      <c r="K225" cm="1">
        <f t="array" ref="K225" xml:space="preserve"> 1 + ROW() - _xlfn.SINGLE(ROW(ChartLines.RowNum))</f>
        <v>223</v>
      </c>
    </row>
    <row r="226" spans="2:11">
      <c r="B226" t="s">
        <v>2306</v>
      </c>
      <c r="C226" t="str">
        <f xml:space="preserve"> "000000"</f>
        <v>000000</v>
      </c>
      <c r="E226">
        <f t="shared" ref="E226:E228" si="595" xml:space="preserve"> IF(AND(LEN(ChartLines.ID)&gt;0,"Unused"&lt;&gt;ChartLines.ID), COUNTIFS(ChartLines.ID,ChartLines.ID), "·")</f>
        <v>2</v>
      </c>
      <c r="F226">
        <f t="shared" ref="F226:F228" si="59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H228" si="597" xml:space="preserve"> IF(LEN(ChartLines.Hex6)=6, HEX2DEC(LEFT(ChartLines.Hex6, 2)), "·")</f>
        <v>0</v>
      </c>
      <c r="I226">
        <f t="shared" ref="I226:I228" si="598" xml:space="preserve"> IF(LEN(ChartLines.Hex6)=6, HEX2DEC(MID(ChartLines.Hex6, 3, 2)), "·")</f>
        <v>0</v>
      </c>
      <c r="J226">
        <f t="shared" ref="J226:J228" si="599" xml:space="preserve"> IF(LEN(ChartLines.Hex6)=6, HEX2DEC(RIGHT(ChartLines.Hex6, 2)), "·")</f>
        <v>0</v>
      </c>
      <c r="K226" cm="1">
        <f t="array" ref="K226" xml:space="preserve"> 1 + ROW() - _xlfn.SINGLE(ROW(ChartLines.RowNum))</f>
        <v>224</v>
      </c>
    </row>
    <row r="227" spans="2:11">
      <c r="B227" t="s">
        <v>1918</v>
      </c>
      <c r="C227" t="str">
        <f xml:space="preserve"> "000000"</f>
        <v>000000</v>
      </c>
      <c r="E227">
        <f t="shared" si="590"/>
        <v>2</v>
      </c>
      <c r="F227">
        <f t="shared" si="591"/>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si="592"/>
        <v>0</v>
      </c>
      <c r="I227">
        <f t="shared" si="593"/>
        <v>0</v>
      </c>
      <c r="J227">
        <f t="shared" si="594"/>
        <v>0</v>
      </c>
      <c r="K227" cm="1">
        <f t="array" ref="K227" xml:space="preserve"> 1 + ROW() - _xlfn.SINGLE(ROW(ChartLines.RowNum))</f>
        <v>225</v>
      </c>
    </row>
    <row r="228" spans="2:11">
      <c r="B228" t="s">
        <v>1918</v>
      </c>
      <c r="C228" t="s">
        <v>1839</v>
      </c>
      <c r="E228">
        <f t="shared" si="595"/>
        <v>2</v>
      </c>
      <c r="F228">
        <f t="shared" si="596"/>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si="597"/>
        <v>255</v>
      </c>
      <c r="I228">
        <f t="shared" si="598"/>
        <v>255</v>
      </c>
      <c r="J228">
        <f t="shared" si="599"/>
        <v>255</v>
      </c>
      <c r="K228" cm="1">
        <f t="array" ref="K228" xml:space="preserve"> 1 + ROW() - _xlfn.SINGLE(ROW(ChartLines.RowNum))</f>
        <v>226</v>
      </c>
    </row>
    <row r="229" spans="2:11">
      <c r="B229" t="s">
        <v>137</v>
      </c>
      <c r="C229" t="s">
        <v>1919</v>
      </c>
      <c r="E229">
        <f t="shared" ref="E229" si="600" xml:space="preserve"> IF(AND(LEN(ChartLines.ID)&gt;0,"Unused"&lt;&gt;ChartLines.ID), COUNTIFS(ChartLines.ID,ChartLines.ID), "·")</f>
        <v>2</v>
      </c>
      <c r="F229">
        <f t="shared" ref="F229" si="60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02" xml:space="preserve"> IF(LEN(ChartLines.Hex6)=6, HEX2DEC(LEFT(ChartLines.Hex6, 2)), "·")</f>
        <v>231</v>
      </c>
      <c r="I229">
        <f t="shared" ref="I229" si="603" xml:space="preserve"> IF(LEN(ChartLines.Hex6)=6, HEX2DEC(MID(ChartLines.Hex6, 3, 2)), "·")</f>
        <v>0</v>
      </c>
      <c r="J229">
        <f t="shared" ref="J229" si="604" xml:space="preserve"> IF(LEN(ChartLines.Hex6)=6, HEX2DEC(RIGHT(ChartLines.Hex6, 2)), "·")</f>
        <v>19</v>
      </c>
      <c r="K229" cm="1">
        <f t="array" ref="K229" xml:space="preserve"> 1 + ROW() - _xlfn.SINGLE(ROW(ChartLines.RowNum))</f>
        <v>227</v>
      </c>
    </row>
    <row r="230" spans="2:11">
      <c r="B230" t="s">
        <v>137</v>
      </c>
      <c r="C230" t="s">
        <v>1839</v>
      </c>
      <c r="E230">
        <f t="shared" ref="E230" si="605" xml:space="preserve"> IF(AND(LEN(ChartLines.ID)&gt;0,"Unused"&lt;&gt;ChartLines.ID), COUNTIFS(ChartLines.ID,ChartLines.ID), "·")</f>
        <v>2</v>
      </c>
      <c r="F230">
        <f t="shared" ref="F230" si="60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07" xml:space="preserve"> IF(LEN(ChartLines.Hex6)=6, HEX2DEC(LEFT(ChartLines.Hex6, 2)), "·")</f>
        <v>255</v>
      </c>
      <c r="I230">
        <f t="shared" ref="I230" si="608" xml:space="preserve"> IF(LEN(ChartLines.Hex6)=6, HEX2DEC(MID(ChartLines.Hex6, 3, 2)), "·")</f>
        <v>255</v>
      </c>
      <c r="J230">
        <f t="shared" ref="J230" si="609" xml:space="preserve"> IF(LEN(ChartLines.Hex6)=6, HEX2DEC(RIGHT(ChartLines.Hex6, 2)), "·")</f>
        <v>255</v>
      </c>
      <c r="K230" cm="1">
        <f t="array" ref="K230" xml:space="preserve"> 1 + ROW() - _xlfn.SINGLE(ROW(ChartLines.RowNum))</f>
        <v>228</v>
      </c>
    </row>
    <row r="231" spans="2:11">
      <c r="B231" t="s">
        <v>138</v>
      </c>
      <c r="C231" t="str">
        <f xml:space="preserve"> "006233"</f>
        <v>006233</v>
      </c>
      <c r="E231">
        <f t="shared" ref="E231" si="610" xml:space="preserve"> IF(AND(LEN(ChartLines.ID)&gt;0,"Unused"&lt;&gt;ChartLines.ID), COUNTIFS(ChartLines.ID,ChartLines.ID), "·")</f>
        <v>2</v>
      </c>
      <c r="F231">
        <f t="shared" ref="F231" si="611" xml:space="preserve"> IF(AND(LEN(ChartLines.ID)&gt;0,"Unused"&lt;&gt;ChartLines.ID), COUNTIFS(ChartLines.ID,ChartLines.ID,   ChartLines.RowNum,"&lt;="&amp;ChartLines.RowNum), "·")</f>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f t="shared" ref="H231" si="612" xml:space="preserve"> IF(LEN(ChartLines.Hex6)=6, HEX2DEC(LEFT(ChartLines.Hex6, 2)), "·")</f>
        <v>0</v>
      </c>
      <c r="I231">
        <f t="shared" ref="I231" si="613" xml:space="preserve"> IF(LEN(ChartLines.Hex6)=6, HEX2DEC(MID(ChartLines.Hex6, 3, 2)), "·")</f>
        <v>98</v>
      </c>
      <c r="J231">
        <f t="shared" ref="J231" si="614" xml:space="preserve"> IF(LEN(ChartLines.Hex6)=6, HEX2DEC(RIGHT(ChartLines.Hex6, 2)), "·")</f>
        <v>51</v>
      </c>
      <c r="K231" cm="1">
        <f t="array" ref="K231" xml:space="preserve"> 1 + ROW() - _xlfn.SINGLE(ROW(ChartLines.RowNum))</f>
        <v>229</v>
      </c>
    </row>
    <row r="232" spans="2:11">
      <c r="B232" t="s">
        <v>138</v>
      </c>
      <c r="C232" t="s">
        <v>1920</v>
      </c>
      <c r="E232">
        <f t="shared" ref="E232" si="615" xml:space="preserve"> IF(AND(LEN(ChartLines.ID)&gt;0,"Unused"&lt;&gt;ChartLines.ID), COUNTIFS(ChartLines.ID,ChartLines.ID), "·")</f>
        <v>2</v>
      </c>
      <c r="F232">
        <f t="shared" ref="F232" si="616" xml:space="preserve"> IF(AND(LEN(ChartLines.ID)&gt;0,"Unused"&lt;&gt;ChartLines.ID), COUNTIFS(ChartLines.ID,ChartLines.ID,   ChartLines.RowNum,"&lt;="&amp;ChartLines.RowNum), "·")</f>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f t="shared" ref="H232" si="617" xml:space="preserve"> IF(LEN(ChartLines.Hex6)=6, HEX2DEC(LEFT(ChartLines.Hex6, 2)), "·")</f>
        <v>251</v>
      </c>
      <c r="I232">
        <f t="shared" ref="I232" si="618" xml:space="preserve"> IF(LEN(ChartLines.Hex6)=6, HEX2DEC(MID(ChartLines.Hex6, 3, 2)), "·")</f>
        <v>15</v>
      </c>
      <c r="J232">
        <f t="shared" ref="J232" si="619" xml:space="preserve"> IF(LEN(ChartLines.Hex6)=6, HEX2DEC(RIGHT(ChartLines.Hex6, 2)), "·")</f>
        <v>12</v>
      </c>
      <c r="K232" cm="1">
        <f t="array" ref="K232" xml:space="preserve"> 1 + ROW() - _xlfn.SINGLE(ROW(ChartLines.RowNum))</f>
        <v>230</v>
      </c>
    </row>
    <row r="233" spans="2:11">
      <c r="B233" t="s">
        <v>1624</v>
      </c>
      <c r="C233" t="str">
        <f xml:space="preserve"> "006633"</f>
        <v>006633</v>
      </c>
      <c r="E233">
        <f t="shared" ref="E233" si="620" xml:space="preserve"> IF(AND(LEN(ChartLines.ID)&gt;0,"Unused"&lt;&gt;ChartLines.ID), COUNTIFS(ChartLines.ID,ChartLines.ID), "·")</f>
        <v>2</v>
      </c>
      <c r="F233">
        <f t="shared" ref="F233" si="62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f t="shared" ref="H233" si="622" xml:space="preserve"> IF(LEN(ChartLines.Hex6)=6, HEX2DEC(LEFT(ChartLines.Hex6, 2)), "·")</f>
        <v>0</v>
      </c>
      <c r="I233">
        <f t="shared" ref="I233" si="623" xml:space="preserve"> IF(LEN(ChartLines.Hex6)=6, HEX2DEC(MID(ChartLines.Hex6, 3, 2)), "·")</f>
        <v>102</v>
      </c>
      <c r="J233">
        <f t="shared" ref="J233" si="624" xml:space="preserve"> IF(LEN(ChartLines.Hex6)=6, HEX2DEC(RIGHT(ChartLines.Hex6, 2)), "·")</f>
        <v>51</v>
      </c>
      <c r="K233" cm="1">
        <f t="array" ref="K233" xml:space="preserve"> 1 + ROW() - _xlfn.SINGLE(ROW(ChartLines.RowNum))</f>
        <v>231</v>
      </c>
    </row>
    <row r="234" spans="2:11">
      <c r="B234" t="s">
        <v>1624</v>
      </c>
      <c r="C234" t="s">
        <v>1839</v>
      </c>
      <c r="E234">
        <f t="shared" ref="E234" si="625" xml:space="preserve"> IF(AND(LEN(ChartLines.ID)&gt;0,"Unused"&lt;&gt;ChartLines.ID), COUNTIFS(ChartLines.ID,ChartLines.ID), "·")</f>
        <v>2</v>
      </c>
      <c r="F234">
        <f t="shared" ref="F234" si="626"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f t="shared" ref="H234" si="627" xml:space="preserve"> IF(LEN(ChartLines.Hex6)=6, HEX2DEC(LEFT(ChartLines.Hex6, 2)), "·")</f>
        <v>255</v>
      </c>
      <c r="I234">
        <f t="shared" ref="I234" si="628" xml:space="preserve"> IF(LEN(ChartLines.Hex6)=6, HEX2DEC(MID(ChartLines.Hex6, 3, 2)), "·")</f>
        <v>255</v>
      </c>
      <c r="J234">
        <f t="shared" ref="J234" si="629" xml:space="preserve"> IF(LEN(ChartLines.Hex6)=6, HEX2DEC(RIGHT(ChartLines.Hex6, 2)), "·")</f>
        <v>255</v>
      </c>
      <c r="K234" cm="1">
        <f t="array" ref="K234" xml:space="preserve"> 1 + ROW() - _xlfn.SINGLE(ROW(ChartLines.RowNum))</f>
        <v>232</v>
      </c>
    </row>
    <row r="235" spans="2:11">
      <c r="B235" t="s">
        <v>492</v>
      </c>
      <c r="C235" t="s">
        <v>1921</v>
      </c>
      <c r="E235">
        <f t="shared" ref="E235" si="630" xml:space="preserve"> IF(AND(LEN(ChartLines.ID)&gt;0,"Unused"&lt;&gt;ChartLines.ID), COUNTIFS(ChartLines.ID,ChartLines.ID), "·")</f>
        <v>2</v>
      </c>
      <c r="F235">
        <f t="shared" ref="F235" si="631"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f t="shared" ref="H235" si="632" xml:space="preserve"> IF(LEN(ChartLines.Hex6)=6, HEX2DEC(LEFT(ChartLines.Hex6, 2)), "·")</f>
        <v>35</v>
      </c>
      <c r="I235">
        <f t="shared" ref="I235" si="633" xml:space="preserve"> IF(LEN(ChartLines.Hex6)=6, HEX2DEC(MID(ChartLines.Hex6, 3, 2)), "·")</f>
        <v>159</v>
      </c>
      <c r="J235">
        <f t="shared" ref="J235" si="634" xml:space="preserve"> IF(LEN(ChartLines.Hex6)=6, HEX2DEC(RIGHT(ChartLines.Hex6, 2)), "·")</f>
        <v>64</v>
      </c>
      <c r="K235" cm="1">
        <f t="array" ref="K235" xml:space="preserve"> 1 + ROW() - _xlfn.SINGLE(ROW(ChartLines.RowNum))</f>
        <v>233</v>
      </c>
    </row>
    <row r="236" spans="2:11">
      <c r="B236" t="s">
        <v>492</v>
      </c>
      <c r="C236" t="s">
        <v>1839</v>
      </c>
      <c r="E236">
        <f t="shared" ref="E236" si="635" xml:space="preserve"> IF(AND(LEN(ChartLines.ID)&gt;0,"Unused"&lt;&gt;ChartLines.ID), COUNTIFS(ChartLines.ID,ChartLines.ID), "·")</f>
        <v>2</v>
      </c>
      <c r="F236">
        <f t="shared" ref="F236" si="636"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f t="shared" ref="H236" si="637" xml:space="preserve"> IF(LEN(ChartLines.Hex6)=6, HEX2DEC(LEFT(ChartLines.Hex6, 2)), "·")</f>
        <v>255</v>
      </c>
      <c r="I236">
        <f t="shared" ref="I236" si="638" xml:space="preserve"> IF(LEN(ChartLines.Hex6)=6, HEX2DEC(MID(ChartLines.Hex6, 3, 2)), "·")</f>
        <v>255</v>
      </c>
      <c r="J236">
        <f t="shared" ref="J236" si="639" xml:space="preserve"> IF(LEN(ChartLines.Hex6)=6, HEX2DEC(RIGHT(ChartLines.Hex6, 2)), "·")</f>
        <v>255</v>
      </c>
      <c r="K236" cm="1">
        <f t="array" ref="K236" xml:space="preserve"> 1 + ROW() - _xlfn.SINGLE(ROW(ChartLines.RowNum))</f>
        <v>234</v>
      </c>
    </row>
    <row r="237" spans="2:11">
      <c r="B237" t="s">
        <v>900</v>
      </c>
      <c r="C237" t="str">
        <f xml:space="preserve"> "000000"</f>
        <v>000000</v>
      </c>
      <c r="E237">
        <f t="shared" ref="E237" si="640" xml:space="preserve"> IF(AND(LEN(ChartLines.ID)&gt;0,"Unused"&lt;&gt;ChartLines.ID), COUNTIFS(ChartLines.ID,ChartLines.ID), "·")</f>
        <v>2</v>
      </c>
      <c r="F237">
        <f t="shared" ref="F237" si="641"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f t="shared" ref="H237" si="642" xml:space="preserve"> IF(LEN(ChartLines.Hex6)=6, HEX2DEC(LEFT(ChartLines.Hex6, 2)), "·")</f>
        <v>0</v>
      </c>
      <c r="I237">
        <f t="shared" ref="I237" si="643" xml:space="preserve"> IF(LEN(ChartLines.Hex6)=6, HEX2DEC(MID(ChartLines.Hex6, 3, 2)), "·")</f>
        <v>0</v>
      </c>
      <c r="J237">
        <f t="shared" ref="J237" si="644" xml:space="preserve"> IF(LEN(ChartLines.Hex6)=6, HEX2DEC(RIGHT(ChartLines.Hex6, 2)), "·")</f>
        <v>0</v>
      </c>
      <c r="K237" cm="1">
        <f t="array" ref="K237" xml:space="preserve"> 1 + ROW() - _xlfn.SINGLE(ROW(ChartLines.RowNum))</f>
        <v>235</v>
      </c>
    </row>
    <row r="238" spans="2:11">
      <c r="B238" t="s">
        <v>900</v>
      </c>
      <c r="C238" t="s">
        <v>1922</v>
      </c>
      <c r="E238">
        <f t="shared" ref="E238" si="645" xml:space="preserve"> IF(AND(LEN(ChartLines.ID)&gt;0,"Unused"&lt;&gt;ChartLines.ID), COUNTIFS(ChartLines.ID,ChartLines.ID), "·")</f>
        <v>2</v>
      </c>
      <c r="F238">
        <f t="shared" ref="F238" si="646"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f t="shared" ref="H238" si="647" xml:space="preserve"> IF(LEN(ChartLines.Hex6)=6, HEX2DEC(LEFT(ChartLines.Hex6, 2)), "·")</f>
        <v>227</v>
      </c>
      <c r="I238">
        <f t="shared" ref="I238" si="648" xml:space="preserve"> IF(LEN(ChartLines.Hex6)=6, HEX2DEC(MID(ChartLines.Hex6, 3, 2)), "·")</f>
        <v>179</v>
      </c>
      <c r="J238">
        <f t="shared" ref="J238" si="649" xml:space="preserve"> IF(LEN(ChartLines.Hex6)=6, HEX2DEC(RIGHT(ChartLines.Hex6, 2)), "·")</f>
        <v>41</v>
      </c>
      <c r="K238" cm="1">
        <f t="array" ref="K238" xml:space="preserve"> 1 + ROW() - _xlfn.SINGLE(ROW(ChartLines.RowNum))</f>
        <v>236</v>
      </c>
    </row>
    <row r="239" spans="2:11">
      <c r="B239" t="s">
        <v>510</v>
      </c>
      <c r="C239" t="s">
        <v>1923</v>
      </c>
      <c r="E239">
        <f t="shared" ref="E239" si="650" xml:space="preserve"> IF(AND(LEN(ChartLines.ID)&gt;0,"Unused"&lt;&gt;ChartLines.ID), COUNTIFS(ChartLines.ID,ChartLines.ID), "·")</f>
        <v>2</v>
      </c>
      <c r="F239">
        <f t="shared" ref="F239" si="651"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f t="shared" ref="H239" si="652" xml:space="preserve"> IF(LEN(ChartLines.Hex6)=6, HEX2DEC(LEFT(ChartLines.Hex6, 2)), "·")</f>
        <v>0</v>
      </c>
      <c r="I239">
        <f t="shared" ref="I239" si="653" xml:space="preserve"> IF(LEN(ChartLines.Hex6)=6, HEX2DEC(MID(ChartLines.Hex6, 3, 2)), "·")</f>
        <v>94</v>
      </c>
      <c r="J239">
        <f t="shared" ref="J239" si="654" xml:space="preserve"> IF(LEN(ChartLines.Hex6)=6, HEX2DEC(RIGHT(ChartLines.Hex6, 2)), "·")</f>
        <v>184</v>
      </c>
      <c r="K239" cm="1">
        <f t="array" ref="K239" xml:space="preserve"> 1 + ROW() - _xlfn.SINGLE(ROW(ChartLines.RowNum))</f>
        <v>237</v>
      </c>
    </row>
    <row r="240" spans="2:11">
      <c r="B240" t="s">
        <v>510</v>
      </c>
      <c r="C240" t="s">
        <v>1839</v>
      </c>
      <c r="E240">
        <f t="shared" ref="E240" si="655" xml:space="preserve"> IF(AND(LEN(ChartLines.ID)&gt;0,"Unused"&lt;&gt;ChartLines.ID), COUNTIFS(ChartLines.ID,ChartLines.ID), "·")</f>
        <v>2</v>
      </c>
      <c r="F240">
        <f t="shared" ref="F240" si="656"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f t="shared" ref="H240" si="657" xml:space="preserve"> IF(LEN(ChartLines.Hex6)=6, HEX2DEC(LEFT(ChartLines.Hex6, 2)), "·")</f>
        <v>255</v>
      </c>
      <c r="I240">
        <f t="shared" ref="I240" si="658" xml:space="preserve"> IF(LEN(ChartLines.Hex6)=6, HEX2DEC(MID(ChartLines.Hex6, 3, 2)), "·")</f>
        <v>255</v>
      </c>
      <c r="J240">
        <f t="shared" ref="J240" si="659" xml:space="preserve"> IF(LEN(ChartLines.Hex6)=6, HEX2DEC(RIGHT(ChartLines.Hex6, 2)), "·")</f>
        <v>255</v>
      </c>
      <c r="K240" cm="1">
        <f t="array" ref="K240" xml:space="preserve"> 1 + ROW() - _xlfn.SINGLE(ROW(ChartLines.RowNum))</f>
        <v>238</v>
      </c>
    </row>
    <row r="241" spans="2:11">
      <c r="E241" t="str">
        <f t="shared" ref="E241" si="660" xml:space="preserve"> IF(AND(LEN(ChartLines.ID)&gt;0,"Unused"&lt;&gt;ChartLines.ID), COUNTIFS(ChartLines.ID,ChartLines.ID), "·")</f>
        <v>·</v>
      </c>
      <c r="F241" t="str">
        <f t="shared" ref="F241" si="661" xml:space="preserve"> IF(AND(LEN(ChartLines.ID)&gt;0,"Unused"&lt;&gt;ChartLines.ID), COUNTIFS(ChartLines.ID,ChartLines.ID,   ChartLines.RowNum,"&lt;="&amp;ChartLines.RowNum), "·")</f>
        <v>·</v>
      </c>
      <c r="G241" t="str" cm="1">
        <f t="array" ref="G241" xml:space="preserve"> _xlfn.IFS(OR(LEN(_xlfn.SINGLE(ChartLines.ID))=0,"Unused"=_xlfn.SINGLE(ChartLines.ID)), "·",   1=_xlfn.SINGLE(ChartLines.NumInstances), IF("USD"=_xlfn.SINGLE(ChartLines.ID), "SoleBig", "SoleOrdinary"),   1=_xlfn.SINGLE(ChartLines.InstanceNum), "Outer",   TRUE, "Inner")</f>
        <v>·</v>
      </c>
      <c r="H241" t="str">
        <f t="shared" ref="H241" si="662" xml:space="preserve"> IF(LEN(ChartLines.Hex6)=6, HEX2DEC(LEFT(ChartLines.Hex6, 2)), "·")</f>
        <v>·</v>
      </c>
      <c r="I241" t="str">
        <f t="shared" ref="I241" si="663" xml:space="preserve"> IF(LEN(ChartLines.Hex6)=6, HEX2DEC(MID(ChartLines.Hex6, 3, 2)), "·")</f>
        <v>·</v>
      </c>
      <c r="J241" t="str">
        <f t="shared" ref="J241" si="664" xml:space="preserve"> IF(LEN(ChartLines.Hex6)=6, HEX2DEC(RIGHT(ChartLines.Hex6, 2)), "·")</f>
        <v>·</v>
      </c>
      <c r="K241" cm="1">
        <f t="array" ref="K241" xml:space="preserve"> 1 + ROW() - _xlfn.SINGLE(ROW(ChartLines.RowNum))</f>
        <v>239</v>
      </c>
    </row>
    <row r="242" spans="2:11">
      <c r="B242" t="s">
        <v>433</v>
      </c>
      <c r="C242" t="str">
        <f xml:space="preserve"> "007749"</f>
        <v>007749</v>
      </c>
      <c r="E242">
        <f t="shared" ref="E242" si="665" xml:space="preserve"> IF(AND(LEN(ChartLines.ID)&gt;0,"Unused"&lt;&gt;ChartLines.ID), COUNTIFS(ChartLines.ID,ChartLines.ID), "·")</f>
        <v>2</v>
      </c>
      <c r="F242">
        <f t="shared" ref="F242" si="66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667" xml:space="preserve"> IF(LEN(ChartLines.Hex6)=6, HEX2DEC(LEFT(ChartLines.Hex6, 2)), "·")</f>
        <v>0</v>
      </c>
      <c r="I242">
        <f t="shared" ref="I242" si="668" xml:space="preserve"> IF(LEN(ChartLines.Hex6)=6, HEX2DEC(MID(ChartLines.Hex6, 3, 2)), "·")</f>
        <v>119</v>
      </c>
      <c r="J242">
        <f t="shared" ref="J242" si="669" xml:space="preserve"> IF(LEN(ChartLines.Hex6)=6, HEX2DEC(RIGHT(ChartLines.Hex6, 2)), "·")</f>
        <v>73</v>
      </c>
      <c r="K242" cm="1">
        <f t="array" ref="K242" xml:space="preserve"> 1 + ROW() - _xlfn.SINGLE(ROW(ChartLines.RowNum))</f>
        <v>240</v>
      </c>
    </row>
    <row r="243" spans="2:11">
      <c r="B243" t="s">
        <v>433</v>
      </c>
      <c r="C243" t="str">
        <f xml:space="preserve"> "FFA500"</f>
        <v>FFA500</v>
      </c>
      <c r="E243">
        <f t="shared" ref="E243" si="670" xml:space="preserve"> IF(AND(LEN(ChartLines.ID)&gt;0,"Unused"&lt;&gt;ChartLines.ID), COUNTIFS(ChartLines.ID,ChartLines.ID), "·")</f>
        <v>2</v>
      </c>
      <c r="F243">
        <f t="shared" ref="F243" si="67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672" xml:space="preserve"> IF(LEN(ChartLines.Hex6)=6, HEX2DEC(LEFT(ChartLines.Hex6, 2)), "·")</f>
        <v>255</v>
      </c>
      <c r="I243">
        <f t="shared" ref="I243" si="673" xml:space="preserve"> IF(LEN(ChartLines.Hex6)=6, HEX2DEC(MID(ChartLines.Hex6, 3, 2)), "·")</f>
        <v>165</v>
      </c>
      <c r="J243">
        <f t="shared" ref="J243" si="674" xml:space="preserve"> IF(LEN(ChartLines.Hex6)=6, HEX2DEC(RIGHT(ChartLines.Hex6, 2)), "·")</f>
        <v>0</v>
      </c>
      <c r="K243" cm="1">
        <f t="array" ref="K243" xml:space="preserve"> 1 + ROW() - _xlfn.SINGLE(ROW(ChartLines.RowNum))</f>
        <v>241</v>
      </c>
    </row>
    <row r="244" spans="2:11">
      <c r="B244" t="s">
        <v>168</v>
      </c>
      <c r="C244" t="str">
        <f xml:space="preserve"> "009639"</f>
        <v>009639</v>
      </c>
      <c r="E244">
        <f t="shared" ref="E244" si="675" xml:space="preserve"> IF(AND(LEN(ChartLines.ID)&gt;0,"Unused"&lt;&gt;ChartLines.ID), COUNTIFS(ChartLines.ID,ChartLines.ID), "·")</f>
        <v>2</v>
      </c>
      <c r="F244">
        <f t="shared" ref="F244" si="67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677" xml:space="preserve"> IF(LEN(ChartLines.Hex6)=6, HEX2DEC(LEFT(ChartLines.Hex6, 2)), "·")</f>
        <v>0</v>
      </c>
      <c r="I244">
        <f t="shared" ref="I244" si="678" xml:space="preserve"> IF(LEN(ChartLines.Hex6)=6, HEX2DEC(MID(ChartLines.Hex6, 3, 2)), "·")</f>
        <v>150</v>
      </c>
      <c r="J244">
        <f t="shared" ref="J244" si="679" xml:space="preserve"> IF(LEN(ChartLines.Hex6)=6, HEX2DEC(RIGHT(ChartLines.Hex6, 2)), "·")</f>
        <v>57</v>
      </c>
      <c r="K244" cm="1">
        <f t="array" ref="K244" xml:space="preserve"> 1 + ROW() - _xlfn.SINGLE(ROW(ChartLines.RowNum))</f>
        <v>242</v>
      </c>
    </row>
    <row r="245" spans="2:11">
      <c r="B245" t="s">
        <v>168</v>
      </c>
      <c r="C245" t="s">
        <v>1839</v>
      </c>
      <c r="E245">
        <f t="shared" ref="E245" si="680" xml:space="preserve"> IF(AND(LEN(ChartLines.ID)&gt;0,"Unused"&lt;&gt;ChartLines.ID), COUNTIFS(ChartLines.ID,ChartLines.ID), "·")</f>
        <v>2</v>
      </c>
      <c r="F245">
        <f t="shared" ref="F245" si="68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682" xml:space="preserve"> IF(LEN(ChartLines.Hex6)=6, HEX2DEC(LEFT(ChartLines.Hex6, 2)), "·")</f>
        <v>255</v>
      </c>
      <c r="I245">
        <f t="shared" ref="I245" si="683" xml:space="preserve"> IF(LEN(ChartLines.Hex6)=6, HEX2DEC(MID(ChartLines.Hex6, 3, 2)), "·")</f>
        <v>255</v>
      </c>
      <c r="J245">
        <f t="shared" ref="J245" si="684" xml:space="preserve"> IF(LEN(ChartLines.Hex6)=6, HEX2DEC(RIGHT(ChartLines.Hex6, 2)), "·")</f>
        <v>255</v>
      </c>
      <c r="K245" cm="1">
        <f t="array" ref="K245" xml:space="preserve"> 1 + ROW() - _xlfn.SINGLE(ROW(ChartLines.RowNum))</f>
        <v>243</v>
      </c>
    </row>
    <row r="246" spans="2:11">
      <c r="B246" t="s">
        <v>1617</v>
      </c>
      <c r="C246" t="str">
        <f xml:space="preserve"> "0F47AF"</f>
        <v>0F47AF</v>
      </c>
      <c r="E246">
        <f t="shared" ref="E246" si="685" xml:space="preserve"> IF(AND(LEN(ChartLines.ID)&gt;0,"Unused"&lt;&gt;ChartLines.ID), COUNTIFS(ChartLines.ID,ChartLines.ID), "·")</f>
        <v>2</v>
      </c>
      <c r="F246">
        <f t="shared" ref="F246" si="68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687" xml:space="preserve"> IF(LEN(ChartLines.Hex6)=6, HEX2DEC(LEFT(ChartLines.Hex6, 2)), "·")</f>
        <v>15</v>
      </c>
      <c r="I246">
        <f t="shared" ref="I246" si="688" xml:space="preserve"> IF(LEN(ChartLines.Hex6)=6, HEX2DEC(MID(ChartLines.Hex6, 3, 2)), "·")</f>
        <v>71</v>
      </c>
      <c r="J246">
        <f t="shared" ref="J246" si="689" xml:space="preserve"> IF(LEN(ChartLines.Hex6)=6, HEX2DEC(RIGHT(ChartLines.Hex6, 2)), "·")</f>
        <v>175</v>
      </c>
      <c r="K246" cm="1">
        <f t="array" ref="K246" xml:space="preserve"> 1 + ROW() - _xlfn.SINGLE(ROW(ChartLines.RowNum))</f>
        <v>244</v>
      </c>
    </row>
    <row r="247" spans="2:11">
      <c r="B247" t="s">
        <v>1617</v>
      </c>
      <c r="C247" t="s">
        <v>1924</v>
      </c>
      <c r="E247">
        <f t="shared" ref="E247:E249" si="690" xml:space="preserve"> IF(AND(LEN(ChartLines.ID)&gt;0,"Unused"&lt;&gt;ChartLines.ID), COUNTIFS(ChartLines.ID,ChartLines.ID), "·")</f>
        <v>2</v>
      </c>
      <c r="F247">
        <f t="shared" ref="F247:F249" si="69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H249" si="692" xml:space="preserve"> IF(LEN(ChartLines.Hex6)=6, HEX2DEC(LEFT(ChartLines.Hex6, 2)), "·")</f>
        <v>252</v>
      </c>
      <c r="I247">
        <f t="shared" ref="I247:I249" si="693" xml:space="preserve"> IF(LEN(ChartLines.Hex6)=6, HEX2DEC(MID(ChartLines.Hex6, 3, 2)), "·")</f>
        <v>221</v>
      </c>
      <c r="J247">
        <f t="shared" ref="J247:J249" si="694" xml:space="preserve"> IF(LEN(ChartLines.Hex6)=6, HEX2DEC(RIGHT(ChartLines.Hex6, 2)), "·")</f>
        <v>9</v>
      </c>
      <c r="K247" cm="1">
        <f t="array" ref="K247" xml:space="preserve"> 1 + ROW() - _xlfn.SINGLE(ROW(ChartLines.RowNum))</f>
        <v>245</v>
      </c>
    </row>
    <row r="248" spans="2:11">
      <c r="B248" t="s">
        <v>2005</v>
      </c>
      <c r="C248" t="str">
        <f xml:space="preserve"> "000000"</f>
        <v>000000</v>
      </c>
      <c r="E248">
        <f t="shared" si="690"/>
        <v>2</v>
      </c>
      <c r="F248">
        <f t="shared" si="691"/>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si="692"/>
        <v>0</v>
      </c>
      <c r="I248">
        <f t="shared" si="693"/>
        <v>0</v>
      </c>
      <c r="J248">
        <f t="shared" si="694"/>
        <v>0</v>
      </c>
      <c r="K248" cm="1">
        <f t="array" ref="K248" xml:space="preserve"> 1 + ROW() - _xlfn.SINGLE(ROW(ChartLines.RowNum))</f>
        <v>246</v>
      </c>
    </row>
    <row r="249" spans="2:11">
      <c r="B249" t="s">
        <v>2005</v>
      </c>
      <c r="C249" t="s">
        <v>1839</v>
      </c>
      <c r="E249">
        <f t="shared" si="690"/>
        <v>2</v>
      </c>
      <c r="F249">
        <f t="shared" si="691"/>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si="692"/>
        <v>255</v>
      </c>
      <c r="I249">
        <f t="shared" si="693"/>
        <v>255</v>
      </c>
      <c r="J249">
        <f t="shared" si="694"/>
        <v>255</v>
      </c>
      <c r="K249" cm="1">
        <f t="array" ref="K249" xml:space="preserve"> 1 + ROW() - _xlfn.SINGLE(ROW(ChartLines.RowNum))</f>
        <v>247</v>
      </c>
    </row>
    <row r="250" spans="2:11">
      <c r="B250" t="s">
        <v>1627</v>
      </c>
      <c r="C250" t="s">
        <v>1925</v>
      </c>
      <c r="E250">
        <f t="shared" ref="E250" si="695" xml:space="preserve"> IF(AND(LEN(ChartLines.ID)&gt;0,"Unused"&lt;&gt;ChartLines.ID), COUNTIFS(ChartLines.ID,ChartLines.ID), "·")</f>
        <v>2</v>
      </c>
      <c r="F250">
        <f t="shared" ref="F250" si="69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697" xml:space="preserve"> IF(LEN(ChartLines.Hex6)=6, HEX2DEC(LEFT(ChartLines.Hex6, 2)), "·")</f>
        <v>187</v>
      </c>
      <c r="I250">
        <f t="shared" ref="I250" si="698" xml:space="preserve"> IF(LEN(ChartLines.Hex6)=6, HEX2DEC(MID(ChartLines.Hex6, 3, 2)), "·")</f>
        <v>0</v>
      </c>
      <c r="J250">
        <f t="shared" ref="J250" si="699" xml:space="preserve"> IF(LEN(ChartLines.Hex6)=6, HEX2DEC(RIGHT(ChartLines.Hex6, 2)), "·")</f>
        <v>0</v>
      </c>
      <c r="K250" cm="1">
        <f t="array" ref="K250" xml:space="preserve"> 1 + ROW() - _xlfn.SINGLE(ROW(ChartLines.RowNum))</f>
        <v>248</v>
      </c>
    </row>
    <row r="251" spans="2:11">
      <c r="B251" t="s">
        <v>1627</v>
      </c>
      <c r="C251" t="str">
        <f xml:space="preserve"> "000000"</f>
        <v>000000</v>
      </c>
      <c r="E251">
        <f t="shared" ref="E251" si="700" xml:space="preserve"> IF(AND(LEN(ChartLines.ID)&gt;0,"Unused"&lt;&gt;ChartLines.ID), COUNTIFS(ChartLines.ID,ChartLines.ID), "·")</f>
        <v>2</v>
      </c>
      <c r="F251">
        <f t="shared" ref="F251" si="70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02" xml:space="preserve"> IF(LEN(ChartLines.Hex6)=6, HEX2DEC(LEFT(ChartLines.Hex6, 2)), "·")</f>
        <v>0</v>
      </c>
      <c r="I251">
        <f t="shared" ref="I251" si="703" xml:space="preserve"> IF(LEN(ChartLines.Hex6)=6, HEX2DEC(MID(ChartLines.Hex6, 3, 2)), "·")</f>
        <v>0</v>
      </c>
      <c r="J251">
        <f t="shared" ref="J251" si="704" xml:space="preserve"> IF(LEN(ChartLines.Hex6)=6, HEX2DEC(RIGHT(ChartLines.Hex6, 2)), "·")</f>
        <v>0</v>
      </c>
      <c r="K251" cm="1">
        <f t="array" ref="K251" xml:space="preserve"> 1 + ROW() - _xlfn.SINGLE(ROW(ChartLines.RowNum))</f>
        <v>249</v>
      </c>
    </row>
    <row r="252" spans="2:11">
      <c r="B252" t="s">
        <v>1623</v>
      </c>
      <c r="C252" t="s">
        <v>1880</v>
      </c>
      <c r="E252">
        <f t="shared" ref="E252" si="705" xml:space="preserve"> IF(AND(LEN(ChartLines.ID)&gt;0,"Unused"&lt;&gt;ChartLines.ID), COUNTIFS(ChartLines.ID,ChartLines.ID), "·")</f>
        <v>2</v>
      </c>
      <c r="F252">
        <f t="shared" ref="F252" si="70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07" xml:space="preserve"> IF(LEN(ChartLines.Hex6)=6, HEX2DEC(LEFT(ChartLines.Hex6, 2)), "·")</f>
        <v>252</v>
      </c>
      <c r="I252">
        <f t="shared" ref="I252" si="708" xml:space="preserve"> IF(LEN(ChartLines.Hex6)=6, HEX2DEC(MID(ChartLines.Hex6, 3, 2)), "·")</f>
        <v>209</v>
      </c>
      <c r="J252">
        <f t="shared" ref="J252" si="709" xml:space="preserve"> IF(LEN(ChartLines.Hex6)=6, HEX2DEC(RIGHT(ChartLines.Hex6, 2)), "·")</f>
        <v>22</v>
      </c>
      <c r="K252" cm="1">
        <f t="array" ref="K252" xml:space="preserve"> 1 + ROW() - _xlfn.SINGLE(ROW(ChartLines.RowNum))</f>
        <v>250</v>
      </c>
    </row>
    <row r="253" spans="2:11">
      <c r="B253" t="s">
        <v>1623</v>
      </c>
      <c r="C253" t="str">
        <f xml:space="preserve"> "000000"</f>
        <v>000000</v>
      </c>
      <c r="E253">
        <f t="shared" ref="E253" si="710" xml:space="preserve"> IF(AND(LEN(ChartLines.ID)&gt;0,"Unused"&lt;&gt;ChartLines.ID), COUNTIFS(ChartLines.ID,ChartLines.ID), "·")</f>
        <v>2</v>
      </c>
      <c r="F253">
        <f t="shared" ref="F253" si="71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12" xml:space="preserve"> IF(LEN(ChartLines.Hex6)=6, HEX2DEC(LEFT(ChartLines.Hex6, 2)), "·")</f>
        <v>0</v>
      </c>
      <c r="I253">
        <f t="shared" ref="I253" si="713" xml:space="preserve"> IF(LEN(ChartLines.Hex6)=6, HEX2DEC(MID(ChartLines.Hex6, 3, 2)), "·")</f>
        <v>0</v>
      </c>
      <c r="J253">
        <f t="shared" ref="J253" si="714" xml:space="preserve"> IF(LEN(ChartLines.Hex6)=6, HEX2DEC(RIGHT(ChartLines.Hex6, 2)), "·")</f>
        <v>0</v>
      </c>
      <c r="K253" cm="1">
        <f t="array" ref="K253" xml:space="preserve"> 1 + ROW() - _xlfn.SINGLE(ROW(ChartLines.RowNum))</f>
        <v>251</v>
      </c>
    </row>
    <row r="254" spans="2:11">
      <c r="B254" t="s">
        <v>1637</v>
      </c>
      <c r="C254" t="str">
        <f xml:space="preserve"> "000000"</f>
        <v>000000</v>
      </c>
      <c r="E254">
        <f t="shared" ref="E254" si="715" xml:space="preserve"> IF(AND(LEN(ChartLines.ID)&gt;0,"Unused"&lt;&gt;ChartLines.ID), COUNTIFS(ChartLines.ID,ChartLines.ID), "·")</f>
        <v>2</v>
      </c>
      <c r="F254">
        <f t="shared" ref="F254" si="71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17" xml:space="preserve"> IF(LEN(ChartLines.Hex6)=6, HEX2DEC(LEFT(ChartLines.Hex6, 2)), "·")</f>
        <v>0</v>
      </c>
      <c r="I254">
        <f t="shared" ref="I254" si="718" xml:space="preserve"> IF(LEN(ChartLines.Hex6)=6, HEX2DEC(MID(ChartLines.Hex6, 3, 2)), "·")</f>
        <v>0</v>
      </c>
      <c r="J254">
        <f t="shared" ref="J254" si="719" xml:space="preserve"> IF(LEN(ChartLines.Hex6)=6, HEX2DEC(RIGHT(ChartLines.Hex6, 2)), "·")</f>
        <v>0</v>
      </c>
      <c r="K254" cm="1">
        <f t="array" ref="K254" xml:space="preserve"> 1 + ROW() - _xlfn.SINGLE(ROW(ChartLines.RowNum))</f>
        <v>252</v>
      </c>
    </row>
    <row r="255" spans="2:11">
      <c r="B255" t="s">
        <v>1637</v>
      </c>
      <c r="C255" t="s">
        <v>1926</v>
      </c>
      <c r="E255">
        <f t="shared" ref="E255" si="720" xml:space="preserve"> IF(AND(LEN(ChartLines.ID)&gt;0,"Unused"&lt;&gt;ChartLines.ID), COUNTIFS(ChartLines.ID,ChartLines.ID), "·")</f>
        <v>2</v>
      </c>
      <c r="F255">
        <f t="shared" ref="F255" si="72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 si="722" xml:space="preserve"> IF(LEN(ChartLines.Hex6)=6, HEX2DEC(LEFT(ChartLines.Hex6, 2)), "·")</f>
        <v>217</v>
      </c>
      <c r="I255">
        <f t="shared" ref="I255" si="723" xml:space="preserve"> IF(LEN(ChartLines.Hex6)=6, HEX2DEC(MID(ChartLines.Hex6, 3, 2)), "·")</f>
        <v>0</v>
      </c>
      <c r="J255">
        <f t="shared" ref="J255" si="724" xml:space="preserve"> IF(LEN(ChartLines.Hex6)=6, HEX2DEC(RIGHT(ChartLines.Hex6, 2)), "·")</f>
        <v>0</v>
      </c>
      <c r="K255" cm="1">
        <f t="array" ref="K255" xml:space="preserve"> 1 + ROW() - _xlfn.SINGLE(ROW(ChartLines.RowNum))</f>
        <v>253</v>
      </c>
    </row>
    <row r="256" spans="2:11">
      <c r="B256" t="s">
        <v>1620</v>
      </c>
      <c r="C256" t="str">
        <f xml:space="preserve"> "007FFF"</f>
        <v>007FFF</v>
      </c>
      <c r="E256">
        <f t="shared" ref="E256" si="725" xml:space="preserve"> IF(AND(LEN(ChartLines.ID)&gt;0,"Unused"&lt;&gt;ChartLines.ID), COUNTIFS(ChartLines.ID,ChartLines.ID), "·")</f>
        <v>2</v>
      </c>
      <c r="F256">
        <f t="shared" ref="F256" si="726"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ref="H256" si="727" xml:space="preserve"> IF(LEN(ChartLines.Hex6)=6, HEX2DEC(LEFT(ChartLines.Hex6, 2)), "·")</f>
        <v>0</v>
      </c>
      <c r="I256">
        <f t="shared" ref="I256" si="728" xml:space="preserve"> IF(LEN(ChartLines.Hex6)=6, HEX2DEC(MID(ChartLines.Hex6, 3, 2)), "·")</f>
        <v>127</v>
      </c>
      <c r="J256">
        <f t="shared" ref="J256" si="729" xml:space="preserve"> IF(LEN(ChartLines.Hex6)=6, HEX2DEC(RIGHT(ChartLines.Hex6, 2)), "·")</f>
        <v>255</v>
      </c>
      <c r="K256" cm="1">
        <f t="array" ref="K256" xml:space="preserve"> 1 + ROW() - _xlfn.SINGLE(ROW(ChartLines.RowNum))</f>
        <v>254</v>
      </c>
    </row>
    <row r="257" spans="2:11">
      <c r="B257" t="s">
        <v>1620</v>
      </c>
      <c r="C257" t="s">
        <v>1927</v>
      </c>
      <c r="E257">
        <f t="shared" ref="E257" si="730" xml:space="preserve"> IF(AND(LEN(ChartLines.ID)&gt;0,"Unused"&lt;&gt;ChartLines.ID), COUNTIFS(ChartLines.ID,ChartLines.ID), "·")</f>
        <v>2</v>
      </c>
      <c r="F257">
        <f t="shared" ref="F257" si="731"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ref="H257" si="732" xml:space="preserve"> IF(LEN(ChartLines.Hex6)=6, HEX2DEC(LEFT(ChartLines.Hex6, 2)), "·")</f>
        <v>247</v>
      </c>
      <c r="I257">
        <f t="shared" ref="I257" si="733" xml:space="preserve"> IF(LEN(ChartLines.Hex6)=6, HEX2DEC(MID(ChartLines.Hex6, 3, 2)), "·")</f>
        <v>214</v>
      </c>
      <c r="J257">
        <f t="shared" ref="J257" si="734" xml:space="preserve"> IF(LEN(ChartLines.Hex6)=6, HEX2DEC(RIGHT(ChartLines.Hex6, 2)), "·")</f>
        <v>24</v>
      </c>
      <c r="K257" cm="1">
        <f t="array" ref="K257" xml:space="preserve"> 1 + ROW() - _xlfn.SINGLE(ROW(ChartLines.RowNum))</f>
        <v>255</v>
      </c>
    </row>
    <row r="258" spans="2:11">
      <c r="B258" t="s">
        <v>1959</v>
      </c>
      <c r="C258" t="str">
        <f xml:space="preserve"> "000000"</f>
        <v>000000</v>
      </c>
      <c r="E258">
        <f t="shared" ref="E258" si="735" xml:space="preserve"> IF(AND(LEN(ChartLines.ID)&gt;0,"Unused"&lt;&gt;ChartLines.ID), COUNTIFS(ChartLines.ID,ChartLines.ID), "·")</f>
        <v>2</v>
      </c>
      <c r="F258">
        <f t="shared" ref="F258" si="736"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ref="H258" si="737" xml:space="preserve"> IF(LEN(ChartLines.Hex6)=6, HEX2DEC(LEFT(ChartLines.Hex6, 2)), "·")</f>
        <v>0</v>
      </c>
      <c r="I258">
        <f t="shared" ref="I258" si="738" xml:space="preserve"> IF(LEN(ChartLines.Hex6)=6, HEX2DEC(MID(ChartLines.Hex6, 3, 2)), "·")</f>
        <v>0</v>
      </c>
      <c r="J258">
        <f t="shared" ref="J258" si="739" xml:space="preserve"> IF(LEN(ChartLines.Hex6)=6, HEX2DEC(RIGHT(ChartLines.Hex6, 2)), "·")</f>
        <v>0</v>
      </c>
      <c r="K258" cm="1">
        <f t="array" ref="K258" xml:space="preserve"> 1 + ROW() - _xlfn.SINGLE(ROW(ChartLines.RowNum))</f>
        <v>256</v>
      </c>
    </row>
    <row r="259" spans="2:11">
      <c r="B259" t="s">
        <v>1959</v>
      </c>
      <c r="C259" t="s">
        <v>1845</v>
      </c>
      <c r="E259">
        <f t="shared" ref="E259" si="740" xml:space="preserve"> IF(AND(LEN(ChartLines.ID)&gt;0,"Unused"&lt;&gt;ChartLines.ID), COUNTIFS(ChartLines.ID,ChartLines.ID), "·")</f>
        <v>2</v>
      </c>
      <c r="F259">
        <f t="shared" ref="F259" si="741"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ref="H259" si="742" xml:space="preserve"> IF(LEN(ChartLines.Hex6)=6, HEX2DEC(LEFT(ChartLines.Hex6, 2)), "·")</f>
        <v>255</v>
      </c>
      <c r="I259">
        <f t="shared" ref="I259" si="743" xml:space="preserve"> IF(LEN(ChartLines.Hex6)=6, HEX2DEC(MID(ChartLines.Hex6, 3, 2)), "·")</f>
        <v>209</v>
      </c>
      <c r="J259">
        <f t="shared" ref="J259" si="744" xml:space="preserve"> IF(LEN(ChartLines.Hex6)=6, HEX2DEC(RIGHT(ChartLines.Hex6, 2)), "·")</f>
        <v>0</v>
      </c>
      <c r="K259" cm="1">
        <f t="array" ref="K259" xml:space="preserve"> 1 + ROW() - _xlfn.SINGLE(ROW(ChartLines.RowNum))</f>
        <v>257</v>
      </c>
    </row>
    <row r="260" spans="2:11">
      <c r="B260" t="s">
        <v>139</v>
      </c>
      <c r="C260" t="s">
        <v>1929</v>
      </c>
      <c r="E260">
        <f t="shared" ref="E260" si="745" xml:space="preserve"> IF(AND(LEN(ChartLines.ID)&gt;0,"Unused"&lt;&gt;ChartLines.ID), COUNTIFS(ChartLines.ID,ChartLines.ID), "·")</f>
        <v>2</v>
      </c>
      <c r="F260">
        <f t="shared" ref="F260" si="746"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f t="shared" ref="H260" si="747" xml:space="preserve"> IF(LEN(ChartLines.Hex6)=6, HEX2DEC(LEFT(ChartLines.Hex6, 2)), "·")</f>
        <v>253</v>
      </c>
      <c r="I260">
        <f t="shared" ref="I260" si="748" xml:space="preserve"> IF(LEN(ChartLines.Hex6)=6, HEX2DEC(MID(ChartLines.Hex6, 3, 2)), "·")</f>
        <v>239</v>
      </c>
      <c r="J260">
        <f t="shared" ref="J260" si="749" xml:space="preserve"> IF(LEN(ChartLines.Hex6)=6, HEX2DEC(RIGHT(ChartLines.Hex6, 2)), "·")</f>
        <v>66</v>
      </c>
      <c r="K260" cm="1">
        <f t="array" ref="K260" xml:space="preserve"> 1 + ROW() - _xlfn.SINGLE(ROW(ChartLines.RowNum))</f>
        <v>258</v>
      </c>
    </row>
    <row r="261" spans="2:11">
      <c r="B261" t="s">
        <v>139</v>
      </c>
      <c r="C261" t="s">
        <v>1928</v>
      </c>
      <c r="E261">
        <f t="shared" ref="E261" si="750" xml:space="preserve"> IF(AND(LEN(ChartLines.ID)&gt;0,"Unused"&lt;&gt;ChartLines.ID), COUNTIFS(ChartLines.ID,ChartLines.ID), "·")</f>
        <v>2</v>
      </c>
      <c r="F261">
        <f t="shared" ref="F261" si="751"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f t="shared" ref="H261" si="752" xml:space="preserve"> IF(LEN(ChartLines.Hex6)=6, HEX2DEC(LEFT(ChartLines.Hex6, 2)), "·")</f>
        <v>29</v>
      </c>
      <c r="I261">
        <f t="shared" ref="I261" si="753" xml:space="preserve"> IF(LEN(ChartLines.Hex6)=6, HEX2DEC(MID(ChartLines.Hex6, 3, 2)), "·")</f>
        <v>98</v>
      </c>
      <c r="J261">
        <f t="shared" ref="J261" si="754" xml:space="preserve"> IF(LEN(ChartLines.Hex6)=6, HEX2DEC(RIGHT(ChartLines.Hex6, 2)), "·")</f>
        <v>51</v>
      </c>
      <c r="K261" cm="1">
        <f t="array" ref="K261" xml:space="preserve"> 1 + ROW() - _xlfn.SINGLE(ROW(ChartLines.RowNum))</f>
        <v>259</v>
      </c>
    </row>
    <row r="262" spans="2:11">
      <c r="B262" t="s">
        <v>99</v>
      </c>
      <c r="C262" t="s">
        <v>1852</v>
      </c>
      <c r="E262">
        <f t="shared" ref="E262" si="755" xml:space="preserve"> IF(AND(LEN(ChartLines.ID)&gt;0,"Unused"&lt;&gt;ChartLines.ID), COUNTIFS(ChartLines.ID,ChartLines.ID), "·")</f>
        <v>2</v>
      </c>
      <c r="F262">
        <f t="shared" ref="F262" si="756"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f t="shared" ref="H262" si="757" xml:space="preserve"> IF(LEN(ChartLines.Hex6)=6, HEX2DEC(LEFT(ChartLines.Hex6, 2)), "·")</f>
        <v>0</v>
      </c>
      <c r="I262">
        <f t="shared" ref="I262" si="758" xml:space="preserve"> IF(LEN(ChartLines.Hex6)=6, HEX2DEC(MID(ChartLines.Hex6, 3, 2)), "·")</f>
        <v>61</v>
      </c>
      <c r="J262">
        <f t="shared" ref="J262" si="759" xml:space="preserve"> IF(LEN(ChartLines.Hex6)=6, HEX2DEC(RIGHT(ChartLines.Hex6, 2)), "·")</f>
        <v>165</v>
      </c>
      <c r="K262" cm="1">
        <f t="array" ref="K262" xml:space="preserve"> 1 + ROW() - _xlfn.SINGLE(ROW(ChartLines.RowNum))</f>
        <v>260</v>
      </c>
    </row>
    <row r="263" spans="2:11">
      <c r="B263" t="s">
        <v>99</v>
      </c>
      <c r="C263" t="str">
        <f xml:space="preserve"> "009639"</f>
        <v>009639</v>
      </c>
      <c r="E263">
        <f t="shared" ref="E263" si="760" xml:space="preserve"> IF(AND(LEN(ChartLines.ID)&gt;0,"Unused"&lt;&gt;ChartLines.ID), COUNTIFS(ChartLines.ID,ChartLines.ID), "·")</f>
        <v>2</v>
      </c>
      <c r="F263">
        <f t="shared" ref="F263" si="761"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f t="shared" ref="H263" si="762" xml:space="preserve"> IF(LEN(ChartLines.Hex6)=6, HEX2DEC(LEFT(ChartLines.Hex6, 2)), "·")</f>
        <v>0</v>
      </c>
      <c r="I263">
        <f t="shared" ref="I263" si="763" xml:space="preserve"> IF(LEN(ChartLines.Hex6)=6, HEX2DEC(MID(ChartLines.Hex6, 3, 2)), "·")</f>
        <v>150</v>
      </c>
      <c r="J263">
        <f t="shared" ref="J263" si="764" xml:space="preserve"> IF(LEN(ChartLines.Hex6)=6, HEX2DEC(RIGHT(ChartLines.Hex6, 2)), "·")</f>
        <v>57</v>
      </c>
      <c r="K263" cm="1">
        <f t="array" ref="K263" xml:space="preserve"> 1 + ROW() - _xlfn.SINGLE(ROW(ChartLines.RowNum))</f>
        <v>261</v>
      </c>
    </row>
    <row r="264" spans="2:11">
      <c r="B264" t="s">
        <v>98</v>
      </c>
      <c r="C264" t="s">
        <v>1930</v>
      </c>
      <c r="E264">
        <f t="shared" ref="E264" si="765" xml:space="preserve"> IF(AND(LEN(ChartLines.ID)&gt;0,"Unused"&lt;&gt;ChartLines.ID), COUNTIFS(ChartLines.ID,ChartLines.ID), "·")</f>
        <v>2</v>
      </c>
      <c r="F264">
        <f t="shared" ref="F264" si="766"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f t="shared" ref="H264" si="767" xml:space="preserve"> IF(LEN(ChartLines.Hex6)=6, HEX2DEC(LEFT(ChartLines.Hex6, 2)), "·")</f>
        <v>234</v>
      </c>
      <c r="I264">
        <f t="shared" ref="I264" si="768" xml:space="preserve"> IF(LEN(ChartLines.Hex6)=6, HEX2DEC(MID(ChartLines.Hex6, 3, 2)), "·")</f>
        <v>118</v>
      </c>
      <c r="J264">
        <f t="shared" ref="J264" si="769" xml:space="preserve"> IF(LEN(ChartLines.Hex6)=6, HEX2DEC(RIGHT(ChartLines.Hex6, 2)), "·")</f>
        <v>0</v>
      </c>
      <c r="K264" cm="1">
        <f t="array" ref="K264" xml:space="preserve"> 1 + ROW() - _xlfn.SINGLE(ROW(ChartLines.RowNum))</f>
        <v>262</v>
      </c>
    </row>
    <row r="265" spans="2:11">
      <c r="B265" t="s">
        <v>98</v>
      </c>
      <c r="C265" t="s">
        <v>1931</v>
      </c>
      <c r="E265">
        <f t="shared" ref="E265:E271" si="770" xml:space="preserve"> IF(AND(LEN(ChartLines.ID)&gt;0,"Unused"&lt;&gt;ChartLines.ID), COUNTIFS(ChartLines.ID,ChartLines.ID), "·")</f>
        <v>2</v>
      </c>
      <c r="F265">
        <f t="shared" ref="F265:F271" si="77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f t="shared" ref="H265:H271" si="772" xml:space="preserve"> IF(LEN(ChartLines.Hex6)=6, HEX2DEC(LEFT(ChartLines.Hex6, 2)), "·")</f>
        <v>0</v>
      </c>
      <c r="I265">
        <f t="shared" ref="I265:I271" si="773" xml:space="preserve"> IF(LEN(ChartLines.Hex6)=6, HEX2DEC(MID(ChartLines.Hex6, 3, 2)), "·")</f>
        <v>154</v>
      </c>
      <c r="J265">
        <f t="shared" ref="J265:J271" si="774" xml:space="preserve"> IF(LEN(ChartLines.Hex6)=6, HEX2DEC(RIGHT(ChartLines.Hex6, 2)), "·")</f>
        <v>68</v>
      </c>
      <c r="K265" cm="1">
        <f t="array" ref="K265" xml:space="preserve"> 1 + ROW() - _xlfn.SINGLE(ROW(ChartLines.RowNum))</f>
        <v>263</v>
      </c>
    </row>
    <row r="266" spans="2:11">
      <c r="B266" t="s">
        <v>2418</v>
      </c>
      <c r="C266" t="s">
        <v>1880</v>
      </c>
      <c r="E266">
        <f t="shared" si="770"/>
        <v>2</v>
      </c>
      <c r="F266">
        <f t="shared" si="771"/>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f t="shared" si="772"/>
        <v>252</v>
      </c>
      <c r="I266">
        <f t="shared" si="773"/>
        <v>209</v>
      </c>
      <c r="J266">
        <f t="shared" si="774"/>
        <v>22</v>
      </c>
      <c r="K266" cm="1">
        <f t="array" ref="K266" xml:space="preserve"> 1 + ROW() - _xlfn.SINGLE(ROW(ChartLines.RowNum))</f>
        <v>264</v>
      </c>
    </row>
    <row r="267" spans="2:11">
      <c r="B267" t="s">
        <v>2418</v>
      </c>
      <c r="C267" t="s">
        <v>1917</v>
      </c>
      <c r="E267">
        <f t="shared" si="770"/>
        <v>2</v>
      </c>
      <c r="F267">
        <f t="shared" si="771"/>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f t="shared" si="772"/>
        <v>206</v>
      </c>
      <c r="I267">
        <f t="shared" si="773"/>
        <v>17</v>
      </c>
      <c r="J267">
        <f t="shared" si="774"/>
        <v>38</v>
      </c>
      <c r="K267" cm="1">
        <f t="array" ref="K267" xml:space="preserve"> 1 + ROW() - _xlfn.SINGLE(ROW(ChartLines.RowNum))</f>
        <v>265</v>
      </c>
    </row>
    <row r="268" spans="2:11">
      <c r="B268" t="s">
        <v>2151</v>
      </c>
      <c r="C268" t="s">
        <v>1844</v>
      </c>
      <c r="E268">
        <f t="shared" si="770"/>
        <v>2</v>
      </c>
      <c r="F268">
        <f t="shared" si="771"/>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f t="shared" si="772"/>
        <v>200</v>
      </c>
      <c r="I268">
        <f t="shared" si="773"/>
        <v>16</v>
      </c>
      <c r="J268">
        <f t="shared" si="774"/>
        <v>46</v>
      </c>
      <c r="K268" cm="1">
        <f t="array" ref="K268" xml:space="preserve"> 1 + ROW() - _xlfn.SINGLE(ROW(ChartLines.RowNum))</f>
        <v>266</v>
      </c>
    </row>
    <row r="269" spans="2:11">
      <c r="B269" t="s">
        <v>2151</v>
      </c>
      <c r="C269" t="s">
        <v>1843</v>
      </c>
      <c r="E269">
        <f t="shared" si="770"/>
        <v>2</v>
      </c>
      <c r="F269">
        <f t="shared" si="771"/>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f t="shared" si="772"/>
        <v>255</v>
      </c>
      <c r="I269">
        <f t="shared" si="773"/>
        <v>205</v>
      </c>
      <c r="J269">
        <f t="shared" si="774"/>
        <v>0</v>
      </c>
      <c r="K269" cm="1">
        <f t="array" ref="K269" xml:space="preserve"> 1 + ROW() - _xlfn.SINGLE(ROW(ChartLines.RowNum))</f>
        <v>267</v>
      </c>
    </row>
    <row r="270" spans="2:11">
      <c r="E270" t="str">
        <f t="shared" si="770"/>
        <v>·</v>
      </c>
      <c r="F270" t="str">
        <f t="shared" si="771"/>
        <v>·</v>
      </c>
      <c r="G270" t="str" cm="1">
        <f t="array" ref="G270" xml:space="preserve"> _xlfn.IFS(OR(LEN(_xlfn.SINGLE(ChartLines.ID))=0,"Unused"=_xlfn.SINGLE(ChartLines.ID)), "·",   1=_xlfn.SINGLE(ChartLines.NumInstances), IF("USD"=_xlfn.SINGLE(ChartLines.ID), "SoleBig", "SoleOrdinary"),   1=_xlfn.SINGLE(ChartLines.InstanceNum), "Outer",   TRUE, "Inner")</f>
        <v>·</v>
      </c>
      <c r="H270" t="str">
        <f t="shared" si="772"/>
        <v>·</v>
      </c>
      <c r="I270" t="str">
        <f t="shared" si="773"/>
        <v>·</v>
      </c>
      <c r="J270" t="str">
        <f t="shared" si="774"/>
        <v>·</v>
      </c>
      <c r="K270" cm="1">
        <f t="array" ref="K270" xml:space="preserve"> 1 + ROW() - _xlfn.SINGLE(ROW(ChartLines.RowNum))</f>
        <v>268</v>
      </c>
    </row>
    <row r="271" spans="2:11">
      <c r="B271" t="s">
        <v>526</v>
      </c>
      <c r="C271" t="str">
        <f xml:space="preserve"> "006341"</f>
        <v>006341</v>
      </c>
      <c r="E271">
        <f t="shared" si="770"/>
        <v>2</v>
      </c>
      <c r="F271">
        <f t="shared" si="771"/>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si="772"/>
        <v>0</v>
      </c>
      <c r="I271">
        <f t="shared" si="773"/>
        <v>99</v>
      </c>
      <c r="J271">
        <f t="shared" si="774"/>
        <v>65</v>
      </c>
      <c r="K271" cm="1">
        <f t="array" ref="K271" xml:space="preserve"> 1 + ROW() - _xlfn.SINGLE(ROW(ChartLines.RowNum))</f>
        <v>269</v>
      </c>
    </row>
    <row r="272" spans="2:11">
      <c r="B272" t="s">
        <v>526</v>
      </c>
      <c r="C272" t="s">
        <v>1844</v>
      </c>
      <c r="E272">
        <f t="shared" ref="E272" si="775" xml:space="preserve"> IF(AND(LEN(ChartLines.ID)&gt;0,"Unused"&lt;&gt;ChartLines.ID), COUNTIFS(ChartLines.ID,ChartLines.ID), "·")</f>
        <v>2</v>
      </c>
      <c r="F272">
        <f t="shared" ref="F272" si="77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777" xml:space="preserve"> IF(LEN(ChartLines.Hex6)=6, HEX2DEC(LEFT(ChartLines.Hex6, 2)), "·")</f>
        <v>200</v>
      </c>
      <c r="I272">
        <f t="shared" ref="I272" si="778" xml:space="preserve"> IF(LEN(ChartLines.Hex6)=6, HEX2DEC(MID(ChartLines.Hex6, 3, 2)), "·")</f>
        <v>16</v>
      </c>
      <c r="J272">
        <f t="shared" ref="J272" si="779" xml:space="preserve"> IF(LEN(ChartLines.Hex6)=6, HEX2DEC(RIGHT(ChartLines.Hex6, 2)), "·")</f>
        <v>46</v>
      </c>
      <c r="K272" cm="1">
        <f t="array" ref="K272" xml:space="preserve"> 1 + ROW() - _xlfn.SINGLE(ROW(ChartLines.RowNum))</f>
        <v>270</v>
      </c>
    </row>
    <row r="273" spans="2:11">
      <c r="B273" t="s">
        <v>528</v>
      </c>
      <c r="C273" t="str">
        <f xml:space="preserve"> "009639"</f>
        <v>009639</v>
      </c>
      <c r="E273">
        <f t="shared" ref="E273" si="780" xml:space="preserve"> IF(AND(LEN(ChartLines.ID)&gt;0,"Unused"&lt;&gt;ChartLines.ID), COUNTIFS(ChartLines.ID,ChartLines.ID), "·")</f>
        <v>2</v>
      </c>
      <c r="F273">
        <f t="shared" ref="F273" si="78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782" xml:space="preserve"> IF(LEN(ChartLines.Hex6)=6, HEX2DEC(LEFT(ChartLines.Hex6, 2)), "·")</f>
        <v>0</v>
      </c>
      <c r="I273">
        <f t="shared" ref="I273" si="783" xml:space="preserve"> IF(LEN(ChartLines.Hex6)=6, HEX2DEC(MID(ChartLines.Hex6, 3, 2)), "·")</f>
        <v>150</v>
      </c>
      <c r="J273">
        <f t="shared" ref="J273" si="784" xml:space="preserve"> IF(LEN(ChartLines.Hex6)=6, HEX2DEC(RIGHT(ChartLines.Hex6, 2)), "·")</f>
        <v>57</v>
      </c>
      <c r="K273" cm="1">
        <f t="array" ref="K273" xml:space="preserve"> 1 + ROW() - _xlfn.SINGLE(ROW(ChartLines.RowNum))</f>
        <v>271</v>
      </c>
    </row>
    <row r="274" spans="2:11">
      <c r="B274" t="s">
        <v>528</v>
      </c>
      <c r="C274" t="s">
        <v>1932</v>
      </c>
      <c r="E274">
        <f t="shared" ref="E274" si="785" xml:space="preserve"> IF(AND(LEN(ChartLines.ID)&gt;0,"Unused"&lt;&gt;ChartLines.ID), COUNTIFS(ChartLines.ID,ChartLines.ID), "·")</f>
        <v>2</v>
      </c>
      <c r="F274">
        <f t="shared" ref="F274" si="78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787" xml:space="preserve"> IF(LEN(ChartLines.Hex6)=6, HEX2DEC(LEFT(ChartLines.Hex6, 2)), "·")</f>
        <v>254</v>
      </c>
      <c r="I274">
        <f t="shared" ref="I274" si="788" xml:space="preserve"> IF(LEN(ChartLines.Hex6)=6, HEX2DEC(MID(ChartLines.Hex6, 3, 2)), "·")</f>
        <v>221</v>
      </c>
      <c r="J274">
        <f t="shared" ref="J274" si="789" xml:space="preserve"> IF(LEN(ChartLines.Hex6)=6, HEX2DEC(RIGHT(ChartLines.Hex6, 2)), "·")</f>
        <v>0</v>
      </c>
      <c r="K274" cm="1">
        <f t="array" ref="K274" xml:space="preserve"> 1 + ROW() - _xlfn.SINGLE(ROW(ChartLines.RowNum))</f>
        <v>272</v>
      </c>
    </row>
    <row r="275" spans="2:11">
      <c r="B275" t="s">
        <v>140</v>
      </c>
      <c r="C275" t="s">
        <v>1933</v>
      </c>
      <c r="E275">
        <f t="shared" ref="E275" si="790" xml:space="preserve"> IF(AND(LEN(ChartLines.ID)&gt;0,"Unused"&lt;&gt;ChartLines.ID), COUNTIFS(ChartLines.ID,ChartLines.ID), "·")</f>
        <v>2</v>
      </c>
      <c r="F275">
        <f t="shared" ref="F275" si="79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792" xml:space="preserve"> IF(LEN(ChartLines.Hex6)=6, HEX2DEC(LEFT(ChartLines.Hex6, 2)), "·")</f>
        <v>213</v>
      </c>
      <c r="I275">
        <f t="shared" ref="I275" si="793" xml:space="preserve"> IF(LEN(ChartLines.Hex6)=6, HEX2DEC(MID(ChartLines.Hex6, 3, 2)), "·")</f>
        <v>43</v>
      </c>
      <c r="J275">
        <f t="shared" ref="J275" si="794" xml:space="preserve"> IF(LEN(ChartLines.Hex6)=6, HEX2DEC(RIGHT(ChartLines.Hex6, 2)), "·")</f>
        <v>30</v>
      </c>
      <c r="K275" cm="1">
        <f t="array" ref="K275" xml:space="preserve"> 1 + ROW() - _xlfn.SINGLE(ROW(ChartLines.RowNum))</f>
        <v>273</v>
      </c>
    </row>
    <row r="276" spans="2:11">
      <c r="B276" t="s">
        <v>140</v>
      </c>
      <c r="C276" t="s">
        <v>1934</v>
      </c>
      <c r="E276">
        <f t="shared" ref="E276" si="795" xml:space="preserve"> IF(AND(LEN(ChartLines.ID)&gt;0,"Unused"&lt;&gt;ChartLines.ID), COUNTIFS(ChartLines.ID,ChartLines.ID), "·")</f>
        <v>2</v>
      </c>
      <c r="F276">
        <f t="shared" ref="F276" si="79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797" xml:space="preserve"> IF(LEN(ChartLines.Hex6)=6, HEX2DEC(LEFT(ChartLines.Hex6, 2)), "·")</f>
        <v>0</v>
      </c>
      <c r="I276">
        <f t="shared" ref="I276" si="798" xml:space="preserve"> IF(LEN(ChartLines.Hex6)=6, HEX2DEC(MID(ChartLines.Hex6, 3, 2)), "·")</f>
        <v>51</v>
      </c>
      <c r="J276">
        <f t="shared" ref="J276" si="799" xml:space="preserve"> IF(LEN(ChartLines.Hex6)=6, HEX2DEC(RIGHT(ChartLines.Hex6, 2)), "·")</f>
        <v>160</v>
      </c>
      <c r="K276" cm="1">
        <f t="array" ref="K276" xml:space="preserve"> 1 + ROW() - _xlfn.SINGLE(ROW(ChartLines.RowNum))</f>
        <v>274</v>
      </c>
    </row>
    <row r="277" spans="2:11">
      <c r="B277" t="s">
        <v>100</v>
      </c>
      <c r="C277" t="str">
        <f xml:space="preserve"> "003087"</f>
        <v>003087</v>
      </c>
      <c r="E277">
        <f t="shared" ref="E277" si="800" xml:space="preserve"> IF(AND(LEN(ChartLines.ID)&gt;0,"Unused"&lt;&gt;ChartLines.ID), COUNTIFS(ChartLines.ID,ChartLines.ID), "·")</f>
        <v>2</v>
      </c>
      <c r="F277">
        <f t="shared" ref="F277" si="80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02" xml:space="preserve"> IF(LEN(ChartLines.Hex6)=6, HEX2DEC(LEFT(ChartLines.Hex6, 2)), "·")</f>
        <v>0</v>
      </c>
      <c r="I277">
        <f t="shared" ref="I277" si="803" xml:space="preserve"> IF(LEN(ChartLines.Hex6)=6, HEX2DEC(MID(ChartLines.Hex6, 3, 2)), "·")</f>
        <v>48</v>
      </c>
      <c r="J277">
        <f t="shared" ref="J277" si="804" xml:space="preserve"> IF(LEN(ChartLines.Hex6)=6, HEX2DEC(RIGHT(ChartLines.Hex6, 2)), "·")</f>
        <v>135</v>
      </c>
      <c r="K277" cm="1">
        <f t="array" ref="K277" xml:space="preserve"> 1 + ROW() - _xlfn.SINGLE(ROW(ChartLines.RowNum))</f>
        <v>275</v>
      </c>
    </row>
    <row r="278" spans="2:11">
      <c r="B278" t="s">
        <v>100</v>
      </c>
      <c r="C278" t="s">
        <v>1843</v>
      </c>
      <c r="E278">
        <f t="shared" ref="E278" si="805" xml:space="preserve"> IF(AND(LEN(ChartLines.ID)&gt;0,"Unused"&lt;&gt;ChartLines.ID), COUNTIFS(ChartLines.ID,ChartLines.ID), "·")</f>
        <v>2</v>
      </c>
      <c r="F278">
        <f t="shared" ref="F278" si="80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07" xml:space="preserve"> IF(LEN(ChartLines.Hex6)=6, HEX2DEC(LEFT(ChartLines.Hex6, 2)), "·")</f>
        <v>255</v>
      </c>
      <c r="I278">
        <f t="shared" ref="I278" si="808" xml:space="preserve"> IF(LEN(ChartLines.Hex6)=6, HEX2DEC(MID(ChartLines.Hex6, 3, 2)), "·")</f>
        <v>205</v>
      </c>
      <c r="J278">
        <f t="shared" ref="J278" si="809" xml:space="preserve"> IF(LEN(ChartLines.Hex6)=6, HEX2DEC(RIGHT(ChartLines.Hex6, 2)), "·")</f>
        <v>0</v>
      </c>
      <c r="K278" cm="1">
        <f t="array" ref="K278" xml:space="preserve"> 1 + ROW() - _xlfn.SINGLE(ROW(ChartLines.RowNum))</f>
        <v>276</v>
      </c>
    </row>
    <row r="279" spans="2:11">
      <c r="B279" t="s">
        <v>101</v>
      </c>
      <c r="C279" t="s">
        <v>1844</v>
      </c>
      <c r="E279">
        <f t="shared" ref="E279" si="810" xml:space="preserve"> IF(AND(LEN(ChartLines.ID)&gt;0,"Unused"&lt;&gt;ChartLines.ID), COUNTIFS(ChartLines.ID,ChartLines.ID), "·")</f>
        <v>2</v>
      </c>
      <c r="F279">
        <f t="shared" ref="F279" si="81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 si="812" xml:space="preserve"> IF(LEN(ChartLines.Hex6)=6, HEX2DEC(LEFT(ChartLines.Hex6, 2)), "·")</f>
        <v>200</v>
      </c>
      <c r="I279">
        <f t="shared" ref="I279" si="813" xml:space="preserve"> IF(LEN(ChartLines.Hex6)=6, HEX2DEC(MID(ChartLines.Hex6, 3, 2)), "·")</f>
        <v>16</v>
      </c>
      <c r="J279">
        <f t="shared" ref="J279" si="814" xml:space="preserve"> IF(LEN(ChartLines.Hex6)=6, HEX2DEC(RIGHT(ChartLines.Hex6, 2)), "·")</f>
        <v>46</v>
      </c>
      <c r="K279" cm="1">
        <f t="array" ref="K279" xml:space="preserve"> 1 + ROW() - _xlfn.SINGLE(ROW(ChartLines.RowNum))</f>
        <v>277</v>
      </c>
    </row>
    <row r="280" spans="2:11">
      <c r="B280" t="s">
        <v>101</v>
      </c>
      <c r="C280" t="s">
        <v>1839</v>
      </c>
      <c r="E280">
        <f t="shared" ref="E280" si="815" xml:space="preserve"> IF(AND(LEN(ChartLines.ID)&gt;0,"Unused"&lt;&gt;ChartLines.ID), COUNTIFS(ChartLines.ID,ChartLines.ID), "·")</f>
        <v>2</v>
      </c>
      <c r="F280">
        <f t="shared" ref="F280" si="81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 si="817" xml:space="preserve"> IF(LEN(ChartLines.Hex6)=6, HEX2DEC(LEFT(ChartLines.Hex6, 2)), "·")</f>
        <v>255</v>
      </c>
      <c r="I280">
        <f t="shared" ref="I280" si="818" xml:space="preserve"> IF(LEN(ChartLines.Hex6)=6, HEX2DEC(MID(ChartLines.Hex6, 3, 2)), "·")</f>
        <v>255</v>
      </c>
      <c r="J280">
        <f t="shared" ref="J280" si="819" xml:space="preserve"> IF(LEN(ChartLines.Hex6)=6, HEX2DEC(RIGHT(ChartLines.Hex6, 2)), "·")</f>
        <v>255</v>
      </c>
      <c r="K280" cm="1">
        <f t="array" ref="K280" xml:space="preserve"> 1 + ROW() - _xlfn.SINGLE(ROW(ChartLines.RowNum))</f>
        <v>278</v>
      </c>
    </row>
    <row r="281" spans="2:11">
      <c r="B281" t="s">
        <v>544</v>
      </c>
      <c r="C281" t="s">
        <v>2161</v>
      </c>
      <c r="E281">
        <f t="shared" ref="E281" si="820" xml:space="preserve"> IF(AND(LEN(ChartLines.ID)&gt;0,"Unused"&lt;&gt;ChartLines.ID), COUNTIFS(ChartLines.ID,ChartLines.ID), "·")</f>
        <v>2</v>
      </c>
      <c r="F281">
        <f t="shared" ref="F281" si="821"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ref="H281" si="822" xml:space="preserve"> IF(LEN(ChartLines.Hex6)=6, HEX2DEC(LEFT(ChartLines.Hex6, 2)), "·")</f>
        <v>123</v>
      </c>
      <c r="I281">
        <f t="shared" ref="I281" si="823" xml:space="preserve"> IF(LEN(ChartLines.Hex6)=6, HEX2DEC(MID(ChartLines.Hex6, 3, 2)), "·")</f>
        <v>63</v>
      </c>
      <c r="J281">
        <f t="shared" ref="J281" si="824" xml:space="preserve"> IF(LEN(ChartLines.Hex6)=6, HEX2DEC(RIGHT(ChartLines.Hex6, 2)), "·")</f>
        <v>0</v>
      </c>
      <c r="K281" cm="1">
        <f t="array" ref="K281" xml:space="preserve"> 1 + ROW() - _xlfn.SINGLE(ROW(ChartLines.RowNum))</f>
        <v>279</v>
      </c>
    </row>
    <row r="282" spans="2:11">
      <c r="B282" t="s">
        <v>544</v>
      </c>
      <c r="C282" t="s">
        <v>1839</v>
      </c>
      <c r="E282">
        <f t="shared" ref="E282" si="825" xml:space="preserve"> IF(AND(LEN(ChartLines.ID)&gt;0,"Unused"&lt;&gt;ChartLines.ID), COUNTIFS(ChartLines.ID,ChartLines.ID), "·")</f>
        <v>2</v>
      </c>
      <c r="F282">
        <f t="shared" ref="F282" si="826"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ref="H282" si="827" xml:space="preserve"> IF(LEN(ChartLines.Hex6)=6, HEX2DEC(LEFT(ChartLines.Hex6, 2)), "·")</f>
        <v>255</v>
      </c>
      <c r="I282">
        <f t="shared" ref="I282" si="828" xml:space="preserve"> IF(LEN(ChartLines.Hex6)=6, HEX2DEC(MID(ChartLines.Hex6, 3, 2)), "·")</f>
        <v>255</v>
      </c>
      <c r="J282">
        <f t="shared" ref="J282" si="829" xml:space="preserve"> IF(LEN(ChartLines.Hex6)=6, HEX2DEC(RIGHT(ChartLines.Hex6, 2)), "·")</f>
        <v>255</v>
      </c>
      <c r="K282" cm="1">
        <f t="array" ref="K282" xml:space="preserve"> 1 + ROW() - _xlfn.SINGLE(ROW(ChartLines.RowNum))</f>
        <v>280</v>
      </c>
    </row>
    <row r="283" spans="2:11">
      <c r="B283" t="s">
        <v>102</v>
      </c>
      <c r="C283" t="s">
        <v>1935</v>
      </c>
      <c r="E283">
        <f t="shared" ref="E283" si="830" xml:space="preserve"> IF(AND(LEN(ChartLines.ID)&gt;0,"Unused"&lt;&gt;ChartLines.ID), COUNTIFS(ChartLines.ID,ChartLines.ID), "·")</f>
        <v>2</v>
      </c>
      <c r="F283">
        <f t="shared" ref="F283" si="83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32" xml:space="preserve"> IF(LEN(ChartLines.Hex6)=6, HEX2DEC(LEFT(ChartLines.Hex6, 2)), "·")</f>
        <v>108</v>
      </c>
      <c r="I283">
        <f t="shared" ref="I283" si="833" xml:space="preserve"> IF(LEN(ChartLines.Hex6)=6, HEX2DEC(MID(ChartLines.Hex6, 3, 2)), "·")</f>
        <v>172</v>
      </c>
      <c r="J283">
        <f t="shared" ref="J283" si="834" xml:space="preserve"> IF(LEN(ChartLines.Hex6)=6, HEX2DEC(RIGHT(ChartLines.Hex6, 2)), "·")</f>
        <v>228</v>
      </c>
      <c r="K283" cm="1">
        <f t="array" ref="K283" xml:space="preserve"> 1 + ROW() - _xlfn.SINGLE(ROW(ChartLines.RowNum))</f>
        <v>281</v>
      </c>
    </row>
    <row r="284" spans="2:11">
      <c r="B284" t="s">
        <v>102</v>
      </c>
      <c r="C284" t="s">
        <v>1839</v>
      </c>
      <c r="E284">
        <f t="shared" ref="E284" si="835" xml:space="preserve"> IF(AND(LEN(ChartLines.ID)&gt;0,"Unused"&lt;&gt;ChartLines.ID), COUNTIFS(ChartLines.ID,ChartLines.ID), "·")</f>
        <v>2</v>
      </c>
      <c r="F284">
        <f t="shared" ref="F284" si="83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37" xml:space="preserve"> IF(LEN(ChartLines.Hex6)=6, HEX2DEC(LEFT(ChartLines.Hex6, 2)), "·")</f>
        <v>255</v>
      </c>
      <c r="I284">
        <f t="shared" ref="I284" si="838" xml:space="preserve"> IF(LEN(ChartLines.Hex6)=6, HEX2DEC(MID(ChartLines.Hex6, 3, 2)), "·")</f>
        <v>255</v>
      </c>
      <c r="J284">
        <f t="shared" ref="J284" si="839" xml:space="preserve"> IF(LEN(ChartLines.Hex6)=6, HEX2DEC(RIGHT(ChartLines.Hex6, 2)), "·")</f>
        <v>255</v>
      </c>
      <c r="K284" cm="1">
        <f t="array" ref="K284" xml:space="preserve"> 1 + ROW() - _xlfn.SINGLE(ROW(ChartLines.RowNum))</f>
        <v>282</v>
      </c>
    </row>
    <row r="285" spans="2:11">
      <c r="B285" t="s">
        <v>1936</v>
      </c>
      <c r="C285" t="str">
        <f xml:space="preserve"> "000000"</f>
        <v>000000</v>
      </c>
      <c r="E285">
        <f t="shared" ref="E285" si="840" xml:space="preserve"> IF(AND(LEN(ChartLines.ID)&gt;0,"Unused"&lt;&gt;ChartLines.ID), COUNTIFS(ChartLines.ID,ChartLines.ID), "·")</f>
        <v>2</v>
      </c>
      <c r="F285">
        <f t="shared" ref="F285" si="84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 si="842" xml:space="preserve"> IF(LEN(ChartLines.Hex6)=6, HEX2DEC(LEFT(ChartLines.Hex6, 2)), "·")</f>
        <v>0</v>
      </c>
      <c r="I285">
        <f t="shared" ref="I285" si="843" xml:space="preserve"> IF(LEN(ChartLines.Hex6)=6, HEX2DEC(MID(ChartLines.Hex6, 3, 2)), "·")</f>
        <v>0</v>
      </c>
      <c r="J285">
        <f t="shared" ref="J285" si="844" xml:space="preserve"> IF(LEN(ChartLines.Hex6)=6, HEX2DEC(RIGHT(ChartLines.Hex6, 2)), "·")</f>
        <v>0</v>
      </c>
      <c r="K285" cm="1">
        <f t="array" ref="K285" xml:space="preserve"> 1 + ROW() - _xlfn.SINGLE(ROW(ChartLines.RowNum))</f>
        <v>283</v>
      </c>
    </row>
    <row r="286" spans="2:11">
      <c r="B286" t="s">
        <v>1936</v>
      </c>
      <c r="C286" t="s">
        <v>1839</v>
      </c>
      <c r="E286">
        <f t="shared" ref="E286" si="845" xml:space="preserve"> IF(AND(LEN(ChartLines.ID)&gt;0,"Unused"&lt;&gt;ChartLines.ID), COUNTIFS(ChartLines.ID,ChartLines.ID), "·")</f>
        <v>2</v>
      </c>
      <c r="F286">
        <f t="shared" ref="F286" si="84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 si="847" xml:space="preserve"> IF(LEN(ChartLines.Hex6)=6, HEX2DEC(LEFT(ChartLines.Hex6, 2)), "·")</f>
        <v>255</v>
      </c>
      <c r="I286">
        <f t="shared" ref="I286" si="848" xml:space="preserve"> IF(LEN(ChartLines.Hex6)=6, HEX2DEC(MID(ChartLines.Hex6, 3, 2)), "·")</f>
        <v>255</v>
      </c>
      <c r="J286">
        <f t="shared" ref="J286" si="849" xml:space="preserve"> IF(LEN(ChartLines.Hex6)=6, HEX2DEC(RIGHT(ChartLines.Hex6, 2)), "·")</f>
        <v>255</v>
      </c>
      <c r="K286" cm="1">
        <f t="array" ref="K286" xml:space="preserve"> 1 + ROW() - _xlfn.SINGLE(ROW(ChartLines.RowNum))</f>
        <v>284</v>
      </c>
    </row>
    <row r="287" spans="2:11">
      <c r="B287" t="s">
        <v>560</v>
      </c>
      <c r="C287" t="s">
        <v>1937</v>
      </c>
      <c r="E287">
        <f t="shared" ref="E287" si="850" xml:space="preserve"> IF(AND(LEN(ChartLines.ID)&gt;0,"Unused"&lt;&gt;ChartLines.ID), COUNTIFS(ChartLines.ID,ChartLines.ID), "·")</f>
        <v>2</v>
      </c>
      <c r="F287">
        <f t="shared" ref="F287" si="851"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ref="H287" si="852" xml:space="preserve"> IF(LEN(ChartLines.Hex6)=6, HEX2DEC(LEFT(ChartLines.Hex6, 2)), "·")</f>
        <v>29</v>
      </c>
      <c r="I287">
        <f t="shared" ref="I287" si="853" xml:space="preserve"> IF(LEN(ChartLines.Hex6)=6, HEX2DEC(MID(ChartLines.Hex6, 3, 2)), "·")</f>
        <v>66</v>
      </c>
      <c r="J287">
        <f t="shared" ref="J287" si="854" xml:space="preserve"> IF(LEN(ChartLines.Hex6)=6, HEX2DEC(RIGHT(ChartLines.Hex6, 2)), "·")</f>
        <v>138</v>
      </c>
      <c r="K287" cm="1">
        <f t="array" ref="K287" xml:space="preserve"> 1 + ROW() - _xlfn.SINGLE(ROW(ChartLines.RowNum))</f>
        <v>285</v>
      </c>
    </row>
    <row r="288" spans="2:11">
      <c r="B288" t="s">
        <v>560</v>
      </c>
      <c r="C288" t="s">
        <v>1844</v>
      </c>
      <c r="E288">
        <f t="shared" ref="E288" si="855" xml:space="preserve"> IF(AND(LEN(ChartLines.ID)&gt;0,"Unused"&lt;&gt;ChartLines.ID), COUNTIFS(ChartLines.ID,ChartLines.ID), "·")</f>
        <v>2</v>
      </c>
      <c r="F288">
        <f t="shared" ref="F288" si="856"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ref="H288" si="857" xml:space="preserve"> IF(LEN(ChartLines.Hex6)=6, HEX2DEC(LEFT(ChartLines.Hex6, 2)), "·")</f>
        <v>200</v>
      </c>
      <c r="I288">
        <f t="shared" ref="I288" si="858" xml:space="preserve"> IF(LEN(ChartLines.Hex6)=6, HEX2DEC(MID(ChartLines.Hex6, 3, 2)), "·")</f>
        <v>16</v>
      </c>
      <c r="J288">
        <f t="shared" ref="J288" si="859" xml:space="preserve"> IF(LEN(ChartLines.Hex6)=6, HEX2DEC(RIGHT(ChartLines.Hex6, 2)), "·")</f>
        <v>46</v>
      </c>
      <c r="K288" cm="1">
        <f t="array" ref="K288" xml:space="preserve"> 1 + ROW() - _xlfn.SINGLE(ROW(ChartLines.RowNum))</f>
        <v>286</v>
      </c>
    </row>
    <row r="289" spans="2:11">
      <c r="B289" t="s">
        <v>563</v>
      </c>
      <c r="C289" t="s">
        <v>1866</v>
      </c>
      <c r="E289">
        <f t="shared" ref="E289:E291" si="860" xml:space="preserve"> IF(AND(LEN(ChartLines.ID)&gt;0,"Unused"&lt;&gt;ChartLines.ID), COUNTIFS(ChartLines.ID,ChartLines.ID), "·")</f>
        <v>2</v>
      </c>
      <c r="F289">
        <f t="shared" ref="F289:F291" si="861"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ref="H289:H291" si="862" xml:space="preserve"> IF(LEN(ChartLines.Hex6)=6, HEX2DEC(LEFT(ChartLines.Hex6, 2)), "·")</f>
        <v>0</v>
      </c>
      <c r="I289">
        <f t="shared" ref="I289:I291" si="863" xml:space="preserve"> IF(LEN(ChartLines.Hex6)=6, HEX2DEC(MID(ChartLines.Hex6, 3, 2)), "·")</f>
        <v>114</v>
      </c>
      <c r="J289">
        <f t="shared" ref="J289:J291" si="864" xml:space="preserve"> IF(LEN(ChartLines.Hex6)=6, HEX2DEC(RIGHT(ChartLines.Hex6, 2)), "·")</f>
        <v>206</v>
      </c>
      <c r="K289" cm="1">
        <f t="array" ref="K289" xml:space="preserve"> 1 + ROW() - _xlfn.SINGLE(ROW(ChartLines.RowNum))</f>
        <v>287</v>
      </c>
    </row>
    <row r="290" spans="2:11">
      <c r="B290" t="s">
        <v>563</v>
      </c>
      <c r="C290" t="s">
        <v>1845</v>
      </c>
      <c r="E290">
        <f t="shared" ref="E290:E292" si="865" xml:space="preserve"> IF(AND(LEN(ChartLines.ID)&gt;0,"Unused"&lt;&gt;ChartLines.ID), COUNTIFS(ChartLines.ID,ChartLines.ID), "·")</f>
        <v>2</v>
      </c>
      <c r="F290">
        <f t="shared" ref="F290:F292" si="866"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ref="H290:H292" si="867" xml:space="preserve"> IF(LEN(ChartLines.Hex6)=6, HEX2DEC(LEFT(ChartLines.Hex6, 2)), "·")</f>
        <v>255</v>
      </c>
      <c r="I290">
        <f t="shared" ref="I290:I292" si="868" xml:space="preserve"> IF(LEN(ChartLines.Hex6)=6, HEX2DEC(MID(ChartLines.Hex6, 3, 2)), "·")</f>
        <v>209</v>
      </c>
      <c r="J290">
        <f t="shared" ref="J290:J292" si="869" xml:space="preserve"> IF(LEN(ChartLines.Hex6)=6, HEX2DEC(RIGHT(ChartLines.Hex6, 2)), "·")</f>
        <v>0</v>
      </c>
      <c r="K290" cm="1">
        <f t="array" ref="K290" xml:space="preserve"> 1 + ROW() - _xlfn.SINGLE(ROW(ChartLines.RowNum))</f>
        <v>288</v>
      </c>
    </row>
    <row r="291" spans="2:11">
      <c r="B291" t="s">
        <v>2314</v>
      </c>
      <c r="C291" t="s">
        <v>2411</v>
      </c>
      <c r="E291">
        <f t="shared" si="860"/>
        <v>2</v>
      </c>
      <c r="F291">
        <f t="shared" si="861"/>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si="862"/>
        <v>42</v>
      </c>
      <c r="I291">
        <f t="shared" si="863"/>
        <v>147</v>
      </c>
      <c r="J291">
        <f t="shared" si="864"/>
        <v>106</v>
      </c>
      <c r="K291" cm="1">
        <f t="array" ref="K291" xml:space="preserve"> 1 + ROW() - _xlfn.SINGLE(ROW(ChartLines.RowNum))</f>
        <v>289</v>
      </c>
    </row>
    <row r="292" spans="2:11">
      <c r="B292" t="s">
        <v>2314</v>
      </c>
      <c r="C292" t="s">
        <v>2412</v>
      </c>
      <c r="E292">
        <f t="shared" si="865"/>
        <v>2</v>
      </c>
      <c r="F292">
        <f t="shared" si="866"/>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si="867"/>
        <v>190</v>
      </c>
      <c r="I292">
        <f t="shared" si="868"/>
        <v>30</v>
      </c>
      <c r="J292">
        <f t="shared" si="869"/>
        <v>45</v>
      </c>
      <c r="K292" cm="1">
        <f t="array" ref="K292" xml:space="preserve"> 1 + ROW() - _xlfn.SINGLE(ROW(ChartLines.RowNum))</f>
        <v>290</v>
      </c>
    </row>
    <row r="293" spans="2:11">
      <c r="B293" t="s">
        <v>2309</v>
      </c>
      <c r="C293" t="s">
        <v>1938</v>
      </c>
      <c r="E293">
        <f t="shared" ref="E293" si="870" xml:space="preserve"> IF(AND(LEN(ChartLines.ID)&gt;0,"Unused"&lt;&gt;ChartLines.ID), COUNTIFS(ChartLines.ID,ChartLines.ID), "·")</f>
        <v>2</v>
      </c>
      <c r="F293">
        <f t="shared" ref="F293" si="87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872" xml:space="preserve"> IF(LEN(ChartLines.Hex6)=6, HEX2DEC(LEFT(ChartLines.Hex6, 2)), "·")</f>
        <v>252</v>
      </c>
      <c r="I293">
        <f t="shared" ref="I293" si="873" xml:space="preserve"> IF(LEN(ChartLines.Hex6)=6, HEX2DEC(MID(ChartLines.Hex6, 3, 2)), "·")</f>
        <v>227</v>
      </c>
      <c r="J293">
        <f t="shared" ref="J293" si="874" xml:space="preserve"> IF(LEN(ChartLines.Hex6)=6, HEX2DEC(RIGHT(ChartLines.Hex6, 2)), "·")</f>
        <v>0</v>
      </c>
      <c r="K293" cm="1">
        <f t="array" ref="K293" xml:space="preserve"> 1 + ROW() - _xlfn.SINGLE(ROW(ChartLines.RowNum))</f>
        <v>291</v>
      </c>
    </row>
    <row r="294" spans="2:11">
      <c r="B294" t="s">
        <v>2309</v>
      </c>
      <c r="C294" t="s">
        <v>1852</v>
      </c>
      <c r="E294">
        <f t="shared" ref="E294" si="875" xml:space="preserve"> IF(AND(LEN(ChartLines.ID)&gt;0,"Unused"&lt;&gt;ChartLines.ID), COUNTIFS(ChartLines.ID,ChartLines.ID), "·")</f>
        <v>2</v>
      </c>
      <c r="F294">
        <f t="shared" ref="F294" si="87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877" xml:space="preserve"> IF(LEN(ChartLines.Hex6)=6, HEX2DEC(LEFT(ChartLines.Hex6, 2)), "·")</f>
        <v>0</v>
      </c>
      <c r="I294">
        <f t="shared" ref="I294" si="878" xml:space="preserve"> IF(LEN(ChartLines.Hex6)=6, HEX2DEC(MID(ChartLines.Hex6, 3, 2)), "·")</f>
        <v>61</v>
      </c>
      <c r="J294">
        <f t="shared" ref="J294" si="879" xml:space="preserve"> IF(LEN(ChartLines.Hex6)=6, HEX2DEC(RIGHT(ChartLines.Hex6, 2)), "·")</f>
        <v>165</v>
      </c>
      <c r="K294" cm="1">
        <f t="array" ref="K294" xml:space="preserve"> 1 + ROW() - _xlfn.SINGLE(ROW(ChartLines.RowNum))</f>
        <v>292</v>
      </c>
    </row>
    <row r="295" spans="2:11">
      <c r="B295" t="s">
        <v>169</v>
      </c>
      <c r="C295" t="s">
        <v>1923</v>
      </c>
      <c r="E295">
        <f t="shared" ref="E295:E299" si="880" xml:space="preserve"> IF(AND(LEN(ChartLines.ID)&gt;0,"Unused"&lt;&gt;ChartLines.ID), COUNTIFS(ChartLines.ID,ChartLines.ID), "·")</f>
        <v>2</v>
      </c>
      <c r="F295">
        <f t="shared" ref="F295:F299" si="88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H299" si="882" xml:space="preserve"> IF(LEN(ChartLines.Hex6)=6, HEX2DEC(LEFT(ChartLines.Hex6, 2)), "·")</f>
        <v>0</v>
      </c>
      <c r="I295">
        <f t="shared" ref="I295:I299" si="883" xml:space="preserve"> IF(LEN(ChartLines.Hex6)=6, HEX2DEC(MID(ChartLines.Hex6, 3, 2)), "·")</f>
        <v>94</v>
      </c>
      <c r="J295">
        <f t="shared" ref="J295:J299" si="884" xml:space="preserve"> IF(LEN(ChartLines.Hex6)=6, HEX2DEC(RIGHT(ChartLines.Hex6, 2)), "·")</f>
        <v>184</v>
      </c>
      <c r="K295" cm="1">
        <f t="array" ref="K295" xml:space="preserve"> 1 + ROW() - _xlfn.SINGLE(ROW(ChartLines.RowNum))</f>
        <v>293</v>
      </c>
    </row>
    <row r="296" spans="2:11">
      <c r="B296" t="s">
        <v>169</v>
      </c>
      <c r="C296" t="s">
        <v>1839</v>
      </c>
      <c r="E296">
        <f t="shared" ref="E296:E300" si="885" xml:space="preserve"> IF(AND(LEN(ChartLines.ID)&gt;0,"Unused"&lt;&gt;ChartLines.ID), COUNTIFS(ChartLines.ID,ChartLines.ID), "·")</f>
        <v>2</v>
      </c>
      <c r="F296">
        <f t="shared" ref="F296:F300" si="88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H300" si="887" xml:space="preserve"> IF(LEN(ChartLines.Hex6)=6, HEX2DEC(LEFT(ChartLines.Hex6, 2)), "·")</f>
        <v>255</v>
      </c>
      <c r="I296">
        <f t="shared" ref="I296:I300" si="888" xml:space="preserve"> IF(LEN(ChartLines.Hex6)=6, HEX2DEC(MID(ChartLines.Hex6, 3, 2)), "·")</f>
        <v>255</v>
      </c>
      <c r="J296">
        <f t="shared" ref="J296:J300" si="889" xml:space="preserve"> IF(LEN(ChartLines.Hex6)=6, HEX2DEC(RIGHT(ChartLines.Hex6, 2)), "·")</f>
        <v>255</v>
      </c>
      <c r="K296" cm="1">
        <f t="array" ref="K296" xml:space="preserve"> 1 + ROW() - _xlfn.SINGLE(ROW(ChartLines.RowNum))</f>
        <v>294</v>
      </c>
    </row>
    <row r="297" spans="2:11">
      <c r="B297" t="s">
        <v>2357</v>
      </c>
      <c r="C297" t="str">
        <f xml:space="preserve"> "000000"</f>
        <v>000000</v>
      </c>
      <c r="E297">
        <f t="shared" si="880"/>
        <v>2</v>
      </c>
      <c r="F297">
        <f t="shared" si="881"/>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si="882"/>
        <v>0</v>
      </c>
      <c r="I297">
        <f t="shared" si="883"/>
        <v>0</v>
      </c>
      <c r="J297">
        <f t="shared" si="884"/>
        <v>0</v>
      </c>
      <c r="K297" cm="1">
        <f t="array" ref="K297" xml:space="preserve"> 1 + ROW() - _xlfn.SINGLE(ROW(ChartLines.RowNum))</f>
        <v>295</v>
      </c>
    </row>
    <row r="298" spans="2:11">
      <c r="B298" t="s">
        <v>2357</v>
      </c>
      <c r="C298" t="s">
        <v>1857</v>
      </c>
      <c r="E298">
        <f t="shared" si="885"/>
        <v>2</v>
      </c>
      <c r="F298">
        <f t="shared" si="886"/>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si="887"/>
        <v>218</v>
      </c>
      <c r="I298">
        <f t="shared" si="888"/>
        <v>41</v>
      </c>
      <c r="J298">
        <f t="shared" si="889"/>
        <v>28</v>
      </c>
      <c r="K298" cm="1">
        <f t="array" ref="K298" xml:space="preserve"> 1 + ROW() - _xlfn.SINGLE(ROW(ChartLines.RowNum))</f>
        <v>296</v>
      </c>
    </row>
    <row r="299" spans="2:11">
      <c r="B299" t="s">
        <v>2377</v>
      </c>
      <c r="C299" t="s">
        <v>2403</v>
      </c>
      <c r="E299">
        <f t="shared" si="880"/>
        <v>2</v>
      </c>
      <c r="F299">
        <f t="shared" si="881"/>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si="882"/>
        <v>73</v>
      </c>
      <c r="I299">
        <f t="shared" si="883"/>
        <v>151</v>
      </c>
      <c r="J299">
        <f t="shared" si="884"/>
        <v>208</v>
      </c>
      <c r="K299" cm="1">
        <f t="array" ref="K299" xml:space="preserve"> 1 + ROW() - _xlfn.SINGLE(ROW(ChartLines.RowNum))</f>
        <v>297</v>
      </c>
    </row>
    <row r="300" spans="2:11">
      <c r="B300" t="s">
        <v>2377</v>
      </c>
      <c r="C300" t="s">
        <v>1839</v>
      </c>
      <c r="E300">
        <f t="shared" si="885"/>
        <v>2</v>
      </c>
      <c r="F300">
        <f t="shared" si="886"/>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si="887"/>
        <v>255</v>
      </c>
      <c r="I300">
        <f t="shared" si="888"/>
        <v>255</v>
      </c>
      <c r="J300">
        <f t="shared" si="889"/>
        <v>255</v>
      </c>
      <c r="K300" cm="1">
        <f t="array" ref="K300" xml:space="preserve"> 1 + ROW() - _xlfn.SINGLE(ROW(ChartLines.RowNum))</f>
        <v>298</v>
      </c>
    </row>
    <row r="301" spans="2:11">
      <c r="B301" t="s">
        <v>1707</v>
      </c>
      <c r="C301" t="str">
        <f xml:space="preserve"> "072357"</f>
        <v>072357</v>
      </c>
      <c r="E301">
        <f t="shared" ref="E301" si="890" xml:space="preserve"> IF(AND(LEN(ChartLines.ID)&gt;0,"Unused"&lt;&gt;ChartLines.ID), COUNTIFS(ChartLines.ID,ChartLines.ID), "·")</f>
        <v>2</v>
      </c>
      <c r="F301">
        <f t="shared" ref="F301" si="891"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f t="shared" ref="H301" si="892" xml:space="preserve"> IF(LEN(ChartLines.Hex6)=6, HEX2DEC(LEFT(ChartLines.Hex6, 2)), "·")</f>
        <v>7</v>
      </c>
      <c r="I301">
        <f t="shared" ref="I301" si="893" xml:space="preserve"> IF(LEN(ChartLines.Hex6)=6, HEX2DEC(MID(ChartLines.Hex6, 3, 2)), "·")</f>
        <v>35</v>
      </c>
      <c r="J301">
        <f t="shared" ref="J301" si="894" xml:space="preserve"> IF(LEN(ChartLines.Hex6)=6, HEX2DEC(RIGHT(ChartLines.Hex6, 2)), "·")</f>
        <v>87</v>
      </c>
      <c r="K301" cm="1">
        <f t="array" ref="K301" xml:space="preserve"> 1 + ROW() - _xlfn.SINGLE(ROW(ChartLines.RowNum))</f>
        <v>299</v>
      </c>
    </row>
    <row r="302" spans="2:11">
      <c r="B302" t="s">
        <v>1707</v>
      </c>
      <c r="C302" t="s">
        <v>1939</v>
      </c>
      <c r="E302">
        <f t="shared" ref="E302" si="895" xml:space="preserve"> IF(AND(LEN(ChartLines.ID)&gt;0,"Unused"&lt;&gt;ChartLines.ID), COUNTIFS(ChartLines.ID,ChartLines.ID), "·")</f>
        <v>2</v>
      </c>
      <c r="F302">
        <f t="shared" ref="F302" si="896"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f t="shared" ref="H302" si="897" xml:space="preserve"> IF(LEN(ChartLines.Hex6)=6, HEX2DEC(LEFT(ChartLines.Hex6, 2)), "·")</f>
        <v>218</v>
      </c>
      <c r="I302">
        <f t="shared" ref="I302" si="898" xml:space="preserve"> IF(LEN(ChartLines.Hex6)=6, HEX2DEC(MID(ChartLines.Hex6, 3, 2)), "·")</f>
        <v>18</v>
      </c>
      <c r="J302">
        <f t="shared" ref="J302" si="899" xml:space="preserve"> IF(LEN(ChartLines.Hex6)=6, HEX2DEC(RIGHT(ChartLines.Hex6, 2)), "·")</f>
        <v>26</v>
      </c>
      <c r="K302" cm="1">
        <f t="array" ref="K302" xml:space="preserve"> 1 + ROW() - _xlfn.SINGLE(ROW(ChartLines.RowNum))</f>
        <v>300</v>
      </c>
    </row>
    <row r="303" spans="2:11">
      <c r="B303" t="s">
        <v>578</v>
      </c>
      <c r="C303" t="str">
        <f xml:space="preserve"> "002D62"</f>
        <v>002D62</v>
      </c>
      <c r="E303">
        <f t="shared" ref="E303" si="900" xml:space="preserve"> IF(AND(LEN(ChartLines.ID)&gt;0,"Unused"&lt;&gt;ChartLines.ID), COUNTIFS(ChartLines.ID,ChartLines.ID), "·")</f>
        <v>2</v>
      </c>
      <c r="F303">
        <f t="shared" ref="F303" si="901"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f t="shared" ref="H303" si="902" xml:space="preserve"> IF(LEN(ChartLines.Hex6)=6, HEX2DEC(LEFT(ChartLines.Hex6, 2)), "·")</f>
        <v>0</v>
      </c>
      <c r="I303">
        <f t="shared" ref="I303" si="903" xml:space="preserve"> IF(LEN(ChartLines.Hex6)=6, HEX2DEC(MID(ChartLines.Hex6, 3, 2)), "·")</f>
        <v>45</v>
      </c>
      <c r="J303">
        <f t="shared" ref="J303" si="904" xml:space="preserve"> IF(LEN(ChartLines.Hex6)=6, HEX2DEC(RIGHT(ChartLines.Hex6, 2)), "·")</f>
        <v>98</v>
      </c>
      <c r="K303" cm="1">
        <f t="array" ref="K303" xml:space="preserve"> 1 + ROW() - _xlfn.SINGLE(ROW(ChartLines.RowNum))</f>
        <v>301</v>
      </c>
    </row>
    <row r="304" spans="2:11">
      <c r="B304" t="s">
        <v>578</v>
      </c>
      <c r="C304" t="s">
        <v>1917</v>
      </c>
      <c r="E304">
        <f t="shared" ref="E304" si="905" xml:space="preserve"> IF(AND(LEN(ChartLines.ID)&gt;0,"Unused"&lt;&gt;ChartLines.ID), COUNTIFS(ChartLines.ID,ChartLines.ID), "·")</f>
        <v>2</v>
      </c>
      <c r="F304">
        <f t="shared" ref="F304" si="906"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f t="shared" ref="H304" si="907" xml:space="preserve"> IF(LEN(ChartLines.Hex6)=6, HEX2DEC(LEFT(ChartLines.Hex6, 2)), "·")</f>
        <v>206</v>
      </c>
      <c r="I304">
        <f t="shared" ref="I304" si="908" xml:space="preserve"> IF(LEN(ChartLines.Hex6)=6, HEX2DEC(MID(ChartLines.Hex6, 3, 2)), "·")</f>
        <v>17</v>
      </c>
      <c r="J304">
        <f t="shared" ref="J304" si="909" xml:space="preserve"> IF(LEN(ChartLines.Hex6)=6, HEX2DEC(RIGHT(ChartLines.Hex6, 2)), "·")</f>
        <v>38</v>
      </c>
      <c r="K304" cm="1">
        <f t="array" ref="K304" xml:space="preserve"> 1 + ROW() - _xlfn.SINGLE(ROW(ChartLines.RowNum))</f>
        <v>302</v>
      </c>
    </row>
    <row r="305" spans="2:11">
      <c r="B305" t="s">
        <v>579</v>
      </c>
      <c r="C305" t="str">
        <f xml:space="preserve"> "C8102E"</f>
        <v>C8102E</v>
      </c>
      <c r="E305">
        <f t="shared" ref="E305" si="910" xml:space="preserve"> IF(AND(LEN(ChartLines.ID)&gt;0,"Unused"&lt;&gt;ChartLines.ID), COUNTIFS(ChartLines.ID,ChartLines.ID), "·")</f>
        <v>2</v>
      </c>
      <c r="F305">
        <f t="shared" ref="F305" si="911" xml:space="preserve"> IF(AND(LEN(ChartLines.ID)&gt;0,"Unused"&lt;&gt;ChartLines.ID), COUNTIFS(ChartLines.ID,ChartLines.ID,   ChartLines.RowNum,"&lt;="&amp;ChartLines.RowNum), "·")</f>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f t="shared" ref="H305" si="912" xml:space="preserve"> IF(LEN(ChartLines.Hex6)=6, HEX2DEC(LEFT(ChartLines.Hex6, 2)), "·")</f>
        <v>200</v>
      </c>
      <c r="I305">
        <f t="shared" ref="I305" si="913" xml:space="preserve"> IF(LEN(ChartLines.Hex6)=6, HEX2DEC(MID(ChartLines.Hex6, 3, 2)), "·")</f>
        <v>16</v>
      </c>
      <c r="J305">
        <f t="shared" ref="J305" si="914" xml:space="preserve"> IF(LEN(ChartLines.Hex6)=6, HEX2DEC(RIGHT(ChartLines.Hex6, 2)), "·")</f>
        <v>46</v>
      </c>
      <c r="K305" cm="1">
        <f t="array" ref="K305" xml:space="preserve"> 1 + ROW() - _xlfn.SINGLE(ROW(ChartLines.RowNum))</f>
        <v>303</v>
      </c>
    </row>
    <row r="306" spans="2:11">
      <c r="B306" t="s">
        <v>579</v>
      </c>
      <c r="C306" t="str">
        <f xml:space="preserve"> "000000"</f>
        <v>000000</v>
      </c>
      <c r="E306">
        <f t="shared" ref="E306" si="915" xml:space="preserve"> IF(AND(LEN(ChartLines.ID)&gt;0,"Unused"&lt;&gt;ChartLines.ID), COUNTIFS(ChartLines.ID,ChartLines.ID), "·")</f>
        <v>2</v>
      </c>
      <c r="F306">
        <f t="shared" ref="F306" si="916" xml:space="preserve"> IF(AND(LEN(ChartLines.ID)&gt;0,"Unused"&lt;&gt;ChartLines.ID), COUNTIFS(ChartLines.ID,ChartLines.ID,   ChartLines.RowNum,"&lt;="&amp;ChartLines.RowNum), "·")</f>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f t="shared" ref="H306" si="917" xml:space="preserve"> IF(LEN(ChartLines.Hex6)=6, HEX2DEC(LEFT(ChartLines.Hex6, 2)), "·")</f>
        <v>0</v>
      </c>
      <c r="I306">
        <f t="shared" ref="I306" si="918" xml:space="preserve"> IF(LEN(ChartLines.Hex6)=6, HEX2DEC(MID(ChartLines.Hex6, 3, 2)), "·")</f>
        <v>0</v>
      </c>
      <c r="J306">
        <f t="shared" ref="J306" si="919" xml:space="preserve"> IF(LEN(ChartLines.Hex6)=6, HEX2DEC(RIGHT(ChartLines.Hex6, 2)), "·")</f>
        <v>0</v>
      </c>
      <c r="K306" cm="1">
        <f t="array" ref="K306" xml:space="preserve"> 1 + ROW() - _xlfn.SINGLE(ROW(ChartLines.RowNum))</f>
        <v>304</v>
      </c>
    </row>
    <row r="307" spans="2:11">
      <c r="B307" t="s">
        <v>580</v>
      </c>
      <c r="C307" t="str">
        <f xml:space="preserve"> "009639"</f>
        <v>009639</v>
      </c>
      <c r="E307">
        <f t="shared" ref="E307" si="920" xml:space="preserve"> IF(AND(LEN(ChartLines.ID)&gt;0,"Unused"&lt;&gt;ChartLines.ID), COUNTIFS(ChartLines.ID,ChartLines.ID), "·")</f>
        <v>2</v>
      </c>
      <c r="F307">
        <f t="shared" ref="F307" si="921" xml:space="preserve"> IF(AND(LEN(ChartLines.ID)&gt;0,"Unused"&lt;&gt;ChartLines.ID), COUNTIFS(ChartLines.ID,ChartLines.ID,   ChartLines.RowNum,"&lt;="&amp;ChartLines.RowNum), "·")</f>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f t="shared" ref="H307" si="922" xml:space="preserve"> IF(LEN(ChartLines.Hex6)=6, HEX2DEC(LEFT(ChartLines.Hex6, 2)), "·")</f>
        <v>0</v>
      </c>
      <c r="I307">
        <f t="shared" ref="I307" si="923" xml:space="preserve"> IF(LEN(ChartLines.Hex6)=6, HEX2DEC(MID(ChartLines.Hex6, 3, 2)), "·")</f>
        <v>150</v>
      </c>
      <c r="J307">
        <f t="shared" ref="J307" si="924" xml:space="preserve"> IF(LEN(ChartLines.Hex6)=6, HEX2DEC(RIGHT(ChartLines.Hex6, 2)), "·")</f>
        <v>57</v>
      </c>
      <c r="K307" cm="1">
        <f t="array" ref="K307" xml:space="preserve"> 1 + ROW() - _xlfn.SINGLE(ROW(ChartLines.RowNum))</f>
        <v>305</v>
      </c>
    </row>
    <row r="308" spans="2:11">
      <c r="B308" t="s">
        <v>580</v>
      </c>
      <c r="C308" t="str">
        <f xml:space="preserve"> "000000"</f>
        <v>000000</v>
      </c>
      <c r="E308">
        <f t="shared" ref="E308" si="925" xml:space="preserve"> IF(AND(LEN(ChartLines.ID)&gt;0,"Unused"&lt;&gt;ChartLines.ID), COUNTIFS(ChartLines.ID,ChartLines.ID), "·")</f>
        <v>2</v>
      </c>
      <c r="F308">
        <f t="shared" ref="F308" si="926" xml:space="preserve"> IF(AND(LEN(ChartLines.ID)&gt;0,"Unused"&lt;&gt;ChartLines.ID), COUNTIFS(ChartLines.ID,ChartLines.ID,   ChartLines.RowNum,"&lt;="&amp;ChartLines.RowNum), "·")</f>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f t="shared" ref="H308" si="927" xml:space="preserve"> IF(LEN(ChartLines.Hex6)=6, HEX2DEC(LEFT(ChartLines.Hex6, 2)), "·")</f>
        <v>0</v>
      </c>
      <c r="I308">
        <f t="shared" ref="I308" si="928" xml:space="preserve"> IF(LEN(ChartLines.Hex6)=6, HEX2DEC(MID(ChartLines.Hex6, 3, 2)), "·")</f>
        <v>0</v>
      </c>
      <c r="J308">
        <f t="shared" ref="J308" si="929" xml:space="preserve"> IF(LEN(ChartLines.Hex6)=6, HEX2DEC(RIGHT(ChartLines.Hex6, 2)), "·")</f>
        <v>0</v>
      </c>
      <c r="K308" cm="1">
        <f t="array" ref="K308" xml:space="preserve"> 1 + ROW() - _xlfn.SINGLE(ROW(ChartLines.RowNum))</f>
        <v>306</v>
      </c>
    </row>
    <row r="309" spans="2:11">
      <c r="B309" t="s">
        <v>1776</v>
      </c>
      <c r="C309" t="s">
        <v>1940</v>
      </c>
      <c r="E309">
        <f t="shared" ref="E309" si="930" xml:space="preserve"> IF(AND(LEN(ChartLines.ID)&gt;0,"Unused"&lt;&gt;ChartLines.ID), COUNTIFS(ChartLines.ID,ChartLines.ID), "·")</f>
        <v>2</v>
      </c>
      <c r="F309">
        <f t="shared" ref="F309" si="931"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f t="shared" ref="H309" si="932" xml:space="preserve"> IF(LEN(ChartLines.Hex6)=6, HEX2DEC(LEFT(ChartLines.Hex6, 2)), "·")</f>
        <v>255</v>
      </c>
      <c r="I309">
        <f t="shared" ref="I309" si="933" xml:space="preserve"> IF(LEN(ChartLines.Hex6)=6, HEX2DEC(MID(ChartLines.Hex6, 3, 2)), "·")</f>
        <v>199</v>
      </c>
      <c r="J309">
        <f t="shared" ref="J309" si="934" xml:space="preserve"> IF(LEN(ChartLines.Hex6)=6, HEX2DEC(RIGHT(ChartLines.Hex6, 2)), "·")</f>
        <v>44</v>
      </c>
      <c r="K309" cm="1">
        <f t="array" ref="K309" xml:space="preserve"> 1 + ROW() - _xlfn.SINGLE(ROW(ChartLines.RowNum))</f>
        <v>307</v>
      </c>
    </row>
    <row r="310" spans="2:11">
      <c r="B310" t="s">
        <v>1776</v>
      </c>
      <c r="C310" t="str">
        <f xml:space="preserve"> "00778B"</f>
        <v>00778B</v>
      </c>
      <c r="E310">
        <f t="shared" ref="E310" si="935" xml:space="preserve"> IF(AND(LEN(ChartLines.ID)&gt;0,"Unused"&lt;&gt;ChartLines.ID), COUNTIFS(ChartLines.ID,ChartLines.ID), "·")</f>
        <v>2</v>
      </c>
      <c r="F310">
        <f t="shared" ref="F310" si="936"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f t="shared" ref="H310" si="937" xml:space="preserve"> IF(LEN(ChartLines.Hex6)=6, HEX2DEC(LEFT(ChartLines.Hex6, 2)), "·")</f>
        <v>0</v>
      </c>
      <c r="I310">
        <f t="shared" ref="I310" si="938" xml:space="preserve"> IF(LEN(ChartLines.Hex6)=6, HEX2DEC(MID(ChartLines.Hex6, 3, 2)), "·")</f>
        <v>119</v>
      </c>
      <c r="J310">
        <f t="shared" ref="J310" si="939" xml:space="preserve"> IF(LEN(ChartLines.Hex6)=6, HEX2DEC(RIGHT(ChartLines.Hex6, 2)), "·")</f>
        <v>139</v>
      </c>
      <c r="K310" cm="1">
        <f t="array" ref="K310" xml:space="preserve"> 1 + ROW() - _xlfn.SINGLE(ROW(ChartLines.RowNum))</f>
        <v>308</v>
      </c>
    </row>
    <row r="311" spans="2:11">
      <c r="E311" t="str">
        <f t="shared" ref="E311" si="940" xml:space="preserve"> IF(AND(LEN(ChartLines.ID)&gt;0,"Unused"&lt;&gt;ChartLines.ID), COUNTIFS(ChartLines.ID,ChartLines.ID), "·")</f>
        <v>·</v>
      </c>
      <c r="F311" t="str">
        <f t="shared" ref="F311" si="941" xml:space="preserve"> IF(AND(LEN(ChartLines.ID)&gt;0,"Unused"&lt;&gt;ChartLines.ID), COUNTIFS(ChartLines.ID,ChartLines.ID,   ChartLines.RowNum,"&lt;="&amp;ChartLines.RowNum), "·")</f>
        <v>·</v>
      </c>
      <c r="G311" t="str" cm="1">
        <f t="array" ref="G311" xml:space="preserve"> _xlfn.IFS(OR(LEN(_xlfn.SINGLE(ChartLines.ID))=0,"Unused"=_xlfn.SINGLE(ChartLines.ID)), "·",   1=_xlfn.SINGLE(ChartLines.NumInstances), IF("USD"=_xlfn.SINGLE(ChartLines.ID), "SoleBig", "SoleOrdinary"),   1=_xlfn.SINGLE(ChartLines.InstanceNum), "Outer",   TRUE, "Inner")</f>
        <v>·</v>
      </c>
      <c r="H311" t="str">
        <f t="shared" ref="H311" si="942" xml:space="preserve"> IF(LEN(ChartLines.Hex6)=6, HEX2DEC(LEFT(ChartLines.Hex6, 2)), "·")</f>
        <v>·</v>
      </c>
      <c r="I311" t="str">
        <f t="shared" ref="I311" si="943" xml:space="preserve"> IF(LEN(ChartLines.Hex6)=6, HEX2DEC(MID(ChartLines.Hex6, 3, 2)), "·")</f>
        <v>·</v>
      </c>
      <c r="J311" t="str">
        <f t="shared" ref="J311" si="944" xml:space="preserve"> IF(LEN(ChartLines.Hex6)=6, HEX2DEC(RIGHT(ChartLines.Hex6, 2)), "·")</f>
        <v>·</v>
      </c>
      <c r="K311" cm="1">
        <f t="array" ref="K311" xml:space="preserve"> 1 + ROW() - _xlfn.SINGLE(ROW(ChartLines.RowNum))</f>
        <v>309</v>
      </c>
    </row>
    <row r="312" spans="2:11">
      <c r="B312" t="s">
        <v>172</v>
      </c>
      <c r="C312" t="str">
        <f xml:space="preserve"> "003399"</f>
        <v>003399</v>
      </c>
      <c r="E312">
        <f t="shared" ref="E312" si="945" xml:space="preserve"> IF(AND(LEN(ChartLines.ID)&gt;0,"Unused"&lt;&gt;ChartLines.ID), COUNTIFS(ChartLines.ID,ChartLines.ID), "·")</f>
        <v>2</v>
      </c>
      <c r="F312">
        <f t="shared" ref="F312" si="946" xml:space="preserve"> IF(AND(LEN(ChartLines.ID)&gt;0,"Unused"&lt;&gt;ChartLines.ID), COUNTIFS(ChartLines.ID,ChartLines.ID,   ChartLines.RowNum,"&lt;="&amp;ChartLines.RowNum), "·")</f>
        <v>1</v>
      </c>
      <c r="G312" t="str" cm="1">
        <f t="array" ref="G312" xml:space="preserve"> _xlfn.IFS(OR(LEN(_xlfn.SINGLE(ChartLines.ID))=0,"Unused"=_xlfn.SINGLE(ChartLines.ID)), "·",   1=_xlfn.SINGLE(ChartLines.NumInstances), IF("USD"=_xlfn.SINGLE(ChartLines.ID), "SoleBig", "SoleOrdinary"),   1=_xlfn.SINGLE(ChartLines.InstanceNum), "Outer",   TRUE, "Inner")</f>
        <v>Outer</v>
      </c>
      <c r="H312">
        <f t="shared" ref="H312" si="947" xml:space="preserve"> IF(LEN(ChartLines.Hex6)=6, HEX2DEC(LEFT(ChartLines.Hex6, 2)), "·")</f>
        <v>0</v>
      </c>
      <c r="I312">
        <f t="shared" ref="I312" si="948" xml:space="preserve"> IF(LEN(ChartLines.Hex6)=6, HEX2DEC(MID(ChartLines.Hex6, 3, 2)), "·")</f>
        <v>51</v>
      </c>
      <c r="J312">
        <f t="shared" ref="J312" si="949" xml:space="preserve"> IF(LEN(ChartLines.Hex6)=6, HEX2DEC(RIGHT(ChartLines.Hex6, 2)), "·")</f>
        <v>153</v>
      </c>
      <c r="K312" cm="1">
        <f t="array" ref="K312" xml:space="preserve"> 1 + ROW() - _xlfn.SINGLE(ROW(ChartLines.RowNum))</f>
        <v>310</v>
      </c>
    </row>
    <row r="313" spans="2:11">
      <c r="B313" t="s">
        <v>172</v>
      </c>
      <c r="C313" t="s">
        <v>2444</v>
      </c>
      <c r="E313">
        <f t="shared" ref="E313" si="950" xml:space="preserve"> IF(AND(LEN(ChartLines.ID)&gt;0,"Unused"&lt;&gt;ChartLines.ID), COUNTIFS(ChartLines.ID,ChartLines.ID), "·")</f>
        <v>2</v>
      </c>
      <c r="F313">
        <f t="shared" ref="F313" si="951" xml:space="preserve"> IF(AND(LEN(ChartLines.ID)&gt;0,"Unused"&lt;&gt;ChartLines.ID), COUNTIFS(ChartLines.ID,ChartLines.ID,   ChartLines.RowNum,"&lt;="&amp;ChartLines.RowNum), "·")</f>
        <v>2</v>
      </c>
      <c r="G313" t="str" cm="1">
        <f t="array" ref="G313" xml:space="preserve"> _xlfn.IFS(OR(LEN(_xlfn.SINGLE(ChartLines.ID))=0,"Unused"=_xlfn.SINGLE(ChartLines.ID)), "·",   1=_xlfn.SINGLE(ChartLines.NumInstances), IF("USD"=_xlfn.SINGLE(ChartLines.ID), "SoleBig", "SoleOrdinary"),   1=_xlfn.SINGLE(ChartLines.InstanceNum), "Outer",   TRUE, "Inner")</f>
        <v>Inner</v>
      </c>
      <c r="H313">
        <f t="shared" ref="H313" si="952" xml:space="preserve"> IF(LEN(ChartLines.Hex6)=6, HEX2DEC(LEFT(ChartLines.Hex6, 2)), "·")</f>
        <v>157</v>
      </c>
      <c r="I313">
        <f t="shared" ref="I313" si="953" xml:space="preserve"> IF(LEN(ChartLines.Hex6)=6, HEX2DEC(MID(ChartLines.Hex6, 3, 2)), "·")</f>
        <v>157</v>
      </c>
      <c r="J313">
        <f t="shared" ref="J313" si="954" xml:space="preserve"> IF(LEN(ChartLines.Hex6)=6, HEX2DEC(RIGHT(ChartLines.Hex6, 2)), "·")</f>
        <v>156</v>
      </c>
      <c r="K313" cm="1">
        <f t="array" ref="K313" xml:space="preserve"> 1 + ROW() - _xlfn.SINGLE(ROW(ChartLines.RowNum))</f>
        <v>311</v>
      </c>
    </row>
    <row r="314" spans="2:11">
      <c r="B314" t="s">
        <v>971</v>
      </c>
      <c r="C314" t="str">
        <f xml:space="preserve"> "0A6AAA"</f>
        <v>0A6AAA</v>
      </c>
      <c r="E314">
        <f t="shared" ref="E314" si="955" xml:space="preserve"> IF(AND(LEN(ChartLines.ID)&gt;0,"Unused"&lt;&gt;ChartLines.ID), COUNTIFS(ChartLines.ID,ChartLines.ID), "·")</f>
        <v>2</v>
      </c>
      <c r="F314">
        <f t="shared" ref="F314" si="956"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Outer</v>
      </c>
      <c r="H314">
        <f t="shared" ref="H314" si="957" xml:space="preserve"> IF(LEN(ChartLines.Hex6)=6, HEX2DEC(LEFT(ChartLines.Hex6, 2)), "·")</f>
        <v>10</v>
      </c>
      <c r="I314">
        <f t="shared" ref="I314" si="958" xml:space="preserve"> IF(LEN(ChartLines.Hex6)=6, HEX2DEC(MID(ChartLines.Hex6, 3, 2)), "·")</f>
        <v>106</v>
      </c>
      <c r="J314">
        <f t="shared" ref="J314" si="959" xml:space="preserve"> IF(LEN(ChartLines.Hex6)=6, HEX2DEC(RIGHT(ChartLines.Hex6, 2)), "·")</f>
        <v>170</v>
      </c>
      <c r="K314" cm="1">
        <f t="array" ref="K314" xml:space="preserve"> 1 + ROW() - _xlfn.SINGLE(ROW(ChartLines.RowNum))</f>
        <v>312</v>
      </c>
    </row>
    <row r="315" spans="2:11">
      <c r="B315" t="s">
        <v>971</v>
      </c>
      <c r="C315" t="s">
        <v>1839</v>
      </c>
      <c r="E315">
        <f t="shared" ref="E315:E317" si="960" xml:space="preserve"> IF(AND(LEN(ChartLines.ID)&gt;0,"Unused"&lt;&gt;ChartLines.ID), COUNTIFS(ChartLines.ID,ChartLines.ID), "·")</f>
        <v>2</v>
      </c>
      <c r="F315">
        <f t="shared" ref="F315:F317" si="961" xml:space="preserve"> IF(AND(LEN(ChartLines.ID)&gt;0,"Unused"&lt;&gt;ChartLines.ID), COUNTIFS(ChartLines.ID,ChartLines.ID,   ChartLines.RowNum,"&lt;="&amp;ChartLines.RowNum), "·")</f>
        <v>2</v>
      </c>
      <c r="G315" t="str" cm="1">
        <f t="array" ref="G315" xml:space="preserve"> _xlfn.IFS(OR(LEN(_xlfn.SINGLE(ChartLines.ID))=0,"Unused"=_xlfn.SINGLE(ChartLines.ID)), "·",   1=_xlfn.SINGLE(ChartLines.NumInstances), IF("USD"=_xlfn.SINGLE(ChartLines.ID), "SoleBig", "SoleOrdinary"),   1=_xlfn.SINGLE(ChartLines.InstanceNum), "Outer",   TRUE, "Inner")</f>
        <v>Inner</v>
      </c>
      <c r="H315">
        <f t="shared" ref="H315:H317" si="962" xml:space="preserve"> IF(LEN(ChartLines.Hex6)=6, HEX2DEC(LEFT(ChartLines.Hex6, 2)), "·")</f>
        <v>255</v>
      </c>
      <c r="I315">
        <f t="shared" ref="I315:I317" si="963" xml:space="preserve"> IF(LEN(ChartLines.Hex6)=6, HEX2DEC(MID(ChartLines.Hex6, 3, 2)), "·")</f>
        <v>255</v>
      </c>
      <c r="J315">
        <f t="shared" ref="J315:J317" si="964" xml:space="preserve"> IF(LEN(ChartLines.Hex6)=6, HEX2DEC(RIGHT(ChartLines.Hex6, 2)), "·")</f>
        <v>255</v>
      </c>
      <c r="K315" cm="1">
        <f t="array" ref="K315" xml:space="preserve"> 1 + ROW() - _xlfn.SINGLE(ROW(ChartLines.RowNum))</f>
        <v>313</v>
      </c>
    </row>
    <row r="316" spans="2:11">
      <c r="B316" t="s">
        <v>2246</v>
      </c>
      <c r="C316" t="str">
        <f xml:space="preserve"> "092251"</f>
        <v>092251</v>
      </c>
      <c r="E316">
        <f t="shared" si="960"/>
        <v>2</v>
      </c>
      <c r="F316">
        <f t="shared" si="961"/>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si="962"/>
        <v>9</v>
      </c>
      <c r="I316">
        <f t="shared" si="963"/>
        <v>34</v>
      </c>
      <c r="J316">
        <f t="shared" si="964"/>
        <v>81</v>
      </c>
      <c r="K316" cm="1">
        <f t="array" ref="K316" xml:space="preserve"> 1 + ROW() - _xlfn.SINGLE(ROW(ChartLines.RowNum))</f>
        <v>314</v>
      </c>
    </row>
    <row r="317" spans="2:11">
      <c r="B317" t="s">
        <v>2246</v>
      </c>
      <c r="C317" t="s">
        <v>1839</v>
      </c>
      <c r="E317">
        <f t="shared" si="960"/>
        <v>2</v>
      </c>
      <c r="F317">
        <f t="shared" si="961"/>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si="962"/>
        <v>255</v>
      </c>
      <c r="I317">
        <f t="shared" si="963"/>
        <v>255</v>
      </c>
      <c r="J317">
        <f t="shared" si="964"/>
        <v>255</v>
      </c>
      <c r="K317" cm="1">
        <f t="array" ref="K317" xml:space="preserve"> 1 + ROW() - _xlfn.SINGLE(ROW(ChartLines.RowNum))</f>
        <v>315</v>
      </c>
    </row>
    <row r="318" spans="2:11">
      <c r="B318" t="s">
        <v>1941</v>
      </c>
      <c r="C318" t="str">
        <f xml:space="preserve"> "165788"</f>
        <v>165788</v>
      </c>
      <c r="E318">
        <f t="shared" ref="E318" si="965" xml:space="preserve"> IF(AND(LEN(ChartLines.ID)&gt;0,"Unused"&lt;&gt;ChartLines.ID), COUNTIFS(ChartLines.ID,ChartLines.ID), "·")</f>
        <v>2</v>
      </c>
      <c r="F318">
        <f t="shared" ref="F318" si="966"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967" xml:space="preserve"> IF(LEN(ChartLines.Hex6)=6, HEX2DEC(LEFT(ChartLines.Hex6, 2)), "·")</f>
        <v>22</v>
      </c>
      <c r="I318">
        <f t="shared" ref="I318" si="968" xml:space="preserve"> IF(LEN(ChartLines.Hex6)=6, HEX2DEC(MID(ChartLines.Hex6, 3, 2)), "·")</f>
        <v>87</v>
      </c>
      <c r="J318">
        <f t="shared" ref="J318" si="969" xml:space="preserve"> IF(LEN(ChartLines.Hex6)=6, HEX2DEC(RIGHT(ChartLines.Hex6, 2)), "·")</f>
        <v>136</v>
      </c>
      <c r="K318" cm="1">
        <f t="array" ref="K318" xml:space="preserve"> 1 + ROW() - _xlfn.SINGLE(ROW(ChartLines.RowNum))</f>
        <v>316</v>
      </c>
    </row>
    <row r="319" spans="2:11">
      <c r="B319" t="s">
        <v>1941</v>
      </c>
      <c r="C319" t="str">
        <f xml:space="preserve"> "C3DCF4"</f>
        <v>C3DCF4</v>
      </c>
      <c r="E319">
        <f t="shared" ref="E319" si="970" xml:space="preserve"> IF(AND(LEN(ChartLines.ID)&gt;0,"Unused"&lt;&gt;ChartLines.ID), COUNTIFS(ChartLines.ID,ChartLines.ID), "·")</f>
        <v>2</v>
      </c>
      <c r="F319">
        <f t="shared" ref="F319" si="971"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972" xml:space="preserve"> IF(LEN(ChartLines.Hex6)=6, HEX2DEC(LEFT(ChartLines.Hex6, 2)), "·")</f>
        <v>195</v>
      </c>
      <c r="I319">
        <f t="shared" ref="I319" si="973" xml:space="preserve"> IF(LEN(ChartLines.Hex6)=6, HEX2DEC(MID(ChartLines.Hex6, 3, 2)), "·")</f>
        <v>220</v>
      </c>
      <c r="J319">
        <f t="shared" ref="J319" si="974" xml:space="preserve"> IF(LEN(ChartLines.Hex6)=6, HEX2DEC(RIGHT(ChartLines.Hex6, 2)), "·")</f>
        <v>244</v>
      </c>
      <c r="K319" cm="1">
        <f t="array" ref="K319" xml:space="preserve"> 1 + ROW() - _xlfn.SINGLE(ROW(ChartLines.RowNum))</f>
        <v>317</v>
      </c>
    </row>
    <row r="320" spans="2:11">
      <c r="B320" t="s">
        <v>798</v>
      </c>
      <c r="C320" t="s">
        <v>2130</v>
      </c>
      <c r="E320">
        <f t="shared" ref="E320:E323" si="975" xml:space="preserve"> IF(AND(LEN(ChartLines.ID)&gt;0,"Unused"&lt;&gt;ChartLines.ID), COUNTIFS(ChartLines.ID,ChartLines.ID), "·")</f>
        <v>1</v>
      </c>
      <c r="F320">
        <f t="shared" ref="F320:F323" si="976"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SoleOrdinary</v>
      </c>
      <c r="H320">
        <f t="shared" ref="H320:H323" si="977" xml:space="preserve"> IF(LEN(ChartLines.Hex6)=6, HEX2DEC(LEFT(ChartLines.Hex6, 2)), "·")</f>
        <v>27</v>
      </c>
      <c r="I320">
        <f t="shared" ref="I320:I323" si="978" xml:space="preserve"> IF(LEN(ChartLines.Hex6)=6, HEX2DEC(MID(ChartLines.Hex6, 3, 2)), "·")</f>
        <v>97</v>
      </c>
      <c r="J320">
        <f t="shared" ref="J320:J323" si="979" xml:space="preserve"> IF(LEN(ChartLines.Hex6)=6, HEX2DEC(RIGHT(ChartLines.Hex6, 2)), "·")</f>
        <v>140</v>
      </c>
      <c r="K320" cm="1">
        <f t="array" ref="K320" xml:space="preserve"> 1 + ROW() - _xlfn.SINGLE(ROW(ChartLines.RowNum))</f>
        <v>318</v>
      </c>
    </row>
    <row r="321" spans="2:11">
      <c r="B321" t="s">
        <v>2247</v>
      </c>
      <c r="C321">
        <v>273375</v>
      </c>
      <c r="E321">
        <f t="shared" si="975"/>
        <v>2</v>
      </c>
      <c r="F321">
        <f t="shared" si="976"/>
        <v>1</v>
      </c>
      <c r="G321" t="str" cm="1">
        <f t="array" ref="G321" xml:space="preserve"> _xlfn.IFS(OR(LEN(_xlfn.SINGLE(ChartLines.ID))=0,"Unused"=_xlfn.SINGLE(ChartLines.ID)), "·",   1=_xlfn.SINGLE(ChartLines.NumInstances), IF("USD"=_xlfn.SINGLE(ChartLines.ID), "SoleBig", "SoleOrdinary"),   1=_xlfn.SINGLE(ChartLines.InstanceNum), "Outer",   TRUE, "Inner")</f>
        <v>Outer</v>
      </c>
      <c r="H321">
        <f t="shared" si="977"/>
        <v>39</v>
      </c>
      <c r="I321">
        <f t="shared" si="978"/>
        <v>51</v>
      </c>
      <c r="J321">
        <f t="shared" si="979"/>
        <v>117</v>
      </c>
      <c r="K321" cm="1">
        <f t="array" ref="K321" xml:space="preserve"> 1 + ROW() - _xlfn.SINGLE(ROW(ChartLines.RowNum))</f>
        <v>319</v>
      </c>
    </row>
    <row r="322" spans="2:11">
      <c r="B322" t="s">
        <v>2247</v>
      </c>
      <c r="C322" t="s">
        <v>2250</v>
      </c>
      <c r="E322">
        <f t="shared" si="975"/>
        <v>2</v>
      </c>
      <c r="F322">
        <f t="shared" si="976"/>
        <v>2</v>
      </c>
      <c r="G322" t="str" cm="1">
        <f t="array" ref="G322" xml:space="preserve"> _xlfn.IFS(OR(LEN(_xlfn.SINGLE(ChartLines.ID))=0,"Unused"=_xlfn.SINGLE(ChartLines.ID)), "·",   1=_xlfn.SINGLE(ChartLines.NumInstances), IF("USD"=_xlfn.SINGLE(ChartLines.ID), "SoleBig", "SoleOrdinary"),   1=_xlfn.SINGLE(ChartLines.InstanceNum), "Outer",   TRUE, "Inner")</f>
        <v>Inner</v>
      </c>
      <c r="H322">
        <f t="shared" si="977"/>
        <v>226</v>
      </c>
      <c r="I322">
        <f t="shared" si="978"/>
        <v>6</v>
      </c>
      <c r="J322">
        <f t="shared" si="979"/>
        <v>19</v>
      </c>
      <c r="K322" cm="1">
        <f t="array" ref="K322" xml:space="preserve"> 1 + ROW() - _xlfn.SINGLE(ROW(ChartLines.RowNum))</f>
        <v>320</v>
      </c>
    </row>
    <row r="323" spans="2:11">
      <c r="B323" t="s">
        <v>1835</v>
      </c>
      <c r="E323" t="str">
        <f t="shared" si="975"/>
        <v>·</v>
      </c>
      <c r="F323" t="str">
        <f t="shared" si="976"/>
        <v>·</v>
      </c>
      <c r="G323" t="str" cm="1">
        <f t="array" ref="G323" xml:space="preserve"> _xlfn.IFS(OR(LEN(_xlfn.SINGLE(ChartLines.ID))=0,"Unused"=_xlfn.SINGLE(ChartLines.ID)), "·",   1=_xlfn.SINGLE(ChartLines.NumInstances), IF("USD"=_xlfn.SINGLE(ChartLines.ID), "SoleBig", "SoleOrdinary"),   1=_xlfn.SINGLE(ChartLines.InstanceNum), "Outer",   TRUE, "Inner")</f>
        <v>·</v>
      </c>
      <c r="H323" t="str">
        <f t="shared" si="977"/>
        <v>·</v>
      </c>
      <c r="I323" t="str">
        <f t="shared" si="978"/>
        <v>·</v>
      </c>
      <c r="J323" t="str">
        <f t="shared" si="979"/>
        <v>·</v>
      </c>
      <c r="K323" cm="1">
        <f t="array" ref="K323" xml:space="preserve"> 1 + ROW() - _xlfn.SINGLE(ROW(ChartLines.RowNum))</f>
        <v>321</v>
      </c>
    </row>
    <row r="324" spans="2:11">
      <c r="B324" t="s">
        <v>173</v>
      </c>
      <c r="C324" t="s">
        <v>1942</v>
      </c>
      <c r="E324">
        <f t="shared" ref="E324" si="980" xml:space="preserve"> IF(AND(LEN(ChartLines.ID)&gt;0,"Unused"&lt;&gt;ChartLines.ID), COUNTIFS(ChartLines.ID,ChartLines.ID), "·")</f>
        <v>1</v>
      </c>
      <c r="F324">
        <f t="shared" ref="F324" si="98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SoleOrdinary</v>
      </c>
      <c r="H324">
        <f t="shared" ref="H324" si="982" xml:space="preserve"> IF(LEN(ChartLines.Hex6)=6, HEX2DEC(LEFT(ChartLines.Hex6, 2)), "·")</f>
        <v>28</v>
      </c>
      <c r="I324">
        <f t="shared" ref="I324" si="983" xml:space="preserve"> IF(LEN(ChartLines.Hex6)=6, HEX2DEC(MID(ChartLines.Hex6, 3, 2)), "·")</f>
        <v>48</v>
      </c>
      <c r="J324">
        <f t="shared" ref="J324" si="984" xml:space="preserve"> IF(LEN(ChartLines.Hex6)=6, HEX2DEC(RIGHT(ChartLines.Hex6, 2)), "·")</f>
        <v>96</v>
      </c>
      <c r="K324" cm="1">
        <f t="array" ref="K324" xml:space="preserve"> 1 + ROW() - _xlfn.SINGLE(ROW(ChartLines.RowNum))</f>
        <v>322</v>
      </c>
    </row>
    <row r="325" spans="2:11">
      <c r="B325" t="s">
        <v>1835</v>
      </c>
      <c r="E325" t="str">
        <f t="shared" ref="E325" si="985" xml:space="preserve"> IF(AND(LEN(ChartLines.ID)&gt;0,"Unused"&lt;&gt;ChartLines.ID), COUNTIFS(ChartLines.ID,ChartLines.ID), "·")</f>
        <v>·</v>
      </c>
      <c r="F325" t="str">
        <f t="shared" ref="F325" si="986" xml:space="preserve"> IF(AND(LEN(ChartLines.ID)&gt;0,"Unused"&lt;&gt;ChartLines.ID), COUNTIFS(ChartLines.ID,ChartLines.ID,   ChartLines.RowNum,"&lt;="&amp;ChartLines.RowNum), "·")</f>
        <v>·</v>
      </c>
      <c r="G325" t="str" cm="1">
        <f t="array" ref="G325" xml:space="preserve"> _xlfn.IFS(OR(LEN(_xlfn.SINGLE(ChartLines.ID))=0,"Unused"=_xlfn.SINGLE(ChartLines.ID)), "·",   1=_xlfn.SINGLE(ChartLines.NumInstances), IF("USD"=_xlfn.SINGLE(ChartLines.ID), "SoleBig", "SoleOrdinary"),   1=_xlfn.SINGLE(ChartLines.InstanceNum), "Outer",   TRUE, "Inner")</f>
        <v>·</v>
      </c>
      <c r="H325" t="str">
        <f t="shared" ref="H325" si="987" xml:space="preserve"> IF(LEN(ChartLines.Hex6)=6, HEX2DEC(LEFT(ChartLines.Hex6, 2)), "·")</f>
        <v>·</v>
      </c>
      <c r="I325" t="str">
        <f t="shared" ref="I325" si="988" xml:space="preserve"> IF(LEN(ChartLines.Hex6)=6, HEX2DEC(MID(ChartLines.Hex6, 3, 2)), "·")</f>
        <v>·</v>
      </c>
      <c r="J325" t="str">
        <f t="shared" ref="J325" si="989" xml:space="preserve"> IF(LEN(ChartLines.Hex6)=6, HEX2DEC(RIGHT(ChartLines.Hex6, 2)), "·")</f>
        <v>·</v>
      </c>
      <c r="K325" cm="1">
        <f t="array" ref="K325" xml:space="preserve"> 1 + ROW() - _xlfn.SINGLE(ROW(ChartLines.RowNum))</f>
        <v>323</v>
      </c>
    </row>
    <row r="326" spans="2:11">
      <c r="B326" t="s">
        <v>1943</v>
      </c>
      <c r="C326" t="s">
        <v>1944</v>
      </c>
      <c r="E326">
        <f t="shared" ref="E326" si="990" xml:space="preserve"> IF(AND(LEN(ChartLines.ID)&gt;0,"Unused"&lt;&gt;ChartLines.ID), COUNTIFS(ChartLines.ID,ChartLines.ID), "·")</f>
        <v>2</v>
      </c>
      <c r="F326">
        <f t="shared" ref="F326" si="991"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ref="H326" si="992" xml:space="preserve"> IF(LEN(ChartLines.Hex6)=6, HEX2DEC(LEFT(ChartLines.Hex6, 2)), "·")</f>
        <v>134</v>
      </c>
      <c r="I326">
        <f t="shared" ref="I326" si="993" xml:space="preserve"> IF(LEN(ChartLines.Hex6)=6, HEX2DEC(MID(ChartLines.Hex6, 3, 2)), "·")</f>
        <v>12</v>
      </c>
      <c r="J326">
        <f t="shared" ref="J326" si="994" xml:space="preserve"> IF(LEN(ChartLines.Hex6)=6, HEX2DEC(RIGHT(ChartLines.Hex6, 2)), "·")</f>
        <v>20</v>
      </c>
      <c r="K326" cm="1">
        <f t="array" ref="K326" xml:space="preserve"> 1 + ROW() - _xlfn.SINGLE(ROW(ChartLines.RowNum))</f>
        <v>324</v>
      </c>
    </row>
    <row r="327" spans="2:11">
      <c r="B327" t="s">
        <v>1943</v>
      </c>
      <c r="C327" t="s">
        <v>1839</v>
      </c>
      <c r="E327">
        <f t="shared" ref="E327" si="995" xml:space="preserve"> IF(AND(LEN(ChartLines.ID)&gt;0,"Unused"&lt;&gt;ChartLines.ID), COUNTIFS(ChartLines.ID,ChartLines.ID), "·")</f>
        <v>2</v>
      </c>
      <c r="F327">
        <f t="shared" ref="F327" si="996"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ref="H327" si="997" xml:space="preserve"> IF(LEN(ChartLines.Hex6)=6, HEX2DEC(LEFT(ChartLines.Hex6, 2)), "·")</f>
        <v>255</v>
      </c>
      <c r="I327">
        <f t="shared" ref="I327" si="998" xml:space="preserve"> IF(LEN(ChartLines.Hex6)=6, HEX2DEC(MID(ChartLines.Hex6, 3, 2)), "·")</f>
        <v>255</v>
      </c>
      <c r="J327">
        <f t="shared" ref="J327" si="999" xml:space="preserve"> IF(LEN(ChartLines.Hex6)=6, HEX2DEC(RIGHT(ChartLines.Hex6, 2)), "·")</f>
        <v>255</v>
      </c>
      <c r="K327" cm="1">
        <f t="array" ref="K327" xml:space="preserve"> 1 + ROW() - _xlfn.SINGLE(ROW(ChartLines.RowNum))</f>
        <v>325</v>
      </c>
    </row>
    <row r="328" spans="2:11">
      <c r="B328" t="s">
        <v>955</v>
      </c>
      <c r="C328" t="str">
        <f xml:space="preserve"> "039355"</f>
        <v>039355</v>
      </c>
      <c r="E328">
        <f t="shared" ref="E328" si="1000" xml:space="preserve"> IF(AND(LEN(ChartLines.ID)&gt;0,"Unused"&lt;&gt;ChartLines.ID), COUNTIFS(ChartLines.ID,ChartLines.ID), "·")</f>
        <v>2</v>
      </c>
      <c r="F328">
        <f t="shared" ref="F328" si="100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ref="H328" si="1002" xml:space="preserve"> IF(LEN(ChartLines.Hex6)=6, HEX2DEC(LEFT(ChartLines.Hex6, 2)), "·")</f>
        <v>3</v>
      </c>
      <c r="I328">
        <f t="shared" ref="I328" si="1003" xml:space="preserve"> IF(LEN(ChartLines.Hex6)=6, HEX2DEC(MID(ChartLines.Hex6, 3, 2)), "·")</f>
        <v>147</v>
      </c>
      <c r="J328">
        <f t="shared" ref="J328" si="1004" xml:space="preserve"> IF(LEN(ChartLines.Hex6)=6, HEX2DEC(RIGHT(ChartLines.Hex6, 2)), "·")</f>
        <v>85</v>
      </c>
      <c r="K328" cm="1">
        <f t="array" ref="K328" xml:space="preserve"> 1 + ROW() - _xlfn.SINGLE(ROW(ChartLines.RowNum))</f>
        <v>326</v>
      </c>
    </row>
    <row r="329" spans="2:11">
      <c r="B329" t="s">
        <v>955</v>
      </c>
      <c r="C329" t="s">
        <v>1839</v>
      </c>
      <c r="E329">
        <f t="shared" ref="E329" si="1005" xml:space="preserve"> IF(AND(LEN(ChartLines.ID)&gt;0,"Unused"&lt;&gt;ChartLines.ID), COUNTIFS(ChartLines.ID,ChartLines.ID), "·")</f>
        <v>2</v>
      </c>
      <c r="F329">
        <f t="shared" ref="F329" si="1006"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ref="H329" si="1007" xml:space="preserve"> IF(LEN(ChartLines.Hex6)=6, HEX2DEC(LEFT(ChartLines.Hex6, 2)), "·")</f>
        <v>255</v>
      </c>
      <c r="I329">
        <f t="shared" ref="I329" si="1008" xml:space="preserve"> IF(LEN(ChartLines.Hex6)=6, HEX2DEC(MID(ChartLines.Hex6, 3, 2)), "·")</f>
        <v>255</v>
      </c>
      <c r="J329">
        <f t="shared" ref="J329" si="1009" xml:space="preserve"> IF(LEN(ChartLines.Hex6)=6, HEX2DEC(RIGHT(ChartLines.Hex6, 2)), "·")</f>
        <v>255</v>
      </c>
      <c r="K329" cm="1">
        <f t="array" ref="K329" xml:space="preserve"> 1 + ROW() - _xlfn.SINGLE(ROW(ChartLines.RowNum))</f>
        <v>327</v>
      </c>
    </row>
    <row r="330" spans="2:11">
      <c r="B330" t="s">
        <v>106</v>
      </c>
      <c r="C330" t="str">
        <f xml:space="preserve"> "000000"</f>
        <v>000000</v>
      </c>
      <c r="E330">
        <f t="shared" ref="E330" si="1010" xml:space="preserve"> IF(AND(LEN(ChartLines.ID)&gt;0,"Unused"&lt;&gt;ChartLines.ID), COUNTIFS(ChartLines.ID,ChartLines.ID), "·")</f>
        <v>2</v>
      </c>
      <c r="F330">
        <f t="shared" ref="F330" si="101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12" xml:space="preserve"> IF(LEN(ChartLines.Hex6)=6, HEX2DEC(LEFT(ChartLines.Hex6, 2)), "·")</f>
        <v>0</v>
      </c>
      <c r="I330">
        <f t="shared" ref="I330" si="1013" xml:space="preserve"> IF(LEN(ChartLines.Hex6)=6, HEX2DEC(MID(ChartLines.Hex6, 3, 2)), "·")</f>
        <v>0</v>
      </c>
      <c r="J330">
        <f t="shared" ref="J330" si="1014" xml:space="preserve"> IF(LEN(ChartLines.Hex6)=6, HEX2DEC(RIGHT(ChartLines.Hex6, 2)), "·")</f>
        <v>0</v>
      </c>
      <c r="K330" cm="1">
        <f t="array" ref="K330" xml:space="preserve"> 1 + ROW() - _xlfn.SINGLE(ROW(ChartLines.RowNum))</f>
        <v>328</v>
      </c>
    </row>
    <row r="331" spans="2:11">
      <c r="B331" t="s">
        <v>106</v>
      </c>
      <c r="C331" t="str">
        <f xml:space="preserve"> "039355"</f>
        <v>039355</v>
      </c>
      <c r="E331">
        <f t="shared" ref="E331:E333" si="1015" xml:space="preserve"> IF(AND(LEN(ChartLines.ID)&gt;0,"Unused"&lt;&gt;ChartLines.ID), COUNTIFS(ChartLines.ID,ChartLines.ID), "·")</f>
        <v>2</v>
      </c>
      <c r="F331">
        <f t="shared" ref="F331:F333" si="101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H333" si="1017" xml:space="preserve"> IF(LEN(ChartLines.Hex6)=6, HEX2DEC(LEFT(ChartLines.Hex6, 2)), "·")</f>
        <v>3</v>
      </c>
      <c r="I331">
        <f t="shared" ref="I331:I333" si="1018" xml:space="preserve"> IF(LEN(ChartLines.Hex6)=6, HEX2DEC(MID(ChartLines.Hex6, 3, 2)), "·")</f>
        <v>147</v>
      </c>
      <c r="J331">
        <f t="shared" ref="J331:J333" si="1019" xml:space="preserve"> IF(LEN(ChartLines.Hex6)=6, HEX2DEC(RIGHT(ChartLines.Hex6, 2)), "·")</f>
        <v>85</v>
      </c>
      <c r="K331" cm="1">
        <f t="array" ref="K331" xml:space="preserve"> 1 + ROW() - _xlfn.SINGLE(ROW(ChartLines.RowNum))</f>
        <v>329</v>
      </c>
    </row>
    <row r="332" spans="2:11">
      <c r="B332" t="s">
        <v>2042</v>
      </c>
      <c r="C332" t="s">
        <v>2043</v>
      </c>
      <c r="E332">
        <f t="shared" si="1015"/>
        <v>2</v>
      </c>
      <c r="F332">
        <f t="shared" si="1016"/>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si="1017"/>
        <v>25</v>
      </c>
      <c r="I332">
        <f t="shared" si="1018"/>
        <v>141</v>
      </c>
      <c r="J332">
        <f t="shared" si="1019"/>
        <v>102</v>
      </c>
      <c r="K332" cm="1">
        <f t="array" ref="K332" xml:space="preserve"> 1 + ROW() - _xlfn.SINGLE(ROW(ChartLines.RowNum))</f>
        <v>330</v>
      </c>
    </row>
    <row r="333" spans="2:11">
      <c r="B333" t="s">
        <v>2042</v>
      </c>
      <c r="C333" t="s">
        <v>2044</v>
      </c>
      <c r="E333">
        <f t="shared" si="1015"/>
        <v>2</v>
      </c>
      <c r="F333">
        <f t="shared" si="1016"/>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si="1017"/>
        <v>252</v>
      </c>
      <c r="I333">
        <f t="shared" si="1018"/>
        <v>185</v>
      </c>
      <c r="J333">
        <f t="shared" si="1019"/>
        <v>14</v>
      </c>
      <c r="K333" cm="1">
        <f t="array" ref="K333" xml:space="preserve"> 1 + ROW() - _xlfn.SINGLE(ROW(ChartLines.RowNum))</f>
        <v>331</v>
      </c>
    </row>
    <row r="334" spans="2:11">
      <c r="B334" t="s">
        <v>992</v>
      </c>
      <c r="C334" t="str">
        <f xml:space="preserve"> "005073"</f>
        <v>005073</v>
      </c>
      <c r="E334">
        <f t="shared" ref="E334" si="1020" xml:space="preserve"> IF(AND(LEN(ChartLines.ID)&gt;0,"Unused"&lt;&gt;ChartLines.ID), COUNTIFS(ChartLines.ID,ChartLines.ID), "·")</f>
        <v>2</v>
      </c>
      <c r="F334">
        <f t="shared" ref="F334" si="102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f t="shared" ref="H334" si="1022" xml:space="preserve"> IF(LEN(ChartLines.Hex6)=6, HEX2DEC(LEFT(ChartLines.Hex6, 2)), "·")</f>
        <v>0</v>
      </c>
      <c r="I334">
        <f t="shared" ref="I334" si="1023" xml:space="preserve"> IF(LEN(ChartLines.Hex6)=6, HEX2DEC(MID(ChartLines.Hex6, 3, 2)), "·")</f>
        <v>80</v>
      </c>
      <c r="J334">
        <f t="shared" ref="J334" si="1024" xml:space="preserve"> IF(LEN(ChartLines.Hex6)=6, HEX2DEC(RIGHT(ChartLines.Hex6, 2)), "·")</f>
        <v>115</v>
      </c>
      <c r="K334" cm="1">
        <f t="array" ref="K334" xml:space="preserve"> 1 + ROW() - _xlfn.SINGLE(ROW(ChartLines.RowNum))</f>
        <v>332</v>
      </c>
    </row>
    <row r="335" spans="2:11">
      <c r="B335" t="s">
        <v>992</v>
      </c>
      <c r="C335" t="s">
        <v>1839</v>
      </c>
      <c r="E335">
        <f t="shared" ref="E335:E339" si="1025" xml:space="preserve"> IF(AND(LEN(ChartLines.ID)&gt;0,"Unused"&lt;&gt;ChartLines.ID), COUNTIFS(ChartLines.ID,ChartLines.ID), "·")</f>
        <v>2</v>
      </c>
      <c r="F335">
        <f t="shared" ref="F335:F339" si="1026"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f t="shared" ref="H335:H339" si="1027" xml:space="preserve"> IF(LEN(ChartLines.Hex6)=6, HEX2DEC(LEFT(ChartLines.Hex6, 2)), "·")</f>
        <v>255</v>
      </c>
      <c r="I335">
        <f t="shared" ref="I335:I339" si="1028" xml:space="preserve"> IF(LEN(ChartLines.Hex6)=6, HEX2DEC(MID(ChartLines.Hex6, 3, 2)), "·")</f>
        <v>255</v>
      </c>
      <c r="J335">
        <f t="shared" ref="J335:J339" si="1029" xml:space="preserve"> IF(LEN(ChartLines.Hex6)=6, HEX2DEC(RIGHT(ChartLines.Hex6, 2)), "·")</f>
        <v>255</v>
      </c>
      <c r="K335" cm="1">
        <f t="array" ref="K335" xml:space="preserve"> 1 + ROW() - _xlfn.SINGLE(ROW(ChartLines.RowNum))</f>
        <v>333</v>
      </c>
    </row>
    <row r="336" spans="2:11">
      <c r="B336" t="s">
        <v>2032</v>
      </c>
      <c r="C336" t="s">
        <v>2035</v>
      </c>
      <c r="E336">
        <f t="shared" si="1025"/>
        <v>2</v>
      </c>
      <c r="F336">
        <f t="shared" si="1026"/>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f t="shared" si="1027"/>
        <v>43</v>
      </c>
      <c r="I336">
        <f t="shared" si="1028"/>
        <v>206</v>
      </c>
      <c r="J336">
        <f t="shared" si="1029"/>
        <v>117</v>
      </c>
      <c r="K336" cm="1">
        <f t="array" ref="K336" xml:space="preserve"> 1 + ROW() - _xlfn.SINGLE(ROW(ChartLines.RowNum))</f>
        <v>334</v>
      </c>
    </row>
    <row r="337" spans="2:11">
      <c r="B337" t="s">
        <v>2032</v>
      </c>
      <c r="C337" t="s">
        <v>2036</v>
      </c>
      <c r="E337">
        <f t="shared" si="1025"/>
        <v>2</v>
      </c>
      <c r="F337">
        <f t="shared" si="1026"/>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f t="shared" si="1027"/>
        <v>0</v>
      </c>
      <c r="I337">
        <f t="shared" si="1028"/>
        <v>70</v>
      </c>
      <c r="J337">
        <f t="shared" si="1029"/>
        <v>194</v>
      </c>
      <c r="K337" cm="1">
        <f t="array" ref="K337" xml:space="preserve"> 1 + ROW() - _xlfn.SINGLE(ROW(ChartLines.RowNum))</f>
        <v>335</v>
      </c>
    </row>
    <row r="338" spans="2:11">
      <c r="B338" t="s">
        <v>2037</v>
      </c>
      <c r="C338" t="s">
        <v>2040</v>
      </c>
      <c r="E338">
        <f t="shared" si="1025"/>
        <v>2</v>
      </c>
      <c r="F338">
        <f t="shared" si="1026"/>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f t="shared" si="1027"/>
        <v>239</v>
      </c>
      <c r="I338">
        <f t="shared" si="1028"/>
        <v>190</v>
      </c>
      <c r="J338">
        <f t="shared" si="1029"/>
        <v>32</v>
      </c>
      <c r="K338" cm="1">
        <f t="array" ref="K338" xml:space="preserve"> 1 + ROW() - _xlfn.SINGLE(ROW(ChartLines.RowNum))</f>
        <v>336</v>
      </c>
    </row>
    <row r="339" spans="2:11">
      <c r="B339" t="s">
        <v>2037</v>
      </c>
      <c r="C339" t="s">
        <v>2041</v>
      </c>
      <c r="E339">
        <f t="shared" si="1025"/>
        <v>2</v>
      </c>
      <c r="F339">
        <f t="shared" si="1026"/>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f t="shared" si="1027"/>
        <v>11</v>
      </c>
      <c r="I339">
        <f t="shared" si="1028"/>
        <v>92</v>
      </c>
      <c r="J339">
        <f t="shared" si="1029"/>
        <v>174</v>
      </c>
      <c r="K339" cm="1">
        <f t="array" ref="K339" xml:space="preserve"> 1 + ROW() - _xlfn.SINGLE(ROW(ChartLines.RowNum))</f>
        <v>337</v>
      </c>
    </row>
    <row r="340" spans="2:11">
      <c r="B340" t="s">
        <v>1050</v>
      </c>
      <c r="C340" t="str">
        <f xml:space="preserve"> "056839"</f>
        <v>056839</v>
      </c>
      <c r="E340">
        <f t="shared" ref="E340" si="1030" xml:space="preserve"> IF(AND(LEN(ChartLines.ID)&gt;0,"Unused"&lt;&gt;ChartLines.ID), COUNTIFS(ChartLines.ID,ChartLines.ID), "·")</f>
        <v>2</v>
      </c>
      <c r="F340">
        <f t="shared" ref="F340" si="1031" xml:space="preserve"> IF(AND(LEN(ChartLines.ID)&gt;0,"Unused"&lt;&gt;ChartLines.ID), COUNTIFS(ChartLines.ID,ChartLines.ID,   ChartLines.RowNum,"&lt;="&amp;ChartLines.RowNum), "·")</f>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f t="shared" ref="H340" si="1032" xml:space="preserve"> IF(LEN(ChartLines.Hex6)=6, HEX2DEC(LEFT(ChartLines.Hex6, 2)), "·")</f>
        <v>5</v>
      </c>
      <c r="I340">
        <f t="shared" ref="I340" si="1033" xml:space="preserve"> IF(LEN(ChartLines.Hex6)=6, HEX2DEC(MID(ChartLines.Hex6, 3, 2)), "·")</f>
        <v>104</v>
      </c>
      <c r="J340">
        <f t="shared" ref="J340" si="1034" xml:space="preserve"> IF(LEN(ChartLines.Hex6)=6, HEX2DEC(RIGHT(ChartLines.Hex6, 2)), "·")</f>
        <v>57</v>
      </c>
      <c r="K340" cm="1">
        <f t="array" ref="K340" xml:space="preserve"> 1 + ROW() - _xlfn.SINGLE(ROW(ChartLines.RowNum))</f>
        <v>338</v>
      </c>
    </row>
    <row r="341" spans="2:11">
      <c r="B341" t="s">
        <v>1050</v>
      </c>
      <c r="C341" t="s">
        <v>1945</v>
      </c>
      <c r="E341">
        <f t="shared" ref="E341" si="1035" xml:space="preserve"> IF(AND(LEN(ChartLines.ID)&gt;0,"Unused"&lt;&gt;ChartLines.ID), COUNTIFS(ChartLines.ID,ChartLines.ID), "·")</f>
        <v>2</v>
      </c>
      <c r="F341">
        <f t="shared" ref="F341" si="1036" xml:space="preserve"> IF(AND(LEN(ChartLines.ID)&gt;0,"Unused"&lt;&gt;ChartLines.ID), COUNTIFS(ChartLines.ID,ChartLines.ID,   ChartLines.RowNum,"&lt;="&amp;ChartLines.RowNum), "·")</f>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f t="shared" ref="H341" si="1037" xml:space="preserve"> IF(LEN(ChartLines.Hex6)=6, HEX2DEC(LEFT(ChartLines.Hex6, 2)), "·")</f>
        <v>190</v>
      </c>
      <c r="I341">
        <f t="shared" ref="I341" si="1038" xml:space="preserve"> IF(LEN(ChartLines.Hex6)=6, HEX2DEC(MID(ChartLines.Hex6, 3, 2)), "·")</f>
        <v>214</v>
      </c>
      <c r="J341">
        <f t="shared" ref="J341" si="1039" xml:space="preserve"> IF(LEN(ChartLines.Hex6)=6, HEX2DEC(RIGHT(ChartLines.Hex6, 2)), "·")</f>
        <v>47</v>
      </c>
      <c r="K341" cm="1">
        <f t="array" ref="K341" xml:space="preserve"> 1 + ROW() - _xlfn.SINGLE(ROW(ChartLines.RowNum))</f>
        <v>339</v>
      </c>
    </row>
    <row r="342" spans="2:11">
      <c r="B342" t="s">
        <v>1946</v>
      </c>
      <c r="C342" t="str">
        <f xml:space="preserve"> "000000"</f>
        <v>000000</v>
      </c>
      <c r="E342">
        <f t="shared" ref="E342" si="1040" xml:space="preserve"> IF(AND(LEN(ChartLines.ID)&gt;0,"Unused"&lt;&gt;ChartLines.ID), COUNTIFS(ChartLines.ID,ChartLines.ID), "·")</f>
        <v>2</v>
      </c>
      <c r="F342">
        <f t="shared" ref="F342" si="1041"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f t="shared" ref="H342" si="1042" xml:space="preserve"> IF(LEN(ChartLines.Hex6)=6, HEX2DEC(LEFT(ChartLines.Hex6, 2)), "·")</f>
        <v>0</v>
      </c>
      <c r="I342">
        <f t="shared" ref="I342" si="1043" xml:space="preserve"> IF(LEN(ChartLines.Hex6)=6, HEX2DEC(MID(ChartLines.Hex6, 3, 2)), "·")</f>
        <v>0</v>
      </c>
      <c r="J342">
        <f t="shared" ref="J342" si="1044" xml:space="preserve"> IF(LEN(ChartLines.Hex6)=6, HEX2DEC(RIGHT(ChartLines.Hex6, 2)), "·")</f>
        <v>0</v>
      </c>
      <c r="K342" cm="1">
        <f t="array" ref="K342" xml:space="preserve"> 1 + ROW() - _xlfn.SINGLE(ROW(ChartLines.RowNum))</f>
        <v>340</v>
      </c>
    </row>
    <row r="343" spans="2:11">
      <c r="B343" t="s">
        <v>1946</v>
      </c>
      <c r="C343" t="s">
        <v>1839</v>
      </c>
      <c r="E343">
        <f t="shared" ref="E343" si="1045" xml:space="preserve"> IF(AND(LEN(ChartLines.ID)&gt;0,"Unused"&lt;&gt;ChartLines.ID), COUNTIFS(ChartLines.ID,ChartLines.ID), "·")</f>
        <v>2</v>
      </c>
      <c r="F343">
        <f t="shared" ref="F343" si="1046"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f t="shared" ref="H343" si="1047" xml:space="preserve"> IF(LEN(ChartLines.Hex6)=6, HEX2DEC(LEFT(ChartLines.Hex6, 2)), "·")</f>
        <v>255</v>
      </c>
      <c r="I343">
        <f t="shared" ref="I343" si="1048" xml:space="preserve"> IF(LEN(ChartLines.Hex6)=6, HEX2DEC(MID(ChartLines.Hex6, 3, 2)), "·")</f>
        <v>255</v>
      </c>
      <c r="J343">
        <f t="shared" ref="J343" si="1049" xml:space="preserve"> IF(LEN(ChartLines.Hex6)=6, HEX2DEC(RIGHT(ChartLines.Hex6, 2)), "·")</f>
        <v>255</v>
      </c>
      <c r="K343" cm="1">
        <f t="array" ref="K343" xml:space="preserve"> 1 + ROW() - _xlfn.SINGLE(ROW(ChartLines.RowNum))</f>
        <v>341</v>
      </c>
    </row>
    <row r="344" spans="2:11">
      <c r="B344" t="s">
        <v>1947</v>
      </c>
      <c r="C344" t="s">
        <v>1948</v>
      </c>
      <c r="E344">
        <f t="shared" ref="E344" si="1050" xml:space="preserve"> IF(AND(LEN(ChartLines.ID)&gt;0,"Unused"&lt;&gt;ChartLines.ID), COUNTIFS(ChartLines.ID,ChartLines.ID), "·")</f>
        <v>1</v>
      </c>
      <c r="F344">
        <f t="shared" ref="F344" si="1051"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f t="shared" ref="H344" si="1052" xml:space="preserve"> IF(LEN(ChartLines.Hex6)=6, HEX2DEC(LEFT(ChartLines.Hex6, 2)), "·")</f>
        <v>0</v>
      </c>
      <c r="I344">
        <f t="shared" ref="I344" si="1053" xml:space="preserve"> IF(LEN(ChartLines.Hex6)=6, HEX2DEC(MID(ChartLines.Hex6, 3, 2)), "·")</f>
        <v>76</v>
      </c>
      <c r="J344">
        <f t="shared" ref="J344" si="1054" xml:space="preserve"> IF(LEN(ChartLines.Hex6)=6, HEX2DEC(RIGHT(ChartLines.Hex6, 2)), "·")</f>
        <v>151</v>
      </c>
      <c r="K344" cm="1">
        <f t="array" ref="K344" xml:space="preserve"> 1 + ROW() - _xlfn.SINGLE(ROW(ChartLines.RowNum))</f>
        <v>342</v>
      </c>
    </row>
    <row r="345" spans="2:11">
      <c r="B345" t="s">
        <v>1835</v>
      </c>
      <c r="E345" t="str">
        <f t="shared" ref="E345" si="1055" xml:space="preserve"> IF(AND(LEN(ChartLines.ID)&gt;0,"Unused"&lt;&gt;ChartLines.ID), COUNTIFS(ChartLines.ID,ChartLines.ID), "·")</f>
        <v>·</v>
      </c>
      <c r="F345" t="str">
        <f t="shared" ref="F345" si="1056" xml:space="preserve"> IF(AND(LEN(ChartLines.ID)&gt;0,"Unused"&lt;&gt;ChartLines.ID), COUNTIFS(ChartLines.ID,ChartLines.ID,   ChartLines.RowNum,"&lt;="&amp;ChartLines.RowNum), "·")</f>
        <v>·</v>
      </c>
      <c r="G345" t="str" cm="1">
        <f t="array" ref="G345" xml:space="preserve"> _xlfn.IFS(OR(LEN(_xlfn.SINGLE(ChartLines.ID))=0,"Unused"=_xlfn.SINGLE(ChartLines.ID)), "·",   1=_xlfn.SINGLE(ChartLines.NumInstances), IF("USD"=_xlfn.SINGLE(ChartLines.ID), "SoleBig", "SoleOrdinary"),   1=_xlfn.SINGLE(ChartLines.InstanceNum), "Outer",   TRUE, "Inner")</f>
        <v>·</v>
      </c>
      <c r="H345" t="str">
        <f t="shared" ref="H345" si="1057" xml:space="preserve"> IF(LEN(ChartLines.Hex6)=6, HEX2DEC(LEFT(ChartLines.Hex6, 2)), "·")</f>
        <v>·</v>
      </c>
      <c r="I345" t="str">
        <f t="shared" ref="I345" si="1058" xml:space="preserve"> IF(LEN(ChartLines.Hex6)=6, HEX2DEC(MID(ChartLines.Hex6, 3, 2)), "·")</f>
        <v>·</v>
      </c>
      <c r="J345" t="str">
        <f t="shared" ref="J345" si="1059" xml:space="preserve"> IF(LEN(ChartLines.Hex6)=6, HEX2DEC(RIGHT(ChartLines.Hex6, 2)), "·")</f>
        <v>·</v>
      </c>
      <c r="K345" cm="1">
        <f t="array" ref="K345" xml:space="preserve"> 1 + ROW() - _xlfn.SINGLE(ROW(ChartLines.RowNum))</f>
        <v>343</v>
      </c>
    </row>
    <row r="346" spans="2:11">
      <c r="E346" t="str">
        <f t="shared" ref="E346" si="1060" xml:space="preserve"> IF(AND(LEN(ChartLines.ID)&gt;0,"Unused"&lt;&gt;ChartLines.ID), COUNTIFS(ChartLines.ID,ChartLines.ID), "·")</f>
        <v>·</v>
      </c>
      <c r="F346" t="str">
        <f t="shared" ref="F346" si="1061" xml:space="preserve"> IF(AND(LEN(ChartLines.ID)&gt;0,"Unused"&lt;&gt;ChartLines.ID), COUNTIFS(ChartLines.ID,ChartLines.ID,   ChartLines.RowNum,"&lt;="&amp;ChartLines.RowNum), "·")</f>
        <v>·</v>
      </c>
      <c r="G346" t="str" cm="1">
        <f t="array" ref="G346" xml:space="preserve"> _xlfn.IFS(OR(LEN(_xlfn.SINGLE(ChartLines.ID))=0,"Unused"=_xlfn.SINGLE(ChartLines.ID)), "·",   1=_xlfn.SINGLE(ChartLines.NumInstances), IF("USD"=_xlfn.SINGLE(ChartLines.ID), "SoleBig", "SoleOrdinary"),   1=_xlfn.SINGLE(ChartLines.InstanceNum), "Outer",   TRUE, "Inner")</f>
        <v>·</v>
      </c>
      <c r="H346" t="str">
        <f t="shared" ref="H346" si="1062" xml:space="preserve"> IF(LEN(ChartLines.Hex6)=6, HEX2DEC(LEFT(ChartLines.Hex6, 2)), "·")</f>
        <v>·</v>
      </c>
      <c r="I346" t="str">
        <f t="shared" ref="I346" si="1063" xml:space="preserve"> IF(LEN(ChartLines.Hex6)=6, HEX2DEC(MID(ChartLines.Hex6, 3, 2)), "·")</f>
        <v>·</v>
      </c>
      <c r="J346" t="str">
        <f t="shared" ref="J346" si="1064" xml:space="preserve"> IF(LEN(ChartLines.Hex6)=6, HEX2DEC(RIGHT(ChartLines.Hex6, 2)), "·")</f>
        <v>·</v>
      </c>
      <c r="K346" cm="1">
        <f t="array" ref="K346" xml:space="preserve"> 1 + ROW() - _xlfn.SINGLE(ROW(ChartLines.RowNum))</f>
        <v>344</v>
      </c>
    </row>
    <row r="347" spans="2:11">
      <c r="B347" t="s">
        <v>1949</v>
      </c>
      <c r="C347" t="str">
        <f xml:space="preserve"> "996515"</f>
        <v>996515</v>
      </c>
      <c r="E347">
        <f t="shared" ref="E347" si="1065" xml:space="preserve"> IF(AND(LEN(ChartLines.ID)&gt;0,"Unused"&lt;&gt;ChartLines.ID), COUNTIFS(ChartLines.ID,ChartLines.ID), "·")</f>
        <v>2</v>
      </c>
      <c r="F347">
        <f t="shared" ref="F347" si="1066" xml:space="preserve"> IF(AND(LEN(ChartLines.ID)&gt;0,"Unused"&lt;&gt;ChartLines.ID), COUNTIFS(ChartLines.ID,ChartLines.ID,   ChartLines.RowNum,"&lt;="&amp;ChartLines.RowNum), "·")</f>
        <v>1</v>
      </c>
      <c r="G347" t="str" cm="1">
        <f t="array" ref="G347" xml:space="preserve"> _xlfn.IFS(OR(LEN(_xlfn.SINGLE(ChartLines.ID))=0,"Unused"=_xlfn.SINGLE(ChartLines.ID)), "·",   1=_xlfn.SINGLE(ChartLines.NumInstances), IF("USD"=_xlfn.SINGLE(ChartLines.ID), "SoleBig", "SoleOrdinary"),   1=_xlfn.SINGLE(ChartLines.InstanceNum), "Outer",   TRUE, "Inner")</f>
        <v>Outer</v>
      </c>
      <c r="H347">
        <f t="shared" ref="H347" si="1067" xml:space="preserve"> IF(LEN(ChartLines.Hex6)=6, HEX2DEC(LEFT(ChartLines.Hex6, 2)), "·")</f>
        <v>153</v>
      </c>
      <c r="I347">
        <f t="shared" ref="I347" si="1068" xml:space="preserve"> IF(LEN(ChartLines.Hex6)=6, HEX2DEC(MID(ChartLines.Hex6, 3, 2)), "·")</f>
        <v>101</v>
      </c>
      <c r="J347">
        <f t="shared" ref="J347" si="1069" xml:space="preserve"> IF(LEN(ChartLines.Hex6)=6, HEX2DEC(RIGHT(ChartLines.Hex6, 2)), "·")</f>
        <v>21</v>
      </c>
      <c r="K347" cm="1">
        <f t="array" ref="K347" xml:space="preserve"> 1 + ROW() - _xlfn.SINGLE(ROW(ChartLines.RowNum))</f>
        <v>345</v>
      </c>
    </row>
    <row r="348" spans="2:11">
      <c r="B348" t="s">
        <v>1949</v>
      </c>
      <c r="C348" t="str">
        <f xml:space="preserve"> "D4AF37"</f>
        <v>D4AF37</v>
      </c>
      <c r="E348">
        <f t="shared" ref="E348" si="1070" xml:space="preserve"> IF(AND(LEN(ChartLines.ID)&gt;0,"Unused"&lt;&gt;ChartLines.ID), COUNTIFS(ChartLines.ID,ChartLines.ID), "·")</f>
        <v>2</v>
      </c>
      <c r="F348">
        <f t="shared" ref="F348" si="1071" xml:space="preserve"> IF(AND(LEN(ChartLines.ID)&gt;0,"Unused"&lt;&gt;ChartLines.ID), COUNTIFS(ChartLines.ID,ChartLines.ID,   ChartLines.RowNum,"&lt;="&amp;ChartLines.RowNum), "·")</f>
        <v>2</v>
      </c>
      <c r="G348" t="str" cm="1">
        <f t="array" ref="G348" xml:space="preserve"> _xlfn.IFS(OR(LEN(_xlfn.SINGLE(ChartLines.ID))=0,"Unused"=_xlfn.SINGLE(ChartLines.ID)), "·",   1=_xlfn.SINGLE(ChartLines.NumInstances), IF("USD"=_xlfn.SINGLE(ChartLines.ID), "SoleBig", "SoleOrdinary"),   1=_xlfn.SINGLE(ChartLines.InstanceNum), "Outer",   TRUE, "Inner")</f>
        <v>Inner</v>
      </c>
      <c r="H348">
        <f t="shared" ref="H348" si="1072" xml:space="preserve"> IF(LEN(ChartLines.Hex6)=6, HEX2DEC(LEFT(ChartLines.Hex6, 2)), "·")</f>
        <v>212</v>
      </c>
      <c r="I348">
        <f t="shared" ref="I348" si="1073" xml:space="preserve"> IF(LEN(ChartLines.Hex6)=6, HEX2DEC(MID(ChartLines.Hex6, 3, 2)), "·")</f>
        <v>175</v>
      </c>
      <c r="J348">
        <f t="shared" ref="J348" si="1074" xml:space="preserve"> IF(LEN(ChartLines.Hex6)=6, HEX2DEC(RIGHT(ChartLines.Hex6, 2)), "·")</f>
        <v>55</v>
      </c>
      <c r="K348" cm="1">
        <f t="array" ref="K348" xml:space="preserve"> 1 + ROW() - _xlfn.SINGLE(ROW(ChartLines.RowNum))</f>
        <v>346</v>
      </c>
    </row>
    <row r="349" spans="2:11">
      <c r="B349" t="s">
        <v>1950</v>
      </c>
      <c r="C349" t="s">
        <v>1951</v>
      </c>
      <c r="E349">
        <f t="shared" ref="E349" si="1075" xml:space="preserve"> IF(AND(LEN(ChartLines.ID)&gt;0,"Unused"&lt;&gt;ChartLines.ID), COUNTIFS(ChartLines.ID,ChartLines.ID), "·")</f>
        <v>2</v>
      </c>
      <c r="F349">
        <f t="shared" ref="F349" si="1076" xml:space="preserve"> IF(AND(LEN(ChartLines.ID)&gt;0,"Unused"&lt;&gt;ChartLines.ID), COUNTIFS(ChartLines.ID,ChartLines.ID,   ChartLines.RowNum,"&lt;="&amp;ChartLines.RowNum), "·")</f>
        <v>1</v>
      </c>
      <c r="G349" t="str" cm="1">
        <f t="array" ref="G349" xml:space="preserve"> _xlfn.IFS(OR(LEN(_xlfn.SINGLE(ChartLines.ID))=0,"Unused"=_xlfn.SINGLE(ChartLines.ID)), "·",   1=_xlfn.SINGLE(ChartLines.NumInstances), IF("USD"=_xlfn.SINGLE(ChartLines.ID), "SoleBig", "SoleOrdinary"),   1=_xlfn.SINGLE(ChartLines.InstanceNum), "Outer",   TRUE, "Inner")</f>
        <v>Outer</v>
      </c>
      <c r="H349">
        <f t="shared" ref="H349" si="1077" xml:space="preserve"> IF(LEN(ChartLines.Hex6)=6, HEX2DEC(LEFT(ChartLines.Hex6, 2)), "·")</f>
        <v>92</v>
      </c>
      <c r="I349">
        <f t="shared" ref="I349" si="1078" xml:space="preserve"> IF(LEN(ChartLines.Hex6)=6, HEX2DEC(MID(ChartLines.Hex6, 3, 2)), "·")</f>
        <v>92</v>
      </c>
      <c r="J349">
        <f t="shared" ref="J349" si="1079" xml:space="preserve"> IF(LEN(ChartLines.Hex6)=6, HEX2DEC(RIGHT(ChartLines.Hex6, 2)), "·")</f>
        <v>92</v>
      </c>
      <c r="K349" cm="1">
        <f t="array" ref="K349" xml:space="preserve"> 1 + ROW() - _xlfn.SINGLE(ROW(ChartLines.RowNum))</f>
        <v>347</v>
      </c>
    </row>
    <row r="350" spans="2:11">
      <c r="B350" t="s">
        <v>1950</v>
      </c>
      <c r="C350" t="str">
        <f xml:space="preserve"> "C0C0C0"</f>
        <v>C0C0C0</v>
      </c>
      <c r="E350">
        <f t="shared" ref="E350" si="1080" xml:space="preserve"> IF(AND(LEN(ChartLines.ID)&gt;0,"Unused"&lt;&gt;ChartLines.ID), COUNTIFS(ChartLines.ID,ChartLines.ID), "·")</f>
        <v>2</v>
      </c>
      <c r="F350">
        <f t="shared" ref="F350" si="1081" xml:space="preserve"> IF(AND(LEN(ChartLines.ID)&gt;0,"Unused"&lt;&gt;ChartLines.ID), COUNTIFS(ChartLines.ID,ChartLines.ID,   ChartLines.RowNum,"&lt;="&amp;ChartLines.RowNum), "·")</f>
        <v>2</v>
      </c>
      <c r="G350" t="str" cm="1">
        <f t="array" ref="G350" xml:space="preserve"> _xlfn.IFS(OR(LEN(_xlfn.SINGLE(ChartLines.ID))=0,"Unused"=_xlfn.SINGLE(ChartLines.ID)), "·",   1=_xlfn.SINGLE(ChartLines.NumInstances), IF("USD"=_xlfn.SINGLE(ChartLines.ID), "SoleBig", "SoleOrdinary"),   1=_xlfn.SINGLE(ChartLines.InstanceNum), "Outer",   TRUE, "Inner")</f>
        <v>Inner</v>
      </c>
      <c r="H350">
        <f t="shared" ref="H350" si="1082" xml:space="preserve"> IF(LEN(ChartLines.Hex6)=6, HEX2DEC(LEFT(ChartLines.Hex6, 2)), "·")</f>
        <v>192</v>
      </c>
      <c r="I350">
        <f t="shared" ref="I350" si="1083" xml:space="preserve"> IF(LEN(ChartLines.Hex6)=6, HEX2DEC(MID(ChartLines.Hex6, 3, 2)), "·")</f>
        <v>192</v>
      </c>
      <c r="J350">
        <f t="shared" ref="J350" si="1084" xml:space="preserve"> IF(LEN(ChartLines.Hex6)=6, HEX2DEC(RIGHT(ChartLines.Hex6, 2)), "·")</f>
        <v>192</v>
      </c>
      <c r="K350" cm="1">
        <f t="array" ref="K350" xml:space="preserve"> 1 + ROW() - _xlfn.SINGLE(ROW(ChartLines.RowNum))</f>
        <v>348</v>
      </c>
    </row>
    <row r="351" spans="2:11">
      <c r="B351" t="s">
        <v>929</v>
      </c>
      <c r="C351" t="s">
        <v>1952</v>
      </c>
      <c r="E351">
        <f t="shared" ref="E351" si="1085" xml:space="preserve"> IF(AND(LEN(ChartLines.ID)&gt;0,"Unused"&lt;&gt;ChartLines.ID), COUNTIFS(ChartLines.ID,ChartLines.ID), "·")</f>
        <v>2</v>
      </c>
      <c r="F351">
        <f t="shared" ref="F351" si="1086" xml:space="preserve"> IF(AND(LEN(ChartLines.ID)&gt;0,"Unused"&lt;&gt;ChartLines.ID), COUNTIFS(ChartLines.ID,ChartLines.ID,   ChartLines.RowNum,"&lt;="&amp;ChartLines.RowNum), "·")</f>
        <v>1</v>
      </c>
      <c r="G351" t="str" cm="1">
        <f t="array" ref="G351" xml:space="preserve"> _xlfn.IFS(OR(LEN(_xlfn.SINGLE(ChartLines.ID))=0,"Unused"=_xlfn.SINGLE(ChartLines.ID)), "·",   1=_xlfn.SINGLE(ChartLines.NumInstances), IF("USD"=_xlfn.SINGLE(ChartLines.ID), "SoleBig", "SoleOrdinary"),   1=_xlfn.SINGLE(ChartLines.InstanceNum), "Outer",   TRUE, "Inner")</f>
        <v>Outer</v>
      </c>
      <c r="H351">
        <f t="shared" ref="H351" si="1087" xml:space="preserve"> IF(LEN(ChartLines.Hex6)=6, HEX2DEC(LEFT(ChartLines.Hex6, 2)), "·")</f>
        <v>217</v>
      </c>
      <c r="I351">
        <f t="shared" ref="I351" si="1088" xml:space="preserve"> IF(LEN(ChartLines.Hex6)=6, HEX2DEC(MID(ChartLines.Hex6, 3, 2)), "·")</f>
        <v>91</v>
      </c>
      <c r="J351">
        <f t="shared" ref="J351" si="1089" xml:space="preserve"> IF(LEN(ChartLines.Hex6)=6, HEX2DEC(RIGHT(ChartLines.Hex6, 2)), "·")</f>
        <v>20</v>
      </c>
      <c r="K351" cm="1">
        <f t="array" ref="K351" xml:space="preserve"> 1 + ROW() - _xlfn.SINGLE(ROW(ChartLines.RowNum))</f>
        <v>349</v>
      </c>
    </row>
    <row r="352" spans="2:11">
      <c r="B352" t="s">
        <v>929</v>
      </c>
      <c r="C352" t="s">
        <v>1953</v>
      </c>
      <c r="E352">
        <f t="shared" ref="E352:E354" si="1090" xml:space="preserve"> IF(AND(LEN(ChartLines.ID)&gt;0,"Unused"&lt;&gt;ChartLines.ID), COUNTIFS(ChartLines.ID,ChartLines.ID), "·")</f>
        <v>2</v>
      </c>
      <c r="F352">
        <f t="shared" ref="F352:F354" si="1091" xml:space="preserve"> IF(AND(LEN(ChartLines.ID)&gt;0,"Unused"&lt;&gt;ChartLines.ID), COUNTIFS(ChartLines.ID,ChartLines.ID,   ChartLines.RowNum,"&lt;="&amp;ChartLines.RowNum), "·")</f>
        <v>2</v>
      </c>
      <c r="G352" t="str" cm="1">
        <f t="array" ref="G352" xml:space="preserve"> _xlfn.IFS(OR(LEN(_xlfn.SINGLE(ChartLines.ID))=0,"Unused"=_xlfn.SINGLE(ChartLines.ID)), "·",   1=_xlfn.SINGLE(ChartLines.NumInstances), IF("USD"=_xlfn.SINGLE(ChartLines.ID), "SoleBig", "SoleOrdinary"),   1=_xlfn.SINGLE(ChartLines.InstanceNum), "Outer",   TRUE, "Inner")</f>
        <v>Inner</v>
      </c>
      <c r="H352">
        <f t="shared" ref="H352:H354" si="1092" xml:space="preserve"> IF(LEN(ChartLines.Hex6)=6, HEX2DEC(LEFT(ChartLines.Hex6, 2)), "·")</f>
        <v>199</v>
      </c>
      <c r="I352">
        <f t="shared" ref="I352:I354" si="1093" xml:space="preserve"> IF(LEN(ChartLines.Hex6)=6, HEX2DEC(MID(ChartLines.Hex6, 3, 2)), "·")</f>
        <v>199</v>
      </c>
      <c r="J352">
        <f t="shared" ref="J352:J354" si="1094" xml:space="preserve"> IF(LEN(ChartLines.Hex6)=6, HEX2DEC(RIGHT(ChartLines.Hex6, 2)), "·")</f>
        <v>199</v>
      </c>
      <c r="K352" cm="1">
        <f t="array" ref="K352" xml:space="preserve"> 1 + ROW() - _xlfn.SINGLE(ROW(ChartLines.RowNum))</f>
        <v>350</v>
      </c>
    </row>
    <row r="354" spans="2:11">
      <c r="B354" t="s">
        <v>2617</v>
      </c>
      <c r="C354" t="s">
        <v>2617</v>
      </c>
      <c r="E354">
        <f t="shared" si="1090"/>
        <v>1</v>
      </c>
      <c r="F354">
        <f t="shared" si="1091"/>
        <v>1</v>
      </c>
      <c r="G354" t="str" cm="1">
        <f t="array" ref="G354" xml:space="preserve"> _xlfn.IFS(OR(LEN(_xlfn.SINGLE(ChartLines.ID))=0,"Unused"=_xlfn.SINGLE(ChartLines.ID)), "·",   1=_xlfn.SINGLE(ChartLines.NumInstances), IF("USD"=_xlfn.SINGLE(ChartLines.ID), "SoleBig", "SoleOrdinary"),   1=_xlfn.SINGLE(ChartLines.InstanceNum), "Outer",   TRUE, "Inner")</f>
        <v>SoleOrdinary</v>
      </c>
      <c r="H354" t="str">
        <f t="shared" si="1092"/>
        <v>·</v>
      </c>
      <c r="I354" t="str">
        <f t="shared" si="1093"/>
        <v>·</v>
      </c>
      <c r="J354" t="str">
        <f t="shared" si="1094"/>
        <v>·</v>
      </c>
      <c r="K354" cm="1">
        <f t="array" ref="K354" xml:space="preserve"> 1 + ROW() - _xlfn.SINGLE(ROW(ChartLines.RowNum))</f>
        <v>352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7"/>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customWidth="1"/>
    <col min="4" max="4" width="80.83203125" style="5" customWidth="1"/>
    <col min="5" max="5" width="40.83203125" style="5" customWidth="1"/>
  </cols>
  <sheetData>
    <row r="5" spans="2:5" ht="17" thickBot="1">
      <c r="B5" s="35" t="s">
        <v>2446</v>
      </c>
      <c r="C5" s="3" t="s">
        <v>2447</v>
      </c>
      <c r="D5" s="35" t="s">
        <v>2448</v>
      </c>
      <c r="E5" s="35" t="s">
        <v>2449</v>
      </c>
    </row>
    <row r="7" spans="2:5">
      <c r="B7" s="5" t="s">
        <v>2</v>
      </c>
      <c r="C7" t="s">
        <v>2640</v>
      </c>
      <c r="E7" s="5" t="s">
        <v>2641</v>
      </c>
    </row>
    <row r="8" spans="2:5">
      <c r="B8" s="5" t="s">
        <v>2648</v>
      </c>
      <c r="C8" t="s">
        <v>2662</v>
      </c>
      <c r="D8" s="5" t="s">
        <v>2664</v>
      </c>
    </row>
    <row r="9" spans="2:5">
      <c r="B9" s="5" t="s">
        <v>2651</v>
      </c>
      <c r="C9" t="s">
        <v>2663</v>
      </c>
      <c r="D9" s="5" t="s">
        <v>2665</v>
      </c>
    </row>
    <row r="10" spans="2:5">
      <c r="B10" s="5" t="s">
        <v>405</v>
      </c>
      <c r="C10" t="s">
        <v>2450</v>
      </c>
    </row>
    <row r="11" spans="2:5">
      <c r="B11" s="5" t="s">
        <v>0</v>
      </c>
      <c r="C11" t="s">
        <v>2451</v>
      </c>
      <c r="D11" s="5" t="s">
        <v>2452</v>
      </c>
    </row>
    <row r="12" spans="2:5">
      <c r="B12" s="5" t="s">
        <v>2256</v>
      </c>
      <c r="C12" t="s">
        <v>2453</v>
      </c>
    </row>
    <row r="13" spans="2:5">
      <c r="B13" s="5" t="s">
        <v>2254</v>
      </c>
      <c r="C13" t="s">
        <v>2454</v>
      </c>
    </row>
    <row r="14" spans="2:5">
      <c r="B14" s="5" t="s">
        <v>2257</v>
      </c>
      <c r="C14" t="s">
        <v>2455</v>
      </c>
    </row>
    <row r="15" spans="2:5">
      <c r="B15" s="5" t="s">
        <v>2255</v>
      </c>
      <c r="C15" t="s">
        <v>2456</v>
      </c>
    </row>
    <row r="16" spans="2:5">
      <c r="B16" s="5" t="s">
        <v>2258</v>
      </c>
      <c r="C16" t="s">
        <v>2457</v>
      </c>
      <c r="D16" s="5" t="s">
        <v>2626</v>
      </c>
    </row>
    <row r="17" spans="2:5">
      <c r="B17" s="5" t="s">
        <v>7</v>
      </c>
      <c r="C17" t="s">
        <v>2458</v>
      </c>
    </row>
    <row r="18" spans="2:5">
      <c r="B18" s="5" t="s">
        <v>1539</v>
      </c>
      <c r="C18" t="s">
        <v>2459</v>
      </c>
      <c r="D18" s="5" t="s">
        <v>2460</v>
      </c>
    </row>
    <row r="19" spans="2:5">
      <c r="B19" s="5" t="s">
        <v>2281</v>
      </c>
      <c r="C19" t="s">
        <v>2461</v>
      </c>
      <c r="D19" s="5" t="s">
        <v>2462</v>
      </c>
    </row>
    <row r="20" spans="2:5">
      <c r="B20" s="5" t="s">
        <v>1840</v>
      </c>
      <c r="C20" t="s">
        <v>2463</v>
      </c>
      <c r="D20" s="5" t="s">
        <v>2464</v>
      </c>
    </row>
    <row r="21" spans="2:5">
      <c r="B21" s="5" t="s">
        <v>2299</v>
      </c>
      <c r="C21" t="s">
        <v>2465</v>
      </c>
      <c r="D21" s="5" t="s">
        <v>2466</v>
      </c>
    </row>
    <row r="22" spans="2:5">
      <c r="B22" s="5" t="s">
        <v>1841</v>
      </c>
      <c r="C22" t="s">
        <v>2467</v>
      </c>
    </row>
    <row r="23" spans="2:5">
      <c r="B23" s="5" t="s">
        <v>122</v>
      </c>
      <c r="C23" t="s">
        <v>2468</v>
      </c>
    </row>
    <row r="24" spans="2:5">
      <c r="B24" s="5" t="s">
        <v>126</v>
      </c>
      <c r="C24" t="s">
        <v>2469</v>
      </c>
    </row>
    <row r="25" spans="2:5">
      <c r="B25" s="5" t="s">
        <v>128</v>
      </c>
      <c r="C25" t="s">
        <v>2470</v>
      </c>
    </row>
    <row r="26" spans="2:5">
      <c r="B26" s="5" t="s">
        <v>133</v>
      </c>
      <c r="C26" t="s">
        <v>2471</v>
      </c>
    </row>
    <row r="27" spans="2:5">
      <c r="B27" s="5" t="s">
        <v>1884</v>
      </c>
      <c r="C27" t="s">
        <v>2647</v>
      </c>
    </row>
    <row r="28" spans="2:5">
      <c r="B28" s="5" t="s">
        <v>203</v>
      </c>
      <c r="C28" t="s">
        <v>2472</v>
      </c>
    </row>
    <row r="29" spans="2:5">
      <c r="B29" s="5" t="s">
        <v>1886</v>
      </c>
      <c r="C29" t="s">
        <v>2630</v>
      </c>
      <c r="E29" s="5" t="s">
        <v>2631</v>
      </c>
    </row>
    <row r="30" spans="2:5">
      <c r="B30" s="5" t="s">
        <v>136</v>
      </c>
      <c r="C30" t="s">
        <v>2473</v>
      </c>
    </row>
    <row r="31" spans="2:5">
      <c r="B31" s="5" t="s">
        <v>235</v>
      </c>
      <c r="C31" t="s">
        <v>2632</v>
      </c>
      <c r="E31" s="5" t="s">
        <v>2633</v>
      </c>
    </row>
    <row r="32" spans="2:5">
      <c r="B32" s="5" t="s">
        <v>162</v>
      </c>
      <c r="C32" t="s">
        <v>2474</v>
      </c>
    </row>
    <row r="33" spans="2:3">
      <c r="B33" s="5" t="s">
        <v>163</v>
      </c>
      <c r="C33" t="s">
        <v>2475</v>
      </c>
    </row>
    <row r="34" spans="2:3">
      <c r="B34" s="5" t="s">
        <v>2379</v>
      </c>
      <c r="C34" t="s">
        <v>2476</v>
      </c>
    </row>
    <row r="35" spans="2:3">
      <c r="B35" s="5" t="s">
        <v>248</v>
      </c>
      <c r="C35" t="s">
        <v>2477</v>
      </c>
    </row>
    <row r="36" spans="2:3">
      <c r="B36" s="5" t="s">
        <v>261</v>
      </c>
      <c r="C36" t="s">
        <v>2478</v>
      </c>
    </row>
    <row r="37" spans="2:3">
      <c r="B37" s="5" t="s">
        <v>296</v>
      </c>
      <c r="C37" t="s">
        <v>2479</v>
      </c>
    </row>
    <row r="38" spans="2:3">
      <c r="B38" s="5" t="s">
        <v>135</v>
      </c>
      <c r="C38" t="s">
        <v>2480</v>
      </c>
    </row>
    <row r="39" spans="2:3">
      <c r="B39" s="5" t="s">
        <v>97</v>
      </c>
      <c r="C39" t="s">
        <v>2481</v>
      </c>
    </row>
    <row r="40" spans="2:3">
      <c r="B40" s="5" t="s">
        <v>164</v>
      </c>
      <c r="C40" t="s">
        <v>2482</v>
      </c>
    </row>
    <row r="41" spans="2:3">
      <c r="B41" s="5" t="s">
        <v>2420</v>
      </c>
      <c r="C41" t="s">
        <v>2625</v>
      </c>
    </row>
    <row r="42" spans="2:3">
      <c r="B42" s="5" t="s">
        <v>1900</v>
      </c>
      <c r="C42" t="s">
        <v>2483</v>
      </c>
    </row>
    <row r="43" spans="2:3">
      <c r="B43" s="5" t="s">
        <v>2311</v>
      </c>
      <c r="C43" t="s">
        <v>2484</v>
      </c>
    </row>
    <row r="44" spans="2:3">
      <c r="B44" s="5" t="s">
        <v>2409</v>
      </c>
      <c r="C44" t="s">
        <v>2485</v>
      </c>
    </row>
    <row r="45" spans="2:3">
      <c r="B45" s="5" t="s">
        <v>1614</v>
      </c>
      <c r="C45" t="s">
        <v>2486</v>
      </c>
    </row>
    <row r="46" spans="2:3">
      <c r="B46" s="5" t="s">
        <v>2268</v>
      </c>
      <c r="C46" t="s">
        <v>2487</v>
      </c>
    </row>
    <row r="47" spans="2:3">
      <c r="B47" s="5" t="s">
        <v>132</v>
      </c>
      <c r="C47" t="s">
        <v>2488</v>
      </c>
    </row>
    <row r="48" spans="2:3">
      <c r="B48" s="5" t="s">
        <v>1540</v>
      </c>
      <c r="C48" t="s">
        <v>2489</v>
      </c>
    </row>
    <row r="49" spans="2:5">
      <c r="B49" s="5" t="s">
        <v>326</v>
      </c>
      <c r="C49" t="s">
        <v>2490</v>
      </c>
    </row>
    <row r="50" spans="2:5">
      <c r="B50" s="5" t="s">
        <v>372</v>
      </c>
      <c r="C50" t="s">
        <v>2491</v>
      </c>
    </row>
    <row r="51" spans="2:5">
      <c r="B51" s="5" t="s">
        <v>357</v>
      </c>
      <c r="C51" t="s">
        <v>2638</v>
      </c>
    </row>
    <row r="52" spans="2:5">
      <c r="B52" s="5" t="s">
        <v>376</v>
      </c>
      <c r="C52" t="s">
        <v>2492</v>
      </c>
    </row>
    <row r="53" spans="2:5">
      <c r="B53" s="5" t="s">
        <v>393</v>
      </c>
      <c r="C53" t="s">
        <v>2493</v>
      </c>
    </row>
    <row r="54" spans="2:5">
      <c r="B54" s="5" t="s">
        <v>879</v>
      </c>
      <c r="C54" t="s">
        <v>2494</v>
      </c>
    </row>
    <row r="55" spans="2:5">
      <c r="B55" s="5" t="s">
        <v>394</v>
      </c>
      <c r="C55" t="s">
        <v>2495</v>
      </c>
    </row>
    <row r="56" spans="2:5">
      <c r="B56" s="5" t="s">
        <v>406</v>
      </c>
      <c r="C56" t="s">
        <v>2496</v>
      </c>
    </row>
    <row r="57" spans="2:5">
      <c r="B57" s="5" t="s">
        <v>1670</v>
      </c>
      <c r="C57" t="s">
        <v>2497</v>
      </c>
    </row>
    <row r="58" spans="2:5">
      <c r="B58" s="5" t="s">
        <v>165</v>
      </c>
      <c r="C58" t="s">
        <v>2498</v>
      </c>
    </row>
    <row r="59" spans="2:5">
      <c r="B59" s="5" t="s">
        <v>1912</v>
      </c>
      <c r="C59" t="s">
        <v>2499</v>
      </c>
      <c r="E59" s="5" t="s">
        <v>2500</v>
      </c>
    </row>
    <row r="60" spans="2:5">
      <c r="B60" s="5" t="s">
        <v>2414</v>
      </c>
      <c r="C60" t="s">
        <v>2501</v>
      </c>
    </row>
    <row r="61" spans="2:5">
      <c r="B61" s="5" t="s">
        <v>2415</v>
      </c>
      <c r="C61" t="s">
        <v>2502</v>
      </c>
    </row>
    <row r="62" spans="2:5">
      <c r="B62" s="5" t="s">
        <v>2154</v>
      </c>
      <c r="C62" t="s">
        <v>2503</v>
      </c>
    </row>
    <row r="63" spans="2:5">
      <c r="B63" s="5" t="s">
        <v>407</v>
      </c>
      <c r="C63" t="s">
        <v>2634</v>
      </c>
      <c r="E63" s="5" t="s">
        <v>2635</v>
      </c>
    </row>
    <row r="64" spans="2:5">
      <c r="B64" s="5" t="s">
        <v>134</v>
      </c>
      <c r="C64" t="s">
        <v>2642</v>
      </c>
    </row>
    <row r="65" spans="2:5">
      <c r="B65" s="5" t="s">
        <v>166</v>
      </c>
      <c r="C65" t="s">
        <v>2504</v>
      </c>
    </row>
    <row r="66" spans="2:5">
      <c r="B66" s="5" t="s">
        <v>459</v>
      </c>
      <c r="C66" t="s">
        <v>2505</v>
      </c>
    </row>
    <row r="67" spans="2:5">
      <c r="B67" s="5" t="s">
        <v>1978</v>
      </c>
      <c r="C67" t="s">
        <v>2506</v>
      </c>
    </row>
    <row r="68" spans="2:5">
      <c r="B68" s="5" t="s">
        <v>473</v>
      </c>
      <c r="C68" t="s">
        <v>2507</v>
      </c>
    </row>
    <row r="69" spans="2:5">
      <c r="B69" s="5" t="s">
        <v>2413</v>
      </c>
      <c r="C69" t="s">
        <v>2508</v>
      </c>
    </row>
    <row r="70" spans="2:5">
      <c r="B70" s="5" t="s">
        <v>1916</v>
      </c>
      <c r="C70" t="s">
        <v>2509</v>
      </c>
    </row>
    <row r="71" spans="2:5">
      <c r="B71" s="5" t="s">
        <v>2026</v>
      </c>
      <c r="C71" t="s">
        <v>2510</v>
      </c>
    </row>
    <row r="72" spans="2:5">
      <c r="B72" s="5" t="s">
        <v>491</v>
      </c>
      <c r="C72" t="s">
        <v>2511</v>
      </c>
    </row>
    <row r="73" spans="2:5">
      <c r="B73" s="5" t="s">
        <v>167</v>
      </c>
      <c r="C73" t="s">
        <v>2512</v>
      </c>
    </row>
    <row r="74" spans="2:5">
      <c r="B74" s="5" t="s">
        <v>2310</v>
      </c>
      <c r="C74" t="s">
        <v>2644</v>
      </c>
    </row>
    <row r="75" spans="2:5">
      <c r="B75" s="5" t="s">
        <v>2306</v>
      </c>
      <c r="C75" t="s">
        <v>2513</v>
      </c>
    </row>
    <row r="76" spans="2:5">
      <c r="B76" s="5" t="s">
        <v>1918</v>
      </c>
      <c r="C76" t="s">
        <v>2514</v>
      </c>
    </row>
    <row r="77" spans="2:5">
      <c r="B77" s="5" t="s">
        <v>137</v>
      </c>
      <c r="C77" t="s">
        <v>2515</v>
      </c>
    </row>
    <row r="78" spans="2:5">
      <c r="B78" s="5" t="s">
        <v>138</v>
      </c>
      <c r="C78" t="s">
        <v>2516</v>
      </c>
    </row>
    <row r="79" spans="2:5">
      <c r="B79" s="5" t="s">
        <v>1624</v>
      </c>
      <c r="C79" t="s">
        <v>2517</v>
      </c>
      <c r="E79" s="5" t="s">
        <v>2643</v>
      </c>
    </row>
    <row r="80" spans="2:5">
      <c r="B80" s="5" t="s">
        <v>492</v>
      </c>
      <c r="C80" t="s">
        <v>2518</v>
      </c>
    </row>
    <row r="81" spans="2:5">
      <c r="B81" s="5" t="s">
        <v>900</v>
      </c>
      <c r="C81" t="s">
        <v>2519</v>
      </c>
    </row>
    <row r="82" spans="2:5">
      <c r="B82" s="5" t="s">
        <v>510</v>
      </c>
      <c r="C82" t="s">
        <v>2628</v>
      </c>
      <c r="E82" s="5" t="s">
        <v>2629</v>
      </c>
    </row>
    <row r="83" spans="2:5">
      <c r="B83" s="5" t="s">
        <v>433</v>
      </c>
      <c r="C83" t="s">
        <v>2520</v>
      </c>
    </row>
    <row r="84" spans="2:5">
      <c r="B84" s="5" t="s">
        <v>168</v>
      </c>
      <c r="C84" t="s">
        <v>2521</v>
      </c>
    </row>
    <row r="85" spans="2:5">
      <c r="B85" s="5" t="s">
        <v>1617</v>
      </c>
      <c r="C85" t="s">
        <v>2522</v>
      </c>
    </row>
    <row r="86" spans="2:5">
      <c r="B86" s="5" t="s">
        <v>2005</v>
      </c>
      <c r="C86" t="s">
        <v>2523</v>
      </c>
    </row>
    <row r="87" spans="2:5">
      <c r="B87" s="5" t="s">
        <v>1627</v>
      </c>
      <c r="C87" t="s">
        <v>2524</v>
      </c>
    </row>
    <row r="88" spans="2:5">
      <c r="B88" s="5" t="s">
        <v>1623</v>
      </c>
      <c r="C88" t="s">
        <v>2525</v>
      </c>
    </row>
    <row r="89" spans="2:5">
      <c r="B89" s="5" t="s">
        <v>1637</v>
      </c>
      <c r="C89" t="s">
        <v>2526</v>
      </c>
    </row>
    <row r="90" spans="2:5">
      <c r="B90" s="5" t="s">
        <v>1620</v>
      </c>
      <c r="C90" t="s">
        <v>2527</v>
      </c>
    </row>
    <row r="91" spans="2:5">
      <c r="B91" s="5" t="s">
        <v>1959</v>
      </c>
      <c r="C91" t="s">
        <v>2528</v>
      </c>
    </row>
    <row r="92" spans="2:5">
      <c r="B92" s="5" t="s">
        <v>139</v>
      </c>
      <c r="C92" t="s">
        <v>2529</v>
      </c>
    </row>
    <row r="93" spans="2:5">
      <c r="B93" s="5" t="s">
        <v>99</v>
      </c>
      <c r="C93" t="s">
        <v>2530</v>
      </c>
    </row>
    <row r="94" spans="2:5">
      <c r="B94" s="5" t="s">
        <v>98</v>
      </c>
      <c r="C94" t="s">
        <v>2531</v>
      </c>
    </row>
    <row r="95" spans="2:5">
      <c r="B95" s="5" t="s">
        <v>2418</v>
      </c>
      <c r="C95" t="s">
        <v>2532</v>
      </c>
    </row>
    <row r="96" spans="2:5">
      <c r="B96" s="5" t="s">
        <v>2151</v>
      </c>
      <c r="C96" t="s">
        <v>2533</v>
      </c>
    </row>
    <row r="97" spans="2:5">
      <c r="B97" s="5" t="s">
        <v>526</v>
      </c>
      <c r="C97" t="s">
        <v>2534</v>
      </c>
    </row>
    <row r="98" spans="2:5">
      <c r="B98" s="5" t="s">
        <v>528</v>
      </c>
      <c r="C98" t="s">
        <v>2535</v>
      </c>
    </row>
    <row r="99" spans="2:5">
      <c r="B99" s="5" t="s">
        <v>140</v>
      </c>
      <c r="C99" t="s">
        <v>2536</v>
      </c>
      <c r="E99" s="5" t="s">
        <v>2537</v>
      </c>
    </row>
    <row r="100" spans="2:5">
      <c r="B100" s="5" t="s">
        <v>100</v>
      </c>
      <c r="C100" t="s">
        <v>2538</v>
      </c>
    </row>
    <row r="101" spans="2:5">
      <c r="B101" s="5" t="s">
        <v>101</v>
      </c>
      <c r="C101" t="s">
        <v>2539</v>
      </c>
    </row>
    <row r="102" spans="2:5">
      <c r="B102" s="5" t="s">
        <v>544</v>
      </c>
      <c r="C102" t="s">
        <v>2540</v>
      </c>
    </row>
    <row r="103" spans="2:5">
      <c r="B103" s="5" t="s">
        <v>102</v>
      </c>
      <c r="C103" t="s">
        <v>2541</v>
      </c>
    </row>
    <row r="104" spans="2:5">
      <c r="B104" s="5" t="s">
        <v>1936</v>
      </c>
      <c r="C104" t="s">
        <v>2542</v>
      </c>
    </row>
    <row r="105" spans="2:5">
      <c r="B105" s="5" t="s">
        <v>560</v>
      </c>
      <c r="C105" t="s">
        <v>2543</v>
      </c>
    </row>
    <row r="106" spans="2:5">
      <c r="B106" s="5" t="s">
        <v>563</v>
      </c>
      <c r="C106" t="s">
        <v>2544</v>
      </c>
    </row>
    <row r="107" spans="2:5">
      <c r="B107" s="5" t="s">
        <v>2314</v>
      </c>
      <c r="C107" t="s">
        <v>2545</v>
      </c>
    </row>
    <row r="108" spans="2:5">
      <c r="B108" s="5" t="s">
        <v>2309</v>
      </c>
      <c r="C108" t="s">
        <v>2546</v>
      </c>
    </row>
    <row r="109" spans="2:5">
      <c r="B109" s="5" t="s">
        <v>169</v>
      </c>
      <c r="C109" t="s">
        <v>2547</v>
      </c>
    </row>
    <row r="110" spans="2:5">
      <c r="B110" s="5" t="s">
        <v>2357</v>
      </c>
      <c r="C110" t="s">
        <v>2548</v>
      </c>
    </row>
    <row r="111" spans="2:5">
      <c r="B111" s="5" t="s">
        <v>2377</v>
      </c>
      <c r="C111" t="s">
        <v>2549</v>
      </c>
    </row>
    <row r="112" spans="2:5">
      <c r="B112" s="5" t="s">
        <v>1707</v>
      </c>
      <c r="C112" t="s">
        <v>2550</v>
      </c>
      <c r="E112" s="5" t="s">
        <v>2537</v>
      </c>
    </row>
    <row r="113" spans="2:4">
      <c r="B113" s="5" t="s">
        <v>578</v>
      </c>
      <c r="C113" t="s">
        <v>2551</v>
      </c>
    </row>
    <row r="114" spans="2:4">
      <c r="B114" s="5" t="s">
        <v>579</v>
      </c>
      <c r="C114" t="s">
        <v>2552</v>
      </c>
    </row>
    <row r="115" spans="2:4">
      <c r="B115" s="5" t="s">
        <v>580</v>
      </c>
      <c r="C115" t="s">
        <v>2553</v>
      </c>
    </row>
    <row r="116" spans="2:4">
      <c r="B116" s="5" t="s">
        <v>1776</v>
      </c>
      <c r="C116" t="s">
        <v>2554</v>
      </c>
    </row>
    <row r="117" spans="2:4">
      <c r="B117" s="5" t="s">
        <v>794</v>
      </c>
      <c r="C117" t="s">
        <v>2555</v>
      </c>
      <c r="D117" s="5" t="s">
        <v>2668</v>
      </c>
    </row>
    <row r="118" spans="2:4">
      <c r="B118" s="5" t="s">
        <v>2652</v>
      </c>
      <c r="C118" t="str">
        <f xml:space="preserve"> "Shape from `" &amp; $B$117 &amp; "` marker; with green."</f>
        <v>Shape from `EU` marker; with green.</v>
      </c>
      <c r="D118" s="5" t="s">
        <v>2666</v>
      </c>
    </row>
    <row r="119" spans="2:4">
      <c r="B119" s="5" t="s">
        <v>2653</v>
      </c>
      <c r="C119" t="str">
        <f xml:space="preserve"> "Shape from `" &amp; $B$117 &amp; "` marker; with blue and yellow from the [flag of Europe](http://en.wikipedia.org/wiki/Flag_of_Europe)."</f>
        <v>Shape from `EU` marker; with blue and yellow from the [flag of Europe](http://en.wikipedia.org/wiki/Flag_of_Europe).</v>
      </c>
      <c r="D119" s="5" t="s">
        <v>2667</v>
      </c>
    </row>
    <row r="120" spans="2:4">
      <c r="B120" s="5" t="s">
        <v>2654</v>
      </c>
      <c r="C120" t="str">
        <f xml:space="preserve"> "Shape from `" &amp; $B$117 &amp; "` marker; with blue from the [flag of Europe](http://en.wikipedia.org/wiki/Flag_of_Europe)."</f>
        <v>Shape from `EU` marker; with blue from the [flag of Europe](http://en.wikipedia.org/wiki/Flag_of_Europe).</v>
      </c>
      <c r="D120" s="5" t="s">
        <v>2669</v>
      </c>
    </row>
    <row r="121" spans="2:4">
      <c r="B121" s="5" t="s">
        <v>796</v>
      </c>
      <c r="C121" t="s">
        <v>2556</v>
      </c>
    </row>
    <row r="122" spans="2:4">
      <c r="B122" s="5" t="s">
        <v>581</v>
      </c>
      <c r="C122" t="s">
        <v>2557</v>
      </c>
      <c r="D122" s="5" t="s">
        <v>2558</v>
      </c>
    </row>
    <row r="123" spans="2:4">
      <c r="B123" s="5" t="str">
        <f xml:space="preserve"> B122&amp;"_2"</f>
        <v>DE_2</v>
      </c>
      <c r="C123" t="str">
        <f xml:space="preserve"> "Shape from `" &amp; $B122 &amp; "` marker; red replacing white."</f>
        <v>Shape from `DE` marker; red replacing white.</v>
      </c>
      <c r="D123" s="5" t="s">
        <v>2559</v>
      </c>
    </row>
    <row r="124" spans="2:4">
      <c r="B124" s="5" t="s">
        <v>598</v>
      </c>
      <c r="C124" t="s">
        <v>2560</v>
      </c>
      <c r="D124" s="5" t="s">
        <v>2561</v>
      </c>
    </row>
    <row r="125" spans="2:4">
      <c r="B125" s="5" t="str">
        <f xml:space="preserve"> B124&amp;"_2"</f>
        <v>FR_2</v>
      </c>
      <c r="C125" t="str">
        <f xml:space="preserve"> "Shape from `" &amp; $B124 &amp; "` marker; colours re-ordereed and black replacing white."</f>
        <v>Shape from `FR` marker; colours re-ordereed and black replacing white.</v>
      </c>
      <c r="D125" s="5" t="s">
        <v>2624</v>
      </c>
    </row>
    <row r="126" spans="2:4">
      <c r="B126" s="5" t="s">
        <v>635</v>
      </c>
      <c r="C126" t="s">
        <v>2562</v>
      </c>
      <c r="D126" s="5" t="s">
        <v>2563</v>
      </c>
    </row>
    <row r="127" spans="2:4">
      <c r="B127" s="5" t="str">
        <f xml:space="preserve"> B126&amp;"_2"</f>
        <v>IT_2</v>
      </c>
      <c r="C127" t="str">
        <f xml:space="preserve"> "Shape from `" &amp; $B126 &amp; "` marker; black replacing white."</f>
        <v>Shape from `IT` marker; black replacing white.</v>
      </c>
      <c r="D127" s="5" t="s">
        <v>2564</v>
      </c>
    </row>
    <row r="128" spans="2:4">
      <c r="B128" s="5" t="s">
        <v>170</v>
      </c>
      <c r="C128" t="s">
        <v>2565</v>
      </c>
      <c r="D128" s="5" t="s">
        <v>2639</v>
      </c>
    </row>
    <row r="129" spans="2:4">
      <c r="B129" s="5" t="str">
        <f xml:space="preserve"> B128&amp;"_2"</f>
        <v>ES_2</v>
      </c>
      <c r="C129" t="str">
        <f xml:space="preserve"> "Shape from `" &amp; $B128 &amp; "` marker; green replacing gold."</f>
        <v>Shape from `ES` marker; green replacing gold.</v>
      </c>
      <c r="D129" s="5" t="s">
        <v>2566</v>
      </c>
    </row>
    <row r="130" spans="2:4">
      <c r="B130" s="5" t="s">
        <v>636</v>
      </c>
      <c r="C130" t="s">
        <v>2567</v>
      </c>
      <c r="D130" s="5" t="s">
        <v>2568</v>
      </c>
    </row>
    <row r="131" spans="2:4">
      <c r="B131" s="5" t="str">
        <f xml:space="preserve"> B130&amp;"_2"</f>
        <v>NL_2</v>
      </c>
      <c r="C131" t="str">
        <f xml:space="preserve"> "Shape from `" &amp; $B130 &amp; "` marker; the colours switched."</f>
        <v>Shape from `NL` marker; the colours switched.</v>
      </c>
      <c r="D131" s="5" t="s">
        <v>2569</v>
      </c>
    </row>
    <row r="132" spans="2:4">
      <c r="B132" s="5" t="s">
        <v>655</v>
      </c>
      <c r="C132" t="s">
        <v>2570</v>
      </c>
      <c r="D132" s="5" t="s">
        <v>2618</v>
      </c>
    </row>
    <row r="133" spans="2:4">
      <c r="B133" s="5" t="str">
        <f xml:space="preserve"> B132&amp;"_2"</f>
        <v>BE_2</v>
      </c>
      <c r="C133" t="str">
        <f xml:space="preserve"> "Shape from `" &amp; $B132 &amp; "` marker; the colours switched."</f>
        <v>Shape from `BE` marker; the colours switched.</v>
      </c>
      <c r="D133" s="5" t="s">
        <v>2571</v>
      </c>
    </row>
    <row r="134" spans="2:4">
      <c r="B134" s="5" t="s">
        <v>656</v>
      </c>
      <c r="C134" t="s">
        <v>2572</v>
      </c>
      <c r="D134" s="5" t="s">
        <v>2573</v>
      </c>
    </row>
    <row r="135" spans="2:4">
      <c r="B135" s="5" t="str">
        <f xml:space="preserve"> B134&amp;"_2"</f>
        <v>AT_2</v>
      </c>
      <c r="C135" t="str">
        <f xml:space="preserve"> "Shape from `" &amp; $B134 &amp; "` marker; black replacing white."</f>
        <v>Shape from `AT` marker; black replacing white.</v>
      </c>
      <c r="D135" s="5" t="s">
        <v>2574</v>
      </c>
    </row>
    <row r="136" spans="2:4">
      <c r="B136" s="5" t="s">
        <v>103</v>
      </c>
      <c r="C136" t="s">
        <v>2575</v>
      </c>
      <c r="D136" s="5" t="s">
        <v>2576</v>
      </c>
    </row>
    <row r="137" spans="2:4">
      <c r="B137" s="5" t="str">
        <f xml:space="preserve"> B136&amp;"_2"</f>
        <v>PT_2</v>
      </c>
      <c r="C137" t="str">
        <f xml:space="preserve"> "Shape from `" &amp; $B136 &amp; "` marker; bright green replacing dark green."</f>
        <v>Shape from `PT` marker; bright green replacing dark green.</v>
      </c>
      <c r="D137" s="5" t="s">
        <v>2577</v>
      </c>
    </row>
    <row r="138" spans="2:4">
      <c r="B138" s="5" t="s">
        <v>171</v>
      </c>
      <c r="C138" t="s">
        <v>2578</v>
      </c>
      <c r="D138" s="5" t="s">
        <v>2579</v>
      </c>
    </row>
    <row r="139" spans="2:4">
      <c r="B139" s="5" t="str">
        <f xml:space="preserve"> B138&amp;"_2"</f>
        <v>GR_2</v>
      </c>
      <c r="C139" t="str">
        <f xml:space="preserve"> "Shape from `" &amp; $B138 &amp; "` marker; green replacing white."</f>
        <v>Shape from `GR` marker; green replacing white.</v>
      </c>
      <c r="D139" s="5" t="s">
        <v>2580</v>
      </c>
    </row>
    <row r="140" spans="2:4">
      <c r="B140" s="5" t="s">
        <v>675</v>
      </c>
      <c r="C140" t="s">
        <v>2627</v>
      </c>
      <c r="D140" s="5" t="s">
        <v>2581</v>
      </c>
    </row>
    <row r="141" spans="2:4">
      <c r="B141" s="5" t="str">
        <f xml:space="preserve"> B140&amp;"_2"</f>
        <v>IE_2</v>
      </c>
      <c r="C141" t="str">
        <f xml:space="preserve"> "Shape from `" &amp; $B140 &amp; "` marker; the colours switched."</f>
        <v>Shape from `IE` marker; the colours switched.</v>
      </c>
      <c r="D141" s="5" t="s">
        <v>2582</v>
      </c>
    </row>
    <row r="142" spans="2:4">
      <c r="B142" s="5" t="s">
        <v>657</v>
      </c>
      <c r="C142" t="s">
        <v>2583</v>
      </c>
      <c r="D142" s="5" t="s">
        <v>2584</v>
      </c>
    </row>
    <row r="143" spans="2:4">
      <c r="B143" s="5" t="str">
        <f xml:space="preserve"> B142&amp;"_2"</f>
        <v>FI_2</v>
      </c>
      <c r="C143" t="str">
        <f xml:space="preserve"> "Shape from `" &amp; $B142 &amp; "` marker; green replacing white."</f>
        <v>Shape from `FI` marker; green replacing white.</v>
      </c>
      <c r="D143" s="5" t="s">
        <v>2585</v>
      </c>
    </row>
    <row r="144" spans="2:4">
      <c r="B144" s="5" t="s">
        <v>358</v>
      </c>
      <c r="C144" t="s">
        <v>2586</v>
      </c>
      <c r="D144" s="5" t="s">
        <v>2587</v>
      </c>
    </row>
    <row r="145" spans="2:5">
      <c r="B145" s="5" t="str">
        <f xml:space="preserve"> B144&amp;"_2"</f>
        <v>SK_2</v>
      </c>
      <c r="C145" t="str">
        <f xml:space="preserve"> "Shape from `" &amp; $B144 &amp; "` marker; the colours switched."</f>
        <v>Shape from `SK` marker; the colours switched.</v>
      </c>
      <c r="D145" s="5" t="s">
        <v>2588</v>
      </c>
    </row>
    <row r="146" spans="2:5">
      <c r="B146" s="5" t="s">
        <v>1666</v>
      </c>
      <c r="C146" t="s">
        <v>2589</v>
      </c>
    </row>
    <row r="147" spans="2:5">
      <c r="B147" s="5" t="s">
        <v>359</v>
      </c>
      <c r="C147" t="s">
        <v>2590</v>
      </c>
    </row>
    <row r="148" spans="2:5">
      <c r="B148" s="5" t="s">
        <v>614</v>
      </c>
      <c r="C148" t="s">
        <v>2591</v>
      </c>
      <c r="E148" s="5" t="s">
        <v>2592</v>
      </c>
    </row>
    <row r="149" spans="2:5">
      <c r="B149" s="5" t="s">
        <v>676</v>
      </c>
      <c r="C149" t="s">
        <v>2593</v>
      </c>
    </row>
    <row r="150" spans="2:5">
      <c r="B150" s="5" t="s">
        <v>104</v>
      </c>
      <c r="C150" t="s">
        <v>2594</v>
      </c>
      <c r="E150" s="5" t="s">
        <v>2636</v>
      </c>
    </row>
    <row r="151" spans="2:5">
      <c r="B151" s="5" t="s">
        <v>105</v>
      </c>
      <c r="C151" t="s">
        <v>2595</v>
      </c>
    </row>
    <row r="152" spans="2:5">
      <c r="B152" s="5" t="s">
        <v>694</v>
      </c>
      <c r="C152" t="s">
        <v>2596</v>
      </c>
    </row>
    <row r="153" spans="2:5">
      <c r="B153" s="5" t="s">
        <v>714</v>
      </c>
      <c r="C153" t="s">
        <v>2597</v>
      </c>
    </row>
    <row r="154" spans="2:5">
      <c r="B154" s="5" t="s">
        <v>1704</v>
      </c>
      <c r="C154" t="s">
        <v>2598</v>
      </c>
      <c r="E154" s="5" t="s">
        <v>2599</v>
      </c>
    </row>
    <row r="155" spans="2:5">
      <c r="B155" s="5" t="s">
        <v>715</v>
      </c>
      <c r="C155" t="s">
        <v>2600</v>
      </c>
    </row>
    <row r="156" spans="2:5">
      <c r="B156" s="5" t="s">
        <v>795</v>
      </c>
      <c r="C156" t="s">
        <v>2601</v>
      </c>
    </row>
    <row r="157" spans="2:5">
      <c r="B157" s="5" t="s">
        <v>2131</v>
      </c>
      <c r="C157" t="s">
        <v>2637</v>
      </c>
    </row>
    <row r="158" spans="2:5">
      <c r="B158" s="5" t="s">
        <v>172</v>
      </c>
      <c r="C158" t="s">
        <v>2646</v>
      </c>
    </row>
    <row r="159" spans="2:5">
      <c r="B159" s="5" t="s">
        <v>971</v>
      </c>
      <c r="C159" t="s">
        <v>2602</v>
      </c>
    </row>
    <row r="160" spans="2:5">
      <c r="B160" s="5" t="s">
        <v>2246</v>
      </c>
      <c r="C160" t="s">
        <v>2603</v>
      </c>
    </row>
    <row r="161" spans="2:5">
      <c r="B161" s="5" t="s">
        <v>1941</v>
      </c>
      <c r="C161" t="s">
        <v>2604</v>
      </c>
    </row>
    <row r="162" spans="2:5">
      <c r="B162" s="5" t="s">
        <v>798</v>
      </c>
      <c r="C162" t="s">
        <v>2605</v>
      </c>
    </row>
    <row r="163" spans="2:5">
      <c r="B163" s="5" t="s">
        <v>2247</v>
      </c>
      <c r="C163" t="s">
        <v>2623</v>
      </c>
    </row>
    <row r="164" spans="2:5">
      <c r="B164" s="5" t="s">
        <v>173</v>
      </c>
      <c r="C164" t="s">
        <v>2606</v>
      </c>
    </row>
    <row r="165" spans="2:5">
      <c r="B165" s="5" t="s">
        <v>1943</v>
      </c>
      <c r="C165" t="s">
        <v>2607</v>
      </c>
    </row>
    <row r="166" spans="2:5">
      <c r="B166" s="5" t="s">
        <v>955</v>
      </c>
      <c r="C166" t="s">
        <v>2608</v>
      </c>
    </row>
    <row r="167" spans="2:5">
      <c r="B167" s="5" t="s">
        <v>106</v>
      </c>
      <c r="C167" t="s">
        <v>2609</v>
      </c>
    </row>
    <row r="168" spans="2:5">
      <c r="B168" s="5" t="s">
        <v>2042</v>
      </c>
      <c r="C168" t="s">
        <v>2645</v>
      </c>
    </row>
    <row r="169" spans="2:5">
      <c r="B169" s="5" t="s">
        <v>992</v>
      </c>
      <c r="C169" t="s">
        <v>2610</v>
      </c>
    </row>
    <row r="170" spans="2:5">
      <c r="B170" s="5" t="s">
        <v>2032</v>
      </c>
      <c r="C170" t="s">
        <v>2611</v>
      </c>
    </row>
    <row r="171" spans="2:5">
      <c r="B171" s="5" t="s">
        <v>2037</v>
      </c>
      <c r="C171" t="s">
        <v>2612</v>
      </c>
    </row>
    <row r="172" spans="2:5">
      <c r="B172" s="5" t="s">
        <v>1050</v>
      </c>
      <c r="C172" t="s">
        <v>2613</v>
      </c>
    </row>
    <row r="173" spans="2:5">
      <c r="B173" s="5" t="s">
        <v>1946</v>
      </c>
      <c r="C173" t="s">
        <v>2621</v>
      </c>
      <c r="E173" s="5" t="s">
        <v>2622</v>
      </c>
    </row>
    <row r="174" spans="2:5">
      <c r="B174" s="5" t="s">
        <v>1947</v>
      </c>
      <c r="C174" t="s">
        <v>2619</v>
      </c>
      <c r="D174" s="5" t="s">
        <v>2620</v>
      </c>
    </row>
    <row r="175" spans="2:5">
      <c r="B175" s="5" t="s">
        <v>1949</v>
      </c>
      <c r="C175" t="s">
        <v>2614</v>
      </c>
    </row>
    <row r="176" spans="2:5">
      <c r="B176" s="5" t="s">
        <v>1950</v>
      </c>
      <c r="C176" t="s">
        <v>2615</v>
      </c>
    </row>
    <row r="177" spans="2:3">
      <c r="B177" s="5" t="s">
        <v>929</v>
      </c>
      <c r="C177" t="s">
        <v>2616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topLeftCell="B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45864.725310069443</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45864</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183</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124694</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2670</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45864.724988425929</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B54" s="4" t="s">
        <v>2671</v>
      </c>
      <c r="C54" s="64" t="str">
        <f xml:space="preserve"> " USD USD_2 USD_3 GHS "</f>
        <v xml:space="preserve"> USD USD_2 USD_3 GHS </v>
      </c>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B55" s="4" t="s">
        <v>2672</v>
      </c>
      <c r="C55" s="67">
        <f xml:space="preserve"> DATE(2025,7,27) + TIME(23, 45, 0)</f>
        <v>45865.989583333336</v>
      </c>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1333</vt:i4>
      </vt:variant>
    </vt:vector>
  </HeadingPairs>
  <TitlesOfParts>
    <vt:vector size="1395"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2025-07-26T16:24:40Z</dcterms:modified>
</cp:coreProperties>
</file>