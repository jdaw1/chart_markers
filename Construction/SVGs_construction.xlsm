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2094301B-DA68-E442-B1DA-38C97F9AA4DE}" xr6:coauthVersionLast="47" xr6:coauthVersionMax="47" xr10:uidLastSave="{00000000-0000-0000-0000-000000000000}"/>
  <bookViews>
    <workbookView xWindow="200" yWindow="500" windowWidth="42920" windowHeight="26760" firstSheet="38"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OS" hidden="1" xlm="1">#NAME?</definedName>
    <definedName name="_xleta.ROUND" hidden="1" xlm="1">#NAME?</definedName>
    <definedName name="_xleta.SIN" hidden="1" xlm="1">#NAME?</definedName>
    <definedName name="_xleta.SQRT" hidden="1" xlm="1">#NAME?</definedName>
    <definedName name="_xlpm.a" hidden="1" xlm="1">#NAME?</definedName>
    <definedName name="_xlpm.b" hidden="1" xlm="1">#NAME?</definedName>
    <definedName name="_xlpm.f" hidden="1" xlm="1">#NAME?</definedName>
    <definedName name="_xlpm.hex"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ChartLines!$J$3:$J$371</definedName>
    <definedName name="ChartLines.G">ChartLines!$I$3:$I$371</definedName>
    <definedName name="ChartLines.Hex6">ChartLines!$C$3:$C$371</definedName>
    <definedName name="ChartLines.ID">ChartLines!$B$3:$B$371</definedName>
    <definedName name="ChartLines.InstanceNum">ChartLines!$F$3:$F$371</definedName>
    <definedName name="ChartLines.NumInstances">ChartLines!$E$3:$E$371</definedName>
    <definedName name="ChartLines.R">ChartLines!$H$3:$H$371</definedName>
    <definedName name="ChartLines.RowNum">ChartLines!$K$3:$K$371</definedName>
    <definedName name="ChartLines.ThicknessText">ChartLines!$G$3:$G$371</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Notes!$E$6:$E$185</definedName>
    <definedName name="Notes.ID">Notes!$B$6:$B$185</definedName>
    <definedName name="Notes.Mnemonic">Notes!$C$6:$C$185</definedName>
    <definedName name="Notes.Usage">Notes!$D$6:$D$185</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XPF!$R$10:$R$100</definedName>
    <definedName name="XPF.AreaMultiplier">XPF!$C$26</definedName>
    <definedName name="XPF.Aspect">XPF!$C$27</definedName>
    <definedName name="XPF.CircleI_X">XPF!$U$10:$U$100</definedName>
    <definedName name="XPF.CircleI_Y">XPF!$V$10:$V$100</definedName>
    <definedName name="XPF.CircleO_X">XPF!$S$10:$S$100</definedName>
    <definedName name="XPF.CircleO_Y">XPF!$T$10:$T$100</definedName>
    <definedName name="XPF.CircleTest_X">XPF!$X$10:$X$100</definedName>
    <definedName name="XPF.CircleTest_Y">XPF!$Y$10:$Y$100</definedName>
    <definedName name="XPF.CircleTest2_X">XPF!$AA$10:$AA$100</definedName>
    <definedName name="XPF.CircleTest2_Y">XPF!$AB$10:$AB$100</definedName>
    <definedName name="XPF.DecimalPlaces">XPF!$C$5</definedName>
    <definedName name="XPF.Height">XPF!$C$28</definedName>
    <definedName name="XPF.MaxX">XPF!$C$21</definedName>
    <definedName name="XPF.MaxY">XPF!$C$22</definedName>
    <definedName name="XPF.MinX">XPF!$C$23</definedName>
    <definedName name="XPF.MinY">XPF!$C$24</definedName>
    <definedName name="XPF.R">XPF!$I$10:$I$19</definedName>
    <definedName name="XPF.R_Relative">XPF!$J$10:$J$19</definedName>
    <definedName name="XPF.RadiusInner">XPF!$C$3</definedName>
    <definedName name="XPF.RadiusOuter">XPF!$C$2</definedName>
    <definedName name="XPF.SlopeM">XPF!$C$7</definedName>
    <definedName name="XPF.svg">XPF!$C$37:$C$41</definedName>
    <definedName name="XPF.SVG_painting_B">XPF!$C$31</definedName>
    <definedName name="XPF.SVG_painting_R">XPF!$C$32</definedName>
    <definedName name="XPF.SVG_painting_W">XPF!$C$33</definedName>
    <definedName name="XPF.ThicknessM">XPF!$C$8</definedName>
    <definedName name="XPF.Width">XPF!$C$29</definedName>
    <definedName name="XPF.X">XPF!$F$10:$F$19</definedName>
    <definedName name="XPF.Y">XPF!$G$10:$G$19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T26" i="25" l="1" a="1"/>
  <c r="T26" i="25" s="1"/>
  <c r="C362" i="63"/>
  <c r="C361"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F13" i="78"/>
  <c r="C3" i="78"/>
  <c r="C7" i="78"/>
  <c r="CE2" i="25"/>
  <c r="CE29" i="25"/>
  <c r="CE28" i="25"/>
  <c r="CE27" i="25"/>
  <c r="CE26" i="25"/>
  <c r="CE25" i="25"/>
  <c r="CE24" i="25"/>
  <c r="CD29" i="25"/>
  <c r="CC29" i="25"/>
  <c r="CD28" i="25"/>
  <c r="CC28" i="25"/>
  <c r="CD27" i="25"/>
  <c r="CC27" i="25"/>
  <c r="CD26" i="25"/>
  <c r="CC26" i="25"/>
  <c r="CD25" i="25"/>
  <c r="CC25" i="25"/>
  <c r="CD24" i="25"/>
  <c r="CC24" i="25"/>
  <c r="CB26" i="25"/>
  <c r="CB25" i="25"/>
  <c r="CB14" i="25"/>
  <c r="CB13" i="25"/>
  <c r="CB32" i="25"/>
  <c r="CA29" i="25"/>
  <c r="CA28" i="25"/>
  <c r="CA27" i="25"/>
  <c r="CA26" i="25"/>
  <c r="CA25" i="25"/>
  <c r="CA24" i="25"/>
  <c r="CB17" i="25"/>
  <c r="C357" i="63"/>
  <c r="E355" i="63"/>
  <c r="E356" i="63"/>
  <c r="F356" i="63"/>
  <c r="G356" i="63" s="1" a="1"/>
  <c r="G356" i="63" s="1"/>
  <c r="E357" i="63"/>
  <c r="E358" i="63"/>
  <c r="E359" i="63"/>
  <c r="E360" i="63"/>
  <c r="E361" i="63"/>
  <c r="E362" i="63"/>
  <c r="E363" i="63"/>
  <c r="F363" i="63"/>
  <c r="AP30" i="8"/>
  <c r="AP34" i="8"/>
  <c r="AP29" i="8"/>
  <c r="AP27" i="8"/>
  <c r="AP26" i="8"/>
  <c r="AP20" i="8"/>
  <c r="AP4" i="8"/>
  <c r="C55" i="5"/>
  <c r="C54" i="5"/>
  <c r="R10" i="78" a="1"/>
  <c r="R10" i="78" s="1"/>
  <c r="C11" i="78"/>
  <c r="C10" i="78"/>
  <c r="C12" i="78" s="1"/>
  <c r="C21" i="78" a="1"/>
  <c r="C21" i="78" s="1"/>
  <c r="F16" i="78"/>
  <c r="C5" i="78"/>
  <c r="AD26" i="25"/>
  <c r="V14" i="25"/>
  <c r="E276" i="63"/>
  <c r="E277" i="63"/>
  <c r="C276" i="63"/>
  <c r="C277" i="63"/>
  <c r="E185" i="63"/>
  <c r="E184" i="63"/>
  <c r="C184" i="63"/>
  <c r="V27" i="25" a="1"/>
  <c r="V27" i="25" s="1"/>
  <c r="V26" i="25" a="1"/>
  <c r="V26" i="25" s="1"/>
  <c r="T13" i="25"/>
  <c r="V32" i="25"/>
  <c r="W29" i="25"/>
  <c r="W28" i="25"/>
  <c r="W27" i="25"/>
  <c r="W26" i="25"/>
  <c r="W25" i="25"/>
  <c r="V25" i="25" a="1"/>
  <c r="V25" i="25" s="1"/>
  <c r="W24" i="25"/>
  <c r="V13" i="25"/>
  <c r="T32" i="25"/>
  <c r="U29" i="25"/>
  <c r="U28" i="25"/>
  <c r="U27" i="25"/>
  <c r="U26" i="25"/>
  <c r="U25" i="25"/>
  <c r="T25" i="25" a="1"/>
  <c r="T25" i="25" s="1"/>
  <c r="U24" i="25"/>
  <c r="T14" i="25"/>
  <c r="F275" i="63"/>
  <c r="E275" i="63"/>
  <c r="E274" i="63"/>
  <c r="R16" i="8"/>
  <c r="R34" i="8"/>
  <c r="R29" i="8"/>
  <c r="R4" i="8"/>
  <c r="S31" i="8"/>
  <c r="S30" i="8"/>
  <c r="S29" i="8"/>
  <c r="S28" i="8"/>
  <c r="S27" i="8"/>
  <c r="S26" i="8"/>
  <c r="S25" i="8"/>
  <c r="E3" i="71"/>
  <c r="K3" i="63" a="1"/>
  <c r="E11" i="63"/>
  <c r="E10" i="63"/>
  <c r="C11" i="63"/>
  <c r="F35" i="25"/>
  <c r="F34" i="25"/>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C13" i="78" l="1"/>
  <c r="X10" i="78" a="1"/>
  <c r="X10" i="78" s="1"/>
  <c r="F355" i="63"/>
  <c r="F359" i="63"/>
  <c r="G359" i="63" s="1" a="1"/>
  <c r="G359" i="63" s="1"/>
  <c r="F361" i="63"/>
  <c r="F357" i="63"/>
  <c r="G357" i="63" s="1" a="1"/>
  <c r="G357" i="63" s="1"/>
  <c r="F362" i="63"/>
  <c r="F358" i="63"/>
  <c r="F360" i="63"/>
  <c r="G360" i="63" s="1" a="1"/>
  <c r="G360" i="63" s="1"/>
  <c r="C38" i="78" a="1"/>
  <c r="C38" i="78" s="1"/>
  <c r="C40" i="78"/>
  <c r="C8" i="78"/>
  <c r="F10" i="78"/>
  <c r="F18" i="78"/>
  <c r="F19" i="78"/>
  <c r="F14" i="78"/>
  <c r="AA10" i="78" s="1" a="1"/>
  <c r="AA10" i="78" s="1"/>
  <c r="F15" i="78"/>
  <c r="F17" i="78"/>
  <c r="F12" i="78"/>
  <c r="G363" i="63" a="1"/>
  <c r="G363" i="63" s="1"/>
  <c r="G355" i="63" a="1"/>
  <c r="G355" i="63" s="1"/>
  <c r="G358" i="63" a="1"/>
  <c r="G358" i="63" s="1"/>
  <c r="G361" i="63" a="1"/>
  <c r="G361" i="63" s="1"/>
  <c r="G362" i="63" a="1"/>
  <c r="G362" i="63" s="1"/>
  <c r="U10" i="78" a="1"/>
  <c r="T10" i="78" a="1"/>
  <c r="S10" i="78" a="1"/>
  <c r="V10" i="78" a="1"/>
  <c r="C23" i="78" a="1"/>
  <c r="C23" i="78" s="1"/>
  <c r="C22" i="78" a="1"/>
  <c r="C22" i="78" s="1"/>
  <c r="C24" i="78" s="1" a="1"/>
  <c r="C24" i="78" s="1"/>
  <c r="C27" i="78" s="1" a="1"/>
  <c r="C27" i="78" s="1"/>
  <c r="G12" i="78"/>
  <c r="G15" i="78" s="1"/>
  <c r="G11" i="78"/>
  <c r="G10" i="78"/>
  <c r="F7" i="78" s="1"/>
  <c r="G19" i="78"/>
  <c r="G18" i="78" s="1"/>
  <c r="G13" i="78"/>
  <c r="F184" i="63"/>
  <c r="G184" i="63" s="1" a="1"/>
  <c r="G184" i="63" s="1"/>
  <c r="F274" i="63"/>
  <c r="G274" i="63" s="1" a="1"/>
  <c r="G274" i="63" s="1"/>
  <c r="F5" i="63"/>
  <c r="G5" i="63" s="1" a="1"/>
  <c r="G5" i="63" s="1"/>
  <c r="F276" i="63"/>
  <c r="G276" i="63" s="1" a="1"/>
  <c r="G276" i="63" s="1"/>
  <c r="F277" i="63"/>
  <c r="G277" i="63" s="1" a="1"/>
  <c r="G277" i="63" s="1"/>
  <c r="F185" i="63"/>
  <c r="G185" i="63" s="1" a="1"/>
  <c r="G185" i="63" s="1"/>
  <c r="V17" i="25"/>
  <c r="G275" i="63" a="1"/>
  <c r="G275" i="63" s="1"/>
  <c r="T17" i="25"/>
  <c r="K3" i="63"/>
  <c r="D3" i="71"/>
  <c r="F10" i="63"/>
  <c r="G10" i="63" s="1" a="1"/>
  <c r="G10" i="63" s="1"/>
  <c r="F11" i="63"/>
  <c r="G11" i="63" s="1" a="1"/>
  <c r="G11" i="63" s="1"/>
  <c r="F36" i="25"/>
  <c r="F25" i="25"/>
  <c r="F14" i="25"/>
  <c r="F17" i="25" s="1"/>
  <c r="J26" i="25"/>
  <c r="F51" i="63"/>
  <c r="G51" i="63" s="1" a="1"/>
  <c r="G51"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6" i="61"/>
  <c r="AX106" i="61"/>
  <c r="AP106" i="61"/>
  <c r="J106" i="61"/>
  <c r="AP105" i="61"/>
  <c r="BR104" i="61"/>
  <c r="BR103" i="61"/>
  <c r="CV7" i="61"/>
  <c r="CB6" i="61"/>
  <c r="BH6" i="61"/>
  <c r="AV4" i="61"/>
  <c r="AF10" i="8"/>
  <c r="X99" i="58"/>
  <c r="V99" i="58"/>
  <c r="P99" i="58"/>
  <c r="N99" i="58"/>
  <c r="L99" i="58"/>
  <c r="J99" i="58"/>
  <c r="X87" i="58"/>
  <c r="AN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8"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G14" i="78" l="1"/>
  <c r="AB10" i="78" a="1"/>
  <c r="AB10" i="78" s="1"/>
  <c r="G16" i="78"/>
  <c r="Y10" i="78" a="1"/>
  <c r="Y10" i="78" s="1"/>
  <c r="G17" i="78"/>
  <c r="G21" i="78" s="1" a="1"/>
  <c r="G21" i="78" s="1"/>
  <c r="U10" i="78"/>
  <c r="T10" i="78"/>
  <c r="S10" i="78"/>
  <c r="V10" i="78"/>
  <c r="C39" i="78"/>
  <c r="I10" i="78" a="1"/>
  <c r="F27" i="25"/>
  <c r="AH77" i="61"/>
  <c r="AD77" i="61"/>
  <c r="Z77" i="61"/>
  <c r="B39" i="72"/>
  <c r="N8" i="61"/>
  <c r="N78" i="61" s="1"/>
  <c r="M8" i="61"/>
  <c r="Q8" i="61"/>
  <c r="R8" i="61"/>
  <c r="X8" i="61"/>
  <c r="Y7" i="61"/>
  <c r="Z7" i="61" s="1"/>
  <c r="Z79"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R82" i="61" a="1"/>
  <c r="R82" i="61" s="1"/>
  <c r="R79" i="61"/>
  <c r="N81" i="61" a="1"/>
  <c r="N81" i="61" s="1"/>
  <c r="R80" i="61" a="1"/>
  <c r="R80" i="61" s="1"/>
  <c r="N80" i="61" a="1"/>
  <c r="N80" i="61" s="1"/>
  <c r="N82" i="61" a="1"/>
  <c r="N82" i="61" s="1"/>
  <c r="R81" i="61" a="1"/>
  <c r="R81" i="61" s="1"/>
  <c r="F371" i="63"/>
  <c r="E371"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I10" i="78" l="1"/>
  <c r="J10" i="78" s="1" a="1"/>
  <c r="J10" i="78" s="1"/>
  <c r="AH62" i="61"/>
  <c r="AH64" i="61" s="1"/>
  <c r="AD8" i="61"/>
  <c r="AC8" i="61"/>
  <c r="Y8" i="61"/>
  <c r="Z8" i="61"/>
  <c r="AG8" i="61"/>
  <c r="AH8" i="61"/>
  <c r="AD78" i="61"/>
  <c r="AD75" i="61"/>
  <c r="AD62" i="61"/>
  <c r="Z78" i="61"/>
  <c r="Z75" i="61"/>
  <c r="Z62" i="61"/>
  <c r="R78" i="61"/>
  <c r="AH78" i="61"/>
  <c r="AH75" i="61"/>
  <c r="G371" i="63" a="1"/>
  <c r="G371" i="63" s="1"/>
  <c r="W6" i="5" a="1"/>
  <c r="W6" i="5" s="1"/>
  <c r="AH63" i="61" l="1"/>
  <c r="AH65" i="61" s="1"/>
  <c r="AH67" i="61" s="1"/>
  <c r="AD64" i="61"/>
  <c r="AD63" i="61"/>
  <c r="AD65" i="61" s="1"/>
  <c r="Z64" i="61"/>
  <c r="Z63" i="61"/>
  <c r="Z65" i="61" s="1"/>
  <c r="C320" i="63"/>
  <c r="AD67" i="61" l="1"/>
  <c r="Z67" i="61"/>
  <c r="BV25" i="25"/>
  <c r="BV28" i="25"/>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C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31" i="14" s="1" a="1"/>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V31" i="14" l="1" a="1"/>
  <c r="V31" i="14" s="1"/>
  <c r="CX8" i="6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D30" i="8"/>
  <c r="E31" i="72" l="1"/>
  <c r="CX75" i="61"/>
  <c r="CX74" i="61"/>
  <c r="C28" i="75"/>
  <c r="D29" i="75"/>
  <c r="E30" i="72"/>
  <c r="E28" i="72"/>
  <c r="E29" i="72"/>
  <c r="CX77" i="61"/>
  <c r="CX79"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6" i="61" a="1"/>
  <c r="CX76" i="61" s="1"/>
  <c r="CX67" i="61"/>
  <c r="Z14" i="8"/>
  <c r="BH28" i="25"/>
  <c r="BH27" i="25"/>
  <c r="BH26" i="25"/>
  <c r="BH25" i="25"/>
  <c r="E45" i="72" l="1"/>
  <c r="C31" i="75"/>
  <c r="C229" i="63"/>
  <c r="C230" i="63"/>
  <c r="E230" i="63"/>
  <c r="E229" i="63"/>
  <c r="BH12" i="25"/>
  <c r="BH14" i="25" s="1"/>
  <c r="BH32" i="25"/>
  <c r="BI29" i="25"/>
  <c r="BI28" i="25"/>
  <c r="BI27" i="25"/>
  <c r="BI26" i="25"/>
  <c r="BI25" i="25"/>
  <c r="BI24" i="25"/>
  <c r="BH13" i="25" l="1"/>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24" i="75" a="1"/>
  <c r="F15"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6" i="25" a="1"/>
  <c r="AZ25"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E64" i="35"/>
  <c r="E62" i="35"/>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K36" i="67" s="1" a="1"/>
  <c r="E36" i="67"/>
  <c r="H36" i="67" s="1"/>
  <c r="E46" i="67"/>
  <c r="H46" i="67" s="1"/>
  <c r="F46" i="67"/>
  <c r="I46" i="67" s="1"/>
  <c r="F22" i="67"/>
  <c r="I22" i="67" s="1"/>
  <c r="I23" i="67" s="1"/>
  <c r="E23" i="67"/>
  <c r="H23" i="67" s="1"/>
  <c r="F37" i="67"/>
  <c r="I37" i="67" s="1"/>
  <c r="E37" i="67"/>
  <c r="H37" i="67" s="1"/>
  <c r="D26" i="67" a="1"/>
  <c r="D26" i="67" s="1"/>
  <c r="F26" i="67" s="1"/>
  <c r="E48" i="67"/>
  <c r="H48" i="67" s="1"/>
  <c r="K48" i="67" s="1" a="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7" i="67" a="1"/>
  <c r="K39" i="67" a="1"/>
  <c r="K45"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88" i="67" a="1"/>
  <c r="K88" i="67" s="1"/>
  <c r="F30" i="67"/>
  <c r="I30" i="67" s="1"/>
  <c r="K85" i="67" a="1"/>
  <c r="K85"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1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64" i="63"/>
  <c r="C365" i="63"/>
  <c r="C367" i="63"/>
  <c r="E369" i="63"/>
  <c r="E368" i="63"/>
  <c r="E367" i="63"/>
  <c r="E366" i="63"/>
  <c r="E365" i="63"/>
  <c r="E364"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9" i="63"/>
  <c r="G369" i="63" s="1" a="1"/>
  <c r="G369" i="63" s="1"/>
  <c r="G186" i="63" a="1"/>
  <c r="G186" i="63" s="1"/>
  <c r="G9" i="63" a="1"/>
  <c r="G9" i="63" s="1"/>
  <c r="G83" i="63" a="1"/>
  <c r="G83" i="63" s="1"/>
  <c r="G209" i="63" a="1"/>
  <c r="G209" i="63" s="1"/>
  <c r="G354" i="63" a="1"/>
  <c r="G354" i="63" s="1"/>
  <c r="G3" i="63" a="1"/>
  <c r="G3" i="63" s="1"/>
  <c r="F349" i="63"/>
  <c r="G349" i="63" s="1" a="1"/>
  <c r="G349" i="63" s="1"/>
  <c r="F162" i="63"/>
  <c r="G162" i="63" s="1" a="1"/>
  <c r="G162" i="63" s="1"/>
  <c r="F366" i="63"/>
  <c r="G366" i="63" s="1" a="1"/>
  <c r="G366" i="63" s="1"/>
  <c r="F321" i="63"/>
  <c r="G321" i="63" s="1" a="1"/>
  <c r="G321" i="63" s="1"/>
  <c r="F322" i="63"/>
  <c r="G322" i="63" s="1" a="1"/>
  <c r="G322" i="63" s="1"/>
  <c r="F317" i="63"/>
  <c r="G317" i="63" s="1" a="1"/>
  <c r="G317" i="63" s="1"/>
  <c r="F326" i="63"/>
  <c r="G326" i="63" s="1" a="1"/>
  <c r="G326" i="63" s="1"/>
  <c r="F348" i="63"/>
  <c r="G348" i="63" s="1" a="1"/>
  <c r="G348" i="63" s="1"/>
  <c r="F367" i="63"/>
  <c r="G367" i="63" s="1" a="1"/>
  <c r="G367" i="63" s="1"/>
  <c r="F350" i="63"/>
  <c r="G350" i="63" s="1" a="1"/>
  <c r="G350" i="63" s="1"/>
  <c r="F160" i="63"/>
  <c r="G160" i="63" s="1" a="1"/>
  <c r="G160" i="63" s="1"/>
  <c r="F163" i="63"/>
  <c r="G163" i="63" s="1" a="1"/>
  <c r="G163" i="63" s="1"/>
  <c r="F364" i="63"/>
  <c r="G364" i="63" s="1" a="1"/>
  <c r="G364" i="63" s="1"/>
  <c r="F268" i="63"/>
  <c r="G268" i="63" s="1" a="1"/>
  <c r="G268" i="63" s="1"/>
  <c r="E23" i="64"/>
  <c r="E29" i="64" s="1" a="1"/>
  <c r="E29" i="64" s="1"/>
  <c r="F368" i="63"/>
  <c r="G368" i="63" s="1" a="1"/>
  <c r="G368"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65" i="63"/>
  <c r="G365" i="63" s="1" a="1"/>
  <c r="G365" i="63" s="1"/>
  <c r="D35" i="25"/>
  <c r="D34" i="25"/>
  <c r="J3" i="63" l="1"/>
  <c r="H3" i="63"/>
  <c r="I3" i="63"/>
  <c r="AB3" i="5"/>
  <c r="AB6" i="5" s="1"/>
  <c r="AB8" i="5" l="1"/>
  <c r="AB10" i="5"/>
  <c r="AB7" i="5"/>
  <c r="AB23" i="5"/>
  <c r="F18" i="36"/>
  <c r="C11" i="5" l="1" a="1"/>
  <c r="C11" i="5"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30" i="14" a="1"/>
  <c r="F29" i="14" a="1"/>
  <c r="AB30" i="14" a="1"/>
  <c r="AB29" i="14" a="1"/>
  <c r="AP6" i="8" l="1"/>
  <c r="AP7" i="8" s="1"/>
  <c r="AR6" i="8"/>
  <c r="AR7" i="8" s="1"/>
  <c r="AF6" i="14"/>
  <c r="AF7" i="14" s="1"/>
  <c r="R6" i="8"/>
  <c r="R7" i="8" s="1"/>
  <c r="D112" i="61"/>
  <c r="D113" i="61" s="1"/>
  <c r="V6" i="14"/>
  <c r="V7" i="14" s="1"/>
  <c r="AD6" i="14"/>
  <c r="AD7" i="14" s="1"/>
  <c r="J6" i="14"/>
  <c r="J7" i="14" s="1"/>
  <c r="F41" i="75" a="1"/>
  <c r="F41" i="75" s="1"/>
  <c r="F42" i="75" s="1" a="1"/>
  <c r="F42" i="75" s="1"/>
  <c r="AV18" i="25"/>
  <c r="AV19" i="25" s="1"/>
  <c r="AZ18" i="25"/>
  <c r="AZ19" i="25" s="1"/>
  <c r="AN6" i="8"/>
  <c r="AN7" i="8" s="1"/>
  <c r="AH6" i="8"/>
  <c r="AH7" i="8" s="1"/>
  <c r="C13" i="5"/>
  <c r="AB29" i="14"/>
  <c r="AB31" i="14"/>
  <c r="AB30" i="14"/>
  <c r="F30" i="14"/>
  <c r="F29" i="14"/>
  <c r="D29" i="14"/>
  <c r="R26" i="25"/>
  <c r="AX25" i="25" a="1"/>
  <c r="AX26" i="25" a="1"/>
  <c r="R25" i="25" a="1"/>
  <c r="AT25" i="25" a="1"/>
  <c r="J113" i="61" l="1"/>
  <c r="AX113" i="61"/>
  <c r="AP113" i="61"/>
  <c r="BR113" i="61"/>
  <c r="R25" i="25"/>
  <c r="AX26" i="25"/>
  <c r="AX25" i="25"/>
  <c r="AT25" i="25"/>
  <c r="P27" i="25" a="1"/>
  <c r="P27" i="25" l="1"/>
  <c r="BR25" i="25" a="1"/>
  <c r="BR25" i="25" l="1"/>
  <c r="F54" i="33" a="1"/>
  <c r="F54" i="33" l="1"/>
  <c r="T10" i="8" l="1"/>
  <c r="T11" i="8" s="1"/>
  <c r="L11" i="8"/>
  <c r="AR11" i="8" s="1"/>
  <c r="J12" i="8"/>
  <c r="J30" i="8" s="1"/>
  <c r="AR28" i="8" l="1"/>
  <c r="V11" i="8"/>
  <c r="R11" i="8"/>
  <c r="P11" i="8"/>
  <c r="AB11" i="8"/>
  <c r="N11" i="8"/>
  <c r="AL11" i="8"/>
  <c r="BR110" i="61"/>
  <c r="BR108" i="61"/>
  <c r="AX97" i="61"/>
  <c r="AP97" i="61"/>
  <c r="J97" i="61"/>
  <c r="AX98" i="61"/>
  <c r="AP98" i="61"/>
  <c r="J98" i="61"/>
  <c r="BR95" i="61"/>
  <c r="BR96" i="61"/>
  <c r="D110" i="61"/>
  <c r="D109" i="61"/>
  <c r="D108" i="61"/>
  <c r="C109" i="61"/>
  <c r="C110" i="61"/>
  <c r="C108" i="61"/>
  <c r="C112" i="61"/>
  <c r="D111" i="61"/>
  <c r="R28" i="8" l="1"/>
  <c r="R10" i="14"/>
  <c r="R30" i="14" s="1" a="1"/>
  <c r="R9" i="14"/>
  <c r="R29" i="14" s="1"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AE24" i="25"/>
  <c r="AE25" i="25"/>
  <c r="AE26" i="25"/>
  <c r="AE27" i="25"/>
  <c r="AE28" i="25"/>
  <c r="AE29" i="25"/>
  <c r="C36" i="30" l="1"/>
  <c r="D35" i="30"/>
  <c r="AD32" i="25"/>
  <c r="AD13" i="25"/>
  <c r="AD14" i="25"/>
  <c r="AD25" i="25" l="1"/>
  <c r="D36" i="30"/>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7"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4" i="61" a="1"/>
  <c r="CH74" i="61" a="1"/>
  <c r="CD77" i="61" l="1"/>
  <c r="BN77" i="61"/>
  <c r="AT77" i="6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AR10" i="8" s="1"/>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AR27" i="8" l="1"/>
  <c r="AD28" i="25"/>
  <c r="AD27" i="25"/>
  <c r="AL10" i="8"/>
  <c r="R10" i="8"/>
  <c r="AF31" i="14"/>
  <c r="AD31" i="14"/>
  <c r="AD10" i="14"/>
  <c r="AF10" i="14"/>
  <c r="H31" i="14"/>
  <c r="J9" i="14"/>
  <c r="J19" i="14" s="1"/>
  <c r="CR5" i="61"/>
  <c r="V9" i="14"/>
  <c r="V19" i="14" s="1"/>
  <c r="CT81" i="61" a="1"/>
  <c r="CT81" i="61" s="1"/>
  <c r="X28" i="25"/>
  <c r="X27" i="25"/>
  <c r="F31" i="36"/>
  <c r="H32" i="36"/>
  <c r="H31" i="36"/>
  <c r="F42" i="32"/>
  <c r="F32" i="36"/>
  <c r="F43" i="32"/>
  <c r="P10" i="8"/>
  <c r="AB10" i="8"/>
  <c r="V10" i="8"/>
  <c r="N10" i="8"/>
  <c r="BF25" i="25"/>
  <c r="BF11" i="25"/>
  <c r="BF13" i="25" s="1"/>
  <c r="BF12" i="25"/>
  <c r="BF14" i="25" s="1"/>
  <c r="L9" i="8"/>
  <c r="AR9" i="8" s="1"/>
  <c r="BB25" i="25"/>
  <c r="H38" i="25"/>
  <c r="H37" i="25"/>
  <c r="T30" i="14"/>
  <c r="CL81" i="61" a="1"/>
  <c r="CL81" i="61" s="1"/>
  <c r="BV81" i="61" a="1"/>
  <c r="BV81" i="61" s="1"/>
  <c r="CJ5" i="61"/>
  <c r="BT5" i="61"/>
  <c r="C40" i="60"/>
  <c r="D40" i="60"/>
  <c r="O41" i="60" a="1"/>
  <c r="O41" i="60" s="1"/>
  <c r="P41" i="60" a="1"/>
  <c r="P41" i="60" s="1"/>
  <c r="B13" i="35"/>
  <c r="C13" i="35" s="1"/>
  <c r="H9" i="14"/>
  <c r="T9" i="14"/>
  <c r="BB11" i="25"/>
  <c r="H13" i="25"/>
  <c r="H12" i="25"/>
  <c r="C3" i="53"/>
  <c r="C8" i="53" s="1"/>
  <c r="C5" i="53"/>
  <c r="C27" i="53"/>
  <c r="C12" i="53"/>
  <c r="H30" i="14" a="1"/>
  <c r="AF30" i="14" a="1"/>
  <c r="AD30" i="14" a="1"/>
  <c r="J30" i="14" a="1"/>
  <c r="V30" i="14" a="1"/>
  <c r="T29" i="14" a="1"/>
  <c r="AR20" i="8" l="1"/>
  <c r="AR26" i="8"/>
  <c r="R27" i="8"/>
  <c r="N9" i="8"/>
  <c r="R9" i="8"/>
  <c r="AF30" i="14"/>
  <c r="AD30" i="14"/>
  <c r="AD9" i="14"/>
  <c r="AD19" i="14" s="1"/>
  <c r="AF9" i="14"/>
  <c r="AF29" i="14" s="1" a="1"/>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J29" i="14" a="1"/>
  <c r="Z29" i="14" a="1"/>
  <c r="H29" i="14" a="1"/>
  <c r="V29" i="14" a="1"/>
  <c r="Z30" i="14" a="1"/>
  <c r="R26" i="8" l="1"/>
  <c r="R20" i="8"/>
  <c r="V29" i="14"/>
  <c r="CS8" i="61"/>
  <c r="CT8" i="61"/>
  <c r="CT77" i="61" s="1"/>
  <c r="BU8" i="61"/>
  <c r="BV8" i="61"/>
  <c r="CK8" i="61"/>
  <c r="CL8" i="61"/>
  <c r="AF29" i="14"/>
  <c r="AF19" i="14"/>
  <c r="J29" i="14"/>
  <c r="H29" i="14"/>
  <c r="CR18" i="61"/>
  <c r="CT80" i="61" a="1"/>
  <c r="CT80" i="61" s="1"/>
  <c r="Z30" i="14"/>
  <c r="Z29" i="14"/>
  <c r="CJ18" i="61"/>
  <c r="BV80" i="61" a="1"/>
  <c r="BV80" i="61" s="1"/>
  <c r="CL80" i="61" a="1"/>
  <c r="CL80" i="61" s="1"/>
  <c r="BT18" i="61"/>
  <c r="F3" i="60"/>
  <c r="AF30" i="8"/>
  <c r="C15" i="35"/>
  <c r="AD29" i="14" a="1"/>
  <c r="X29" i="14" a="1"/>
  <c r="X30" i="14" a="1"/>
  <c r="F26" i="60"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BB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N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L4" i="8"/>
  <c r="AD4" i="8"/>
  <c r="AB4" i="8"/>
  <c r="X4" i="8"/>
  <c r="Z4" i="8" s="1"/>
  <c r="V4" i="8"/>
  <c r="T4" i="8"/>
  <c r="N4" i="8"/>
  <c r="L4" i="8"/>
  <c r="J4" i="8"/>
  <c r="H4" i="8"/>
  <c r="F4" i="8"/>
  <c r="CB3" i="25" l="1"/>
  <c r="CB18" i="25" s="1"/>
  <c r="CB19" i="25" s="1"/>
  <c r="C26" i="78"/>
  <c r="C28" i="78" s="1" a="1"/>
  <c r="C28" i="78" s="1"/>
  <c r="C29" i="78" s="1" a="1"/>
  <c r="C29" i="78" s="1"/>
  <c r="V3" i="25"/>
  <c r="V18" i="25" s="1"/>
  <c r="V19" i="25" s="1"/>
  <c r="T3" i="25"/>
  <c r="T18" i="25" s="1"/>
  <c r="T19" i="25" s="1"/>
  <c r="F3" i="25"/>
  <c r="F18" i="25" s="1"/>
  <c r="F19" i="25" s="1"/>
  <c r="E37" i="72"/>
  <c r="E39" i="72" s="1" a="1"/>
  <c r="E39" i="72" s="1"/>
  <c r="E40" i="72" s="1" a="1"/>
  <c r="E40" i="72" s="1"/>
  <c r="F46" i="26"/>
  <c r="BV3" i="25"/>
  <c r="BZ3" i="25"/>
  <c r="BZ18" i="25" s="1"/>
  <c r="BZ19" i="25" s="1"/>
  <c r="F32" i="73"/>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4" i="35"/>
  <c r="G46" i="35" s="1" a="1"/>
  <c r="G46" i="35" s="1"/>
  <c r="G47" i="35" s="1" a="1"/>
  <c r="G47" i="35" s="1"/>
  <c r="AP3" i="25"/>
  <c r="AP18" i="25" s="1"/>
  <c r="AP19" i="25" s="1"/>
  <c r="AD18" i="25" l="1"/>
  <c r="AD19" i="25" s="1"/>
  <c r="F6" i="14"/>
  <c r="D6" i="14"/>
  <c r="AL6" i="8"/>
  <c r="AD6" i="8"/>
  <c r="AB6" i="8"/>
  <c r="X6" i="8"/>
  <c r="Z6" i="8" s="1"/>
  <c r="V6" i="8"/>
  <c r="T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26" i="25" s="1" a="1"/>
  <c r="AF13" i="25"/>
  <c r="AF25"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H35" i="25"/>
  <c r="D25" i="25"/>
  <c r="D26" i="25"/>
  <c r="BN17" i="25"/>
  <c r="BN18" i="25" s="1"/>
  <c r="BJ14" i="25"/>
  <c r="BJ17" i="25" s="1"/>
  <c r="D14" i="25"/>
  <c r="D23" i="45"/>
  <c r="D13" i="44"/>
  <c r="D27" i="44" s="1"/>
  <c r="C23" i="45"/>
  <c r="C28" i="45" s="1"/>
  <c r="I23" i="43" a="1"/>
  <c r="I23" i="43" s="1"/>
  <c r="D36" i="25" l="1"/>
  <c r="H34" i="25"/>
  <c r="H39" i="25" s="1"/>
  <c r="J23" i="43"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4" i="35"/>
  <c r="C26" i="35" s="1"/>
  <c r="G25"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AJ30" i="8" a="1"/>
  <c r="F57" i="30" a="1"/>
  <c r="F6" i="32"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6" i="64" a="1"/>
  <c r="E36" i="64" a="1"/>
  <c r="E6" i="64" l="1"/>
  <c r="D11" i="38"/>
  <c r="C11" i="38"/>
  <c r="F40" i="32" a="1"/>
  <c r="F40" i="32" s="1"/>
  <c r="E36" i="64"/>
  <c r="K27" i="41"/>
  <c r="K31" i="41"/>
  <c r="BB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6" i="18" a="1"/>
  <c r="H43" i="22" a="1"/>
  <c r="H51" i="18" a="1"/>
  <c r="H35" i="22" a="1"/>
  <c r="H47" i="22" a="1"/>
  <c r="H27" i="22" a="1"/>
  <c r="H23" i="22" a="1"/>
  <c r="H39" i="22" a="1"/>
  <c r="H51" i="22"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4" i="74" l="1"/>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F15" i="62" a="1"/>
  <c r="F19" i="62" a="1"/>
  <c r="F33" i="74" l="1" a="1"/>
  <c r="F33" i="74" s="1"/>
  <c r="F34" i="74" s="1" a="1"/>
  <c r="F34" i="74" s="1"/>
  <c r="F35" i="74" s="1" a="1"/>
  <c r="F35" i="74" s="1"/>
  <c r="F3" i="74" a="1"/>
  <c r="F3" i="74" s="1"/>
  <c r="F6" i="74" s="1" a="1"/>
  <c r="F6" i="74" s="1"/>
  <c r="F40"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D3" i="5" a="1"/>
  <c r="AD3" i="5" s="1"/>
  <c r="AD9" i="5" s="1"/>
  <c r="E5" i="42" a="1"/>
  <c r="F27" i="68" a="1"/>
  <c r="F37" i="68" a="1"/>
  <c r="F44" i="68" a="1"/>
  <c r="F23" i="62" a="1"/>
  <c r="F32" i="68" a="1"/>
  <c r="F6"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F38" i="31" a="1"/>
  <c r="F19" i="31" a="1"/>
  <c r="F34" i="31" a="1"/>
  <c r="F46" i="31" a="1"/>
  <c r="F30" i="31" a="1"/>
  <c r="E6" i="15" a="1"/>
  <c r="F26"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BZ18" i="61" a="1"/>
  <c r="AH18" i="61" a="1"/>
  <c r="AT18" i="61" a="1"/>
  <c r="CX18" i="61" a="1"/>
  <c r="N18" i="61" a="1"/>
  <c r="F25" i="23" a="1"/>
  <c r="BJ18" i="61" a="1"/>
  <c r="BV18" i="61" a="1"/>
  <c r="V18" i="61" a="1"/>
  <c r="BN18" i="61" a="1"/>
  <c r="AL18" i="61" a="1"/>
  <c r="CP18" i="61" a="1"/>
  <c r="AP18" i="61" a="1"/>
  <c r="AX18" i="61" a="1"/>
  <c r="Z18" i="61" a="1"/>
  <c r="AD18" i="61" a="1"/>
  <c r="BN52" i="61" a="1"/>
  <c r="CT18" i="61" a="1"/>
  <c r="F30" i="23" a="1"/>
  <c r="F8" i="23" a="1"/>
  <c r="BF18" i="61" a="1"/>
  <c r="CL18" i="61" a="1"/>
  <c r="R18" i="61" a="1"/>
  <c r="F40" i="23" a="1"/>
  <c r="CD18" i="61" a="1"/>
  <c r="F5" i="36" a="1"/>
  <c r="CH18" i="61" a="1"/>
  <c r="BB18" i="61" a="1"/>
  <c r="E6" i="51" a="1"/>
  <c r="J18" i="61" a="1"/>
  <c r="F35" i="23"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30" i="61" a="1"/>
  <c r="BN5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AR25" i="8" s="1"/>
  <c r="AR23" i="8" s="1" a="1"/>
  <c r="AR23" i="8" s="1"/>
  <c r="E47" i="40"/>
  <c r="L35" i="40"/>
  <c r="F41" i="40"/>
  <c r="F47" i="40"/>
  <c r="R67" i="6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N42" i="61" a="1"/>
  <c r="BR18" i="61" a="1"/>
  <c r="CB24" i="25" l="1"/>
  <c r="CB22" i="25" s="1" a="1"/>
  <c r="CB22" i="25" s="1"/>
  <c r="C37" i="78"/>
  <c r="V24" i="25"/>
  <c r="V22" i="25" s="1" a="1"/>
  <c r="V22" i="25" s="1"/>
  <c r="AP25" i="8"/>
  <c r="AP23" i="8" s="1" a="1"/>
  <c r="AP23" i="8" s="1"/>
  <c r="E35" i="78" a="1"/>
  <c r="E35" i="78" s="1"/>
  <c r="R25" i="8"/>
  <c r="R23" i="8" s="1" a="1"/>
  <c r="R23" i="8" s="1"/>
  <c r="T24" i="25"/>
  <c r="T22" i="25" s="1" a="1"/>
  <c r="T22" i="25" s="1"/>
  <c r="Z73" i="61"/>
  <c r="F24" i="25"/>
  <c r="N68" i="61"/>
  <c r="N69" i="61" s="1"/>
  <c r="CT73" i="61"/>
  <c r="F39" i="32"/>
  <c r="X25" i="8"/>
  <c r="H57" i="22"/>
  <c r="AN24" i="25"/>
  <c r="CP73" i="61"/>
  <c r="AJ24" i="25"/>
  <c r="M54" i="40"/>
  <c r="G61" i="35"/>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G51" i="35"/>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3" i="61"/>
  <c r="BH24" i="25"/>
  <c r="V28" i="14"/>
  <c r="F65" i="31"/>
  <c r="K84" i="67"/>
  <c r="S38" i="9"/>
  <c r="V25" i="8"/>
  <c r="L25" i="8"/>
  <c r="BT24" i="25"/>
  <c r="BD24" i="25"/>
  <c r="P28" i="14"/>
  <c r="BV24" i="25"/>
  <c r="N28" i="14"/>
  <c r="J24" i="25"/>
  <c r="P24" i="25"/>
  <c r="F28" i="39"/>
  <c r="F52" i="33"/>
  <c r="AB24" i="25"/>
  <c r="P18" i="50"/>
  <c r="C26" i="53"/>
  <c r="D28" i="14"/>
  <c r="F46" i="65"/>
  <c r="AD24" i="25"/>
  <c r="AP24" i="25"/>
  <c r="AH25" i="8"/>
  <c r="BF24" i="25"/>
  <c r="Z25" i="8"/>
  <c r="J28" i="14"/>
  <c r="F48" i="75"/>
  <c r="AD73" i="61"/>
  <c r="AH73" i="61"/>
  <c r="G28" i="39"/>
  <c r="F37" i="76"/>
  <c r="BZ24" i="25"/>
  <c r="N73" i="61"/>
  <c r="BR63" i="61"/>
  <c r="AP99" i="61"/>
  <c r="AX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4" i="61" a="1"/>
  <c r="Z15" i="61" a="1"/>
  <c r="N22" i="25" a="1"/>
  <c r="BJ22" i="25" a="1"/>
  <c r="AR22" i="25" a="1"/>
  <c r="C52" i="33" a="1"/>
  <c r="AX15" i="61" a="1"/>
  <c r="AF25" i="14" a="1"/>
  <c r="AH22" i="25" a="1"/>
  <c r="D23" i="8" a="1"/>
  <c r="V25" i="14" a="1"/>
  <c r="AD23" i="8" a="1"/>
  <c r="Z23" i="8" a="1"/>
  <c r="E34" i="69" a="1"/>
  <c r="D25" i="14" a="1"/>
  <c r="BJ15" i="61" a="1"/>
  <c r="R15" i="61" a="1"/>
  <c r="N23" i="8" a="1"/>
  <c r="V23" i="8" a="1"/>
  <c r="J23" i="8" a="1"/>
  <c r="T25" i="14" a="1"/>
  <c r="AP22" i="25" a="1"/>
  <c r="BZ22" i="25" a="1"/>
  <c r="D39" i="74" a="1"/>
  <c r="AJ23" i="8" a="1"/>
  <c r="AD15" i="61" a="1"/>
  <c r="F23" i="8" a="1"/>
  <c r="P25" i="14" a="1"/>
  <c r="BL22" i="25" a="1"/>
  <c r="AH15" i="61" a="1"/>
  <c r="CP15" i="61" a="1"/>
  <c r="CL15" i="61" a="1"/>
  <c r="Z25" i="14" a="1"/>
  <c r="X23" i="8" a="1"/>
  <c r="AD25" i="14" a="1"/>
  <c r="D48" i="75" a="1"/>
  <c r="BD22" i="25" a="1"/>
  <c r="AF22" i="25" a="1"/>
  <c r="AX22" i="25" a="1"/>
  <c r="X22" i="25" a="1"/>
  <c r="BV22" i="25" a="1"/>
  <c r="AT22" i="25" a="1"/>
  <c r="D22" i="25" a="1"/>
  <c r="O20" i="48" a="1"/>
  <c r="AB22" i="25" a="1"/>
  <c r="AF23" i="8" a="1"/>
  <c r="P22" i="25" a="1"/>
  <c r="AD22" i="25" a="1"/>
  <c r="F22" i="25" a="1"/>
  <c r="CT15" i="61" a="1"/>
  <c r="CH15" i="61" a="1"/>
  <c r="H23" i="8" a="1"/>
  <c r="J22" i="25" a="1"/>
  <c r="BV15" i="61" a="1"/>
  <c r="C35" i="64" a="1"/>
  <c r="BB15" i="61" a="1"/>
  <c r="Z22" i="25" a="1"/>
  <c r="D46" i="65" a="1"/>
  <c r="L23" i="8" a="1"/>
  <c r="E40" i="71" a="1"/>
  <c r="C35" i="42" a="1"/>
  <c r="L25" i="14" a="1"/>
  <c r="C62" i="23" a="1"/>
  <c r="BT22" i="25" a="1"/>
  <c r="D65" i="31" a="1"/>
  <c r="BP22" i="25" a="1"/>
  <c r="V15" i="61" a="1"/>
  <c r="R22" i="25" a="1"/>
  <c r="BN22" i="25" a="1"/>
  <c r="BR22" i="25" a="1"/>
  <c r="AB25" i="14" a="1"/>
  <c r="CX15" i="61" a="1"/>
  <c r="AL15" i="61" a="1"/>
  <c r="X25" i="14" a="1"/>
  <c r="AP15" i="61" a="1"/>
  <c r="N15" i="61" a="1"/>
  <c r="AV22" i="25" a="1"/>
  <c r="N25" i="14" a="1"/>
  <c r="J25" i="14" a="1"/>
  <c r="BF22" i="25" a="1"/>
  <c r="AT15" i="61" a="1"/>
  <c r="F3" i="21" a="1"/>
  <c r="D37" i="76" a="1"/>
  <c r="C62" i="34" a="1"/>
  <c r="R25" i="14" a="1"/>
  <c r="AL22" i="25" a="1"/>
  <c r="AH23" i="8" a="1"/>
  <c r="S35" i="9" a="1"/>
  <c r="H25" i="14" a="1"/>
  <c r="AN22" i="25" a="1"/>
  <c r="AZ22" i="25" a="1"/>
  <c r="BB22" i="25" a="1"/>
  <c r="AJ22" i="25" a="1"/>
  <c r="CD15" i="61" a="1"/>
  <c r="H84" i="67" a="1"/>
  <c r="F18" i="39" a="1"/>
  <c r="BX22" i="25" a="1"/>
  <c r="E13" i="22" a="1"/>
  <c r="H22" i="25" a="1"/>
  <c r="BF15" i="61" a="1"/>
  <c r="BZ15" i="61" a="1"/>
  <c r="AL23" i="8" a="1"/>
  <c r="C44" i="72" a="1"/>
  <c r="AN23" i="8" a="1"/>
  <c r="F25" i="14" a="1"/>
  <c r="AB23" i="8" a="1"/>
  <c r="L22" i="25" a="1"/>
  <c r="BH22" i="25" a="1"/>
  <c r="D42" i="62" a="1"/>
  <c r="P23" i="8" a="1"/>
  <c r="C31" i="51" a="1"/>
  <c r="C39" i="32" a="1"/>
  <c r="F22" i="25" l="1"/>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4" i="61"/>
  <c r="BR97" i="61" s="1"/>
  <c r="R15" i="61"/>
  <c r="BF22" i="25"/>
  <c r="D46" i="65"/>
  <c r="AB22" i="25"/>
  <c r="J22" i="25"/>
  <c r="BD22" i="25"/>
  <c r="S35" i="9"/>
  <c r="O3" i="9" s="1"/>
  <c r="BH22" i="25"/>
  <c r="E34" i="69"/>
  <c r="L22" i="25"/>
  <c r="AX22" i="25"/>
  <c r="X25" i="14"/>
  <c r="AL22" i="25"/>
  <c r="D48" i="75"/>
  <c r="AH23" i="8"/>
  <c r="D25" i="14"/>
  <c r="C52" i="33"/>
  <c r="N25" i="14"/>
  <c r="BT22" i="25"/>
  <c r="H84"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N15" i="61"/>
  <c r="AH15" i="61"/>
  <c r="BZ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BR75" i="61" a="1"/>
  <c r="B28" i="36" a="1"/>
  <c r="L51" i="40"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R15" i="61" a="1"/>
  <c r="E27" i="15" a="1"/>
  <c r="BN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6" i="44" a="1"/>
  <c r="F28" i="30" a="1"/>
  <c r="F15" i="30" a="1"/>
  <c r="F20" i="44"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3" i="38" l="1"/>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7" a="1"/>
  <c r="F6" i="28"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J95" i="58"/>
  <c r="R95" i="58"/>
  <c r="X95" i="58"/>
  <c r="P95" i="58"/>
  <c r="T95" i="58"/>
  <c r="V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R96" i="58"/>
  <c r="L97" i="58"/>
  <c r="T96" i="58"/>
  <c r="P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T29" i="8"/>
  <c r="T27" i="8"/>
  <c r="T20" i="8"/>
  <c r="T25" i="8" s="1"/>
  <c r="T28" i="8"/>
  <c r="D58" i="60" a="1"/>
  <c r="T23" i="8" a="1"/>
  <c r="D58" i="60" l="1"/>
  <c r="T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6" i="61" a="1"/>
  <c r="J76" i="61" s="1"/>
  <c r="J15" i="61" l="1" a="1"/>
  <c r="J15" i="61" s="1"/>
  <c r="J99" i="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<sst xmlns="http://schemas.openxmlformats.org/spreadsheetml/2006/main" count="4541" uniqueCount="2741">
  <si>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</si>
  <si>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</si>
  <si>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</si>
  <si>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</si>
  <si>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</si>
  <si>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</si>
  <si>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</si>
  <si>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</si>
  <si>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</si>
  <si>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</si>
  <si>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</si>
  <si>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</si>
  <si>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</si>
  <si>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</si>
  <si>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</si>
  <si>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</si>
  <si>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</si>
  <si>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</si>
  <si>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</si>
  <si>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</si>
  <si>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</si>
  <si>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</si>
  <si>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</si>
  <si>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</si>
  <si>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</si>
  <si>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</si>
  <si>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</si>
  <si>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</si>
  <si>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</si>
  <si>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</si>
  <si>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</si>
  <si>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</si>
  <si>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</si>
  <si>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</si>
  <si>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</si>
  <si>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</si>
  <si>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</si>
  <si>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</si>
  <si>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</si>
  <si>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</si>
  <si>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</si>
  <si>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</si>
  <si>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</si>
  <si>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</si>
  <si>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</si>
  <si>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</si>
  <si>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</si>
  <si>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</si>
  <si>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</si>
  <si>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</si>
  <si>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</si>
  <si>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</si>
  <si>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</si>
  <si>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</si>
  <si>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</si>
  <si>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</si>
  <si>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</si>
  <si>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</si>
  <si>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</si>
  <si>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</si>
  <si>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</si>
  <si>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</si>
  <si>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</si>
  <si>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</si>
  <si>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</si>
  <si>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</si>
  <si>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</si>
  <si>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</si>
  <si>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</si>
  <si>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</si>
  <si>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</si>
  <si>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</si>
  <si>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</si>
  <si>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</si>
  <si>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</si>
  <si>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</si>
  <si>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</si>
  <si>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</si>
  <si>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</si>
  <si>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</si>
  <si>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</si>
  <si>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</si>
  <si>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</si>
  <si>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</si>
  <si>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</si>
  <si>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</si>
  <si>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</si>
  <si>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</si>
  <si>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</si>
  <si>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</si>
  <si>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</si>
  <si>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</si>
  <si>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</si>
  <si>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</si>
  <si>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</si>
  <si>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</si>
  <si>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</si>
  <si>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</si>
  <si>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</si>
  <si>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</si>
  <si>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</si>
  <si>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</si>
  <si>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</si>
  <si>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</si>
  <si>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</si>
  <si>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</si>
  <si>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</si>
  <si>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</si>
  <si>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</si>
  <si>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</si>
  <si>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</si>
  <si>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</si>
  <si>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</si>
  <si>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</si>
  <si>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</si>
  <si>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</si>
  <si>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</si>
  <si>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</si>
  <si>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</si>
  <si>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</si>
  <si>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</si>
  <si>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</si>
  <si>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</si>
  <si>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</si>
  <si>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</si>
  <si>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</si>
  <si>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</si>
  <si>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</si>
  <si>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</si>
  <si>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</si>
  <si>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</si>
  <si>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</si>
  <si>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</si>
  <si>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</si>
  <si>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</si>
  <si>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</si>
  <si>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</si>
  <si>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</si>
  <si>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</si>
  <si>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</si>
  <si>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</si>
  <si>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</si>
  <si>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</si>
  <si>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</si>
  <si>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</si>
  <si>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</si>
  <si>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</si>
  <si>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</si>
  <si>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</si>
  <si>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</si>
  <si>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</si>
  <si>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</si>
  <si>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</si>
  <si>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</si>
  <si>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</si>
  <si>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</si>
  <si>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</si>
  <si>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</si>
  <si>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</si>
  <si>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</si>
  <si>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</si>
  <si>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</si>
  <si>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</si>
  <si>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</si>
  <si>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</si>
  <si>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</si>
  <si>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</si>
  <si>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</si>
  <si>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</si>
  <si>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</si>
  <si>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</si>
  <si>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</si>
  <si>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</si>
  <si>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</si>
  <si>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</si>
  <si>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</si>
  <si>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</si>
  <si>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</si>
  <si>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</si>
  <si>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</si>
  <si>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</si>
  <si>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</si>
  <si>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</si>
  <si>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</si>
  <si>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</si>
  <si>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</si>
  <si>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</si>
  <si>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</si>
  <si>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</si>
  <si>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</si>
  <si>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</si>
  <si>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</si>
  <si>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</si>
  <si>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</si>
  <si>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</si>
  <si>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</si>
  <si>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</si>
  <si>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</si>
  <si>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</si>
  <si>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</si>
  <si>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</si>
  <si>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</si>
  <si>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</si>
  <si>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</si>
  <si>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</si>
  <si>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</si>
  <si>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</si>
  <si>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</si>
  <si>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</si>
  <si>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</si>
  <si>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</si>
  <si>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</si>
  <si>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</si>
  <si>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</si>
  <si>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</si>
  <si>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</si>
  <si>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</si>
  <si>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</si>
  <si>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</si>
  <si>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</si>
  <si>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</si>
  <si>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</si>
  <si>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</si>
  <si>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</si>
  <si>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</si>
  <si>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</si>
  <si>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</si>
  <si>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</si>
  <si>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</si>
  <si>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</si>
  <si>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</si>
  <si>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</si>
  <si>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</si>
  <si>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</si>
  <si>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</si>
  <si>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</si>
  <si>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</si>
  <si>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</si>
  <si>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</si>
  <si>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</si>
  <si>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</si>
  <si>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</si>
  <si>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</si>
  <si>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</si>
  <si>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</si>
  <si>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</si>
  <si>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</si>
  <si>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</si>
  <si>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</si>
  <si>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</si>
  <si>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</si>
  <si>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</si>
  <si>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</si>
  <si>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</si>
  <si>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</si>
  <si>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</si>
  <si>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</si>
  <si>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</si>
  <si>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</si>
  <si>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</si>
  <si>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</si>
  <si>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</si>
  <si>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</si>
  <si>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</si>
  <si>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</si>
  <si>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</si>
  <si>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</si>
  <si>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</si>
  <si>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</si>
  <si>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</si>
  <si>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</si>
  <si>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</si>
  <si>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</si>
  <si>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</si>
  <si>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</si>
  <si>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</si>
  <si>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</si>
  <si>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</si>
  <si>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</si>
  <si>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</si>
  <si>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</si>
  <si>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</si>
  <si>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</si>
  <si>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</si>
  <si>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</si>
  <si>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</si>
  <si>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</si>
  <si>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</si>
  <si>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</si>
  <si>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</si>
  <si>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</si>
  <si>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</si>
  <si>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</si>
  <si>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</si>
  <si>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</si>
  <si>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</si>
  <si>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</si>
  <si>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</si>
  <si>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</si>
  <si>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</si>
  <si>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</si>
  <si>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</si>
  <si>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</si>
  <si>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</si>
  <si>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</si>
  <si>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</si>
  <si>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</si>
  <si>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</si>
  <si>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</si>
  <si>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</si>
  <si>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</si>
  <si>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</si>
  <si>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</si>
  <si>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</si>
  <si>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</si>
  <si>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</si>
  <si>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</si>
  <si>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</si>
  <si>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</si>
  <si>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</si>
  <si>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</si>
  <si>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</si>
  <si>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</si>
  <si>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</si>
  <si>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</si>
  <si>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</si>
  <si>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</si>
  <si>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</si>
  <si>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</si>
  <si>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</si>
  <si>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</si>
  <si>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</si>
  <si>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</si>
  <si>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</si>
  <si>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</si>
  <si>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</si>
  <si>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</si>
  <si>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</si>
  <si>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</si>
  <si>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</si>
  <si>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</si>
  <si>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</si>
  <si>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</si>
  <si>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</si>
  <si>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</si>
  <si>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</si>
  <si>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</si>
  <si>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</si>
  <si>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</si>
  <si>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</si>
  <si>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</si>
  <si>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</si>
  <si>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</si>
  <si>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</si>
  <si>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</si>
  <si>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</si>
  <si>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</si>
  <si>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</si>
  <si>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</si>
  <si>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</si>
  <si>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</si>
  <si>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</si>
  <si>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</si>
  <si>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</si>
  <si>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</si>
  <si>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</si>
  <si>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</si>
  <si>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</si>
  <si>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</si>
  <si>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</si>
  <si>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</si>
  <si>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</si>
  <si>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</si>
  <si>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</si>
  <si>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</si>
  <si>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</si>
  <si>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</si>
  <si>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</si>
  <si>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</si>
  <si>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</si>
  <si>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</si>
  <si>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</si>
  <si>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</si>
  <si>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</si>
  <si>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</si>
  <si>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</si>
  <si>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</si>
  <si>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</si>
  <si>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</si>
  <si>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</si>
  <si>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</si>
  <si>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</si>
  <si>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</si>
  <si>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</si>
  <si>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</si>
  <si>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</si>
  <si>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</si>
  <si>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</si>
  <si>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</si>
  <si>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</si>
  <si>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</si>
  <si>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</si>
  <si>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</si>
  <si>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</si>
  <si>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</si>
  <si>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</si>
  <si>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</si>
  <si>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</si>
  <si>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</si>
  <si>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</si>
  <si>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</si>
  <si>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</si>
  <si>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</si>
  <si>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</si>
  <si>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</si>
  <si>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</si>
  <si>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</si>
  <si>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</si>
  <si>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</si>
  <si>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</si>
  <si>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</si>
  <si>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</si>
  <si>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</si>
  <si>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</si>
  <si>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</si>
  <si>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</si>
  <si>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</si>
  <si>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</si>
  <si>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</si>
  <si>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</si>
  <si>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</si>
  <si>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</si>
  <si>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</si>
  <si>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</si>
  <si>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</si>
  <si>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</si>
  <si>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</si>
  <si>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</si>
  <si>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</si>
  <si>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</si>
  <si>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</si>
  <si>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</si>
  <si>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</si>
  <si>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</si>
  <si>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</si>
  <si>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</si>
  <si>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</si>
  <si>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</si>
  <si>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</si>
  <si>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</si>
  <si>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</si>
  <si>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</si>
  <si>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</si>
  <si>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</si>
  <si>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</si>
  <si>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</si>
  <si>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</si>
  <si>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</si>
  <si>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</si>
  <si>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</si>
  <si>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</si>
  <si>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</si>
  <si>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</si>
  <si>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</si>
  <si>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</si>
  <si>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</si>
  <si>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</si>
  <si>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</si>
  <si>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</si>
  <si>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</si>
  <si>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</si>
  <si>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</si>
  <si>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</si>
  <si>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</si>
  <si>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</si>
  <si>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</si>
  <si>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</si>
  <si>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</si>
  <si>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</si>
  <si>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</si>
  <si>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</si>
  <si>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</si>
  <si>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</si>
  <si>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</si>
  <si>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</si>
  <si>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</si>
  <si>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</si>
  <si>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</si>
  <si>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</si>
  <si>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</si>
  <si>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</si>
  <si>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</si>
  <si>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</si>
  <si>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</si>
  <si>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</si>
  <si>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</si>
  <si>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</si>
  <si>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</si>
  <si>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</si>
  <si>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</si>
  <si>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</si>
  <si>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</si>
  <si>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</si>
  <si>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</si>
  <si>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</si>
  <si>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</si>
  <si>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</si>
  <si>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</si>
  <si>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</si>
  <si>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</si>
  <si>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</si>
  <si>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</si>
  <si>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</si>
  <si>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</si>
  <si>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</si>
  <si>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</si>
  <si>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</si>
  <si>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</si>
  <si>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</si>
  <si>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</si>
  <si>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</si>
  <si>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</si>
  <si>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</si>
  <si>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</si>
  <si>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</si>
  <si>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</si>
  <si>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</si>
  <si>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</si>
  <si>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</si>
  <si>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</si>
  <si>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</si>
  <si>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</si>
  <si>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</si>
  <si>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</si>
  <si>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</si>
  <si>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</si>
  <si>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</si>
  <si>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</si>
  <si>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</si>
  <si>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</si>
  <si>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</si>
  <si>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</si>
  <si>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</si>
  <si>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</si>
  <si>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</si>
  <si>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</si>
  <si>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</si>
  <si>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</si>
  <si>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</si>
  <si>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</si>
  <si>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</si>
  <si>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</si>
  <si>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</si>
  <si>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</si>
  <si>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</si>
  <si>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</si>
  <si>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</si>
  <si>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</si>
  <si>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</si>
  <si>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</si>
  <si>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</si>
  <si>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</si>
  <si>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</si>
  <si>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</si>
  <si>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</si>
  <si>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</si>
  <si>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</si>
  <si>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</si>
  <si>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</si>
  <si>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</si>
  <si>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</si>
  <si>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</si>
  <si>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</si>
  <si>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</si>
  <si>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</si>
  <si>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</si>
  <si>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</si>
  <si>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</si>
  <si>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</si>
  <si>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</si>
  <si>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</si>
  <si>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</si>
  <si>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</si>
  <si>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</si>
  <si>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</si>
  <si>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</si>
  <si>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</si>
  <si>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</si>
  <si>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</si>
  <si>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</si>
  <si>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</si>
  <si>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</si>
  <si>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</si>
  <si>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</si>
  <si>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</si>
  <si>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</si>
  <si>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</si>
  <si>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</si>
  <si>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</si>
  <si>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</si>
  <si>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</si>
  <si>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</si>
  <si>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</si>
  <si>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</si>
  <si>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</si>
  <si>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</si>
  <si>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</si>
  <si>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</si>
  <si>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</si>
  <si>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</si>
  <si>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</si>
  <si>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</si>
  <si>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</si>
  <si>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</si>
  <si>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</si>
  <si>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</si>
  <si>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</si>
  <si>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</si>
  <si>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</si>
  <si>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</si>
  <si>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</si>
  <si>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</si>
  <si>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</si>
  <si>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</si>
  <si>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</si>
  <si>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</si>
  <si>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</si>
  <si>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</si>
  <si>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</si>
  <si>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</si>
  <si>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</si>
  <si>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</si>
  <si>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</si>
  <si>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</si>
  <si>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</si>
  <si>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</si>
  <si>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</si>
  <si>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</si>
  <si>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</si>
  <si>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</si>
  <si>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</si>
  <si>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</si>
  <si>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</si>
  <si>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</si>
  <si>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</si>
  <si>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</si>
  <si>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</si>
  <si>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</si>
  <si>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</si>
  <si>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</si>
  <si>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</si>
  <si>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</si>
  <si>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</si>
  <si>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</si>
  <si>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</si>
  <si>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</si>
  <si>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</si>
  <si>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</si>
  <si>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</si>
  <si>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</si>
  <si>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</si>
  <si>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</si>
  <si>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</si>
  <si>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</si>
  <si>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</si>
  <si>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</si>
  <si>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</si>
  <si>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</si>
  <si>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</si>
  <si>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</si>
  <si>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</si>
  <si>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</si>
  <si>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</si>
  <si>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</si>
  <si>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</si>
  <si>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</si>
  <si>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</si>
  <si>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</si>
  <si>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</si>
  <si>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</si>
  <si>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</si>
  <si>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</si>
  <si>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</si>
  <si>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</si>
  <si>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</si>
  <si>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</si>
  <si>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</si>
  <si>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</si>
  <si>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</si>
  <si>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</si>
  <si>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</si>
  <si>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</si>
  <si>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</si>
  <si>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</si>
  <si>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</si>
  <si>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</si>
  <si>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</si>
  <si>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</si>
  <si>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</si>
  <si>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</si>
  <si>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</si>
  <si>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</si>
  <si>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</si>
  <si>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</si>
  <si>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</si>
  <si>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</si>
  <si>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</si>
  <si>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</si>
  <si>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</si>
  <si>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</si>
  <si>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</si>
  <si>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</si>
  <si>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</si>
  <si>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</si>
  <si>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</si>
  <si>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</si>
  <si>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</si>
  <si>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</si>
  <si>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</si>
  <si>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</si>
  <si>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</si>
  <si>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</si>
  <si>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</si>
  <si>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</si>
  <si>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</si>
  <si>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</si>
  <si>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</si>
  <si>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</si>
  <si>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</si>
  <si>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</si>
  <si>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</si>
  <si>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</si>
  <si>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</si>
  <si>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</si>
  <si>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</si>
  <si>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</si>
  <si>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</si>
  <si>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</si>
  <si>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</si>
  <si>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</si>
  <si>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</si>
  <si>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</si>
  <si>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</si>
  <si>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</si>
  <si>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</si>
  <si>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</si>
  <si>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</si>
  <si>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</si>
  <si>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</si>
  <si>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</si>
  <si>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</si>
  <si>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</si>
  <si>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</si>
  <si>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</si>
  <si>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</si>
  <si>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</si>
  <si>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</si>
  <si>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</si>
  <si>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</si>
  <si>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</si>
  <si>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</si>
  <si>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</si>
  <si>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</si>
  <si>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</si>
  <si>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</si>
  <si>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</si>
  <si>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</si>
  <si>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</si>
  <si>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</si>
  <si>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</si>
  <si>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</si>
  <si>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</si>
  <si>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</si>
  <si>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</si>
  <si>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</si>
  <si>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</si>
  <si>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</si>
  <si>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</si>
  <si>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</si>
  <si>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</si>
  <si>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</si>
  <si>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</si>
  <si>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</si>
  <si>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</si>
  <si>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</si>
  <si>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</si>
  <si>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</si>
  <si>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</si>
  <si>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</si>
  <si>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</si>
  <si>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</si>
  <si>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</si>
  <si>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</si>
  <si>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</si>
  <si>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</si>
  <si>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</si>
  <si>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</si>
  <si>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</si>
  <si>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</si>
  <si>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</si>
  <si>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</si>
  <si>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</si>
  <si>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</si>
  <si>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</si>
  <si>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</si>
  <si>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</si>
  <si>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</si>
  <si>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</si>
  <si>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</si>
  <si>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</si>
  <si>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</si>
  <si>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</si>
  <si>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</si>
  <si>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</si>
  <si>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</si>
  <si>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</si>
  <si>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</si>
  <si>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</si>
  <si>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</si>
  <si>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</si>
  <si>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</si>
  <si>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</si>
  <si>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</si>
  <si>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</si>
  <si>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</si>
  <si>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</si>
  <si>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</si>
  <si>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</si>
  <si>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</si>
  <si>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</si>
  <si>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</si>
  <si>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</si>
  <si>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</si>
  <si>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</si>
  <si>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</si>
  <si>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</si>
  <si>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</si>
  <si>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</si>
  <si>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</si>
  <si>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</si>
  <si>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</si>
  <si>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</si>
  <si>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</si>
  <si>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</si>
  <si>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</si>
  <si>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</si>
  <si>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</si>
  <si>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</si>
  <si>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</si>
  <si>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</si>
  <si>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</si>
  <si>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</si>
  <si>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</si>
  <si>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</si>
  <si>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</si>
  <si>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</si>
  <si>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</si>
  <si>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</si>
  <si>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</si>
  <si>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</si>
  <si>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</si>
  <si>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</si>
  <si>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</si>
  <si>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</si>
  <si>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</si>
  <si>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</si>
  <si>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</si>
  <si>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</si>
  <si>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</si>
  <si>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</si>
  <si>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</si>
  <si>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</si>
  <si>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</si>
  <si>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</si>
  <si>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</si>
  <si>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</si>
  <si>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</si>
  <si>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</si>
  <si>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</si>
  <si>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</si>
  <si>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</si>
  <si>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</si>
  <si>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</si>
  <si>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</si>
  <si>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</si>
  <si>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</si>
  <si>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</si>
  <si>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</si>
  <si>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</si>
  <si>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</si>
  <si>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</si>
  <si>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</si>
  <si>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</si>
  <si>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</si>
  <si>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</si>
  <si>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</si>
  <si>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</si>
  <si>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</si>
  <si>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</si>
  <si>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</si>
  <si>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</si>
  <si>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</si>
  <si>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</si>
  <si>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</si>
  <si>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</si>
  <si>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</si>
  <si>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</si>
  <si>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</si>
  <si>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</si>
  <si>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</si>
  <si>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</si>
  <si>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</si>
  <si>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</si>
  <si>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</si>
  <si>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</si>
  <si>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</si>
  <si>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</si>
  <si>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</si>
  <si>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</si>
  <si>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</si>
  <si>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</si>
  <si>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</si>
  <si>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</si>
  <si>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</si>
  <si>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</si>
  <si>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</si>
  <si>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</si>
  <si>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</si>
  <si>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</si>
  <si>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</si>
  <si>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</si>
  <si>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</si>
  <si>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</si>
  <si>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</si>
  <si>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</si>
  <si>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</si>
  <si>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</si>
  <si>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</si>
  <si>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</si>
  <si>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</si>
  <si>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</si>
  <si>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</si>
  <si>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</si>
  <si>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</si>
  <si>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</si>
  <si>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</si>
  <si>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</si>
  <si>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</si>
  <si>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</si>
  <si>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</si>
  <si>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</si>
  <si>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</si>
  <si>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</si>
  <si>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</si>
  <si>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</si>
  <si>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</si>
  <si>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</si>
  <si>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</si>
  <si>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</si>
  <si>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</si>
  <si>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</si>
  <si>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</si>
  <si>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</si>
  <si>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</si>
  <si>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</si>
  <si>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</si>
  <si>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</si>
  <si>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</si>
  <si>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</si>
  <si>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</si>
  <si>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</si>
  <si>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</si>
  <si>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</si>
  <si>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</si>
  <si>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</si>
  <si>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</si>
  <si>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</si>
  <si>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</si>
  <si>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</si>
  <si>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</si>
  <si>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</si>
  <si>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</si>
  <si>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</si>
  <si>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</si>
  <si>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</si>
  <si>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</si>
  <si>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</si>
  <si>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</si>
  <si>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</si>
  <si>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</si>
  <si>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</si>
  <si>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</si>
  <si>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</si>
  <si>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</si>
  <si>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</si>
  <si>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</si>
  <si>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</si>
  <si>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</si>
  <si>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</si>
  <si>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</si>
  <si>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</si>
  <si>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</si>
  <si>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</si>
  <si>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</si>
  <si>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</si>
  <si>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</si>
  <si>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</si>
  <si>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</si>
  <si>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</si>
  <si>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</si>
  <si>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</si>
  <si>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</si>
  <si>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</si>
  <si>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</si>
  <si>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</si>
  <si>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</si>
  <si>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</si>
  <si>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</si>
  <si>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</si>
  <si>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</si>
  <si>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</si>
  <si>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</si>
  <si>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</si>
  <si>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</si>
  <si>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</si>
  <si>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</si>
  <si>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</si>
  <si>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</si>
  <si>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</si>
  <si>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</si>
  <si>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</si>
  <si>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</si>
  <si>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</si>
  <si>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</si>
  <si>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</si>
  <si>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</si>
  <si>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</si>
  <si>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</si>
  <si>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</si>
  <si>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</si>
  <si>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</si>
  <si>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</si>
  <si>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</si>
  <si>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</si>
  <si>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</si>
  <si>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</si>
  <si>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</si>
  <si>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</si>
  <si>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</si>
  <si>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</si>
  <si>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</si>
  <si>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</si>
  <si>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</si>
  <si>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</si>
  <si>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</si>
  <si>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</si>
  <si>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</si>
  <si>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</si>
  <si>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</si>
  <si>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</si>
  <si>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</si>
  <si>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</si>
  <si>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</si>
  <si>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</si>
  <si>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</si>
  <si>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</si>
  <si>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</si>
  <si>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</si>
  <si>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</si>
  <si>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</si>
  <si>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</si>
  <si>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</si>
  <si>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</si>
  <si>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</si>
  <si>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</si>
  <si>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</si>
  <si>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</si>
  <si>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</si>
  <si>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</si>
  <si>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</si>
  <si>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</si>
  <si>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</si>
  <si>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</si>
  <si>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</si>
  <si>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</si>
  <si>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</si>
  <si>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</si>
  <si>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</si>
  <si>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</si>
  <si>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</si>
  <si>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</si>
  <si>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</si>
  <si>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</si>
  <si>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</si>
  <si>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</si>
  <si>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</si>
  <si>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</si>
  <si>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</si>
  <si>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</si>
  <si>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</si>
  <si>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</si>
  <si>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</si>
  <si>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</si>
  <si>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</si>
  <si>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</si>
  <si>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</si>
  <si>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</si>
  <si>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</si>
  <si>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</si>
  <si>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</si>
  <si>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</si>
  <si>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</si>
  <si>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</si>
  <si>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</si>
  <si>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</si>
  <si>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</si>
  <si>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</si>
  <si>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</si>
  <si>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</si>
  <si>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</si>
  <si>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</si>
  <si>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</si>
  <si>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</si>
  <si>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</si>
  <si>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</si>
  <si>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</si>
  <si>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</si>
  <si>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</si>
  <si>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</si>
  <si>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</si>
  <si>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</si>
  <si>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</si>
  <si>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</si>
  <si>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</si>
  <si>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</si>
  <si>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</si>
  <si>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</si>
  <si>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</si>
  <si>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</si>
  <si>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</si>
  <si>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</si>
  <si>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</si>
  <si>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</si>
  <si>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</si>
  <si>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</si>
  <si>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</si>
  <si>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</si>
  <si>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</si>
  <si>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</si>
  <si>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</si>
  <si>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</si>
  <si>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</si>
  <si>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</si>
  <si>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</si>
  <si>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</si>
  <si>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</si>
  <si>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</si>
  <si>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</si>
  <si>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</si>
  <si>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</si>
  <si>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</si>
  <si>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</si>
  <si>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</si>
  <si>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</si>
  <si>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</si>
  <si>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</si>
  <si>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</si>
  <si>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</si>
  <si>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</si>
  <si>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</si>
  <si>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</si>
  <si>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</si>
  <si>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</si>
  <si>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</si>
  <si>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</si>
  <si>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</si>
  <si>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</si>
  <si>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</si>
  <si>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</si>
  <si>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</si>
  <si>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</si>
  <si>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</si>
  <si>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</si>
  <si>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</si>
  <si>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</si>
  <si>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</si>
  <si>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</si>
  <si>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</si>
  <si>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</si>
  <si>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</si>
  <si>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</si>
  <si>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</si>
  <si>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</si>
  <si>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</si>
  <si>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</si>
  <si>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</si>
  <si>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</si>
  <si>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</si>
  <si>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</si>
  <si>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</si>
  <si>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</si>
  <si>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</si>
  <si>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</si>
  <si>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</si>
  <si>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</si>
  <si>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</si>
  <si>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</si>
  <si>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</si>
  <si>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</si>
  <si>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</si>
  <si>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</si>
  <si>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</si>
  <si>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</si>
  <si>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</si>
  <si>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</si>
  <si>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</si>
  <si>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</si>
  <si>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</si>
  <si>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</si>
  <si>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</si>
  <si>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</si>
  <si>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</si>
  <si>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</si>
  <si>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</si>
  <si>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</si>
  <si>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</si>
  <si>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</si>
  <si>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</si>
  <si>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</si>
  <si>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</si>
  <si>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</si>
  <si>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</si>
  <si>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</si>
  <si>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</si>
  <si>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</si>
  <si>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</si>
  <si>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</si>
  <si>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</si>
  <si>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</si>
  <si>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</si>
  <si>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</si>
  <si>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</si>
  <si>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</si>
  <si>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</si>
  <si>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</si>
  <si>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</si>
  <si>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</si>
  <si>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</si>
  <si>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</si>
  <si>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</si>
  <si>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</si>
  <si>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</si>
  <si>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</si>
  <si>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</si>
  <si>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</si>
  <si>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</si>
  <si>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</si>
  <si>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</si>
  <si>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</si>
  <si>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</si>
  <si>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</si>
  <si>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</si>
  <si>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</si>
  <si>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</si>
  <si>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</si>
  <si>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</si>
  <si>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</si>
  <si>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</si>
  <si>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</si>
  <si>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</si>
  <si>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</si>
  <si>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</si>
  <si>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</si>
  <si>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</si>
  <si>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</si>
  <si>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</si>
  <si>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</si>
  <si>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</si>
  <si>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</si>
  <si>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</si>
  <si>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</si>
  <si>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</si>
  <si>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</si>
  <si>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</si>
  <si>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</si>
  <si>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</si>
  <si>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</si>
  <si>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</si>
  <si>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</si>
  <si>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</si>
  <si>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</si>
  <si>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</si>
  <si>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</si>
  <si>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</si>
  <si>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</si>
  <si>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</si>
  <si>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</si>
  <si>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</si>
  <si>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</si>
  <si>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</si>
  <si>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</si>
  <si>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</si>
  <si>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</si>
  <si>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</si>
  <si>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</si>
  <si>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</si>
  <si>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</si>
  <si>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</si>
  <si>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</si>
  <si>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</si>
  <si>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</si>
  <si>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</si>
  <si>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</si>
  <si>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</si>
  <si>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</si>
  <si>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</si>
  <si>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</si>
  <si>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</si>
  <si>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</si>
  <si>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</si>
  <si>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</si>
  <si>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</si>
  <si>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</si>
  <si>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</si>
  <si>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</si>
  <si>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</si>
  <si>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</si>
  <si>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</si>
  <si>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</si>
  <si>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</si>
  <si>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</si>
  <si>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</si>
  <si>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</si>
  <si>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</si>
  <si>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</si>
  <si>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</si>
  <si>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</si>
  <si>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</si>
  <si>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</si>
  <si>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</si>
  <si>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</si>
  <si>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</si>
  <si>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</si>
  <si>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</si>
  <si>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</si>
  <si>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</si>
  <si>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</si>
  <si>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</si>
  <si>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</si>
  <si>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</si>
  <si>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</si>
  <si>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</si>
  <si>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</si>
  <si>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</si>
  <si>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</si>
  <si>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</si>
  <si>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</si>
  <si>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</si>
  <si>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</si>
  <si>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</si>
  <si>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</si>
  <si>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</si>
  <si>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</si>
  <si>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</si>
  <si>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</si>
  <si>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</si>
  <si>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</si>
  <si>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</si>
  <si>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</si>
  <si>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</si>
  <si>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</si>
  <si>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</si>
  <si>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</si>
  <si>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</si>
  <si>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</si>
  <si>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</si>
  <si>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</si>
  <si>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</si>
  <si>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</si>
  <si>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</si>
  <si>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</si>
  <si>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</si>
  <si>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</si>
  <si>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</si>
  <si>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</si>
  <si>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</si>
  <si>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</si>
  <si>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</si>
  <si>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</si>
  <si>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</si>
  <si>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</si>
  <si>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</si>
  <si>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</si>
  <si>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</si>
  <si>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</si>
  <si>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</si>
  <si>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</si>
  <si>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</si>
  <si>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</si>
  <si>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</si>
  <si>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</si>
  <si>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</si>
  <si>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</si>
  <si>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</si>
  <si>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</si>
  <si>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</si>
  <si>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</si>
  <si>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</si>
  <si>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</si>
  <si>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</si>
  <si>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</si>
  <si>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</si>
  <si>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</si>
  <si>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</si>
  <si>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</si>
  <si>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</si>
  <si>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</si>
  <si>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</si>
  <si>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</si>
  <si>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</si>
  <si>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</si>
  <si>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</si>
  <si>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</si>
  <si>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</si>
  <si>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</si>
  <si>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</si>
  <si>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</si>
  <si>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</si>
  <si>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</si>
  <si>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</si>
  <si>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</si>
  <si>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</si>
  <si>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</si>
  <si>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</si>
  <si>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</si>
  <si>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</si>
  <si>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</si>
  <si>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</si>
  <si>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</si>
  <si>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</si>
  <si>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</si>
  <si>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</si>
  <si>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</si>
  <si>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</si>
  <si>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</si>
  <si>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</si>
  <si>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</si>
  <si>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</si>
  <si>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</si>
  <si>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</si>
  <si>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</si>
  <si>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</si>
  <si>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</si>
  <si>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</si>
  <si>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</si>
  <si>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</si>
  <si>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</si>
  <si>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</si>
  <si>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</si>
  <si>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</si>
  <si>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</si>
  <si>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</si>
  <si>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</si>
  <si>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</si>
  <si>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</si>
  <si>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</si>
  <si>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</si>
  <si>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</si>
  <si>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</si>
  <si>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</si>
  <si>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</si>
  <si>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</si>
  <si>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</si>
  <si>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</si>
  <si>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</si>
  <si>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</si>
  <si>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</si>
  <si>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</si>
  <si>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</si>
  <si>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</si>
  <si>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</si>
  <si>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</si>
  <si>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</si>
  <si>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</si>
  <si>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</si>
  <si>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</si>
  <si>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</si>
  <si>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</si>
  <si>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</si>
  <si>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</si>
  <si>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</si>
  <si>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</si>
  <si>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</si>
  <si>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</si>
  <si>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</si>
  <si>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</si>
  <si>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</si>
  <si>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</si>
  <si>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</si>
  <si>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</si>
  <si>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</si>
  <si>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</si>
  <si>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</si>
  <si>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</si>
  <si>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</si>
  <si>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</si>
  <si>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</si>
  <si>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</si>
  <si>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</si>
  <si>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</si>
  <si>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</si>
  <si>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</si>
  <si>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</si>
  <si>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</si>
  <si>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</si>
  <si>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</si>
  <si>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</si>
  <si>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</si>
  <si>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</si>
  <si>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</si>
  <si>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</si>
  <si>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</si>
  <si>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</si>
  <si>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</si>
  <si>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</si>
  <si>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</si>
  <si>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</si>
  <si>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</si>
  <si>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</si>
  <si>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</si>
  <si>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</si>
  <si>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</si>
  <si>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</si>
  <si>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</si>
  <si>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</si>
  <si>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</si>
  <si>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</si>
  <si>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</si>
  <si>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</si>
  <si>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</si>
  <si>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</si>
  <si>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</si>
  <si>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</si>
  <si>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</si>
  <si>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</si>
  <si>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</si>
  <si>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</si>
  <si>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</si>
  <si>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</si>
  <si>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</si>
  <si>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</si>
  <si>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</si>
  <si>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</si>
  <si>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</si>
  <si>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</si>
  <si>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</si>
  <si>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</si>
  <si>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</si>
  <si>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</si>
  <si>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</si>
  <si>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</si>
  <si>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</si>
  <si>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</si>
  <si>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</si>
  <si>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</si>
  <si>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</si>
  <si>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</si>
  <si>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</si>
  <si>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</si>
  <si>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</si>
  <si>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</si>
  <si>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</si>
  <si>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</si>
  <si>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</si>
  <si>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</si>
  <si>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</si>
  <si>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</si>
  <si>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</si>
  <si>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</si>
  <si>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</si>
  <si>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</si>
  <si>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</si>
  <si>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</si>
  <si>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</si>
  <si>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</si>
  <si>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</si>
  <si>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</si>
  <si>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</si>
  <si>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</si>
  <si>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</si>
  <si>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</si>
  <si>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</si>
  <si>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</si>
  <si>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</si>
  <si>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</si>
  <si>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</si>
  <si>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</si>
  <si>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</si>
  <si>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</si>
  <si>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</si>
  <si>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</si>
  <si>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</si>
  <si>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</si>
  <si>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</si>
  <si>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</si>
  <si>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</si>
  <si>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</si>
  <si>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</si>
  <si>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</si>
  <si>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</si>
  <si>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</si>
  <si>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</si>
  <si>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</si>
  <si>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</si>
  <si>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</si>
  <si>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</si>
  <si>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</si>
  <si>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</si>
  <si>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</si>
  <si>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</si>
  <si>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</si>
  <si>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</si>
  <si>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</si>
  <si>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</si>
  <si>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</si>
  <si>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</si>
  <si>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</si>
  <si>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</si>
  <si>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</si>
  <si>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</si>
  <si>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</si>
  <si>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</si>
  <si>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</si>
  <si>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</si>
  <si>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</si>
  <si>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</si>
  <si>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</si>
  <si>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</si>
  <si>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</si>
  <si>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</si>
  <si>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</si>
  <si>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</si>
  <si>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</si>
  <si>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</si>
  <si>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</si>
  <si>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</si>
  <si>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</si>
  <si>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</si>
  <si>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</si>
  <si>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</si>
  <si>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</si>
  <si>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</si>
  <si>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</si>
  <si>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</si>
  <si>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</si>
  <si>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</si>
  <si>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</si>
  <si>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</si>
  <si>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</si>
  <si>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</si>
  <si>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</si>
  <si>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</si>
  <si>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</si>
  <si>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</si>
  <si>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</si>
  <si>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</si>
  <si>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</si>
  <si>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</si>
  <si>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</si>
  <si>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</si>
  <si>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</si>
  <si>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</si>
  <si>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</si>
  <si>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</si>
  <si>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</si>
  <si>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</si>
  <si>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</si>
  <si>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</si>
  <si>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</si>
  <si>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</si>
  <si>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</si>
  <si>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</si>
  <si>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</si>
  <si>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</si>
  <si>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</si>
  <si>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</si>
  <si>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</si>
  <si>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</si>
  <si>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</si>
  <si>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</si>
  <si>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</si>
  <si>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</si>
  <si>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</si>
  <si>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</si>
  <si>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</si>
  <si>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</si>
  <si>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</si>
  <si>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</si>
  <si>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</si>
  <si>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</si>
  <si>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</si>
  <si>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</si>
  <si>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</si>
  <si>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</si>
  <si>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</si>
  <si>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</si>
  <si>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</si>
  <si>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</si>
  <si>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</si>
  <si>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</si>
  <si>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</si>
  <si>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</si>
  <si>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</si>
  <si>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</si>
  <si>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</si>
  <si>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</si>
  <si>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</si>
  <si>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</si>
  <si>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</si>
  <si>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</si>
  <si>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</si>
  <si>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</si>
  <si>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</si>
  <si>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</si>
  <si>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</si>
  <si>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</si>
  <si>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</si>
  <si>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</si>
  <si>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</si>
  <si>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</si>
  <si>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</si>
  <si>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</si>
  <si>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</si>
  <si>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</si>
  <si>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</si>
  <si>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</si>
  <si>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</si>
  <si>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</si>
  <si>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</si>
  <si>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</si>
  <si>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</si>
  <si>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</si>
  <si>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</si>
  <si>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</si>
  <si>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</si>
  <si>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</si>
  <si>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</si>
  <si>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</si>
  <si>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</si>
  <si>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</si>
  <si>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</si>
  <si>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</si>
  <si>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</si>
  <si>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</si>
  <si>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</si>
  <si>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</si>
  <si>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</si>
  <si>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</si>
  <si>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</si>
  <si>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</si>
  <si>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</si>
  <si>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</si>
  <si>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</si>
  <si>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</si>
  <si>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</si>
  <si>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</si>
  <si>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</si>
  <si>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</si>
  <si>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</si>
  <si>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</si>
  <si>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</si>
  <si>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</si>
  <si>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</si>
  <si>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</si>
  <si>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</si>
  <si>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</si>
  <si>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</si>
  <si>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</si>
  <si>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</si>
  <si>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</si>
  <si>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</si>
  <si>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</si>
  <si>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</si>
  <si>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</si>
  <si>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</si>
  <si>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</si>
  <si>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</si>
  <si>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</si>
  <si>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</si>
  <si>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</si>
  <si>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</si>
  <si>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</si>
  <si>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</si>
  <si>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</si>
  <si>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</si>
  <si>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</si>
  <si>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</si>
  <si>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</si>
  <si>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</si>
  <si>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</si>
  <si>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</si>
  <si>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</si>
  <si>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</si>
  <si>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</si>
  <si>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</si>
  <si>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</si>
  <si>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</si>
  <si>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</si>
  <si>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</si>
  <si>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</si>
  <si>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</si>
  <si>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</si>
  <si>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</si>
  <si>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</si>
  <si>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</si>
  <si>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</si>
  <si>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</si>
  <si>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</si>
  <si>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</si>
  <si>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</si>
  <si>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</si>
  <si>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</si>
  <si>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</si>
  <si>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</si>
  <si>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</si>
  <si>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</si>
  <si>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</si>
  <si>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</si>
  <si>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</si>
  <si>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</si>
  <si>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</si>
  <si>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</si>
  <si>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</si>
  <si>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</si>
  <si>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</si>
  <si>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</si>
  <si>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</si>
  <si>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</si>
  <si>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</si>
  <si>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</si>
  <si>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</si>
  <si>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</si>
  <si>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</si>
  <si>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</si>
  <si>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</si>
  <si>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</si>
  <si>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</si>
  <si>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</si>
  <si>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</si>
  <si>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</si>
  <si>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</si>
  <si>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</si>
  <si>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</si>
  <si>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</si>
  <si>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</si>
  <si>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</si>
  <si>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</si>
  <si>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</si>
  <si>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</si>
  <si>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</si>
  <si>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</si>
  <si>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</si>
  <si>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</si>
  <si>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</si>
  <si>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</si>
  <si>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</si>
  <si>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</si>
  <si>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</si>
  <si>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</si>
  <si>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</si>
  <si>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</si>
  <si>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</si>
  <si>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</si>
  <si>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</si>
  <si>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</si>
  <si>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</si>
  <si>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</si>
  <si>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</si>
  <si>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</si>
  <si>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</si>
  <si>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</si>
  <si>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</si>
  <si>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</si>
  <si>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</si>
  <si>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</si>
  <si>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</si>
  <si>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</si>
  <si>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</si>
  <si>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</si>
  <si>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</si>
  <si>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</si>
  <si>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</si>
  <si>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</si>
  <si>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</si>
  <si>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</si>
  <si>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</si>
  <si>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</si>
  <si>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</si>
  <si>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</si>
  <si>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</si>
  <si>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</si>
  <si>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</si>
  <si>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</si>
  <si>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</si>
  <si>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</si>
  <si>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</si>
  <si>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</si>
  <si>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</si>
  <si>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</si>
  <si>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</si>
  <si>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</si>
  <si>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</si>
  <si>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</si>
  <si>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</si>
  <si>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</si>
  <si>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</si>
  <si>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</si>
  <si>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</si>
  <si>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</si>
  <si>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</si>
  <si>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</si>
  <si>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</si>
  <si>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</si>
  <si>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</si>
  <si>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</si>
  <si>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</si>
  <si>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</si>
  <si>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</si>
  <si>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</si>
  <si>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</si>
  <si>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</si>
  <si>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</si>
  <si>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</si>
  <si>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</si>
  <si>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</si>
  <si>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</si>
  <si>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</si>
  <si>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</si>
  <si>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</si>
  <si>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</si>
  <si>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</si>
  <si>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</si>
  <si>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</si>
  <si>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</si>
  <si>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</si>
  <si>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</si>
  <si>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</si>
  <si>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</si>
  <si>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</si>
  <si>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</si>
  <si>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</si>
  <si>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</si>
  <si>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</si>
  <si>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</si>
  <si>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</si>
  <si>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</si>
  <si>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</si>
  <si>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</si>
  <si>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</si>
  <si>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</si>
  <si>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</si>
  <si>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</si>
  <si>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</si>
  <si>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</si>
  <si>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</si>
  <si>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</si>
  <si>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</si>
  <si>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</si>
  <si>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</si>
  <si>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</si>
  <si>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</si>
  <si>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</si>
  <si>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</si>
  <si>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</si>
  <si>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</si>
  <si>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</si>
  <si>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</si>
  <si>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</si>
  <si>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</si>
  <si>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</si>
  <si>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</si>
  <si>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</si>
  <si>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</si>
  <si>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</si>
  <si>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</si>
  <si>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</si>
  <si>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</si>
  <si>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</si>
  <si>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</si>
  <si>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</si>
  <si>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</si>
  <si>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</si>
  <si>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</si>
  <si>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</si>
  <si>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</si>
  <si>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</si>
  <si>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</si>
  <si>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</si>
  <si>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</si>
  <si>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</si>
  <si>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</si>
  <si>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</si>
  <si>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</si>
  <si>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</si>
  <si>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</si>
  <si>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</si>
  <si>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</si>
  <si>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</si>
  <si>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</si>
  <si>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</si>
  <si>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</si>
  <si>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</si>
  <si>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</si>
  <si>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</si>
  <si>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</si>
  <si>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</si>
  <si>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</si>
  <si>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</si>
  <si>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</si>
  <si>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</si>
  <si>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</si>
  <si>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</si>
  <si>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</si>
  <si>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</si>
  <si>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</si>
  <si>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</si>
  <si>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</si>
  <si>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</si>
  <si>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</si>
  <si>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</si>
  <si>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</si>
  <si>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</si>
  <si>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</si>
  <si>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</si>
  <si>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</si>
  <si>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</si>
  <si>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</si>
  <si>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</si>
  <si>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</si>
  <si>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</si>
  <si>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</si>
  <si>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</si>
  <si>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</si>
  <si>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</si>
  <si>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</si>
  <si>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</si>
  <si>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</si>
  <si>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</si>
  <si>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</si>
  <si>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</si>
  <si>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</si>
  <si>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</si>
  <si>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</si>
  <si>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</si>
  <si>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</si>
  <si>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</si>
  <si>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</si>
  <si>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</si>
  <si>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</si>
  <si>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</si>
  <si>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</si>
  <si>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</si>
  <si>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</si>
  <si>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</si>
  <si>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</si>
  <si>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</si>
  <si>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</si>
  <si>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</si>
  <si>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</si>
  <si>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</si>
  <si>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</si>
  <si>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</si>
  <si>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</si>
  <si>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</si>
  <si>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</si>
  <si>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</si>
  <si>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</si>
  <si>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</si>
  <si>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</si>
  <si>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</si>
  <si>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</si>
  <si>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</si>
  <si>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</si>
  <si>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</si>
  <si>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</si>
  <si>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</si>
  <si>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</si>
  <si>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</si>
  <si>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</si>
  <si>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</si>
  <si>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</si>
  <si>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</si>
  <si>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</si>
  <si>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</si>
  <si>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</si>
  <si>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</si>
  <si>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</si>
  <si>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</si>
  <si>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</si>
  <si>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</si>
  <si>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</si>
  <si>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</si>
  <si>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</si>
  <si>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</si>
  <si>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</si>
  <si>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</si>
  <si>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</si>
  <si>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</si>
  <si>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</si>
  <si>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</si>
  <si>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</si>
  <si>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</si>
  <si>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</si>
  <si>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</si>
  <si>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</si>
  <si>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</si>
  <si>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</si>
  <si>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</si>
  <si>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</si>
  <si>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</si>
  <si>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</si>
  <si>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</si>
  <si>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</si>
  <si>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</si>
  <si>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</si>
  <si>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</si>
  <si>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</si>
  <si>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</si>
  <si>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</si>
  <si>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</si>
  <si>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</si>
  <si>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</si>
  <si>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</si>
  <si>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</si>
  <si>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</si>
  <si>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</si>
  <si>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</si>
  <si>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</si>
  <si>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</si>
  <si>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</si>
  <si>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</si>
  <si>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</si>
  <si>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</si>
  <si>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</si>
  <si>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</si>
  <si>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</si>
  <si>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</si>
  <si>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</si>
  <si>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</si>
  <si>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</si>
  <si>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</si>
  <si>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</si>
  <si>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</si>
  <si>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</si>
  <si>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</si>
  <si>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</si>
  <si>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</si>
  <si>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</si>
  <si>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</si>
  <si>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</si>
  <si>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</si>
  <si>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</si>
  <si>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</si>
  <si>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</si>
  <si>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</si>
  <si>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</si>
  <si>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</si>
  <si>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</si>
  <si>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</si>
  <si>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</si>
  <si>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</si>
  <si>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</si>
  <si>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</si>
  <si>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</si>
  <si>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</si>
  <si>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</si>
  <si>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</si>
  <si>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</si>
  <si>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</si>
  <si>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</si>
  <si>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</si>
  <si>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</si>
  <si>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</si>
  <si>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</si>
  <si>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</si>
  <si>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</si>
  <si>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</si>
  <si>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</si>
  <si>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</si>
  <si>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</si>
  <si>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</si>
  <si>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</si>
  <si>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</si>
  <si>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</si>
  <si>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</si>
  <si>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</si>
  <si>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</si>
  <si>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</si>
  <si>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</si>
  <si>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</si>
  <si>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</si>
  <si>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</si>
  <si>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</si>
  <si>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</si>
  <si>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</si>
  <si>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</si>
  <si>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</si>
  <si>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</si>
  <si>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</si>
  <si>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</si>
  <si>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</si>
  <si>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</si>
  <si>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</si>
  <si>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</si>
  <si>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</si>
  <si>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</si>
  <si>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</si>
  <si>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</si>
  <si>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</si>
  <si>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</si>
  <si>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</si>
  <si>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</si>
  <si>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</si>
  <si>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</si>
  <si>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</si>
  <si>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</si>
  <si>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</si>
  <si>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</si>
  <si>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</si>
  <si>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</si>
  <si>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</si>
  <si>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</si>
  <si>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</si>
  <si>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</si>
  <si>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</si>
  <si>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</si>
  <si>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</si>
  <si>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</si>
  <si>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</si>
  <si>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</si>
  <si>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</si>
  <si>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</si>
  <si>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</si>
  <si>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</si>
  <si>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</si>
  <si>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</si>
  <si>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</si>
  <si>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</si>
  <si>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</si>
  <si>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</si>
  <si>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</si>
  <si>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</si>
  <si>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</si>
  <si>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</si>
  <si>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</si>
  <si>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</si>
  <si>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</si>
  <si>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</si>
  <si>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</si>
  <si>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</si>
  <si>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</si>
  <si>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</si>
  <si>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</si>
  <si>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</si>
  <si>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</si>
  <si>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</si>
  <si>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</si>
  <si>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</si>
  <si>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</si>
  <si>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</si>
  <si>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</si>
  <si>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</si>
  <si>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</si>
  <si>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</si>
  <si>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</si>
  <si>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</si>
  <si>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</si>
  <si>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</si>
  <si>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</si>
  <si>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</si>
  <si>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</si>
  <si>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</si>
  <si>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</si>
  <si>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</si>
  <si>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</si>
  <si>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</si>
  <si>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</si>
  <si>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</si>
  <si>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</si>
  <si>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</si>
  <si>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</si>
  <si>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</si>
  <si>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</si>
  <si>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</si>
  <si>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</si>
  <si>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</si>
  <si>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</si>
  <si>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</si>
  <si>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</si>
  <si>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</si>
  <si>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</si>
  <si>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</si>
  <si>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</si>
  <si>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</si>
  <si>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</si>
  <si>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</si>
  <si>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</si>
  <si>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</si>
  <si>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</si>
  <si>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</si>
  <si>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</si>
  <si>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</si>
  <si>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</si>
  <si>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</si>
  <si>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</si>
  <si>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</si>
  <si>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</si>
  <si>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</si>
  <si>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</si>
  <si>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</si>
  <si>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</si>
  <si>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</si>
  <si>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</si>
  <si>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</si>
  <si>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</si>
  <si>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</si>
  <si>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</si>
  <si>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</si>
  <si>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</si>
  <si>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</si>
  <si>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</si>
  <si>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</si>
  <si>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</si>
  <si>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</si>
  <si>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</si>
  <si>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</si>
  <si>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</si>
  <si>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</si>
  <si>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</si>
  <si>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</si>
  <si>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</si>
  <si>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</si>
  <si>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</si>
  <si>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</si>
  <si>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</si>
  <si>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</si>
  <si>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</si>
  <si>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</si>
  <si>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</si>
  <si>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</si>
  <si>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</si>
  <si>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</si>
  <si>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</si>
  <si>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</si>
  <si>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</si>
  <si>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</si>
  <si>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</si>
  <si>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</si>
  <si>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</si>
  <si>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</si>
  <si>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</si>
  <si>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</si>
  <si>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</si>
  <si>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</si>
  <si>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</si>
  <si>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</si>
  <si>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</si>
  <si>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</si>
  <si>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</si>
  <si>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</si>
  <si>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</si>
  <si>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</si>
  <si>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</si>
  <si>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</si>
  <si>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</si>
  <si>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</si>
  <si>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</si>
  <si>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</si>
  <si>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</si>
  <si>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</si>
  <si>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</si>
  <si>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</si>
  <si>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</si>
  <si>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</si>
  <si>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</si>
  <si>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</si>
  <si>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</si>
  <si>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</si>
  <si>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</si>
  <si>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</si>
  <si>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</si>
  <si>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</si>
  <si>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</si>
  <si>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</si>
  <si>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</si>
  <si>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</si>
  <si>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</si>
  <si>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</si>
  <si>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</si>
  <si>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</si>
  <si>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</si>
  <si>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</si>
  <si>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</si>
  <si>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</si>
  <si>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</si>
  <si>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</si>
  <si>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</si>
  <si>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</si>
  <si>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</si>
  <si>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</si>
  <si>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</si>
  <si>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</si>
  <si>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</si>
  <si>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</si>
  <si>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</si>
  <si>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</si>
  <si>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</si>
  <si>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</si>
  <si>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</si>
  <si>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</si>
  <si>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</si>
  <si>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</si>
  <si>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</si>
  <si>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</si>
  <si>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</si>
  <si>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</si>
  <si>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</si>
  <si>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</si>
  <si>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</si>
  <si>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</si>
  <si>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</si>
  <si>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</si>
  <si>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</si>
  <si>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</si>
  <si>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</si>
  <si>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</si>
  <si>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</si>
  <si>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</si>
  <si>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</si>
  <si>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</si>
  <si>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</si>
  <si>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</si>
  <si>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</si>
  <si>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</si>
  <si>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</si>
  <si>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</si>
  <si>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</si>
  <si>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</si>
  <si>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</si>
  <si>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</si>
  <si>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</si>
  <si>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</si>
  <si>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</si>
  <si>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</si>
  <si>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</si>
  <si>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</si>
  <si>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</si>
  <si>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</si>
  <si>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</si>
  <si>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</si>
  <si>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</si>
  <si>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</si>
  <si>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</si>
  <si>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</si>
  <si>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</si>
  <si>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</si>
  <si>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</si>
  <si>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</si>
  <si>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</si>
  <si>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</si>
  <si>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</si>
  <si>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</si>
  <si>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</si>
  <si>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</si>
  <si>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</si>
  <si>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</si>
  <si>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</si>
  <si>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</si>
  <si>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</si>
  <si>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</si>
  <si>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</si>
  <si>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</si>
  <si>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</si>
  <si>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</si>
  <si>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</si>
  <si>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</si>
  <si>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</si>
  <si>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</si>
  <si>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</si>
  <si>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</si>
  <si>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</si>
  <si>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</si>
  <si>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</si>
  <si>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</si>
  <si>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</si>
  <si>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</si>
  <si>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</si>
  <si>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</si>
  <si>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</si>
  <si>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</si>
  <si>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</si>
  <si>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</si>
  <si>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</si>
  <si>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</si>
  <si>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</si>
  <si>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</si>
  <si>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</si>
  <si>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</si>
  <si>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</si>
  <si>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</si>
  <si>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</si>
  <si>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</si>
  <si>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</si>
  <si>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</si>
  <si>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</si>
  <si>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</si>
  <si>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</si>
  <si>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</si>
  <si>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</si>
  <si>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</si>
  <si>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</si>
  <si>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</si>
  <si>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</si>
  <si>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</si>
  <si>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</si>
  <si>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</si>
  <si>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</si>
  <si>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</si>
  <si>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</si>
  <si>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</si>
  <si>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</si>
  <si>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</si>
  <si>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</si>
  <si>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</si>
  <si>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</si>
  <si>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</si>
  <si>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</si>
  <si>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</si>
  <si>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</si>
  <si>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</si>
  <si>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</si>
  <si>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</si>
  <si>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</si>
  <si>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</si>
  <si>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</si>
  <si>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</si>
  <si>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</si>
  <si>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</si>
  <si>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</si>
  <si>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</si>
  <si>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</si>
  <si>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</si>
  <si>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</si>
  <si>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</si>
  <si>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</si>
  <si>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</si>
  <si>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</si>
  <si>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</si>
  <si>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</si>
  <si>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</si>
  <si>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</si>
  <si>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</si>
  <si>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</si>
  <si>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</si>
  <si>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</si>
  <si>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</si>
  <si>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</si>
  <si>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</si>
  <si>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</si>
  <si>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</si>
  <si>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</si>
  <si>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</si>
  <si>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</si>
  <si>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</si>
  <si>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</si>
  <si>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</si>
  <si>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</si>
  <si>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</si>
  <si>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</si>
  <si>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</si>
  <si>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</si>
  <si>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</si>
  <si>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</si>
  <si>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</si>
  <si>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</si>
  <si>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</si>
  <si>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</si>
  <si>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</si>
  <si>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</si>
  <si>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</si>
  <si>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</si>
  <si>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</si>
  <si>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</si>
  <si>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</si>
  <si>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</si>
  <si>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</si>
  <si>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</si>
  <si>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</si>
  <si>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</si>
  <si>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</si>
  <si>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</si>
  <si>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</si>
  <si>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</si>
  <si>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</si>
  <si>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</si>
  <si>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</si>
  <si>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</si>
  <si>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</si>
  <si>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</si>
  <si>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</si>
  <si>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</si>
  <si>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</si>
  <si>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</si>
  <si>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</si>
  <si>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</si>
  <si>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</si>
  <si>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</si>
  <si>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</si>
  <si>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</si>
  <si>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</si>
  <si>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</si>
  <si>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</si>
  <si>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</si>
  <si>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</si>
  <si>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</si>
  <si>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</si>
  <si>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</si>
  <si>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</si>
  <si>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</si>
  <si>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</si>
  <si>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</si>
  <si>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</si>
  <si>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</si>
  <si>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</si>
  <si>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</si>
  <si>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</si>
  <si>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</si>
  <si>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</si>
  <si>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</si>
  <si>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</si>
  <si>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</si>
  <si>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</si>
  <si>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</si>
  <si>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</si>
  <si>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</si>
  <si>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</si>
  <si>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</si>
  <si>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</si>
  <si>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</si>
  <si>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</si>
  <si>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</si>
  <si>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</si>
  <si>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</si>
  <si>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</si>
  <si>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</si>
  <si>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</si>
  <si>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</si>
  <si>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</si>
  <si>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</si>
  <si>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</si>
  <si>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</si>
  <si>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</si>
  <si>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</si>
  <si>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</si>
  <si>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</si>
  <si>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</si>
  <si>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</si>
  <si>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</si>
  <si>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</si>
  <si>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</si>
  <si>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</si>
  <si>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</si>
  <si>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</si>
  <si>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</si>
  <si>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</si>
  <si>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</si>
  <si>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</si>
  <si>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</si>
  <si>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</si>
  <si>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</si>
  <si>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</si>
  <si>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</si>
  <si>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</si>
  <si>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</si>
  <si>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</si>
  <si>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</si>
  <si>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</si>
  <si>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</si>
  <si>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</si>
  <si>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</si>
  <si>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</si>
  <si>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</si>
  <si>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</si>
  <si>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</si>
  <si>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</si>
  <si>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</si>
  <si>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</si>
  <si>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</si>
  <si>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</si>
  <si>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</si>
  <si>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</si>
  <si>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</si>
  <si>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</si>
  <si>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</si>
  <si>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</si>
  <si>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</si>
  <si>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</si>
  <si>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</si>
  <si>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</si>
  <si>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fill='#1E2C52'</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</si>
  <si>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</si>
  <si>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</si>
  <si>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</si>
  <si>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</si>
  <si>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</si>
  <si>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</si>
  <si>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</si>
  <si>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</si>
  <si>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</si>
  <si>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</si>
  <si>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</si>
  <si>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</si>
  <si>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</si>
  <si>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</si>
  <si>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</si>
  <si>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</si>
  <si>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</si>
  <si>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</si>
  <si>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</si>
  <si>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</si>
  <si>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</si>
  <si>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</si>
  <si>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45 / 28 is Pythagorean slope near that of logo’s SVG’s M.</t>
  </si>
  <si>
    <t>degrees</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</si>
  <si>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</si>
  <si>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</si>
  <si>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</si>
  <si>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</si>
  <si>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</si>
  <si>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</si>
  <si>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 xml:space="preserve"> XAF XCD AFN XOF XPF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</si>
</sst>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0"/>
  <tableStyles count="0" defaultTableStyle="TableStyleMedium2" defaultPivotStyle="PivotStyleLight16"/>
  <colors>
    <mruColors>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2.45029690981724E-15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-1.3721662694976544E-14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-27.999999999999986</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1E2C52"/>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none"/>
          </c:marker>
          <c:xVal>
            <c:numRef>
              <c:f>[0]!XPF.CircleO_X</c:f>
              <c:numCache>
                <c:formatCode>General</c:formatCode>
                <c:ptCount val="91"/>
                <c:pt idx="0">
                  <c:v>35</c:v>
                </c:pt>
                <c:pt idx="1">
                  <c:v>34.91474175909385</c:v>
                </c:pt>
                <c:pt idx="2">
                  <c:v>34.659382405954965</c:v>
                </c:pt>
                <c:pt idx="3">
                  <c:v>34.235166025683199</c:v>
                </c:pt>
                <c:pt idx="4">
                  <c:v>33.644159357841161</c:v>
                </c:pt>
                <c:pt idx="5">
                  <c:v>32.889241727506793</c:v>
                </c:pt>
                <c:pt idx="6">
                  <c:v>31.97409101749103</c:v>
                </c:pt>
                <c:pt idx="7">
                  <c:v>30.903165750062445</c:v>
                </c:pt>
                <c:pt idx="8">
                  <c:v>29.681683365474907</c:v>
                </c:pt>
                <c:pt idx="9">
                  <c:v>28.315594803123162</c:v>
                </c:pt>
                <c:pt idx="10">
                  <c:v>26.811555509164229</c:v>
                </c:pt>
                <c:pt idx="11">
                  <c:v>25.17689301185279</c:v>
                </c:pt>
                <c:pt idx="12">
                  <c:v>23.419571222560037</c:v>
                </c:pt>
                <c:pt idx="13">
                  <c:v>21.548151636398039</c:v>
                </c:pt>
                <c:pt idx="14">
                  <c:v>19.571751621476139</c:v>
                </c:pt>
                <c:pt idx="15">
                  <c:v>17.500000000000004</c:v>
                </c:pt>
                <c:pt idx="16">
                  <c:v>15.342990137617711</c:v>
                </c:pt>
                <c:pt idx="17">
                  <c:v>13.111230769556919</c:v>
                </c:pt>
                <c:pt idx="18">
                  <c:v>10.815594803123162</c:v>
                </c:pt>
                <c:pt idx="19">
                  <c:v>8.4672663459883761</c:v>
                </c:pt>
                <c:pt idx="20">
                  <c:v>6.0776862183425644</c:v>
                </c:pt>
                <c:pt idx="21">
                  <c:v>3.658496214367871</c:v>
                </c:pt>
                <c:pt idx="22">
                  <c:v>1.2214823845875378</c:v>
                </c:pt>
                <c:pt idx="23">
                  <c:v>-1.2214823845875256</c:v>
                </c:pt>
                <c:pt idx="24">
                  <c:v>-3.6584962143678665</c:v>
                </c:pt>
                <c:pt idx="25">
                  <c:v>-6.0776862183425608</c:v>
                </c:pt>
                <c:pt idx="26">
                  <c:v>-8.4672663459883726</c:v>
                </c:pt>
                <c:pt idx="27">
                  <c:v>-10.815594803123156</c:v>
                </c:pt>
                <c:pt idx="28">
                  <c:v>-13.111230769556922</c:v>
                </c:pt>
                <c:pt idx="29">
                  <c:v>-15.342990137617713</c:v>
                </c:pt>
                <c:pt idx="30">
                  <c:v>-17.499999999999993</c:v>
                </c:pt>
                <c:pt idx="31">
                  <c:v>-19.571751621476135</c:v>
                </c:pt>
                <c:pt idx="32">
                  <c:v>-21.548151636398039</c:v>
                </c:pt>
                <c:pt idx="33">
                  <c:v>-23.419571222560037</c:v>
                </c:pt>
                <c:pt idx="34">
                  <c:v>-25.17689301185279</c:v>
                </c:pt>
                <c:pt idx="35">
                  <c:v>-26.811555509164226</c:v>
                </c:pt>
                <c:pt idx="36">
                  <c:v>-28.315594803123158</c:v>
                </c:pt>
                <c:pt idx="37">
                  <c:v>-29.681683365474907</c:v>
                </c:pt>
                <c:pt idx="38">
                  <c:v>-30.903165750062438</c:v>
                </c:pt>
                <c:pt idx="39">
                  <c:v>-31.974091017491027</c:v>
                </c:pt>
                <c:pt idx="40">
                  <c:v>-32.889241727506793</c:v>
                </c:pt>
                <c:pt idx="41">
                  <c:v>-33.644159357841154</c:v>
                </c:pt>
                <c:pt idx="42">
                  <c:v>-34.235166025683199</c:v>
                </c:pt>
                <c:pt idx="43">
                  <c:v>-34.659382405954958</c:v>
                </c:pt>
                <c:pt idx="44">
                  <c:v>-34.91474175909385</c:v>
                </c:pt>
                <c:pt idx="45">
                  <c:v>-35</c:v>
                </c:pt>
                <c:pt idx="46">
                  <c:v>-34.91474175909385</c:v>
                </c:pt>
                <c:pt idx="47">
                  <c:v>-34.659382405954958</c:v>
                </c:pt>
                <c:pt idx="48">
                  <c:v>-34.235166025683199</c:v>
                </c:pt>
                <c:pt idx="49">
                  <c:v>-33.644159357841161</c:v>
                </c:pt>
                <c:pt idx="50">
                  <c:v>-32.889241727506793</c:v>
                </c:pt>
                <c:pt idx="51">
                  <c:v>-31.974091017491038</c:v>
                </c:pt>
                <c:pt idx="52">
                  <c:v>-30.903165750062442</c:v>
                </c:pt>
                <c:pt idx="53">
                  <c:v>-29.681683365474914</c:v>
                </c:pt>
                <c:pt idx="54">
                  <c:v>-28.315594803123165</c:v>
                </c:pt>
                <c:pt idx="55">
                  <c:v>-26.811555509164229</c:v>
                </c:pt>
                <c:pt idx="56">
                  <c:v>-25.176893011852787</c:v>
                </c:pt>
                <c:pt idx="57">
                  <c:v>-23.419571222560045</c:v>
                </c:pt>
                <c:pt idx="58">
                  <c:v>-21.548151636398032</c:v>
                </c:pt>
                <c:pt idx="59">
                  <c:v>-19.571751621476153</c:v>
                </c:pt>
                <c:pt idx="60">
                  <c:v>-17.500000000000014</c:v>
                </c:pt>
                <c:pt idx="61">
                  <c:v>-15.34299013761772</c:v>
                </c:pt>
                <c:pt idx="62">
                  <c:v>-13.111230769556931</c:v>
                </c:pt>
                <c:pt idx="63">
                  <c:v>-10.815594803123165</c:v>
                </c:pt>
                <c:pt idx="64">
                  <c:v>-8.4672663459883726</c:v>
                </c:pt>
                <c:pt idx="65">
                  <c:v>-6.0776862183425617</c:v>
                </c:pt>
                <c:pt idx="66">
                  <c:v>-3.6584962143678674</c:v>
                </c:pt>
                <c:pt idx="67">
                  <c:v>-1.2214823845875578</c:v>
                </c:pt>
                <c:pt idx="68">
                  <c:v>1.2214823845875449</c:v>
                </c:pt>
                <c:pt idx="69">
                  <c:v>3.6584962143678545</c:v>
                </c:pt>
                <c:pt idx="70">
                  <c:v>6.0776862183425493</c:v>
                </c:pt>
                <c:pt idx="71">
                  <c:v>8.4672663459883601</c:v>
                </c:pt>
                <c:pt idx="72">
                  <c:v>10.815594803123153</c:v>
                </c:pt>
                <c:pt idx="73">
                  <c:v>13.111230769556919</c:v>
                </c:pt>
                <c:pt idx="74">
                  <c:v>15.34299013761771</c:v>
                </c:pt>
                <c:pt idx="75">
                  <c:v>17.500000000000004</c:v>
                </c:pt>
                <c:pt idx="76">
                  <c:v>19.571751621476118</c:v>
                </c:pt>
                <c:pt idx="77">
                  <c:v>21.54815163639805</c:v>
                </c:pt>
                <c:pt idx="78">
                  <c:v>23.419571222560023</c:v>
                </c:pt>
                <c:pt idx="79">
                  <c:v>25.17689301185278</c:v>
                </c:pt>
                <c:pt idx="80">
                  <c:v>26.811555509164222</c:v>
                </c:pt>
                <c:pt idx="81">
                  <c:v>28.315594803123158</c:v>
                </c:pt>
                <c:pt idx="82">
                  <c:v>29.681683365474889</c:v>
                </c:pt>
                <c:pt idx="83">
                  <c:v>30.903165750062442</c:v>
                </c:pt>
                <c:pt idx="84">
                  <c:v>31.974091017491034</c:v>
                </c:pt>
                <c:pt idx="85">
                  <c:v>32.889241727506793</c:v>
                </c:pt>
                <c:pt idx="86">
                  <c:v>33.644159357841154</c:v>
                </c:pt>
                <c:pt idx="87">
                  <c:v>34.235166025683192</c:v>
                </c:pt>
                <c:pt idx="88">
                  <c:v>34.659382405954958</c:v>
                </c:pt>
                <c:pt idx="89">
                  <c:v>34.91474175909385</c:v>
                </c:pt>
                <c:pt idx="90">
                  <c:v>35</c:v>
                </c:pt>
              </c:numCache>
            </c:numRef>
          </c:xVal>
          <c:yVal>
            <c:numRef>
              <c:f>[0]!XPF.CircleO_Y</c:f>
              <c:numCache>
                <c:formatCode>General</c:formatCode>
                <c:ptCount val="91"/>
                <c:pt idx="0">
                  <c:v>0</c:v>
                </c:pt>
                <c:pt idx="1">
                  <c:v>2.4414765810443857</c:v>
                </c:pt>
                <c:pt idx="2">
                  <c:v>4.87105853360229</c:v>
                </c:pt>
                <c:pt idx="3">
                  <c:v>7.276909178621576</c:v>
                </c:pt>
                <c:pt idx="4">
                  <c:v>9.647307453594971</c:v>
                </c:pt>
                <c:pt idx="5">
                  <c:v>11.970705016398405</c:v>
                </c:pt>
                <c:pt idx="6">
                  <c:v>14.235782507653006</c:v>
                </c:pt>
                <c:pt idx="7">
                  <c:v>16.431504697506178</c:v>
                </c:pt>
                <c:pt idx="8">
                  <c:v>18.547174248162172</c:v>
                </c:pt>
                <c:pt idx="9">
                  <c:v>20.57248383023656</c:v>
                </c:pt>
                <c:pt idx="10">
                  <c:v>22.497566339028875</c:v>
                </c:pt>
                <c:pt idx="11">
                  <c:v>24.313042966064906</c:v>
                </c:pt>
                <c:pt idx="12">
                  <c:v>26.010068891708794</c:v>
                </c:pt>
                <c:pt idx="13">
                  <c:v>27.580376376235272</c:v>
                </c:pt>
                <c:pt idx="14">
                  <c:v>29.016315039426459</c:v>
                </c:pt>
                <c:pt idx="15">
                  <c:v>30.310889132455351</c:v>
                </c:pt>
                <c:pt idx="16">
                  <c:v>31.457791620470847</c:v>
                </c:pt>
                <c:pt idx="17">
                  <c:v>32.451434909837559</c:v>
                </c:pt>
                <c:pt idx="18">
                  <c:v>33.28697807033037</c:v>
                </c:pt>
                <c:pt idx="19">
                  <c:v>33.960350419659875</c:v>
                </c:pt>
                <c:pt idx="20">
                  <c:v>34.468271355427284</c:v>
                </c:pt>
                <c:pt idx="21">
                  <c:v>34.808266337889563</c:v>
                </c:pt>
                <c:pt idx="22">
                  <c:v>34.978678945668349</c:v>
                </c:pt>
                <c:pt idx="23">
                  <c:v>34.978678945668349</c:v>
                </c:pt>
                <c:pt idx="24">
                  <c:v>34.80826633788957</c:v>
                </c:pt>
                <c:pt idx="25">
                  <c:v>34.468271355427284</c:v>
                </c:pt>
                <c:pt idx="26">
                  <c:v>33.960350419659875</c:v>
                </c:pt>
                <c:pt idx="27">
                  <c:v>33.286978070330377</c:v>
                </c:pt>
                <c:pt idx="28">
                  <c:v>32.451434909837559</c:v>
                </c:pt>
                <c:pt idx="29">
                  <c:v>31.457791620470843</c:v>
                </c:pt>
                <c:pt idx="30">
                  <c:v>30.310889132455355</c:v>
                </c:pt>
                <c:pt idx="31">
                  <c:v>29.016315039426459</c:v>
                </c:pt>
                <c:pt idx="32">
                  <c:v>27.580376376235272</c:v>
                </c:pt>
                <c:pt idx="33">
                  <c:v>26.010068891708798</c:v>
                </c:pt>
                <c:pt idx="34">
                  <c:v>24.313042966064899</c:v>
                </c:pt>
                <c:pt idx="35">
                  <c:v>22.497566339028882</c:v>
                </c:pt>
                <c:pt idx="36">
                  <c:v>20.572483830236564</c:v>
                </c:pt>
                <c:pt idx="37">
                  <c:v>18.547174248162172</c:v>
                </c:pt>
                <c:pt idx="38">
                  <c:v>16.431504697506188</c:v>
                </c:pt>
                <c:pt idx="39">
                  <c:v>14.235782507653015</c:v>
                </c:pt>
                <c:pt idx="40">
                  <c:v>11.97070501639841</c:v>
                </c:pt>
                <c:pt idx="41">
                  <c:v>9.6473074535949888</c:v>
                </c:pt>
                <c:pt idx="42">
                  <c:v>7.276909178621576</c:v>
                </c:pt>
                <c:pt idx="43">
                  <c:v>4.8710585336023007</c:v>
                </c:pt>
                <c:pt idx="44">
                  <c:v>2.4414765810443932</c:v>
                </c:pt>
                <c:pt idx="45">
                  <c:v>4.28801959218017E-15</c:v>
                </c:pt>
                <c:pt idx="46">
                  <c:v>-2.4414765810443693</c:v>
                </c:pt>
                <c:pt idx="47">
                  <c:v>-4.8710585336022936</c:v>
                </c:pt>
                <c:pt idx="48">
                  <c:v>-7.2769091786215672</c:v>
                </c:pt>
                <c:pt idx="49">
                  <c:v>-9.6473074535949657</c:v>
                </c:pt>
                <c:pt idx="50">
                  <c:v>-11.970705016398403</c:v>
                </c:pt>
                <c:pt idx="51">
                  <c:v>-14.235782507652994</c:v>
                </c:pt>
                <c:pt idx="52">
                  <c:v>-16.431504697506181</c:v>
                </c:pt>
                <c:pt idx="53">
                  <c:v>-18.547174248162168</c:v>
                </c:pt>
                <c:pt idx="54">
                  <c:v>-20.572483830236557</c:v>
                </c:pt>
                <c:pt idx="55">
                  <c:v>-22.497566339028875</c:v>
                </c:pt>
                <c:pt idx="56">
                  <c:v>-24.313042966064909</c:v>
                </c:pt>
                <c:pt idx="57">
                  <c:v>-26.010068891708791</c:v>
                </c:pt>
                <c:pt idx="58">
                  <c:v>-27.580376376235275</c:v>
                </c:pt>
                <c:pt idx="59">
                  <c:v>-29.016315039426448</c:v>
                </c:pt>
                <c:pt idx="60">
                  <c:v>-30.310889132455344</c:v>
                </c:pt>
                <c:pt idx="61">
                  <c:v>-31.457791620470839</c:v>
                </c:pt>
                <c:pt idx="62">
                  <c:v>-32.451434909837559</c:v>
                </c:pt>
                <c:pt idx="63">
                  <c:v>-33.28697807033037</c:v>
                </c:pt>
                <c:pt idx="64">
                  <c:v>-33.960350419659875</c:v>
                </c:pt>
                <c:pt idx="65">
                  <c:v>-34.468271355427284</c:v>
                </c:pt>
                <c:pt idx="66">
                  <c:v>-34.80826633788957</c:v>
                </c:pt>
                <c:pt idx="67">
                  <c:v>-34.978678945668349</c:v>
                </c:pt>
                <c:pt idx="68">
                  <c:v>-34.978678945668349</c:v>
                </c:pt>
                <c:pt idx="69">
                  <c:v>-34.80826633788957</c:v>
                </c:pt>
                <c:pt idx="70">
                  <c:v>-34.468271355427284</c:v>
                </c:pt>
                <c:pt idx="71">
                  <c:v>-33.960350419659882</c:v>
                </c:pt>
                <c:pt idx="72">
                  <c:v>-33.286978070330377</c:v>
                </c:pt>
                <c:pt idx="73">
                  <c:v>-32.451434909837559</c:v>
                </c:pt>
                <c:pt idx="74">
                  <c:v>-31.457791620470847</c:v>
                </c:pt>
                <c:pt idx="75">
                  <c:v>-30.310889132455351</c:v>
                </c:pt>
                <c:pt idx="76">
                  <c:v>-29.016315039426473</c:v>
                </c:pt>
                <c:pt idx="77">
                  <c:v>-27.580376376235265</c:v>
                </c:pt>
                <c:pt idx="78">
                  <c:v>-26.010068891708809</c:v>
                </c:pt>
                <c:pt idx="79">
                  <c:v>-24.313042966064916</c:v>
                </c:pt>
                <c:pt idx="80">
                  <c:v>-22.497566339028886</c:v>
                </c:pt>
                <c:pt idx="81">
                  <c:v>-20.572483830236568</c:v>
                </c:pt>
                <c:pt idx="82">
                  <c:v>-18.547174248162204</c:v>
                </c:pt>
                <c:pt idx="83">
                  <c:v>-16.431504697506178</c:v>
                </c:pt>
                <c:pt idx="84">
                  <c:v>-14.235782507653006</c:v>
                </c:pt>
                <c:pt idx="85">
                  <c:v>-11.970705016398401</c:v>
                </c:pt>
                <c:pt idx="86">
                  <c:v>-9.6473074535949923</c:v>
                </c:pt>
                <c:pt idx="87">
                  <c:v>-7.2769091786215956</c:v>
                </c:pt>
                <c:pt idx="88">
                  <c:v>-4.871058533602306</c:v>
                </c:pt>
                <c:pt idx="89">
                  <c:v>-2.4414765810443666</c:v>
                </c:pt>
                <c:pt idx="90">
                  <c:v>-8.5760391843603401E-15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91"/>
                <c:pt idx="0">
                  <c:v>28</c:v>
                </c:pt>
                <c:pt idx="1">
                  <c:v>27.931793407275077</c:v>
                </c:pt>
                <c:pt idx="2">
                  <c:v>27.727505924763971</c:v>
                </c:pt>
                <c:pt idx="3">
                  <c:v>27.388132820546559</c:v>
                </c:pt>
                <c:pt idx="4">
                  <c:v>26.915327486272929</c:v>
                </c:pt>
                <c:pt idx="5">
                  <c:v>26.311393382005434</c:v>
                </c:pt>
                <c:pt idx="6">
                  <c:v>25.579272813992823</c:v>
                </c:pt>
                <c:pt idx="7">
                  <c:v>24.722532600049956</c:v>
                </c:pt>
                <c:pt idx="8">
                  <c:v>23.745346692379925</c:v>
                </c:pt>
                <c:pt idx="9">
                  <c:v>22.652475842498529</c:v>
                </c:pt>
                <c:pt idx="10">
                  <c:v>21.449244407331385</c:v>
                </c:pt>
                <c:pt idx="11">
                  <c:v>20.141514409482234</c:v>
                </c:pt>
                <c:pt idx="12">
                  <c:v>18.735656978048031</c:v>
                </c:pt>
                <c:pt idx="13">
                  <c:v>17.238521309118433</c:v>
                </c:pt>
                <c:pt idx="14">
                  <c:v>15.657401297180911</c:v>
                </c:pt>
                <c:pt idx="15">
                  <c:v>14.000000000000004</c:v>
                </c:pt>
                <c:pt idx="16">
                  <c:v>12.274392110094169</c:v>
                </c:pt>
                <c:pt idx="17">
                  <c:v>10.488984615645535</c:v>
                </c:pt>
                <c:pt idx="18">
                  <c:v>8.6524758424985286</c:v>
                </c:pt>
                <c:pt idx="19">
                  <c:v>6.7738130767907014</c:v>
                </c:pt>
                <c:pt idx="20">
                  <c:v>4.8621489746740512</c:v>
                </c:pt>
                <c:pt idx="21">
                  <c:v>2.926796971494297</c:v>
                </c:pt>
                <c:pt idx="22">
                  <c:v>0.97718590767003022</c:v>
                </c:pt>
                <c:pt idx="23">
                  <c:v>-0.97718590767002056</c:v>
                </c:pt>
                <c:pt idx="24">
                  <c:v>-2.9267969714942934</c:v>
                </c:pt>
                <c:pt idx="25">
                  <c:v>-4.8621489746740485</c:v>
                </c:pt>
                <c:pt idx="26">
                  <c:v>-6.7738130767906979</c:v>
                </c:pt>
                <c:pt idx="27">
                  <c:v>-8.6524758424985251</c:v>
                </c:pt>
                <c:pt idx="28">
                  <c:v>-10.488984615645538</c:v>
                </c:pt>
                <c:pt idx="29">
                  <c:v>-12.274392110094171</c:v>
                </c:pt>
                <c:pt idx="30">
                  <c:v>-13.999999999999993</c:v>
                </c:pt>
                <c:pt idx="31">
                  <c:v>-15.657401297180908</c:v>
                </c:pt>
                <c:pt idx="32">
                  <c:v>-17.238521309118433</c:v>
                </c:pt>
                <c:pt idx="33">
                  <c:v>-18.735656978048031</c:v>
                </c:pt>
                <c:pt idx="34">
                  <c:v>-20.141514409482234</c:v>
                </c:pt>
                <c:pt idx="35">
                  <c:v>-21.449244407331381</c:v>
                </c:pt>
                <c:pt idx="36">
                  <c:v>-22.652475842498525</c:v>
                </c:pt>
                <c:pt idx="37">
                  <c:v>-23.745346692379925</c:v>
                </c:pt>
                <c:pt idx="38">
                  <c:v>-24.722532600049949</c:v>
                </c:pt>
                <c:pt idx="39">
                  <c:v>-25.579272813992823</c:v>
                </c:pt>
                <c:pt idx="40">
                  <c:v>-26.311393382005434</c:v>
                </c:pt>
                <c:pt idx="41">
                  <c:v>-26.915327486272922</c:v>
                </c:pt>
                <c:pt idx="42">
                  <c:v>-27.388132820546559</c:v>
                </c:pt>
                <c:pt idx="43">
                  <c:v>-27.727505924763967</c:v>
                </c:pt>
                <c:pt idx="44">
                  <c:v>-27.931793407275077</c:v>
                </c:pt>
                <c:pt idx="45">
                  <c:v>-28</c:v>
                </c:pt>
                <c:pt idx="46">
                  <c:v>-27.93179340727508</c:v>
                </c:pt>
                <c:pt idx="47">
                  <c:v>-27.727505924763967</c:v>
                </c:pt>
                <c:pt idx="48">
                  <c:v>-27.388132820546559</c:v>
                </c:pt>
                <c:pt idx="49">
                  <c:v>-26.915327486272929</c:v>
                </c:pt>
                <c:pt idx="50">
                  <c:v>-26.311393382005434</c:v>
                </c:pt>
                <c:pt idx="51">
                  <c:v>-25.57927281399283</c:v>
                </c:pt>
                <c:pt idx="52">
                  <c:v>-24.722532600049952</c:v>
                </c:pt>
                <c:pt idx="53">
                  <c:v>-23.745346692379929</c:v>
                </c:pt>
                <c:pt idx="54">
                  <c:v>-22.652475842498532</c:v>
                </c:pt>
                <c:pt idx="55">
                  <c:v>-21.449244407331385</c:v>
                </c:pt>
                <c:pt idx="56">
                  <c:v>-20.14151440948223</c:v>
                </c:pt>
                <c:pt idx="57">
                  <c:v>-18.735656978048038</c:v>
                </c:pt>
                <c:pt idx="58">
                  <c:v>-17.238521309118426</c:v>
                </c:pt>
                <c:pt idx="59">
                  <c:v>-15.657401297180922</c:v>
                </c:pt>
                <c:pt idx="60">
                  <c:v>-14.000000000000012</c:v>
                </c:pt>
                <c:pt idx="61">
                  <c:v>-12.274392110094176</c:v>
                </c:pt>
                <c:pt idx="62">
                  <c:v>-10.488984615645544</c:v>
                </c:pt>
                <c:pt idx="63">
                  <c:v>-8.6524758424985322</c:v>
                </c:pt>
                <c:pt idx="64">
                  <c:v>-6.7738130767906979</c:v>
                </c:pt>
                <c:pt idx="65">
                  <c:v>-4.8621489746740494</c:v>
                </c:pt>
                <c:pt idx="66">
                  <c:v>-2.9267969714942943</c:v>
                </c:pt>
                <c:pt idx="67">
                  <c:v>-0.97718590767004621</c:v>
                </c:pt>
                <c:pt idx="68">
                  <c:v>0.97718590767003588</c:v>
                </c:pt>
                <c:pt idx="69">
                  <c:v>2.9267969714942836</c:v>
                </c:pt>
                <c:pt idx="70">
                  <c:v>4.8621489746740387</c:v>
                </c:pt>
                <c:pt idx="71">
                  <c:v>6.773813076790689</c:v>
                </c:pt>
                <c:pt idx="72">
                  <c:v>8.6524758424985215</c:v>
                </c:pt>
                <c:pt idx="73">
                  <c:v>10.488984615645535</c:v>
                </c:pt>
                <c:pt idx="74">
                  <c:v>12.274392110094167</c:v>
                </c:pt>
                <c:pt idx="75">
                  <c:v>14.000000000000004</c:v>
                </c:pt>
                <c:pt idx="76">
                  <c:v>15.657401297180895</c:v>
                </c:pt>
                <c:pt idx="77">
                  <c:v>17.23852130911844</c:v>
                </c:pt>
                <c:pt idx="78">
                  <c:v>18.73565697804802</c:v>
                </c:pt>
                <c:pt idx="79">
                  <c:v>20.141514409482223</c:v>
                </c:pt>
                <c:pt idx="80">
                  <c:v>21.449244407331378</c:v>
                </c:pt>
                <c:pt idx="81">
                  <c:v>22.652475842498525</c:v>
                </c:pt>
                <c:pt idx="82">
                  <c:v>23.745346692379911</c:v>
                </c:pt>
                <c:pt idx="83">
                  <c:v>24.722532600049952</c:v>
                </c:pt>
                <c:pt idx="84">
                  <c:v>25.579272813992826</c:v>
                </c:pt>
                <c:pt idx="85">
                  <c:v>26.311393382005434</c:v>
                </c:pt>
                <c:pt idx="86">
                  <c:v>26.915327486272922</c:v>
                </c:pt>
                <c:pt idx="87">
                  <c:v>27.388132820546556</c:v>
                </c:pt>
                <c:pt idx="88">
                  <c:v>27.727505924763967</c:v>
                </c:pt>
                <c:pt idx="89">
                  <c:v>27.93179340727508</c:v>
                </c:pt>
                <c:pt idx="90">
                  <c:v>28</c:v>
                </c:pt>
              </c:numCache>
            </c:numRef>
          </c:xVal>
          <c:yVal>
            <c:numRef>
              <c:f>[0]!XPF.CircleI_Y</c:f>
              <c:numCache>
                <c:formatCode>General</c:formatCode>
                <c:ptCount val="91"/>
                <c:pt idx="0">
                  <c:v>0</c:v>
                </c:pt>
                <c:pt idx="1">
                  <c:v>1.9531812648355085</c:v>
                </c:pt>
                <c:pt idx="2">
                  <c:v>3.8968468268818324</c:v>
                </c:pt>
                <c:pt idx="3">
                  <c:v>5.8215273428972605</c:v>
                </c:pt>
                <c:pt idx="4">
                  <c:v>7.7178459628759768</c:v>
                </c:pt>
                <c:pt idx="5">
                  <c:v>9.5765640131187233</c:v>
                </c:pt>
                <c:pt idx="6">
                  <c:v>11.388626006122404</c:v>
                </c:pt>
                <c:pt idx="7">
                  <c:v>13.145203758004943</c:v>
                </c:pt>
                <c:pt idx="8">
                  <c:v>14.837739398529738</c:v>
                </c:pt>
                <c:pt idx="9">
                  <c:v>16.457987064189247</c:v>
                </c:pt>
                <c:pt idx="10">
                  <c:v>17.998053071223097</c:v>
                </c:pt>
                <c:pt idx="11">
                  <c:v>19.450434372851923</c:v>
                </c:pt>
                <c:pt idx="12">
                  <c:v>20.808055113367036</c:v>
                </c:pt>
                <c:pt idx="13">
                  <c:v>22.064301100988217</c:v>
                </c:pt>
                <c:pt idx="14">
                  <c:v>23.213052031541167</c:v>
                </c:pt>
                <c:pt idx="15">
                  <c:v>24.248711305964282</c:v>
                </c:pt>
                <c:pt idx="16">
                  <c:v>25.166233296376678</c:v>
                </c:pt>
                <c:pt idx="17">
                  <c:v>25.961147927870048</c:v>
                </c:pt>
                <c:pt idx="18">
                  <c:v>26.629582456264298</c:v>
                </c:pt>
                <c:pt idx="19">
                  <c:v>27.1682803357279</c:v>
                </c:pt>
                <c:pt idx="20">
                  <c:v>27.574617084341824</c:v>
                </c:pt>
                <c:pt idx="21">
                  <c:v>27.846613070311651</c:v>
                </c:pt>
                <c:pt idx="22">
                  <c:v>27.982943156534681</c:v>
                </c:pt>
                <c:pt idx="23">
                  <c:v>27.982943156534681</c:v>
                </c:pt>
                <c:pt idx="24">
                  <c:v>27.846613070311655</c:v>
                </c:pt>
                <c:pt idx="25">
                  <c:v>27.574617084341824</c:v>
                </c:pt>
                <c:pt idx="26">
                  <c:v>27.1682803357279</c:v>
                </c:pt>
                <c:pt idx="27">
                  <c:v>26.629582456264302</c:v>
                </c:pt>
                <c:pt idx="28">
                  <c:v>25.961147927870048</c:v>
                </c:pt>
                <c:pt idx="29">
                  <c:v>25.166233296376674</c:v>
                </c:pt>
                <c:pt idx="30">
                  <c:v>24.248711305964285</c:v>
                </c:pt>
                <c:pt idx="31">
                  <c:v>23.213052031541167</c:v>
                </c:pt>
                <c:pt idx="32">
                  <c:v>22.064301100988217</c:v>
                </c:pt>
                <c:pt idx="33">
                  <c:v>20.80805511336704</c:v>
                </c:pt>
                <c:pt idx="34">
                  <c:v>19.45043437285192</c:v>
                </c:pt>
                <c:pt idx="35">
                  <c:v>17.998053071223104</c:v>
                </c:pt>
                <c:pt idx="36">
                  <c:v>16.457987064189251</c:v>
                </c:pt>
                <c:pt idx="37">
                  <c:v>14.837739398529738</c:v>
                </c:pt>
                <c:pt idx="38">
                  <c:v>13.14520375800495</c:v>
                </c:pt>
                <c:pt idx="39">
                  <c:v>11.388626006122411</c:v>
                </c:pt>
                <c:pt idx="40">
                  <c:v>9.5765640131187286</c:v>
                </c:pt>
                <c:pt idx="41">
                  <c:v>7.717845962875991</c:v>
                </c:pt>
                <c:pt idx="42">
                  <c:v>5.8215273428972605</c:v>
                </c:pt>
                <c:pt idx="43">
                  <c:v>3.8968468268818408</c:v>
                </c:pt>
                <c:pt idx="44">
                  <c:v>1.9531812648355147</c:v>
                </c:pt>
                <c:pt idx="45">
                  <c:v>3.430415673744136E-15</c:v>
                </c:pt>
                <c:pt idx="46">
                  <c:v>-1.9531812648354951</c:v>
                </c:pt>
                <c:pt idx="47">
                  <c:v>-3.8968468268818346</c:v>
                </c:pt>
                <c:pt idx="48">
                  <c:v>-5.8215273428972534</c:v>
                </c:pt>
                <c:pt idx="49">
                  <c:v>-7.7178459628759715</c:v>
                </c:pt>
                <c:pt idx="50">
                  <c:v>-9.5765640131187233</c:v>
                </c:pt>
                <c:pt idx="51">
                  <c:v>-11.388626006122395</c:v>
                </c:pt>
                <c:pt idx="52">
                  <c:v>-13.145203758004945</c:v>
                </c:pt>
                <c:pt idx="53">
                  <c:v>-14.837739398529735</c:v>
                </c:pt>
                <c:pt idx="54">
                  <c:v>-16.457987064189243</c:v>
                </c:pt>
                <c:pt idx="55">
                  <c:v>-17.998053071223097</c:v>
                </c:pt>
                <c:pt idx="56">
                  <c:v>-19.450434372851927</c:v>
                </c:pt>
                <c:pt idx="57">
                  <c:v>-20.808055113367033</c:v>
                </c:pt>
                <c:pt idx="58">
                  <c:v>-22.064301100988221</c:v>
                </c:pt>
                <c:pt idx="59">
                  <c:v>-23.21305203154116</c:v>
                </c:pt>
                <c:pt idx="60">
                  <c:v>-24.248711305964274</c:v>
                </c:pt>
                <c:pt idx="61">
                  <c:v>-25.166233296376671</c:v>
                </c:pt>
                <c:pt idx="62">
                  <c:v>-25.961147927870044</c:v>
                </c:pt>
                <c:pt idx="63">
                  <c:v>-26.629582456264298</c:v>
                </c:pt>
                <c:pt idx="64">
                  <c:v>-27.1682803357279</c:v>
                </c:pt>
                <c:pt idx="65">
                  <c:v>-27.574617084341824</c:v>
                </c:pt>
                <c:pt idx="66">
                  <c:v>-27.846613070311655</c:v>
                </c:pt>
                <c:pt idx="67">
                  <c:v>-27.982943156534677</c:v>
                </c:pt>
                <c:pt idx="68">
                  <c:v>-27.982943156534681</c:v>
                </c:pt>
                <c:pt idx="69">
                  <c:v>-27.846613070311655</c:v>
                </c:pt>
                <c:pt idx="70">
                  <c:v>-27.574617084341828</c:v>
                </c:pt>
                <c:pt idx="71">
                  <c:v>-27.168280335727903</c:v>
                </c:pt>
                <c:pt idx="72">
                  <c:v>-26.629582456264302</c:v>
                </c:pt>
                <c:pt idx="73">
                  <c:v>-25.961147927870048</c:v>
                </c:pt>
                <c:pt idx="74">
                  <c:v>-25.166233296376678</c:v>
                </c:pt>
                <c:pt idx="75">
                  <c:v>-24.248711305964282</c:v>
                </c:pt>
                <c:pt idx="76">
                  <c:v>-23.213052031541178</c:v>
                </c:pt>
                <c:pt idx="77">
                  <c:v>-22.06430110098821</c:v>
                </c:pt>
                <c:pt idx="78">
                  <c:v>-20.808055113367047</c:v>
                </c:pt>
                <c:pt idx="79">
                  <c:v>-19.450434372851934</c:v>
                </c:pt>
                <c:pt idx="80">
                  <c:v>-17.998053071223108</c:v>
                </c:pt>
                <c:pt idx="81">
                  <c:v>-16.457987064189254</c:v>
                </c:pt>
                <c:pt idx="82">
                  <c:v>-14.837739398529763</c:v>
                </c:pt>
                <c:pt idx="83">
                  <c:v>-13.145203758004943</c:v>
                </c:pt>
                <c:pt idx="84">
                  <c:v>-11.388626006122404</c:v>
                </c:pt>
                <c:pt idx="85">
                  <c:v>-9.5765640131187215</c:v>
                </c:pt>
                <c:pt idx="86">
                  <c:v>-7.7178459628759937</c:v>
                </c:pt>
                <c:pt idx="87">
                  <c:v>-5.8215273428972765</c:v>
                </c:pt>
                <c:pt idx="88">
                  <c:v>-3.8968468268818448</c:v>
                </c:pt>
                <c:pt idx="89">
                  <c:v>-1.9531812648354934</c:v>
                </c:pt>
                <c:pt idx="90">
                  <c:v>-6.8608313474882721E-15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91"/>
                <c:pt idx="0">
                  <c:v>7</c:v>
                </c:pt>
                <c:pt idx="1">
                  <c:v>6.9829483518187692</c:v>
                </c:pt>
                <c:pt idx="2">
                  <c:v>6.9318764811909928</c:v>
                </c:pt>
                <c:pt idx="3">
                  <c:v>6.8470332051366398</c:v>
                </c:pt>
                <c:pt idx="4">
                  <c:v>6.7288318715682323</c:v>
                </c:pt>
                <c:pt idx="5">
                  <c:v>6.5778483455013586</c:v>
                </c:pt>
                <c:pt idx="6">
                  <c:v>6.3948182034982057</c:v>
                </c:pt>
                <c:pt idx="7">
                  <c:v>6.1806331500124889</c:v>
                </c:pt>
                <c:pt idx="8">
                  <c:v>5.9363366730949814</c:v>
                </c:pt>
                <c:pt idx="9">
                  <c:v>5.6631189606246322</c:v>
                </c:pt>
                <c:pt idx="10">
                  <c:v>5.3623111018328462</c:v>
                </c:pt>
                <c:pt idx="11">
                  <c:v>5.0353786023705585</c:v>
                </c:pt>
                <c:pt idx="12">
                  <c:v>4.6839142445120077</c:v>
                </c:pt>
                <c:pt idx="13">
                  <c:v>4.3096303272796082</c:v>
                </c:pt>
                <c:pt idx="14">
                  <c:v>3.9143503242952278</c:v>
                </c:pt>
                <c:pt idx="15">
                  <c:v>3.5000000000000009</c:v>
                </c:pt>
                <c:pt idx="16">
                  <c:v>3.0685980275235423</c:v>
                </c:pt>
                <c:pt idx="17">
                  <c:v>2.6222461539113837</c:v>
                </c:pt>
                <c:pt idx="18">
                  <c:v>2.1631189606246322</c:v>
                </c:pt>
                <c:pt idx="19">
                  <c:v>1.6934532691976754</c:v>
                </c:pt>
                <c:pt idx="20">
                  <c:v>1.2155372436685128</c:v>
                </c:pt>
                <c:pt idx="21">
                  <c:v>0.73169924287357424</c:v>
                </c:pt>
                <c:pt idx="22">
                  <c:v>0.24429647691750755</c:v>
                </c:pt>
                <c:pt idx="23">
                  <c:v>-0.24429647691750514</c:v>
                </c:pt>
                <c:pt idx="24">
                  <c:v>-0.73169924287357335</c:v>
                </c:pt>
                <c:pt idx="25">
                  <c:v>-1.2155372436685121</c:v>
                </c:pt>
                <c:pt idx="26">
                  <c:v>-1.6934532691976745</c:v>
                </c:pt>
                <c:pt idx="27">
                  <c:v>-2.1631189606246313</c:v>
                </c:pt>
                <c:pt idx="28">
                  <c:v>-2.6222461539113846</c:v>
                </c:pt>
                <c:pt idx="29">
                  <c:v>-3.0685980275235427</c:v>
                </c:pt>
                <c:pt idx="30">
                  <c:v>-3.4999999999999982</c:v>
                </c:pt>
                <c:pt idx="31">
                  <c:v>-3.9143503242952269</c:v>
                </c:pt>
                <c:pt idx="32">
                  <c:v>-4.3096303272796082</c:v>
                </c:pt>
                <c:pt idx="33">
                  <c:v>-4.6839142445120077</c:v>
                </c:pt>
                <c:pt idx="34">
                  <c:v>-5.0353786023705585</c:v>
                </c:pt>
                <c:pt idx="35">
                  <c:v>-5.3623111018328453</c:v>
                </c:pt>
                <c:pt idx="36">
                  <c:v>-5.6631189606246313</c:v>
                </c:pt>
                <c:pt idx="37">
                  <c:v>-5.9363366730949814</c:v>
                </c:pt>
                <c:pt idx="38">
                  <c:v>-6.1806331500124871</c:v>
                </c:pt>
                <c:pt idx="39">
                  <c:v>-6.3948182034982057</c:v>
                </c:pt>
                <c:pt idx="40">
                  <c:v>-6.5778483455013586</c:v>
                </c:pt>
                <c:pt idx="41">
                  <c:v>-6.7288318715682305</c:v>
                </c:pt>
                <c:pt idx="42">
                  <c:v>-6.8470332051366398</c:v>
                </c:pt>
                <c:pt idx="43">
                  <c:v>-6.9318764811909919</c:v>
                </c:pt>
                <c:pt idx="44">
                  <c:v>-6.9829483518187692</c:v>
                </c:pt>
                <c:pt idx="45">
                  <c:v>-7</c:v>
                </c:pt>
                <c:pt idx="46">
                  <c:v>-6.98294835181877</c:v>
                </c:pt>
                <c:pt idx="47">
                  <c:v>-6.9318764811909919</c:v>
                </c:pt>
                <c:pt idx="48">
                  <c:v>-6.8470332051366398</c:v>
                </c:pt>
                <c:pt idx="49">
                  <c:v>-6.7288318715682323</c:v>
                </c:pt>
                <c:pt idx="50">
                  <c:v>-6.5778483455013586</c:v>
                </c:pt>
                <c:pt idx="51">
                  <c:v>-6.3948182034982075</c:v>
                </c:pt>
                <c:pt idx="52">
                  <c:v>-6.180633150012488</c:v>
                </c:pt>
                <c:pt idx="53">
                  <c:v>-5.9363366730949823</c:v>
                </c:pt>
                <c:pt idx="54">
                  <c:v>-5.663118960624633</c:v>
                </c:pt>
                <c:pt idx="55">
                  <c:v>-5.3623111018328462</c:v>
                </c:pt>
                <c:pt idx="56">
                  <c:v>-5.0353786023705576</c:v>
                </c:pt>
                <c:pt idx="57">
                  <c:v>-4.6839142445120094</c:v>
                </c:pt>
                <c:pt idx="58">
                  <c:v>-4.3096303272796064</c:v>
                </c:pt>
                <c:pt idx="59">
                  <c:v>-3.9143503242952304</c:v>
                </c:pt>
                <c:pt idx="60">
                  <c:v>-3.5000000000000031</c:v>
                </c:pt>
                <c:pt idx="61">
                  <c:v>-3.068598027523544</c:v>
                </c:pt>
                <c:pt idx="62">
                  <c:v>-2.6222461539113859</c:v>
                </c:pt>
                <c:pt idx="63">
                  <c:v>-2.163118960624633</c:v>
                </c:pt>
                <c:pt idx="64">
                  <c:v>-1.6934532691976745</c:v>
                </c:pt>
                <c:pt idx="65">
                  <c:v>-1.2155372436685123</c:v>
                </c:pt>
                <c:pt idx="66">
                  <c:v>-0.73169924287357357</c:v>
                </c:pt>
                <c:pt idx="67">
                  <c:v>-0.24429647691751155</c:v>
                </c:pt>
                <c:pt idx="68">
                  <c:v>0.24429647691750897</c:v>
                </c:pt>
                <c:pt idx="69">
                  <c:v>0.73169924287357091</c:v>
                </c:pt>
                <c:pt idx="70">
                  <c:v>1.2155372436685097</c:v>
                </c:pt>
                <c:pt idx="71">
                  <c:v>1.6934532691976723</c:v>
                </c:pt>
                <c:pt idx="72">
                  <c:v>2.1631189606246304</c:v>
                </c:pt>
                <c:pt idx="73">
                  <c:v>2.6222461539113837</c:v>
                </c:pt>
                <c:pt idx="74">
                  <c:v>3.0685980275235418</c:v>
                </c:pt>
                <c:pt idx="75">
                  <c:v>3.5000000000000009</c:v>
                </c:pt>
                <c:pt idx="76">
                  <c:v>3.9143503242952238</c:v>
                </c:pt>
                <c:pt idx="77">
                  <c:v>4.3096303272796099</c:v>
                </c:pt>
                <c:pt idx="78">
                  <c:v>4.683914244512005</c:v>
                </c:pt>
                <c:pt idx="79">
                  <c:v>5.0353786023705558</c:v>
                </c:pt>
                <c:pt idx="80">
                  <c:v>5.3623111018328444</c:v>
                </c:pt>
                <c:pt idx="81">
                  <c:v>5.6631189606246313</c:v>
                </c:pt>
                <c:pt idx="82">
                  <c:v>5.9363366730949778</c:v>
                </c:pt>
                <c:pt idx="83">
                  <c:v>6.180633150012488</c:v>
                </c:pt>
                <c:pt idx="84">
                  <c:v>6.3948182034982066</c:v>
                </c:pt>
                <c:pt idx="85">
                  <c:v>6.5778483455013586</c:v>
                </c:pt>
                <c:pt idx="86">
                  <c:v>6.7288318715682305</c:v>
                </c:pt>
                <c:pt idx="87">
                  <c:v>6.8470332051366389</c:v>
                </c:pt>
                <c:pt idx="88">
                  <c:v>6.9318764811909919</c:v>
                </c:pt>
                <c:pt idx="89">
                  <c:v>6.98294835181877</c:v>
                </c:pt>
                <c:pt idx="90">
                  <c:v>7</c:v>
                </c:pt>
              </c:numCache>
            </c:numRef>
          </c:xVal>
          <c:yVal>
            <c:numRef>
              <c:f>[0]!XPF.CircleTest_Y</c:f>
              <c:numCache>
                <c:formatCode>General</c:formatCode>
                <c:ptCount val="91"/>
                <c:pt idx="0">
                  <c:v>13.250000000000002</c:v>
                </c:pt>
                <c:pt idx="1">
                  <c:v>13.738295316208879</c:v>
                </c:pt>
                <c:pt idx="2">
                  <c:v>14.22421170672046</c:v>
                </c:pt>
                <c:pt idx="3">
                  <c:v>14.705381835724317</c:v>
                </c:pt>
                <c:pt idx="4">
                  <c:v>15.179461490718996</c:v>
                </c:pt>
                <c:pt idx="5">
                  <c:v>15.644141003279682</c:v>
                </c:pt>
                <c:pt idx="6">
                  <c:v>16.097156501530602</c:v>
                </c:pt>
                <c:pt idx="7">
                  <c:v>16.536300939501238</c:v>
                </c:pt>
                <c:pt idx="8">
                  <c:v>16.959434849632437</c:v>
                </c:pt>
                <c:pt idx="9">
                  <c:v>17.364496766047314</c:v>
                </c:pt>
                <c:pt idx="10">
                  <c:v>17.749513267805774</c:v>
                </c:pt>
                <c:pt idx="11">
                  <c:v>18.112608593212983</c:v>
                </c:pt>
                <c:pt idx="12">
                  <c:v>18.452013778341762</c:v>
                </c:pt>
                <c:pt idx="13">
                  <c:v>18.766075275247054</c:v>
                </c:pt>
                <c:pt idx="14">
                  <c:v>19.053263007885292</c:v>
                </c:pt>
                <c:pt idx="15">
                  <c:v>19.312177826491073</c:v>
                </c:pt>
                <c:pt idx="16">
                  <c:v>19.541558324094172</c:v>
                </c:pt>
                <c:pt idx="17">
                  <c:v>19.740286981967515</c:v>
                </c:pt>
                <c:pt idx="18">
                  <c:v>19.907395614066075</c:v>
                </c:pt>
                <c:pt idx="19">
                  <c:v>20.042070083931975</c:v>
                </c:pt>
                <c:pt idx="20">
                  <c:v>20.14365427108546</c:v>
                </c:pt>
                <c:pt idx="21">
                  <c:v>20.211653267577915</c:v>
                </c:pt>
                <c:pt idx="22">
                  <c:v>20.245735789133672</c:v>
                </c:pt>
                <c:pt idx="23">
                  <c:v>20.245735789133672</c:v>
                </c:pt>
                <c:pt idx="24">
                  <c:v>20.211653267577915</c:v>
                </c:pt>
                <c:pt idx="25">
                  <c:v>20.14365427108546</c:v>
                </c:pt>
                <c:pt idx="26">
                  <c:v>20.042070083931975</c:v>
                </c:pt>
                <c:pt idx="27">
                  <c:v>19.907395614066075</c:v>
                </c:pt>
                <c:pt idx="28">
                  <c:v>19.740286981967515</c:v>
                </c:pt>
                <c:pt idx="29">
                  <c:v>19.541558324094169</c:v>
                </c:pt>
                <c:pt idx="30">
                  <c:v>19.312177826491073</c:v>
                </c:pt>
                <c:pt idx="31">
                  <c:v>19.053263007885292</c:v>
                </c:pt>
                <c:pt idx="32">
                  <c:v>18.766075275247054</c:v>
                </c:pt>
                <c:pt idx="33">
                  <c:v>18.452013778341762</c:v>
                </c:pt>
                <c:pt idx="34">
                  <c:v>18.112608593212983</c:v>
                </c:pt>
                <c:pt idx="35">
                  <c:v>17.749513267805778</c:v>
                </c:pt>
                <c:pt idx="36">
                  <c:v>17.364496766047314</c:v>
                </c:pt>
                <c:pt idx="37">
                  <c:v>16.959434849632437</c:v>
                </c:pt>
                <c:pt idx="38">
                  <c:v>16.536300939501238</c:v>
                </c:pt>
                <c:pt idx="39">
                  <c:v>16.097156501530606</c:v>
                </c:pt>
                <c:pt idx="40">
                  <c:v>15.644141003279683</c:v>
                </c:pt>
                <c:pt idx="41">
                  <c:v>15.179461490719</c:v>
                </c:pt>
                <c:pt idx="42">
                  <c:v>14.705381835724317</c:v>
                </c:pt>
                <c:pt idx="43">
                  <c:v>14.224211706720462</c:v>
                </c:pt>
                <c:pt idx="44">
                  <c:v>13.73829531620888</c:v>
                </c:pt>
                <c:pt idx="45">
                  <c:v>13.250000000000002</c:v>
                </c:pt>
                <c:pt idx="46">
                  <c:v>12.761704683791129</c:v>
                </c:pt>
                <c:pt idx="47">
                  <c:v>12.275788293279543</c:v>
                </c:pt>
                <c:pt idx="48">
                  <c:v>11.794618164275688</c:v>
                </c:pt>
                <c:pt idx="49">
                  <c:v>11.320538509281009</c:v>
                </c:pt>
                <c:pt idx="50">
                  <c:v>10.855858996720322</c:v>
                </c:pt>
                <c:pt idx="51">
                  <c:v>10.402843498469403</c:v>
                </c:pt>
                <c:pt idx="52">
                  <c:v>9.9636990604987652</c:v>
                </c:pt>
                <c:pt idx="53">
                  <c:v>9.5405651503675681</c:v>
                </c:pt>
                <c:pt idx="54">
                  <c:v>9.13550323395269</c:v>
                </c:pt>
                <c:pt idx="55">
                  <c:v>8.7504867321942275</c:v>
                </c:pt>
                <c:pt idx="56">
                  <c:v>8.387391406787021</c:v>
                </c:pt>
                <c:pt idx="57">
                  <c:v>8.0479862216582436</c:v>
                </c:pt>
                <c:pt idx="58">
                  <c:v>7.7339247247529466</c:v>
                </c:pt>
                <c:pt idx="59">
                  <c:v>7.4467369921147117</c:v>
                </c:pt>
                <c:pt idx="60">
                  <c:v>7.1878221735089332</c:v>
                </c:pt>
                <c:pt idx="61">
                  <c:v>6.9584416759058341</c:v>
                </c:pt>
                <c:pt idx="62">
                  <c:v>6.7597130180324907</c:v>
                </c:pt>
                <c:pt idx="63">
                  <c:v>6.5926043859339272</c:v>
                </c:pt>
                <c:pt idx="64">
                  <c:v>6.4579299160680268</c:v>
                </c:pt>
                <c:pt idx="65">
                  <c:v>6.3563457289145457</c:v>
                </c:pt>
                <c:pt idx="66">
                  <c:v>6.2883467324220881</c:v>
                </c:pt>
                <c:pt idx="67">
                  <c:v>6.2542642108663324</c:v>
                </c:pt>
                <c:pt idx="68">
                  <c:v>6.2542642108663316</c:v>
                </c:pt>
                <c:pt idx="69">
                  <c:v>6.2883467324220881</c:v>
                </c:pt>
                <c:pt idx="70">
                  <c:v>6.3563457289145449</c:v>
                </c:pt>
                <c:pt idx="71">
                  <c:v>6.4579299160680259</c:v>
                </c:pt>
                <c:pt idx="72">
                  <c:v>6.5926043859339263</c:v>
                </c:pt>
                <c:pt idx="73">
                  <c:v>6.7597130180324898</c:v>
                </c:pt>
                <c:pt idx="74">
                  <c:v>6.9584416759058323</c:v>
                </c:pt>
                <c:pt idx="75">
                  <c:v>7.1878221735089314</c:v>
                </c:pt>
                <c:pt idx="76">
                  <c:v>7.4467369921147073</c:v>
                </c:pt>
                <c:pt idx="77">
                  <c:v>7.7339247247529492</c:v>
                </c:pt>
                <c:pt idx="78">
                  <c:v>8.0479862216582401</c:v>
                </c:pt>
                <c:pt idx="79">
                  <c:v>8.3873914067870174</c:v>
                </c:pt>
                <c:pt idx="80">
                  <c:v>8.7504867321942257</c:v>
                </c:pt>
                <c:pt idx="81">
                  <c:v>9.1355032339526883</c:v>
                </c:pt>
                <c:pt idx="82">
                  <c:v>9.540565150367561</c:v>
                </c:pt>
                <c:pt idx="83">
                  <c:v>9.9636990604987652</c:v>
                </c:pt>
                <c:pt idx="84">
                  <c:v>10.402843498469402</c:v>
                </c:pt>
                <c:pt idx="85">
                  <c:v>10.855858996720322</c:v>
                </c:pt>
                <c:pt idx="86">
                  <c:v>11.320538509281004</c:v>
                </c:pt>
                <c:pt idx="87">
                  <c:v>11.794618164275683</c:v>
                </c:pt>
                <c:pt idx="88">
                  <c:v>12.27578829327954</c:v>
                </c:pt>
                <c:pt idx="89">
                  <c:v>12.761704683791129</c:v>
                </c:pt>
                <c:pt idx="90">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XPF!$AA$10:$AA$100</c:f>
              <c:numCache>
                <c:formatCode>General</c:formatCode>
                <c:ptCount val="91"/>
                <c:pt idx="0">
                  <c:v>17.080000000000002</c:v>
                </c:pt>
                <c:pt idx="1">
                  <c:v>17.062948351818772</c:v>
                </c:pt>
                <c:pt idx="2">
                  <c:v>17.011876481190995</c:v>
                </c:pt>
                <c:pt idx="3">
                  <c:v>16.927033205136642</c:v>
                </c:pt>
                <c:pt idx="4">
                  <c:v>16.808831871568234</c:v>
                </c:pt>
                <c:pt idx="5">
                  <c:v>16.65784834550136</c:v>
                </c:pt>
                <c:pt idx="6">
                  <c:v>16.474818203498209</c:v>
                </c:pt>
                <c:pt idx="7">
                  <c:v>16.260633150012492</c:v>
                </c:pt>
                <c:pt idx="8">
                  <c:v>16.016336673094983</c:v>
                </c:pt>
                <c:pt idx="9">
                  <c:v>15.743118960624635</c:v>
                </c:pt>
                <c:pt idx="10">
                  <c:v>15.442311101832848</c:v>
                </c:pt>
                <c:pt idx="11">
                  <c:v>15.11537860237056</c:v>
                </c:pt>
                <c:pt idx="12">
                  <c:v>14.763914244512009</c:v>
                </c:pt>
                <c:pt idx="13">
                  <c:v>14.38963032727961</c:v>
                </c:pt>
                <c:pt idx="14">
                  <c:v>13.99435032429523</c:v>
                </c:pt>
                <c:pt idx="15">
                  <c:v>13.580000000000002</c:v>
                </c:pt>
                <c:pt idx="16">
                  <c:v>13.148598027523544</c:v>
                </c:pt>
                <c:pt idx="17">
                  <c:v>12.702246153911386</c:v>
                </c:pt>
                <c:pt idx="18">
                  <c:v>12.243118960624635</c:v>
                </c:pt>
                <c:pt idx="19">
                  <c:v>11.773453269197677</c:v>
                </c:pt>
                <c:pt idx="20">
                  <c:v>11.295537243668514</c:v>
                </c:pt>
                <c:pt idx="21">
                  <c:v>10.811699242873576</c:v>
                </c:pt>
                <c:pt idx="22">
                  <c:v>10.32429647691751</c:v>
                </c:pt>
                <c:pt idx="23">
                  <c:v>9.835703523082497</c:v>
                </c:pt>
                <c:pt idx="24">
                  <c:v>9.3483007571264292</c:v>
                </c:pt>
                <c:pt idx="25">
                  <c:v>8.8644627563314895</c:v>
                </c:pt>
                <c:pt idx="26">
                  <c:v>8.386546730802328</c:v>
                </c:pt>
                <c:pt idx="27">
                  <c:v>7.9168810393753706</c:v>
                </c:pt>
                <c:pt idx="28">
                  <c:v>7.4577538460886172</c:v>
                </c:pt>
                <c:pt idx="29">
                  <c:v>7.0114019724764596</c:v>
                </c:pt>
                <c:pt idx="30">
                  <c:v>6.5800000000000036</c:v>
                </c:pt>
                <c:pt idx="31">
                  <c:v>6.165649675704775</c:v>
                </c:pt>
                <c:pt idx="32">
                  <c:v>5.7703696727203937</c:v>
                </c:pt>
                <c:pt idx="33">
                  <c:v>5.3960857554879942</c:v>
                </c:pt>
                <c:pt idx="34">
                  <c:v>5.0446213976294434</c:v>
                </c:pt>
                <c:pt idx="35">
                  <c:v>4.7176888981671565</c:v>
                </c:pt>
                <c:pt idx="36">
                  <c:v>4.4168810393753706</c:v>
                </c:pt>
                <c:pt idx="37">
                  <c:v>4.1436633269050205</c:v>
                </c:pt>
                <c:pt idx="38">
                  <c:v>3.8993668499875147</c:v>
                </c:pt>
                <c:pt idx="39">
                  <c:v>3.6851817965017961</c:v>
                </c:pt>
                <c:pt idx="40">
                  <c:v>3.5021516544986433</c:v>
                </c:pt>
                <c:pt idx="41">
                  <c:v>3.3511681284317714</c:v>
                </c:pt>
                <c:pt idx="42">
                  <c:v>3.232966794863362</c:v>
                </c:pt>
                <c:pt idx="43">
                  <c:v>3.14812351880901</c:v>
                </c:pt>
                <c:pt idx="44">
                  <c:v>3.0970516481812327</c:v>
                </c:pt>
                <c:pt idx="45">
                  <c:v>3.0800000000000018</c:v>
                </c:pt>
                <c:pt idx="46">
                  <c:v>3.0970516481812318</c:v>
                </c:pt>
                <c:pt idx="47">
                  <c:v>3.14812351880901</c:v>
                </c:pt>
                <c:pt idx="48">
                  <c:v>3.232966794863362</c:v>
                </c:pt>
                <c:pt idx="49">
                  <c:v>3.3511681284317696</c:v>
                </c:pt>
                <c:pt idx="50">
                  <c:v>3.5021516544986433</c:v>
                </c:pt>
                <c:pt idx="51">
                  <c:v>3.6851817965017943</c:v>
                </c:pt>
                <c:pt idx="52">
                  <c:v>3.8993668499875138</c:v>
                </c:pt>
                <c:pt idx="53">
                  <c:v>4.1436633269050196</c:v>
                </c:pt>
                <c:pt idx="54">
                  <c:v>4.4168810393753688</c:v>
                </c:pt>
                <c:pt idx="55">
                  <c:v>4.7176888981671556</c:v>
                </c:pt>
                <c:pt idx="56">
                  <c:v>5.0446213976294443</c:v>
                </c:pt>
                <c:pt idx="57">
                  <c:v>5.3960857554879924</c:v>
                </c:pt>
                <c:pt idx="58">
                  <c:v>5.7703696727203955</c:v>
                </c:pt>
                <c:pt idx="59">
                  <c:v>6.1656496757047714</c:v>
                </c:pt>
                <c:pt idx="60">
                  <c:v>6.5799999999999983</c:v>
                </c:pt>
                <c:pt idx="61">
                  <c:v>7.0114019724764578</c:v>
                </c:pt>
                <c:pt idx="62">
                  <c:v>7.4577538460886164</c:v>
                </c:pt>
                <c:pt idx="63">
                  <c:v>7.9168810393753688</c:v>
                </c:pt>
                <c:pt idx="64">
                  <c:v>8.386546730802328</c:v>
                </c:pt>
                <c:pt idx="65">
                  <c:v>8.8644627563314895</c:v>
                </c:pt>
                <c:pt idx="66">
                  <c:v>9.3483007571264274</c:v>
                </c:pt>
                <c:pt idx="67">
                  <c:v>9.8357035230824899</c:v>
                </c:pt>
                <c:pt idx="68">
                  <c:v>10.32429647691751</c:v>
                </c:pt>
                <c:pt idx="69">
                  <c:v>10.811699242873573</c:v>
                </c:pt>
                <c:pt idx="70">
                  <c:v>11.295537243668512</c:v>
                </c:pt>
                <c:pt idx="71">
                  <c:v>11.773453269197674</c:v>
                </c:pt>
                <c:pt idx="72">
                  <c:v>12.243118960624631</c:v>
                </c:pt>
                <c:pt idx="73">
                  <c:v>12.702246153911386</c:v>
                </c:pt>
                <c:pt idx="74">
                  <c:v>13.148598027523544</c:v>
                </c:pt>
                <c:pt idx="75">
                  <c:v>13.580000000000002</c:v>
                </c:pt>
                <c:pt idx="76">
                  <c:v>13.994350324295226</c:v>
                </c:pt>
                <c:pt idx="77">
                  <c:v>14.389630327279612</c:v>
                </c:pt>
                <c:pt idx="78">
                  <c:v>14.763914244512007</c:v>
                </c:pt>
                <c:pt idx="79">
                  <c:v>15.115378602370559</c:v>
                </c:pt>
                <c:pt idx="80">
                  <c:v>15.442311101832846</c:v>
                </c:pt>
                <c:pt idx="81">
                  <c:v>15.743118960624633</c:v>
                </c:pt>
                <c:pt idx="82">
                  <c:v>16.01633667309498</c:v>
                </c:pt>
                <c:pt idx="83">
                  <c:v>16.260633150012488</c:v>
                </c:pt>
                <c:pt idx="84">
                  <c:v>16.474818203498209</c:v>
                </c:pt>
                <c:pt idx="85">
                  <c:v>16.65784834550136</c:v>
                </c:pt>
                <c:pt idx="86">
                  <c:v>16.808831871568231</c:v>
                </c:pt>
                <c:pt idx="87">
                  <c:v>16.927033205136642</c:v>
                </c:pt>
                <c:pt idx="88">
                  <c:v>17.011876481190995</c:v>
                </c:pt>
                <c:pt idx="89">
                  <c:v>17.062948351818772</c:v>
                </c:pt>
                <c:pt idx="90">
                  <c:v>17.080000000000002</c:v>
                </c:pt>
              </c:numCache>
            </c:numRef>
          </c:xVal>
          <c:yVal>
            <c:numRef>
              <c:f>XPF!$AB$10:$AB$100</c:f>
              <c:numCache>
                <c:formatCode>General</c:formatCode>
                <c:ptCount val="91"/>
                <c:pt idx="0">
                  <c:v>-16.200000000000003</c:v>
                </c:pt>
                <c:pt idx="1">
                  <c:v>-15.711704683791126</c:v>
                </c:pt>
                <c:pt idx="2">
                  <c:v>-15.225788293279544</c:v>
                </c:pt>
                <c:pt idx="3">
                  <c:v>-14.744618164275687</c:v>
                </c:pt>
                <c:pt idx="4">
                  <c:v>-14.270538509281009</c:v>
                </c:pt>
                <c:pt idx="5">
                  <c:v>-13.805858996720321</c:v>
                </c:pt>
                <c:pt idx="6">
                  <c:v>-13.352843498469401</c:v>
                </c:pt>
                <c:pt idx="7">
                  <c:v>-12.913699060498768</c:v>
                </c:pt>
                <c:pt idx="8">
                  <c:v>-12.490565150367569</c:v>
                </c:pt>
                <c:pt idx="9">
                  <c:v>-12.085503233952691</c:v>
                </c:pt>
                <c:pt idx="10">
                  <c:v>-11.700486732194229</c:v>
                </c:pt>
                <c:pt idx="11">
                  <c:v>-11.337391406787022</c:v>
                </c:pt>
                <c:pt idx="12">
                  <c:v>-10.997986221658245</c:v>
                </c:pt>
                <c:pt idx="13">
                  <c:v>-10.683924724752949</c:v>
                </c:pt>
                <c:pt idx="14">
                  <c:v>-10.396736992114711</c:v>
                </c:pt>
                <c:pt idx="15">
                  <c:v>-10.137822173508933</c:v>
                </c:pt>
                <c:pt idx="16">
                  <c:v>-9.9084416759058342</c:v>
                </c:pt>
                <c:pt idx="17">
                  <c:v>-9.7097130180324918</c:v>
                </c:pt>
                <c:pt idx="18">
                  <c:v>-9.5426043859339273</c:v>
                </c:pt>
                <c:pt idx="19">
                  <c:v>-9.4079299160680279</c:v>
                </c:pt>
                <c:pt idx="20">
                  <c:v>-9.3063457289145468</c:v>
                </c:pt>
                <c:pt idx="21">
                  <c:v>-9.2383467324220909</c:v>
                </c:pt>
                <c:pt idx="22">
                  <c:v>-9.2042642108663326</c:v>
                </c:pt>
                <c:pt idx="23">
                  <c:v>-9.2042642108663326</c:v>
                </c:pt>
                <c:pt idx="24">
                  <c:v>-9.2383467324220891</c:v>
                </c:pt>
                <c:pt idx="25">
                  <c:v>-9.3063457289145468</c:v>
                </c:pt>
                <c:pt idx="26">
                  <c:v>-9.4079299160680279</c:v>
                </c:pt>
                <c:pt idx="27">
                  <c:v>-9.5426043859339273</c:v>
                </c:pt>
                <c:pt idx="28">
                  <c:v>-9.7097130180324918</c:v>
                </c:pt>
                <c:pt idx="29">
                  <c:v>-9.9084416759058342</c:v>
                </c:pt>
                <c:pt idx="30">
                  <c:v>-10.137822173508932</c:v>
                </c:pt>
                <c:pt idx="31">
                  <c:v>-10.396736992114711</c:v>
                </c:pt>
                <c:pt idx="32">
                  <c:v>-10.683924724752949</c:v>
                </c:pt>
                <c:pt idx="33">
                  <c:v>-10.997986221658243</c:v>
                </c:pt>
                <c:pt idx="34">
                  <c:v>-11.337391406787024</c:v>
                </c:pt>
                <c:pt idx="35">
                  <c:v>-11.700486732194227</c:v>
                </c:pt>
                <c:pt idx="36">
                  <c:v>-12.085503233952689</c:v>
                </c:pt>
                <c:pt idx="37">
                  <c:v>-12.490565150367569</c:v>
                </c:pt>
                <c:pt idx="38">
                  <c:v>-12.913699060498764</c:v>
                </c:pt>
                <c:pt idx="39">
                  <c:v>-13.352843498469401</c:v>
                </c:pt>
                <c:pt idx="40">
                  <c:v>-13.805858996720321</c:v>
                </c:pt>
                <c:pt idx="41">
                  <c:v>-14.270538509281005</c:v>
                </c:pt>
                <c:pt idx="42">
                  <c:v>-14.744618164275687</c:v>
                </c:pt>
                <c:pt idx="43">
                  <c:v>-15.225788293279543</c:v>
                </c:pt>
                <c:pt idx="44">
                  <c:v>-15.711704683791124</c:v>
                </c:pt>
                <c:pt idx="45">
                  <c:v>-16.200000000000003</c:v>
                </c:pt>
                <c:pt idx="46">
                  <c:v>-16.688295316208876</c:v>
                </c:pt>
                <c:pt idx="47">
                  <c:v>-17.174211706720463</c:v>
                </c:pt>
                <c:pt idx="48">
                  <c:v>-17.655381835724317</c:v>
                </c:pt>
                <c:pt idx="49">
                  <c:v>-18.129461490718995</c:v>
                </c:pt>
                <c:pt idx="50">
                  <c:v>-18.594141003279685</c:v>
                </c:pt>
                <c:pt idx="51">
                  <c:v>-19.047156501530601</c:v>
                </c:pt>
                <c:pt idx="52">
                  <c:v>-19.486300939501238</c:v>
                </c:pt>
                <c:pt idx="53">
                  <c:v>-19.909434849632436</c:v>
                </c:pt>
                <c:pt idx="54">
                  <c:v>-20.314496766047313</c:v>
                </c:pt>
                <c:pt idx="55">
                  <c:v>-20.699513267805777</c:v>
                </c:pt>
                <c:pt idx="56">
                  <c:v>-21.062608593212985</c:v>
                </c:pt>
                <c:pt idx="57">
                  <c:v>-21.402013778341761</c:v>
                </c:pt>
                <c:pt idx="58">
                  <c:v>-21.716075275247057</c:v>
                </c:pt>
                <c:pt idx="59">
                  <c:v>-22.003263007885295</c:v>
                </c:pt>
                <c:pt idx="60">
                  <c:v>-22.262177826491072</c:v>
                </c:pt>
                <c:pt idx="61">
                  <c:v>-22.491558324094171</c:v>
                </c:pt>
                <c:pt idx="62">
                  <c:v>-22.690286981967514</c:v>
                </c:pt>
                <c:pt idx="63">
                  <c:v>-22.857395614066078</c:v>
                </c:pt>
                <c:pt idx="64">
                  <c:v>-22.992070083931978</c:v>
                </c:pt>
                <c:pt idx="65">
                  <c:v>-23.093654271085459</c:v>
                </c:pt>
                <c:pt idx="66">
                  <c:v>-23.161653267577918</c:v>
                </c:pt>
                <c:pt idx="67">
                  <c:v>-23.195735789133671</c:v>
                </c:pt>
                <c:pt idx="68">
                  <c:v>-23.195735789133671</c:v>
                </c:pt>
                <c:pt idx="69">
                  <c:v>-23.161653267577918</c:v>
                </c:pt>
                <c:pt idx="70">
                  <c:v>-23.093654271085459</c:v>
                </c:pt>
                <c:pt idx="71">
                  <c:v>-22.992070083931978</c:v>
                </c:pt>
                <c:pt idx="72">
                  <c:v>-22.857395614066078</c:v>
                </c:pt>
                <c:pt idx="73">
                  <c:v>-22.690286981967514</c:v>
                </c:pt>
                <c:pt idx="74">
                  <c:v>-22.491558324094171</c:v>
                </c:pt>
                <c:pt idx="75">
                  <c:v>-22.262177826491072</c:v>
                </c:pt>
                <c:pt idx="76">
                  <c:v>-22.003263007885298</c:v>
                </c:pt>
                <c:pt idx="77">
                  <c:v>-21.716075275247057</c:v>
                </c:pt>
                <c:pt idx="78">
                  <c:v>-21.402013778341765</c:v>
                </c:pt>
                <c:pt idx="79">
                  <c:v>-21.062608593212985</c:v>
                </c:pt>
                <c:pt idx="80">
                  <c:v>-20.699513267805781</c:v>
                </c:pt>
                <c:pt idx="81">
                  <c:v>-20.314496766047316</c:v>
                </c:pt>
                <c:pt idx="82">
                  <c:v>-19.909434849632444</c:v>
                </c:pt>
                <c:pt idx="83">
                  <c:v>-19.486300939501238</c:v>
                </c:pt>
                <c:pt idx="84">
                  <c:v>-19.047156501530605</c:v>
                </c:pt>
                <c:pt idx="85">
                  <c:v>-18.594141003279685</c:v>
                </c:pt>
                <c:pt idx="86">
                  <c:v>-18.129461490719002</c:v>
                </c:pt>
                <c:pt idx="87">
                  <c:v>-17.65538183572432</c:v>
                </c:pt>
                <c:pt idx="88">
                  <c:v>-17.174211706720463</c:v>
                </c:pt>
                <c:pt idx="89">
                  <c:v>-16.688295316208876</c:v>
                </c:pt>
                <c:pt idx="90">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5.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13</xdr:col>
      <xdr:colOff>88900</xdr:colOff>
      <xdr:row>11</xdr:row>
      <xdr:rowOff>120650</xdr:rowOff>
    </xdr:from>
    <xdr:to>
      <xdr:col>25</xdr:col>
      <xdr:colOff>444500</xdr:colOff>
      <xdr:row>62</xdr:row>
      <xdr:rowOff>63500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1808</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1807</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1810</v>
      </c>
      <c r="J98" s="57" t="str">
        <f t="shared" si="141"/>
        <v/>
      </c>
      <c r="AP98" s="57" t="str">
        <f t="shared" si="142"/>
        <v/>
      </c>
      <c r="AX98" s="57" t="str">
        <f t="shared" si="143"/>
        <v/>
      </c>
      <c r="BR98" s="57" t="str">
        <f t="shared" si="144"/>
        <v>&lt;path fill='#FFF' d='M4.8541 5.70634H-4.8541V-5.70634H4.8541Z'/&gt;</v>
      </c>
    </row>
    <row r="99" spans="3:70">
      <c r="E99" t="s">
        <v>1810</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1810</v>
      </c>
      <c r="J100" s="57" t="str">
        <f t="shared" si="141"/>
        <v/>
      </c>
      <c r="AP100" s="57" t="str">
        <f t="shared" si="142"/>
        <v>&lt;use href='#CNY-s' fill='#DE2910'/&gt;</v>
      </c>
      <c r="AX100" s="57" t="str">
        <f t="shared" si="143"/>
        <v>&lt;use href='#PKR-s' fill='#01411C'/&gt;</v>
      </c>
      <c r="BR100" s="57" t="str">
        <f t="shared" si="144"/>
        <v/>
      </c>
    </row>
    <row r="101" spans="3:70">
      <c r="E101" t="s">
        <v>1810</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1810</v>
      </c>
      <c r="J102" s="57" t="str">
        <f t="shared" si="141"/>
        <v/>
      </c>
      <c r="AP102" s="57" t="str">
        <f t="shared" si="142"/>
        <v/>
      </c>
      <c r="AX102" s="57" t="str">
        <f t="shared" si="143"/>
        <v/>
      </c>
      <c r="BR102" s="57" t="str">
        <f t="shared" si="144"/>
        <v/>
      </c>
    </row>
    <row r="103" spans="3:70">
      <c r="E103" t="s">
        <v>1810</v>
      </c>
      <c r="J103" s="57" t="str">
        <f t="shared" si="141"/>
        <v/>
      </c>
      <c r="AP103" s="57" t="str">
        <f t="shared" si="142"/>
        <v/>
      </c>
      <c r="AX103" s="57" t="str">
        <f t="shared" si="143"/>
        <v/>
      </c>
      <c r="BR103" s="57" t="str">
        <f t="shared" si="144"/>
        <v/>
      </c>
    </row>
    <row r="104" spans="3:70">
      <c r="E104" t="s">
        <v>1810</v>
      </c>
      <c r="J104" s="57" t="str">
        <f t="shared" si="141"/>
        <v/>
      </c>
      <c r="AP104" s="57" t="str">
        <f t="shared" si="142"/>
        <v/>
      </c>
      <c r="AX104" s="57" t="str">
        <f t="shared" si="143"/>
        <v/>
      </c>
      <c r="BR104" s="57" t="str">
        <f t="shared" si="144"/>
        <v/>
      </c>
    </row>
    <row r="105" spans="3:70">
      <c r="E105" t="s">
        <v>1810</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1810</v>
      </c>
      <c r="J106" s="57" t="str">
        <f t="shared" si="141"/>
        <v/>
      </c>
      <c r="AP106" s="57" t="str">
        <f t="shared" si="142"/>
        <v/>
      </c>
      <c r="AX106" s="57" t="str">
        <f t="shared" si="143"/>
        <v/>
      </c>
      <c r="BR106" s="57" t="str">
        <f t="shared" si="144"/>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1816</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1817</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394</v>
      </c>
      <c r="L2" t="s">
        <v>99</v>
      </c>
      <c r="N2" t="s">
        <v>98</v>
      </c>
      <c r="P2" t="s">
        <v>1637</v>
      </c>
      <c r="R2" t="s">
        <v>2677</v>
      </c>
      <c r="T2" t="s">
        <v>100</v>
      </c>
      <c r="V2" t="s">
        <v>101</v>
      </c>
      <c r="X2" t="s">
        <v>103</v>
      </c>
      <c r="Z2" t="s">
        <v>2297</v>
      </c>
      <c r="AB2" t="s">
        <v>105</v>
      </c>
      <c r="AD2" t="s">
        <v>715</v>
      </c>
      <c r="AF2" t="s">
        <v>1670</v>
      </c>
      <c r="AH2" t="s">
        <v>2247</v>
      </c>
      <c r="AJ2" t="s">
        <v>173</v>
      </c>
      <c r="AL2" t="s">
        <v>106</v>
      </c>
      <c r="AN2" t="s">
        <v>2037</v>
      </c>
      <c r="AP2" t="s">
        <v>2715</v>
      </c>
      <c r="AR2" t="s">
        <v>2719</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xml:space="preserve"> VALUE(TEXT(SQRT(_xlfn.SINGLE(Circles.AreaMultiplier) * BasicBBoxArea * _xlfn.SINGLE(Circles.Aspect)), SVG.NumberFormatHeight))</f>
        <v>15</v>
      </c>
      <c r="Z6">
        <f t="shared" si="0"/>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c r="AN6">
        <f xml:space="preserve"> VALUE(TEXT(SQRT(_xlfn.SINGLE(Circles.AreaMultiplier) * BasicBBoxArea * _xlfn.SINGLE(Circles.Aspect)), SVG.NumberFormatHeight))</f>
        <v>15</v>
      </c>
      <c r="AP6">
        <f xml:space="preserve"> VALUE(TEXT(SQRT(_xlfn.SINGLE(Circles.AreaMultiplier) * BasicBBoxArea * _xlfn.SINGLE(Circles.Aspect)), SVG.NumberFormatHeight))</f>
        <v>15</v>
      </c>
      <c r="AR6">
        <f xml:space="preserve"> VALUE(TEXT(SQRT(_xlfn.SINGLE(Circles.AreaMultiplier) * BasicBBoxArea * _xlfn.SINGLE(Circles.Aspect)), SVG.NumberFormatHeight))</f>
        <v>15</v>
      </c>
    </row>
    <row r="7" spans="2:49">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xml:space="preserve"> _xlfn.SINGLE(Circles.Height) / _xlfn.SINGLE(Circles.Aspect)</f>
        <v>15</v>
      </c>
      <c r="Z7">
        <f t="shared" si="0"/>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c r="AN7">
        <f xml:space="preserve"> _xlfn.SINGLE(Circles.Height) / _xlfn.SINGLE(Circles.Aspect)</f>
        <v>15</v>
      </c>
      <c r="AP7">
        <f xml:space="preserve"> _xlfn.SINGLE(Circles.Height) / _xlfn.SINGLE(Circles.Aspect)</f>
        <v>15</v>
      </c>
      <c r="AR7">
        <f xml:space="preserve"> _xlfn.SINGLE(Circles.Height) / _xlfn.SINGLE(Circles.Aspect)</f>
        <v>15</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717</v>
      </c>
      <c r="F14" t="s">
        <v>720</v>
      </c>
      <c r="H14" t="s">
        <v>719</v>
      </c>
      <c r="J14" t="s">
        <v>726</v>
      </c>
      <c r="L14" t="s">
        <v>723</v>
      </c>
      <c r="N14" t="s">
        <v>724</v>
      </c>
      <c r="P14" t="s">
        <v>726</v>
      </c>
      <c r="R14" t="s">
        <v>2678</v>
      </c>
      <c r="T14" t="s">
        <v>728</v>
      </c>
      <c r="V14" t="s">
        <v>728</v>
      </c>
      <c r="X14" t="s">
        <v>720</v>
      </c>
      <c r="Z14" t="str">
        <f t="shared" ref="Z14" si="7" xml:space="preserve"> $X14</f>
        <v>fill='#DA291C'</v>
      </c>
      <c r="AB14" t="s">
        <v>734</v>
      </c>
      <c r="AD14" t="s">
        <v>735</v>
      </c>
      <c r="AF14" t="s">
        <v>1671</v>
      </c>
      <c r="AH14" t="s">
        <v>2248</v>
      </c>
      <c r="AJ14" t="s">
        <v>725</v>
      </c>
      <c r="AL14" t="s">
        <v>726</v>
      </c>
      <c r="AN14" t="s">
        <v>2038</v>
      </c>
      <c r="AP14" t="s">
        <v>2716</v>
      </c>
      <c r="AR14" t="s">
        <v>2736</v>
      </c>
    </row>
    <row r="15" spans="2:49">
      <c r="B15" s="4" t="s">
        <v>109</v>
      </c>
      <c r="D15" t="str">
        <f xml:space="preserve"> "fill='#FFF'"</f>
        <v>fill='#FFF'</v>
      </c>
      <c r="H15" t="s">
        <v>718</v>
      </c>
      <c r="L15" t="s">
        <v>722</v>
      </c>
      <c r="N15" t="s">
        <v>2087</v>
      </c>
      <c r="P15" t="s">
        <v>1638</v>
      </c>
      <c r="R15" t="s">
        <v>2679</v>
      </c>
      <c r="T15" t="s">
        <v>730</v>
      </c>
      <c r="V15" t="s">
        <v>2087</v>
      </c>
      <c r="X15" t="s">
        <v>732</v>
      </c>
      <c r="Z15" s="28" t="s">
        <v>2300</v>
      </c>
      <c r="AB15" t="s">
        <v>2128</v>
      </c>
      <c r="AF15" t="s">
        <v>1673</v>
      </c>
      <c r="AH15" t="s">
        <v>2087</v>
      </c>
      <c r="AL15" t="s">
        <v>2087</v>
      </c>
      <c r="AN15" t="s">
        <v>2087</v>
      </c>
      <c r="AP15" t="s">
        <v>2087</v>
      </c>
      <c r="AR15" t="s">
        <v>2737</v>
      </c>
    </row>
    <row r="16" spans="2:49">
      <c r="B16" s="4" t="s">
        <v>110</v>
      </c>
      <c r="L16" t="s">
        <v>721</v>
      </c>
      <c r="N16" t="s">
        <v>727</v>
      </c>
      <c r="P16" t="s">
        <v>1639</v>
      </c>
      <c r="R16" t="str">
        <f xml:space="preserve"> _xlfn.SINGLE(Circles.SVG_Painting_3)</f>
        <v>fill='#E05206'</v>
      </c>
      <c r="T16" t="s">
        <v>731</v>
      </c>
      <c r="V16" t="str">
        <f xml:space="preserve"> _xlfn.SINGLE(Circles.SVG_Painting_3)</f>
        <v>fill='#C8102E'</v>
      </c>
      <c r="AB16" t="s">
        <v>2087</v>
      </c>
      <c r="AH16" t="s">
        <v>2249</v>
      </c>
      <c r="AL16" t="s">
        <v>737</v>
      </c>
      <c r="AN16" t="s">
        <v>2039</v>
      </c>
      <c r="AR16" t="s">
        <v>2738</v>
      </c>
    </row>
    <row r="17" spans="2:49">
      <c r="B17" s="4" t="s">
        <v>107</v>
      </c>
      <c r="F17" t="s">
        <v>2087</v>
      </c>
      <c r="J17" t="s">
        <v>720</v>
      </c>
      <c r="AD17" t="s">
        <v>736</v>
      </c>
      <c r="AF17" t="s">
        <v>1672</v>
      </c>
      <c r="AJ17" t="s">
        <v>2087</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205</v>
      </c>
      <c r="T23" cm="1">
        <f t="array" ref="T23" xml:space="preserve"> SVG_length(T$25:T$31)</f>
        <v>196</v>
      </c>
      <c r="V23" cm="1">
        <f t="array" ref="V23" xml:space="preserve"> SVG_length(V$25:V$31)</f>
        <v>202</v>
      </c>
      <c r="X23" cm="1">
        <f t="array" ref="X23" xml:space="preserve"> SVG_length(X$25:X$31)</f>
        <v>168</v>
      </c>
      <c r="Z23" cm="1">
        <f t="array" ref="Z23" xml:space="preserve"> SVG_length(Z$25:Z$31)</f>
        <v>165</v>
      </c>
      <c r="AB23" cm="1">
        <f t="array" ref="AB23" xml:space="preserve"> SVG_length(AB$25:AB$31)</f>
        <v>187</v>
      </c>
      <c r="AD23" cm="1">
        <f t="array" ref="AD23" xml:space="preserve"> SVG_length(AD$25:AD$31)</f>
        <v>221</v>
      </c>
      <c r="AF23" cm="1">
        <f t="array" ref="AF23" xml:space="preserve"> SVG_length(AF$25:AF$31)</f>
        <v>235</v>
      </c>
      <c r="AH23" cm="1">
        <f t="array" ref="AH23" xml:space="preserve"> SVG_length(AH$25:AH$31)</f>
        <v>196</v>
      </c>
      <c r="AJ23" cm="1">
        <f t="array" ref="AJ23" xml:space="preserve"> SVG_length(AJ$25:AJ$31)</f>
        <v>200</v>
      </c>
      <c r="AL23" cm="1">
        <f t="array" ref="AL23" xml:space="preserve"> SVG_length(AL$25:AL$31)</f>
        <v>187</v>
      </c>
      <c r="AN23" cm="1">
        <f t="array" ref="AN23" xml:space="preserve"> SVG_length(AN$25:AN$31)</f>
        <v>196</v>
      </c>
      <c r="AP23" cm="1">
        <f t="array" ref="AP23" xml:space="preserve"> SVG_length(AP$25:AP$31)</f>
        <v>271</v>
      </c>
      <c r="AR23" cm="1">
        <f t="array" ref="AR23" xml:space="preserve"> SVG_length(AR$25:AR$31)</f>
        <v>205</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viewBox='-36 -36 72 72'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361</v>
      </c>
      <c r="D2" t="s">
        <v>405</v>
      </c>
      <c r="F2" t="s">
        <v>2673</v>
      </c>
      <c r="H2" t="s">
        <v>796</v>
      </c>
      <c r="J2" t="s">
        <v>393</v>
      </c>
      <c r="L2" t="s">
        <v>879</v>
      </c>
      <c r="N2" t="s">
        <v>1614</v>
      </c>
      <c r="P2" t="s">
        <v>2154</v>
      </c>
      <c r="R2" t="s">
        <v>166</v>
      </c>
      <c r="T2" t="s">
        <v>2682</v>
      </c>
      <c r="V2" t="s">
        <v>2683</v>
      </c>
      <c r="X2" t="s">
        <v>492</v>
      </c>
      <c r="Z2" t="s">
        <v>2151</v>
      </c>
      <c r="AB2" t="s">
        <v>528</v>
      </c>
      <c r="AD2" t="s">
        <v>1776</v>
      </c>
      <c r="AF2" t="s">
        <v>168</v>
      </c>
      <c r="AH2" t="s">
        <v>578</v>
      </c>
      <c r="AJ2" t="s">
        <v>579</v>
      </c>
      <c r="AL2" t="s">
        <v>580</v>
      </c>
      <c r="AN2" t="s">
        <v>1627</v>
      </c>
      <c r="AP2" t="s">
        <v>1623</v>
      </c>
      <c r="AR2" t="s">
        <v>1620</v>
      </c>
      <c r="AT2" t="s">
        <v>581</v>
      </c>
      <c r="AV2" t="s">
        <v>2274</v>
      </c>
      <c r="AX2" t="s">
        <v>656</v>
      </c>
      <c r="AZ2" t="s">
        <v>2280</v>
      </c>
      <c r="BB2" t="s">
        <v>104</v>
      </c>
      <c r="BD2" t="s">
        <v>1666</v>
      </c>
      <c r="BF2" t="s">
        <v>372</v>
      </c>
      <c r="BH2" t="s">
        <v>2306</v>
      </c>
      <c r="BJ2" t="s">
        <v>795</v>
      </c>
      <c r="BL2" t="s">
        <v>2131</v>
      </c>
      <c r="BN2" t="s">
        <v>798</v>
      </c>
      <c r="BP2" t="s">
        <v>2032</v>
      </c>
      <c r="BR2" t="s">
        <v>1704</v>
      </c>
      <c r="BT2" t="s">
        <v>929</v>
      </c>
      <c r="BV2" t="s">
        <v>172</v>
      </c>
      <c r="BX2" t="s">
        <v>2042</v>
      </c>
      <c r="BZ2" t="s">
        <v>2314</v>
      </c>
      <c r="CB2" t="s">
        <v>2717</v>
      </c>
      <c r="CE2" t="e">
        <f xml:space="preserve"> NA()</f>
        <v>#N/A</v>
      </c>
    </row>
    <row r="3" spans="2:83">
      <c r="B3" s="4" t="s">
        <v>362</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c r="CB3">
        <f xml:space="preserve"> MODE(Circles.AreaMultiplier)</f>
        <v>1</v>
      </c>
    </row>
    <row r="5" spans="2:83">
      <c r="B5" s="4" t="s">
        <v>363</v>
      </c>
      <c r="BN5">
        <v>44</v>
      </c>
      <c r="BP5">
        <v>44</v>
      </c>
    </row>
    <row r="6" spans="2:83">
      <c r="B6" s="4" t="s">
        <v>2305</v>
      </c>
      <c r="BH6" s="5" t="s">
        <v>2308</v>
      </c>
    </row>
    <row r="7" spans="2:83">
      <c r="B7" s="4" t="s">
        <v>373</v>
      </c>
      <c r="C7" s="5"/>
      <c r="D7" s="5" t="s">
        <v>716</v>
      </c>
      <c r="E7" s="5"/>
      <c r="F7" s="5" t="s">
        <v>2672</v>
      </c>
      <c r="G7" s="5"/>
      <c r="H7" s="5" t="s">
        <v>1824</v>
      </c>
      <c r="I7" s="5"/>
      <c r="J7" s="5" t="s">
        <v>1067</v>
      </c>
      <c r="K7" s="5"/>
      <c r="L7" s="5" t="s">
        <v>1504</v>
      </c>
      <c r="M7" s="5"/>
      <c r="N7" s="5" t="s">
        <v>1616</v>
      </c>
      <c r="O7" s="5"/>
      <c r="P7" s="5" t="s">
        <v>752</v>
      </c>
      <c r="Q7" s="5"/>
      <c r="R7" s="5" t="s">
        <v>723</v>
      </c>
      <c r="S7" s="5"/>
      <c r="T7" s="5" t="s">
        <v>2128</v>
      </c>
      <c r="U7" s="5"/>
      <c r="V7" s="5" t="s">
        <v>1070</v>
      </c>
      <c r="W7" s="5"/>
      <c r="X7" s="5" t="s">
        <v>755</v>
      </c>
      <c r="Y7" s="5"/>
      <c r="Z7" s="5" t="s">
        <v>2152</v>
      </c>
      <c r="AA7" s="5"/>
      <c r="AB7" s="5" t="s">
        <v>723</v>
      </c>
      <c r="AC7" s="5"/>
      <c r="AD7" s="5" t="s">
        <v>1777</v>
      </c>
      <c r="AE7" s="5"/>
      <c r="AF7" s="5" t="s">
        <v>723</v>
      </c>
      <c r="AG7" s="5"/>
      <c r="AH7" s="5"/>
      <c r="AI7" s="5"/>
      <c r="AJ7" s="5"/>
      <c r="AK7" s="5"/>
      <c r="AL7" s="5"/>
      <c r="AM7" s="5"/>
      <c r="AN7" s="5" t="s">
        <v>1628</v>
      </c>
      <c r="AO7" s="5"/>
      <c r="AP7" s="5"/>
      <c r="AQ7" s="5"/>
      <c r="AR7" s="5"/>
      <c r="AS7" s="5"/>
      <c r="AT7" s="5" t="s">
        <v>726</v>
      </c>
      <c r="AU7" s="5"/>
      <c r="AV7" s="5" t="s">
        <v>726</v>
      </c>
      <c r="AW7" s="5"/>
      <c r="AX7" s="5" t="s">
        <v>728</v>
      </c>
      <c r="AY7" s="5"/>
      <c r="AZ7" s="5" t="s">
        <v>728</v>
      </c>
      <c r="BA7" s="5"/>
      <c r="BB7" s="5" t="s">
        <v>717</v>
      </c>
      <c r="BC7" s="5"/>
      <c r="BD7" s="5" t="s">
        <v>2087</v>
      </c>
      <c r="BE7" s="5"/>
      <c r="BF7" s="5" t="s">
        <v>1071</v>
      </c>
      <c r="BG7" s="5"/>
      <c r="BH7" s="5" t="s">
        <v>2087</v>
      </c>
      <c r="BI7" s="5"/>
      <c r="BJ7" s="5" t="s">
        <v>1043</v>
      </c>
      <c r="BK7" s="5"/>
      <c r="BL7" s="5" t="str">
        <f xml:space="preserve"> $BB$9</f>
        <v>fill='#00A3E0'</v>
      </c>
      <c r="BM7" s="5"/>
      <c r="BN7" s="5" t="s">
        <v>2087</v>
      </c>
      <c r="BO7" s="5"/>
      <c r="BP7" s="5" t="s">
        <v>2033</v>
      </c>
      <c r="BQ7" s="5"/>
      <c r="BR7" s="5" t="s">
        <v>1705</v>
      </c>
      <c r="BS7" s="5"/>
      <c r="BT7" s="5" t="s">
        <v>930</v>
      </c>
      <c r="BU7" s="5"/>
      <c r="BV7" s="5" t="s">
        <v>2442</v>
      </c>
      <c r="BW7" s="5"/>
      <c r="BX7" s="5" t="s">
        <v>2045</v>
      </c>
      <c r="BY7" s="5"/>
      <c r="BZ7" s="5" t="s">
        <v>2315</v>
      </c>
      <c r="CA7" s="5"/>
      <c r="CB7" s="5" t="s">
        <v>2726</v>
      </c>
      <c r="CC7" s="5"/>
      <c r="CD7" s="5"/>
      <c r="CE7" s="5"/>
    </row>
    <row r="8" spans="2:83">
      <c r="B8" s="4" t="s">
        <v>374</v>
      </c>
      <c r="C8" s="5"/>
      <c r="D8" s="5" t="s">
        <v>2089</v>
      </c>
      <c r="E8" s="5"/>
      <c r="F8" s="5" t="s">
        <v>2089</v>
      </c>
      <c r="G8" s="5"/>
      <c r="H8" s="5" t="s">
        <v>2089</v>
      </c>
      <c r="I8" s="5"/>
      <c r="J8" s="5" t="s">
        <v>2087</v>
      </c>
      <c r="K8" s="5"/>
      <c r="L8" s="5" t="s">
        <v>1503</v>
      </c>
      <c r="M8" s="5"/>
      <c r="N8" s="5" t="s">
        <v>1615</v>
      </c>
      <c r="O8" s="5"/>
      <c r="P8" s="5" t="s">
        <v>2087</v>
      </c>
      <c r="Q8" s="5"/>
      <c r="R8" s="5" t="s">
        <v>2087</v>
      </c>
      <c r="S8" s="5"/>
      <c r="T8" s="5" t="s">
        <v>2087</v>
      </c>
      <c r="U8" s="5"/>
      <c r="V8" s="5" t="s">
        <v>2684</v>
      </c>
      <c r="W8" s="5"/>
      <c r="X8" s="5" t="s">
        <v>2087</v>
      </c>
      <c r="Y8" s="5"/>
      <c r="Z8" s="5" t="s">
        <v>2153</v>
      </c>
      <c r="AA8" s="5"/>
      <c r="AB8" s="5" t="s">
        <v>750</v>
      </c>
      <c r="AC8" s="5"/>
      <c r="AD8" s="5" t="s">
        <v>1778</v>
      </c>
      <c r="AE8" s="5"/>
      <c r="AF8" s="5" t="s">
        <v>2087</v>
      </c>
      <c r="AG8" s="5"/>
      <c r="AH8" s="5" t="s">
        <v>751</v>
      </c>
      <c r="AI8" s="5"/>
      <c r="AJ8" s="5" t="s">
        <v>728</v>
      </c>
      <c r="AK8" s="5"/>
      <c r="AL8" s="5" t="s">
        <v>723</v>
      </c>
      <c r="AM8" s="5"/>
      <c r="AN8" s="5" t="s">
        <v>726</v>
      </c>
      <c r="AO8" s="5"/>
      <c r="AP8" s="5" t="s">
        <v>759</v>
      </c>
      <c r="AQ8" s="5"/>
      <c r="AR8" s="5" t="s">
        <v>1621</v>
      </c>
      <c r="AS8" s="5"/>
      <c r="AT8" s="5" t="s">
        <v>2087</v>
      </c>
      <c r="AU8" s="5"/>
      <c r="AV8" s="5" t="s">
        <v>2275</v>
      </c>
      <c r="AW8" s="5"/>
      <c r="AX8" s="5" t="s">
        <v>2087</v>
      </c>
      <c r="AY8" s="5"/>
      <c r="AZ8" s="5" t="s">
        <v>2128</v>
      </c>
      <c r="BA8" s="5"/>
      <c r="BB8" s="5" t="s">
        <v>2087</v>
      </c>
      <c r="BC8" s="5"/>
      <c r="BD8" s="5" t="s">
        <v>738</v>
      </c>
      <c r="BE8" s="5"/>
      <c r="BF8" s="5" t="s">
        <v>1072</v>
      </c>
      <c r="BG8" s="5"/>
      <c r="BH8" s="5" t="s">
        <v>2128</v>
      </c>
      <c r="BI8" s="5"/>
      <c r="BJ8" s="5" t="s">
        <v>2087</v>
      </c>
      <c r="BK8" s="5"/>
      <c r="BL8" s="5" t="s">
        <v>2087</v>
      </c>
      <c r="BM8" s="5"/>
      <c r="BN8" s="5" t="str">
        <f xml:space="preserve"> "stroke-width='" &amp; _xlfn.SINGLE(Simple.SVG_borderWidth) &amp; "' stroke-linejoin='round' stroke='#1B618C' fill='none' "</f>
        <v xml:space="preserve">stroke-width='44' stroke-linejoin='round' stroke='#1B618C' fill='none' </v>
      </c>
      <c r="BO8" s="5"/>
      <c r="BP8" s="5" t="s">
        <v>2087</v>
      </c>
      <c r="BQ8" s="5"/>
      <c r="BR8" s="5" t="s">
        <v>1706</v>
      </c>
      <c r="BS8" s="5"/>
      <c r="BT8" s="5" t="s">
        <v>931</v>
      </c>
      <c r="BU8" s="5"/>
      <c r="BV8" s="5" t="s">
        <v>2443</v>
      </c>
      <c r="BW8" s="5"/>
      <c r="BX8" s="5" t="s">
        <v>2046</v>
      </c>
      <c r="BY8" s="5"/>
      <c r="BZ8" s="5" t="s">
        <v>2316</v>
      </c>
      <c r="CA8" s="5"/>
      <c r="CB8" s="5" t="s">
        <v>2727</v>
      </c>
      <c r="CC8" s="5"/>
      <c r="CD8" s="5"/>
      <c r="CE8" s="5"/>
    </row>
    <row r="9" spans="2:83">
      <c r="B9" s="4" t="s">
        <v>375</v>
      </c>
      <c r="C9" s="5"/>
      <c r="D9" s="5"/>
      <c r="E9" s="5"/>
      <c r="F9" s="5"/>
      <c r="G9" s="5"/>
      <c r="H9" s="5"/>
      <c r="I9" s="5"/>
      <c r="J9" s="5"/>
      <c r="K9" s="5"/>
      <c r="L9" s="5"/>
      <c r="M9" s="5"/>
      <c r="N9" s="5"/>
      <c r="O9" s="5"/>
      <c r="P9" s="5" t="s">
        <v>752</v>
      </c>
      <c r="Q9" s="5"/>
      <c r="R9" s="5"/>
      <c r="S9" s="5"/>
      <c r="T9" s="5"/>
      <c r="U9" s="5"/>
      <c r="V9" s="5" t="s">
        <v>2087</v>
      </c>
      <c r="W9" s="5"/>
      <c r="X9" s="5" t="s">
        <v>753</v>
      </c>
      <c r="Y9" s="5"/>
      <c r="Z9" s="5" t="s">
        <v>726</v>
      </c>
      <c r="AA9" s="5"/>
      <c r="AB9" s="5"/>
      <c r="AC9" s="5"/>
      <c r="AD9" s="5" t="s">
        <v>726</v>
      </c>
      <c r="AE9" s="5"/>
      <c r="AF9" s="5"/>
      <c r="AG9" s="5"/>
      <c r="AH9" s="5" t="s">
        <v>754</v>
      </c>
      <c r="AI9" s="5"/>
      <c r="AJ9" s="5" t="s">
        <v>726</v>
      </c>
      <c r="AK9" s="5"/>
      <c r="AL9" s="5" t="s">
        <v>726</v>
      </c>
      <c r="AM9" s="5"/>
      <c r="AN9" s="5" t="s">
        <v>2087</v>
      </c>
      <c r="AO9" s="5"/>
      <c r="AP9" s="5" t="s">
        <v>726</v>
      </c>
      <c r="AQ9" s="5"/>
      <c r="AR9" s="5" t="s">
        <v>1622</v>
      </c>
      <c r="AS9" s="5"/>
      <c r="AT9" s="5"/>
      <c r="AU9" s="5"/>
      <c r="AV9" s="5"/>
      <c r="AW9" s="5"/>
      <c r="AX9" s="5"/>
      <c r="AY9" s="5"/>
      <c r="AZ9" s="5"/>
      <c r="BA9" s="5"/>
      <c r="BB9" s="5" t="s">
        <v>733</v>
      </c>
      <c r="BC9" s="5"/>
      <c r="BD9" s="5"/>
      <c r="BE9" s="5"/>
      <c r="BF9" s="5" t="s">
        <v>2087</v>
      </c>
      <c r="BG9" s="5"/>
      <c r="BH9" s="5" t="s">
        <v>2307</v>
      </c>
      <c r="BI9" s="5"/>
      <c r="BJ9" s="5" t="s">
        <v>797</v>
      </c>
      <c r="BK9" s="5"/>
      <c r="BL9" s="5" t="str">
        <f xml:space="preserve"> $BB$7</f>
        <v>fill='#EF3340'</v>
      </c>
      <c r="BM9" s="5"/>
      <c r="BN9" s="5"/>
      <c r="BO9" s="5"/>
      <c r="BP9" s="5" t="s">
        <v>2034</v>
      </c>
      <c r="BQ9" s="5"/>
      <c r="BR9" s="5"/>
      <c r="BS9" s="5"/>
      <c r="BT9" s="5"/>
      <c r="BU9" s="5"/>
      <c r="BV9" s="5"/>
      <c r="BW9" s="5"/>
      <c r="BX9" s="5" t="s">
        <v>2087</v>
      </c>
      <c r="BY9" s="5"/>
      <c r="BZ9" s="5" t="s">
        <v>2317</v>
      </c>
      <c r="CA9" s="5"/>
      <c r="CB9" s="5"/>
      <c r="CC9" s="5"/>
      <c r="CD9" s="5"/>
      <c r="CE9" s="5"/>
    </row>
    <row r="10" spans="2:83">
      <c r="AA10" s="5"/>
      <c r="AD10" s="5"/>
      <c r="AH10" s="5"/>
      <c r="AJ10" s="5"/>
    </row>
    <row r="11" spans="2:83">
      <c r="B11" s="4" t="s">
        <v>365</v>
      </c>
      <c r="D11">
        <v>10</v>
      </c>
      <c r="F11">
        <v>10</v>
      </c>
      <c r="H11">
        <f xml:space="preserve"> $D11</f>
        <v>10</v>
      </c>
      <c r="J11">
        <f xml:space="preserve"> 2 * 2</f>
        <v>4</v>
      </c>
      <c r="L11">
        <f xml:space="preserve"> $J11</f>
        <v>4</v>
      </c>
      <c r="N11">
        <v>11</v>
      </c>
      <c r="P11">
        <v>27</v>
      </c>
      <c r="R11">
        <v>6</v>
      </c>
      <c r="T11">
        <v>7</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c r="CB11">
        <v>10</v>
      </c>
    </row>
    <row r="12" spans="2:83">
      <c r="B12" s="4" t="s">
        <v>367</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5</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c r="CB12">
        <v>15</v>
      </c>
    </row>
    <row r="13" spans="2:83">
      <c r="B13" s="4" t="s">
        <v>364</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-7</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c r="CB13">
        <f xml:space="preserve"> - _xlfn.SINGLE(Simple.MaxX)</f>
        <v>-10</v>
      </c>
    </row>
    <row r="14" spans="2:83">
      <c r="B14" s="4" t="s">
        <v>366</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-5</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c r="CB14">
        <f xml:space="preserve"> - _xlfn.SINGLE(Simple.MaxY)</f>
        <v>-15</v>
      </c>
    </row>
    <row r="17" spans="2:83">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0.7142857142857143</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c r="CB17">
        <f xml:space="preserve">  MAX( _xlfn.SINGLE(Simple.MaxY), - _xlfn.SINGLE(Simple.MinY ))   /   MAX( _xlfn.SINGLE(Simple.MaxX), - _xlfn.SINGLE(Simple.MinX ))</f>
        <v>1.5</v>
      </c>
    </row>
    <row r="18" spans="2:83">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11.7</v>
      </c>
      <c r="V18">
        <f xml:space="preserve"> VALUE(TEXT(SQRT(_xlfn.SINGLE(Simple.AreaMultiplier) * BasicBBoxArea * _xlfn.SINGLE(Simple.Aspect)), SVG.NumberFormatHeight))</f>
        <v>12</v>
      </c>
      <c r="X18">
        <f xml:space="preserve"> VALUE(TEXT(SQRT(_xlfn.SINGLE(Simple.AreaMultiplier) * BasicBBoxArea * _xlfn.SINGLE(Simple.Aspect)), SVG.NumberFormatHeight))</f>
        <v>18</v>
      </c>
      <c r="Z18">
        <f xml:space="preserve"> VALUE(TEXT(SQRT(_xlfn.SINGLE(Simple.AreaMultiplier) * BasicBBoxArea * _xlfn.SINGLE(Simple.Aspect)), SVG.NumberFormatHeight))</f>
        <v>15</v>
      </c>
      <c r="AB18">
        <f xml:space="preserve"> VALUE(TEXT(SQRT(_xlfn.SINGLE(Simple.AreaMultiplier) * BasicBBoxArea * _xlfn.SINGLE(Simple.Aspect)), SVG.NumberFormatHeight))</f>
        <v>14.1</v>
      </c>
      <c r="AD18">
        <f xml:space="preserve"> VALUE(TEXT(SQRT(_xlfn.SINGLE(Simple.AreaMultiplier) * BasicBBoxArea * _xlfn.SINGLE(Simple.Aspect)), SVG.NumberFormatHeight))</f>
        <v>13.4</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21.2</v>
      </c>
      <c r="AP18">
        <f xml:space="preserve"> VALUE(TEXT(SQRT(_xlfn.SINGLE(Simple.AreaMultiplier) * BasicBBoxArea * _xlfn.SINGLE(Simple.Aspect)), SVG.NumberFormatHeight))</f>
        <v>13.8</v>
      </c>
      <c r="AR18">
        <f xml:space="preserve"> VALUE(TEXT(SQRT(_xlfn.SINGLE(Simple.AreaMultiplier) * BasicBBoxArea * _xlfn.SINGLE(Simple.Aspect)), SVG.NumberFormatHeight))</f>
        <v>13.8</v>
      </c>
      <c r="AT18">
        <f xml:space="preserve"> VALUE(TEXT(SQRT(_xlfn.SINGLE(Simple.AreaMultiplier) * BasicBBoxArea * _xlfn.SINGLE(Simple.Aspect)), SVG.NumberFormatHeight))</f>
        <v>12.8</v>
      </c>
      <c r="AV18">
        <f xml:space="preserve"> VALUE(TEXT(SQRT(_xlfn.SINGLE(Simple.AreaMultiplier) * BasicBBoxArea * _xlfn.SINGLE(Simple.Aspect)), SVG.NumberFormatHeight))</f>
        <v>12.8</v>
      </c>
      <c r="AX18">
        <f xml:space="preserve"> VALUE(TEXT(SQRT(_xlfn.SINGLE(Simple.AreaMultiplier) * BasicBBoxArea * _xlfn.SINGLE(Simple.Aspect)), SVG.NumberFormatHeight))</f>
        <v>11.5</v>
      </c>
      <c r="AZ18">
        <f xml:space="preserve"> VALUE(TEXT(SQRT(_xlfn.SINGLE(Simple.AreaMultiplier) * BasicBBoxArea * _xlfn.SINGLE(Simple.Aspect)), SVG.NumberFormatHeight))</f>
        <v>11.5</v>
      </c>
      <c r="BB18">
        <f xml:space="preserve"> VALUE(TEXT(SQRT(_xlfn.SINGLE(Simple.AreaMultiplier) * BasicBBoxArea * _xlfn.SINGLE(Simple.Aspect)), SVG.NumberFormatHeight))</f>
        <v>12.5</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14.4</v>
      </c>
      <c r="BH18">
        <f xml:space="preserve"> VALUE(TEXT(SQRT(_xlfn.SINGLE(Simple.AreaMultiplier) * BasicBBoxArea * _xlfn.SINGLE(Simple.Aspect)), SVG.NumberFormatHeight))</f>
        <v>15.3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20.3</v>
      </c>
      <c r="BP18">
        <f xml:space="preserve"> VALUE(TEXT(SQRT(_xlfn.SINGLE(Simple.AreaMultiplier) * BasicBBoxArea * _xlfn.SINGLE(Simple.Aspect)), SVG.NumberFormatHeight))</f>
        <v>13.8</v>
      </c>
      <c r="BR18">
        <f xml:space="preserve"> VALUE(TEXT(SQRT(_xlfn.SINGLE(Simple.AreaMultiplier) * BasicBBoxArea * _xlfn.SINGLE(Simple.Aspect)), SVG.NumberFormatHeight))</f>
        <v>13.8</v>
      </c>
      <c r="BT18">
        <f xml:space="preserve"> VALUE(TEXT(SQRT(_xlfn.SINGLE(Simple.AreaMultiplier) * BasicBBoxArea * _xlfn.SINGLE(Simple.Aspect)), SVG.NumberFormatHeight))</f>
        <v>19.399999999999999</v>
      </c>
      <c r="BV18">
        <f xml:space="preserve"> VALUE(TEXT(SQRT(_xlfn.SINGLE(Simple.AreaMultiplier) * BasicBBoxArea * _xlfn.SINGLE(Simple.Aspect)), SVG.NumberFormatHeight))</f>
        <v>13.4</v>
      </c>
      <c r="BX18">
        <f xml:space="preserve"> VALUE(TEXT(SQRT(_xlfn.SINGLE(Simple.AreaMultiplier) * BasicBBoxArea * _xlfn.SINGLE(Simple.Aspect)), SVG.NumberFormatHeight))</f>
        <v>15</v>
      </c>
      <c r="BZ18">
        <f xml:space="preserve"> VALUE(TEXT(SQRT(_xlfn.SINGLE(Simple.AreaMultiplier) * BasicBBoxArea * _xlfn.SINGLE(Simple.Aspect)), SVG.NumberFormatHeight))</f>
        <v>10.6</v>
      </c>
      <c r="CB18">
        <f xml:space="preserve"> VALUE(TEXT(SQRT(_xlfn.SINGLE(Simple.AreaMultiplier) * BasicBBoxArea * _xlfn.SINGLE(Simple.Aspect)), SVG.NumberFormatHeight))</f>
        <v>18.399999999999999</v>
      </c>
    </row>
    <row r="19" spans="2:83">
      <c r="B19" s="4" t="s">
        <v>370</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16.38</v>
      </c>
      <c r="V19">
        <f xml:space="preserve"> _xlfn.SINGLE(Simple.Height) / _xlfn.SINGLE(Simple.Aspect)</f>
        <v>16</v>
      </c>
      <c r="X19">
        <f xml:space="preserve"> _xlfn.SINGLE(Simple.Height) / _xlfn.SINGLE(Simple.Aspect)</f>
        <v>15.075000000000001</v>
      </c>
      <c r="Z19">
        <f xml:space="preserve"> _xlfn.SINGLE(Simple.Height) / _xlfn.SINGLE(Simple.Aspect)</f>
        <v>15</v>
      </c>
      <c r="AB19">
        <f xml:space="preserve"> _xlfn.SINGLE(Simple.Height) / _xlfn.SINGLE(Simple.Aspect)</f>
        <v>22.0811320754717</v>
      </c>
      <c r="AD19">
        <f xml:space="preserve"> _xlfn.SINGLE(Simple.Height) / _xlfn.SINGLE(Simple.Aspect)</f>
        <v>23.210714285714289</v>
      </c>
      <c r="AF19">
        <f xml:space="preserve"> _xlfn.SINGLE(Simple.Height) / _xlfn.SINGLE(Simple.Aspect)</f>
        <v>13.8</v>
      </c>
      <c r="AH19">
        <f xml:space="preserve"> _xlfn.SINGLE(Simple.Height) / _xlfn.SINGLE(Simple.Aspect)</f>
        <v>13.8</v>
      </c>
      <c r="AJ19">
        <f xml:space="preserve"> _xlfn.SINGLE(Simple.Height) / _xlfn.SINGLE(Simple.Aspect)</f>
        <v>13.8</v>
      </c>
      <c r="AL19">
        <f xml:space="preserve"> _xlfn.SINGLE(Simple.Height) / _xlfn.SINGLE(Simple.Aspect)</f>
        <v>13.8</v>
      </c>
      <c r="AN19">
        <f xml:space="preserve"> _xlfn.SINGLE(Simple.Height) / _xlfn.SINGLE(Simple.Aspect)</f>
        <v>10.6</v>
      </c>
      <c r="AP19">
        <f xml:space="preserve"> _xlfn.SINGLE(Simple.Height) / _xlfn.SINGLE(Simple.Aspect)</f>
        <v>13.8</v>
      </c>
      <c r="AR19">
        <f xml:space="preserve"> _xlfn.SINGLE(Simple.Height) / _xlfn.SINGLE(Simple.Aspect)</f>
        <v>13.8</v>
      </c>
      <c r="AT19">
        <f xml:space="preserve"> _xlfn.SINGLE(Simple.Height) / _xlfn.SINGLE(Simple.Aspect)</f>
        <v>17.600000000000001</v>
      </c>
      <c r="AV19">
        <f xml:space="preserve"> _xlfn.SINGLE(Simple.Height) / _xlfn.SINGLE(Simple.Aspect)</f>
        <v>17.600000000000001</v>
      </c>
      <c r="AX19">
        <f xml:space="preserve"> _xlfn.SINGLE(Simple.Height) / _xlfn.SINGLE(Simple.Aspect)</f>
        <v>17.25</v>
      </c>
      <c r="AZ19">
        <f xml:space="preserve"> _xlfn.SINGLE(Simple.Height) / _xlfn.SINGLE(Simple.Aspect)</f>
        <v>17.25</v>
      </c>
      <c r="BB19">
        <f xml:space="preserve"> _xlfn.SINGLE(Simple.Height) / _xlfn.SINGLE(Simple.Aspect)</f>
        <v>25</v>
      </c>
      <c r="BD19">
        <f xml:space="preserve"> _xlfn.SINGLE(Simple.Height) / _xlfn.SINGLE(Simple.Aspect)</f>
        <v>13.8</v>
      </c>
      <c r="BF19">
        <f xml:space="preserve"> _xlfn.SINGLE(Simple.Height) / _xlfn.SINGLE(Simple.Aspect)</f>
        <v>21.6</v>
      </c>
      <c r="BH19">
        <f xml:space="preserve"> _xlfn.SINGLE(Simple.Height) / _xlfn.SINGLE(Simple.Aspect)</f>
        <v>20.400000000000002</v>
      </c>
      <c r="BJ19">
        <f xml:space="preserve"> _xlfn.SINGLE(Simple.Height) / _xlfn.SINGLE(Simple.Aspect)</f>
        <v>13.8</v>
      </c>
      <c r="BL19">
        <f xml:space="preserve"> _xlfn.SINGLE(Simple.Height) / _xlfn.SINGLE(Simple.Aspect)</f>
        <v>13.8</v>
      </c>
      <c r="BN19">
        <f xml:space="preserve"> _xlfn.SINGLE(Simple.Height) / _xlfn.SINGLE(Simple.Aspect)</f>
        <v>15.34641148325359</v>
      </c>
      <c r="BP19">
        <f xml:space="preserve"> _xlfn.SINGLE(Simple.Height) / _xlfn.SINGLE(Simple.Aspect)</f>
        <v>13.8</v>
      </c>
      <c r="BR19">
        <f xml:space="preserve"> _xlfn.SINGLE(Simple.Height) / _xlfn.SINGLE(Simple.Aspect)</f>
        <v>13.8</v>
      </c>
      <c r="BT19">
        <f xml:space="preserve"> _xlfn.SINGLE(Simple.Height) / _xlfn.SINGLE(Simple.Aspect)</f>
        <v>9.8227848101265813</v>
      </c>
      <c r="BV19">
        <f xml:space="preserve"> _xlfn.SINGLE(Simple.Height) / _xlfn.SINGLE(Simple.Aspect)</f>
        <v>16.75</v>
      </c>
      <c r="BX19">
        <f xml:space="preserve"> _xlfn.SINGLE(Simple.Height) / _xlfn.SINGLE(Simple.Aspect)</f>
        <v>15</v>
      </c>
      <c r="BZ19">
        <f xml:space="preserve"> _xlfn.SINGLE(Simple.Height) / _xlfn.SINGLE(Simple.Aspect)</f>
        <v>21.2</v>
      </c>
      <c r="CB19">
        <f xml:space="preserve"> _xlfn.SINGLE(Simple.Height) / _xlfn.SINGLE(Simple.Aspect)</f>
        <v>12.266666666666666</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250</v>
      </c>
      <c r="L22" cm="1">
        <f t="array" ref="L22" xml:space="preserve"> SVG_length(L$24:L$29)</f>
        <v>253</v>
      </c>
      <c r="N22" cm="1">
        <f t="array" ref="N22" xml:space="preserve"> SVG_length(N$24:N$29)</f>
        <v>211</v>
      </c>
      <c r="P22" cm="1">
        <f t="array" ref="P22" xml:space="preserve"> SVG_length(P$24:P$29)</f>
        <v>419</v>
      </c>
      <c r="R22" cm="1">
        <f t="array" ref="R22" xml:space="preserve"> SVG_length(R$24:R$29)</f>
        <v>222</v>
      </c>
      <c r="T22" cm="1">
        <f t="array" ref="T22" xml:space="preserve"> SVG_length(T$24:T$29)</f>
        <v>192</v>
      </c>
      <c r="V22" cm="1">
        <f t="array" ref="V22" xml:space="preserve"> SVG_length(V$24:V$29)</f>
        <v>246</v>
      </c>
      <c r="X22" cm="1">
        <f t="array" ref="X22" xml:space="preserve"> SVG_length(X$24:X$29)</f>
        <v>347</v>
      </c>
      <c r="Z22" cm="1">
        <f t="array" ref="Z22" xml:space="preserve"> SVG_length(Z$24:Z$29)</f>
        <v>283</v>
      </c>
      <c r="AB22" cm="1">
        <f t="array" ref="AB22" xml:space="preserve"> SVG_length(AB$24:AB$29)</f>
        <v>246</v>
      </c>
      <c r="AD22" cm="1">
        <f t="array" ref="AD22" xml:space="preserve"> SVG_length(AD$24:AD$29)</f>
        <v>329</v>
      </c>
      <c r="AF22" cm="1">
        <f t="array" ref="AF22" xml:space="preserve"> SVG_length(AF$24:AF$29)</f>
        <v>207</v>
      </c>
      <c r="AH22" cm="1">
        <f t="array" ref="AH22" xml:space="preserve"> SVG_length(AH$24:AH$29)</f>
        <v>218</v>
      </c>
      <c r="AJ22" cm="1">
        <f t="array" ref="AJ22" xml:space="preserve"> SVG_length(AJ$24:AJ$29)</f>
        <v>207</v>
      </c>
      <c r="AL22" cm="1">
        <f t="array" ref="AL22" xml:space="preserve"> SVG_length(AL$24:AL$29)</f>
        <v>208</v>
      </c>
      <c r="AN22" cm="1">
        <f t="array" ref="AN22" xml:space="preserve"> SVG_length(AN$24:AN$29)</f>
        <v>430</v>
      </c>
      <c r="AP22" cm="1">
        <f t="array" ref="AP22" xml:space="preserve"> SVG_length(AP$24:AP$29)</f>
        <v>203</v>
      </c>
      <c r="AR22" cm="1">
        <f t="array" ref="AR22" xml:space="preserve"> SVG_length(AR$24:AR$29)</f>
        <v>213</v>
      </c>
      <c r="AT22" cm="1">
        <f t="array" ref="AT22" xml:space="preserve"> SVG_length(AT$24:AT$29)</f>
        <v>207</v>
      </c>
      <c r="AV22" cm="1">
        <f t="array" ref="AV22" xml:space="preserve"> SVG_length(AV$24:AV$29)</f>
        <v>207</v>
      </c>
      <c r="AX22" cm="1">
        <f t="array" ref="AX22" xml:space="preserve"> SVG_length(AX$24:AX$29)</f>
        <v>206</v>
      </c>
      <c r="AZ22" cm="1">
        <f t="array" ref="AZ22" xml:space="preserve"> SVG_length(AZ$24:AZ$29)</f>
        <v>194</v>
      </c>
      <c r="BB22" cm="1">
        <f t="array" ref="BB22" xml:space="preserve"> SVG_length(BB$24:BB$29)</f>
        <v>280</v>
      </c>
      <c r="BD22" cm="1">
        <f t="array" ref="BD22" xml:space="preserve"> SVG_length(BD$24:BD$29)</f>
        <v>237</v>
      </c>
      <c r="BF22" cm="1">
        <f t="array" ref="BF22" xml:space="preserve"> SVG_length(BF$24:BF$29)</f>
        <v>282</v>
      </c>
      <c r="BH22" cm="1">
        <f t="array" ref="BH22" xml:space="preserve"> SVG_length(BH$24:BH$29)</f>
        <v>330</v>
      </c>
      <c r="BJ22" cm="1">
        <f t="array" ref="BJ22" xml:space="preserve"> SVG_length(BJ$24:BJ$29)</f>
        <v>285</v>
      </c>
      <c r="BL22" cm="1">
        <f t="array" ref="BL22" xml:space="preserve"> SVG_length(BL$24:BL$29)</f>
        <v>285</v>
      </c>
      <c r="BN22" cm="1">
        <f t="array" ref="BN22" xml:space="preserve"> SVG_length(BN$24:BN$29)</f>
        <v>307</v>
      </c>
      <c r="BP22" cm="1">
        <f t="array" ref="BP22" xml:space="preserve"> SVG_length(BP$24:BP$29)</f>
        <v>309</v>
      </c>
      <c r="BR22" cm="1">
        <f t="array" ref="BR22" xml:space="preserve"> SVG_length(BR$24:BR$29)</f>
        <v>218</v>
      </c>
      <c r="BT22" cm="1">
        <f t="array" ref="BT22" xml:space="preserve"> SVG_length(BT$24:BT$29)</f>
        <v>272</v>
      </c>
      <c r="BV22" cm="1">
        <f t="array" ref="BV22" xml:space="preserve"> SVG_length(BV$24:BV$29)</f>
        <v>371</v>
      </c>
      <c r="BX22" cm="1">
        <f t="array" ref="BX22" xml:space="preserve"> SVG_length(BX$24:BX$29)</f>
        <v>238</v>
      </c>
      <c r="BZ22" cm="1">
        <f t="array" ref="BZ22" xml:space="preserve"> SVG_length(BZ$24:BZ$29)</f>
        <v>237</v>
      </c>
      <c r="CB22" cm="1">
        <f t="array" ref="CB22" xml:space="preserve"> SVG_length(CB$24:CB$29)</f>
        <v>261</v>
      </c>
    </row>
    <row r="23" spans="2:83">
      <c r="B23" s="4" t="s">
        <v>371</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viewBox='-11.38885 -8.13489 22.7777 16.26978'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viewBox='-6.50791 -4.88094 13.01582 9.76188'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viewBox='-15 -22.5 30 45'  id='%thisID%' xmlns='http://www.w3.org/2000/svg'&gt;</v>
      </c>
      <c r="CC24" s="7" t="str">
        <f t="shared" ref="CC24:CD29" si="0" xml:space="preserve"> ""</f>
        <v/>
      </c>
      <c r="CD24" s="7" t="str">
        <f t="shared" si="0"/>
        <v/>
      </c>
      <c r="CE24" s="8" t="str">
        <f xml:space="preserve"> ""</f>
        <v/>
      </c>
    </row>
    <row r="25" spans="2:83">
      <c r="C25" t="str">
        <f t="shared" ref="C25:CE29" si="1" xml:space="preserve"> ""</f>
        <v/>
      </c>
      <c r="D25" s="21" t="str">
        <f xml:space="preserve"> IF(_xlfn.SINGLE(Simple.MaxX)&lt;&gt;0, "&lt;circle " &amp; _xlfn.SINGLE(Simple.SVG_painting_2) &amp; " r='" &amp; ROUND(_xlfn.SINGLE(Simple.MaxY), DecimalPlaces) &amp; "'/&gt;", "")</f>
        <v>&lt;circle  fill='#FF33FF'  r='10'/&gt;</v>
      </c>
      <c r="E25" t="str">
        <f t="shared" si="1"/>
        <v/>
      </c>
      <c r="F25" s="21" t="str">
        <f xml:space="preserve"> IF(_xlfn.SINGLE(Simple.MaxX)&lt;&gt;0, "&lt;circle " &amp; _xlfn.SINGLE(Simple.SVG_painting_2) &amp; " r='" &amp; ROUND(_xlfn.SINGLE(Simple.MaxY), DecimalPlaces) &amp; "'/&gt;", "")</f>
        <v>&lt;circle  fill='#039'  r='10'/&gt;</v>
      </c>
      <c r="G25" t="str">
        <f t="shared" si="1"/>
        <v/>
      </c>
      <c r="H25" s="21" t="str">
        <f xml:space="preserve"> IF(_xlfn.SINGLE(Simple.MaxX)&lt;&gt;0, "&lt;circle " &amp; _xlfn.SINGLE(Simple.SVG_painting_2) &amp; " r='" &amp; ROUND(_xlfn.SINGLE(Simple.MaxY), DecimalPlaces) &amp; "'/&gt;", "")</f>
        <v>&lt;circle  fill='#FF33FF' r='10'/&gt;</v>
      </c>
      <c r="I25" t="str">
        <f t="shared" si="1"/>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
        <v/>
      </c>
      <c r="N25" s="5" t="str">
        <f xml:space="preserve"> "&lt;ellipse " &amp; _xlfn.SINGLE(Simple.SVG_painting_1) &amp; " ry='14' rx='11'/&gt;"</f>
        <v>&lt;ellipse fill='#C4272F' ry='14' rx='11'/&gt;</v>
      </c>
      <c r="O25" t="str">
        <f t="shared" si="1"/>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
        <v/>
      </c>
      <c r="R25" s="21" t="str" cm="1">
        <f t="array" ref="R25" xml:space="preserve"> svgPathRect(DecimalPlaces, _xlfn.SINGLE(Simple.SVG_painting_2), _xlfn.SINGLE(Simple.MaxX), _xlfn.SINGLE(Simple.MaxY))</f>
        <v>&lt;path fill='#009639' d='M6 5V-5H-6V5Z'/&gt;</v>
      </c>
      <c r="S25" t="str">
        <f t="shared" si="1"/>
        <v/>
      </c>
      <c r="T25" s="21" t="str" cm="1">
        <f t="array" ref="T25" xml:space="preserve"> svgPathRect(DecimalPlaces, _xlfn.SINGLE(Simple.SVG_painting_2), _xlfn.SINGLE(Simple.MaxX), _xlfn.SINGLE(Simple.MaxY))</f>
        <v>&lt;path fill='#000' d='M7 5V-5H-7V5Z'/&gt;</v>
      </c>
      <c r="U25" t="str">
        <f t="shared" si="1"/>
        <v/>
      </c>
      <c r="V25" s="21" t="str" cm="1">
        <f t="array" ref="V25" xml:space="preserve"> svgPathRect(DecimalPlaces, _xlfn.SINGLE(Simple.SVG_painting_2), _xlfn.SINGLE(Simple.MaxX), _xlfn.SINGLE(Simple.MaxY))</f>
        <v>&lt;path fill='#00843D' d='M4 3V-3H-4V3Z'/&gt;</v>
      </c>
      <c r="W25" t="str">
        <f t="shared" si="1"/>
        <v/>
      </c>
      <c r="X25" s="21" t="str">
        <f xml:space="preserve"> "&lt;defs&gt;&lt;path id='" &amp; _xlfn.SINGLE(Simple.ID) &amp; "-m' d='M56 -47L-67 -80 -56 47 67 80Z'/&gt;&lt;/defs&gt;"</f>
        <v>&lt;defs&gt;&lt;path id='IRR-m' d='M56 -47L-67 -80 -56 47 67 80Z'/&gt;&lt;/defs&gt;</v>
      </c>
      <c r="Y25" t="str">
        <f t="shared" si="1"/>
        <v/>
      </c>
      <c r="Z25" s="21" t="str">
        <f xml:space="preserve"> "&lt;circle " &amp; _xlfn.SINGLE(Simple.SVG_painting_2) &amp; " r='7'/&gt;"</f>
        <v>&lt;circle fill='#C8102E'  r='7'/&gt;</v>
      </c>
      <c r="AA25" t="str">
        <f t="shared" si="1"/>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1"/>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1"/>
        <v/>
      </c>
      <c r="AF25" s="21" t="str" cm="1">
        <f t="array" ref="AF25" xml:space="preserve"> svgPathRect(DecimalPlaces, _xlfn.SINGLE(Simple.SVG_painting_2), _xlfn.SINGLE(Simple.MaxX), _xlfn.SINGLE(Simple.MaxY))</f>
        <v>&lt;path fill='#009639' d='M6 6V-6H-6V6Z'/&gt;</v>
      </c>
      <c r="AG25" t="str">
        <f t="shared" si="1"/>
        <v/>
      </c>
      <c r="AH25" s="21"/>
      <c r="AI25" t="str">
        <f t="shared" si="1"/>
        <v/>
      </c>
      <c r="AJ25" s="21"/>
      <c r="AK25" t="str">
        <f t="shared" si="1"/>
        <v/>
      </c>
      <c r="AL25" s="21"/>
      <c r="AM25" t="str">
        <f t="shared" si="1"/>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1"/>
        <v/>
      </c>
      <c r="AP25" s="21"/>
      <c r="AQ25" t="str">
        <f t="shared" si="1"/>
        <v/>
      </c>
      <c r="AR25" s="21"/>
      <c r="AS25" t="str">
        <f t="shared" si="1"/>
        <v/>
      </c>
      <c r="AT25" s="21" t="str" cm="1">
        <f t="array" ref="AT25" xml:space="preserve"> svgPathRect(DecimalPlaces, _xlfn.SINGLE(Simple.SVG_painting_2), _xlfn.SINGLE(Simple.MaxX), _xlfn.SINGLE(Simple.MaxY))</f>
        <v>&lt;path fill='black' d='M11 8V-8H-11V8Z'/&gt;</v>
      </c>
      <c r="AU25" t="str">
        <f t="shared" si="1"/>
        <v/>
      </c>
      <c r="AV25" s="21" t="str" cm="1">
        <f t="array" ref="AV25" xml:space="preserve"> svgPathRect(DecimalPlaces, _xlfn.SINGLE(Simple.SVG_painting_2), _xlfn.SINGLE(Simple.MaxX), _xlfn.SINGLE(Simple.MaxY))</f>
        <v>&lt;path fill='black' d='M11 8V-8H-11V8Z'/&gt;</v>
      </c>
      <c r="AW25" t="str">
        <f t="shared" si="1"/>
        <v/>
      </c>
      <c r="AX25" s="21" t="str" cm="1">
        <f t="array" ref="AX25" xml:space="preserve"> svgPathRect(DecimalPlaces, _xlfn.SINGLE(Simple.SVG_painting_2), _xlfn.SINGLE(Simple.MaxX), _xlfn.SINGLE(Simple.MaxY))</f>
        <v>&lt;path fill='#C8102E' d='M9 6V-6H-9V6Z'/&gt;</v>
      </c>
      <c r="AY25" t="str">
        <f t="shared" si="1"/>
        <v/>
      </c>
      <c r="AZ25" s="21" t="str" cm="1">
        <f t="array" ref="AZ25" xml:space="preserve"> svgPathRect(DecimalPlaces, _xlfn.SINGLE(Simple.SVG_painting_2), _xlfn.SINGLE(Simple.MaxX), _xlfn.SINGLE(Simple.MaxY))</f>
        <v>&lt;path fill='#C8102E' d='M9 6V-6H-9V6Z'/&gt;</v>
      </c>
      <c r="BA25" t="str">
        <f t="shared" si="1"/>
        <v/>
      </c>
      <c r="BB25" s="5" t="str">
        <f xml:space="preserve"> "&lt;path " &amp; _xlfn.SINGLE(Simple.SVG_painting_2) &amp; " d='M" &amp; (2*Thirds_O) &amp; " 0L0 " &amp; (Thirds_O) &amp; "L" &amp; (-2*Thirds_O) &amp; " 0L0 " &amp; (-Thirds_O) &amp; "Z'/&gt;"</f>
        <v>&lt;path fill='#EF3340' d='M54 0L0 27L-54 0L0 -27Z'/&gt;</v>
      </c>
      <c r="BC25" t="str">
        <f t="shared" si="1"/>
        <v/>
      </c>
      <c r="BD25" s="5" t="str">
        <f xml:space="preserve"> "&lt;path " &amp; _xlfn.SINGLE(Simple.SVG_painting_2) &amp; " d='M1 3H-1L-3 1V-1L-1 -3H1L3 -1V1Z'/&gt;"</f>
        <v>&lt;path fill='#FFF' d='M1 3H-1L-3 1V-1L-1 -3H1L3 -1V1Z'/&gt;</v>
      </c>
      <c r="BE25" t="str">
        <f t="shared" si="1"/>
        <v/>
      </c>
      <c r="BF25" s="5" t="str">
        <f xml:space="preserve"> "&lt;path " &amp; _xlfn.SINGLE(Simple.SVG_painting_2) &amp; " d='M" &amp; (3*Thirds_O) &amp; " 0L0 " &amp; (2*Thirds_O) &amp; "L" &amp; (-3*Thirds_O) &amp; " 0L0 " &amp; (-2*Thirds_O) &amp; "Z'/&gt;"</f>
        <v>&lt;path fill='#11457E' d='M81 0L0 54L-81 0L0 -54Z'/&gt;</v>
      </c>
      <c r="BG25" t="str">
        <f t="shared" si="1"/>
        <v/>
      </c>
      <c r="BH25" s="5" t="str">
        <f xml:space="preserve"> _xlfn.LET(_xlpm.f,90,   "&lt;path " &amp; _xlfn.SINGLE(Simple.SVG_painting_3) &amp; " d='M" &amp; (4*_xlpm.f) &amp; " 0L0 " &amp; (3*_xlpm.f) &amp; "L" &amp; (-4*_xlpm.f) &amp; " 0L0 " &amp; (-3*_xlpm.f) &amp; "Z'/&gt;")</f>
        <v>&lt;path fill='#009736' d='M360 0L0 270L-360 0L0 -270Z'/&gt;</v>
      </c>
      <c r="BI25" t="str">
        <f t="shared" si="1"/>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1"/>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1"/>
        <v/>
      </c>
      <c r="BN25" s="5" t="str">
        <f xml:space="preserve"> "&lt;path " &amp; _xlfn.SINGLE(Simple.SVG_painting_2) &amp; " d='M0 -187L136 0 0 187 -136 0Z'/&gt;"</f>
        <v>&lt;path fill='#FFF' d='M0 -187L136 0 0 187 -136 0Z'/&gt;</v>
      </c>
      <c r="BO25" t="str">
        <f t="shared" si="1"/>
        <v/>
      </c>
      <c r="BP25" s="21" t="str" cm="1">
        <f t="array" ref="BP25" xml:space="preserve"> svgPathRect(DecimalPlaces, _xlfn.SINGLE(Simple.SVG_painting_2), _xlfn.SINGLE(Simple.MaxX), _xlfn.SINGLE(Simple.MaxY))</f>
        <v>&lt;path fill='#2BCE75' d='M8 8V-8H-8V8Z'/&gt;</v>
      </c>
      <c r="BQ25" t="str">
        <f t="shared" si="1"/>
        <v/>
      </c>
      <c r="BR25" s="21" t="str" cm="1">
        <f t="array" ref="BR25" xml:space="preserve"> svgPathRect(DecimalPlaces, _xlfn.SINGLE(Simple.SVG_painting_2), _xlfn.SINGLE(Simple.MaxX), _xlfn.SINGLE(Simple.MaxY))</f>
        <v>&lt;path fill='#244AA5' d='M5 5V-5H-5V5Z'/&gt;</v>
      </c>
      <c r="BS25" t="str">
        <f t="shared" si="1"/>
        <v/>
      </c>
      <c r="BT25" s="5" t="str">
        <f xml:space="preserve"> "&lt;rect " &amp; _xlfn.SINGLE(Simple.SVG_painting_2) &amp; " x='-20' y='-39.5' width='40' height='79' rx='6'/&gt;"</f>
        <v>&lt;rect fill='#D95B14' x='-20' y='-39.5' width='40' height='79' rx='6'/&gt;</v>
      </c>
      <c r="BU25" t="str">
        <f t="shared" si="1"/>
        <v/>
      </c>
      <c r="BV25" s="21" t="str">
        <f xml:space="preserve"> "&lt;ellipse rx='" &amp; _xlfn.SINGLE(Simple.MaxX) &amp; "' ry='" &amp; _xlfn.SINGLE(Simple.MaxY) &amp; "' " &amp; _xlfn.SINGLE(Simple.SVG_painting_2) &amp; "/&gt;"</f>
        <v>&lt;ellipse rx='40' ry='32' fill='#003399'/&gt;</v>
      </c>
      <c r="BW25" t="str">
        <f t="shared" si="1"/>
        <v/>
      </c>
      <c r="BX25" s="21" t="str">
        <f xml:space="preserve"> "&lt;path " &amp; _xlfn.SINGLE(Simple.SVG_painting_2) &amp; " d='M-4 0A4 4 0 0 1 0 -4L4 0A4 4 0 0 1 0 4Z'/&gt;"</f>
        <v>&lt;path fill='#198D66' d='M-4 0A4 4 0 0 1 0 -4L4 0A4 4 0 0 1 0 4Z'/&gt;</v>
      </c>
      <c r="BY25" t="str">
        <f t="shared" si="1"/>
        <v/>
      </c>
      <c r="BZ25" s="21" t="str">
        <f xml:space="preserve"> "&lt;ellipse rx='" &amp; _xlfn.SINGLE(Simple.MaxX) &amp; "' ry='" &amp; _xlfn.SINGLE(Simple.MaxY) &amp; "' " &amp; _xlfn.SINGLE(Simple.SVG_painting_2) &amp; "/&gt;"</f>
        <v>&lt;ellipse rx='2' ry='1' fill='#2A936A'/&gt;</v>
      </c>
      <c r="CA25" t="str">
        <f t="shared" si="1"/>
        <v/>
      </c>
      <c r="CB25" s="21" t="str">
        <f xml:space="preserve"> "&lt;ellipse " &amp; _xlfn.SINGLE(Simple.SVG_painting_2) &amp; " rx='" &amp; _xlfn.SINGLE(Simple.MaxX) &amp; "' ry='" &amp; _xlfn.SINGLE(Simple.MaxY) &amp; "'/&gt;"</f>
        <v>&lt;ellipse fill='#572600' rx='10' ry='15'/&gt;</v>
      </c>
      <c r="CC25" t="str">
        <f t="shared" si="1"/>
        <v/>
      </c>
      <c r="CD25" t="str">
        <f t="shared" si="0"/>
        <v/>
      </c>
      <c r="CE25" s="9" t="str">
        <f t="shared" si="1"/>
        <v/>
      </c>
    </row>
    <row r="26" spans="2:83">
      <c r="C26" t="str">
        <f t="shared" si="1"/>
        <v/>
      </c>
      <c r="D26" s="21" t="str">
        <f xml:space="preserve"> IF(_xlfn.SINGLE(Simple.MaxX)&lt;&gt;0, "&lt;circle " &amp; _xlfn.SINGLE(Simple.SVG_painting_1) &amp; " r='" &amp; ROUND(_xlfn.SINGLE(Simple.MaxY) - 2, DecimalPlaces) &amp; "'/&gt;", "")</f>
        <v>&lt;circle  fill='#FFF'  r='8'/&gt;</v>
      </c>
      <c r="E26" t="str">
        <f t="shared" si="1"/>
        <v/>
      </c>
      <c r="F26" s="21" t="str">
        <f xml:space="preserve"> IF(_xlfn.SINGLE(Simple.MaxX)&lt;&gt;0, "&lt;circle " &amp; _xlfn.SINGLE(Simple.SVG_painting_1) &amp; " r='" &amp; ROUND(_xlfn.SINGLE(Simple.MaxY) - 2, DecimalPlaces) &amp; "'/&gt;", "")</f>
        <v>&lt;circle  fill='#FFF'  r='8'/&gt;</v>
      </c>
      <c r="G26" t="str">
        <f t="shared" si="1"/>
        <v/>
      </c>
      <c r="H26" s="21" t="str">
        <f xml:space="preserve"> IF(_xlfn.SINGLE(Simple.MaxX)&lt;&gt;0, "&lt;circle " &amp; _xlfn.SINGLE(Simple.SVG_painting_1) &amp; " r='" &amp; ROUND(_xlfn.SINGLE(Simple.MaxY) - 2, DecimalPlaces) &amp; "'/&gt;", "")</f>
        <v>&lt;circle  fill='#FFF'  r='8'/&gt;</v>
      </c>
      <c r="I26" t="str">
        <f t="shared" si="1"/>
        <v/>
      </c>
      <c r="J26" s="5" t="str">
        <f xml:space="preserve"> "&lt;circle " &amp; _xlfn.SINGLE(Simple.SVG_painting_1) &amp; " r='" &amp; (_xlfn.SINGLE(Simple.MaxX) / 2) &amp; "'/&gt;"</f>
        <v>&lt;circle fill='#FFF' r='2'/&gt;</v>
      </c>
      <c r="K26" t="str">
        <f t="shared" si="1"/>
        <v/>
      </c>
      <c r="L26" s="5" t="str">
        <f xml:space="preserve"> "&lt;circle " &amp; _xlfn.SINGLE(Simple.SVG_painting_1) &amp; " r='" &amp; (_xlfn.SINGLE(Simple.MaxX) / 2) &amp; "'/&gt;"</f>
        <v>&lt;circle fill='#0C4077' r='2'/&gt;</v>
      </c>
      <c r="M26" t="str">
        <f t="shared" si="1"/>
        <v/>
      </c>
      <c r="N26" s="5" t="str">
        <f xml:space="preserve"> "&lt;circle " &amp; _xlfn.SINGLE(Simple.SVG_painting_2) &amp; " r='8'/&gt;"</f>
        <v>&lt;circle fill='#F9CF02' r='8'/&gt;</v>
      </c>
      <c r="O26" t="str">
        <f t="shared" si="1"/>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
        <v/>
      </c>
      <c r="R26" s="21" t="str">
        <f xml:space="preserve"> "&lt;path " &amp; _xlfn.SINGLE(Simple.SVG_painting_1) &amp; " d='M -4 -3 H4 v2 H-4 Z   M -4 1 H4 v2 H-4 Z'/&gt;"</f>
        <v>&lt;path fill='#FFF' d='M -4 -3 H4 v2 H-4 Z   M -4 1 H4 v2 H-4 Z'/&gt;</v>
      </c>
      <c r="S26" t="str">
        <f t="shared" si="1"/>
        <v/>
      </c>
      <c r="T26" s="21" t="str" cm="1">
        <f t="array" ref="T26" xml:space="preserve"> svgPathRect(DecimalPlaces, _xlfn.SINGLE(Simple.SVG_painting_1), _xlfn.SINGLE(Simple.MaxX) - 3, _xlfn.SINGLE(Simple.MaxY) - 3)</f>
        <v>&lt;path fill='#FFF' d='M4 2V-2H-4V2Z'/&gt;</v>
      </c>
      <c r="U26" t="str">
        <f t="shared" si="1"/>
        <v/>
      </c>
      <c r="V26" s="21" t="str" cm="1">
        <f t="array" ref="V26" xml:space="preserve"> svgPathRect(DecimalPlaces, _xlfn.SINGLE(Simple.SVG_painting_1), _xlfn.SINGLE(Simple.MaxX) - 1, _xlfn.SINGLE(Simple.MaxY) - 1)</f>
        <v>&lt;path fill='#F9423A' d='M3 2V-2H-3V2Z'/&gt;</v>
      </c>
      <c r="W26" t="str">
        <f t="shared" si="1"/>
        <v/>
      </c>
      <c r="X26" s="21" t="str">
        <f xml:space="preserve"> "&lt;use href='#" &amp; _xlfn.SINGLE(Simple.ID) &amp; "-m' " &amp; _xlfn.SINGLE(Simple.SVG_painting_2) &amp; "/&gt;"</f>
        <v>&lt;use href='#IRR-m' fill='#239F40'/&gt;</v>
      </c>
      <c r="Y26" t="str">
        <f t="shared" si="1"/>
        <v/>
      </c>
      <c r="Z26" s="21" t="str">
        <f xml:space="preserve"> "&lt;path " &amp; _xlfn.SINGLE(Simple.SVG_painting_1) &amp; " transform='rotate(36)' d='M7 1V-1H-7V1Z'/&gt;"</f>
        <v>&lt;path fill='#FFCD00'  transform='rotate(36)' d='M7 1V-1H-7V1Z'/&gt;</v>
      </c>
      <c r="AA26" t="str">
        <f t="shared" si="1"/>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1"/>
        <v/>
      </c>
      <c r="AD26" s="5" t="str">
        <f xml:space="preserve"> "&lt;use href='#" &amp; _xlfn.SINGLE(Simple.ID) &amp; "-h' " &amp; _xlfn.SINGLE(Simple.SVG_painting_2) &amp; "/&gt;"</f>
        <v>&lt;use href='#BSD-h' fill='#00778B'/&gt;</v>
      </c>
      <c r="AE26" t="str">
        <f t="shared" si="1"/>
        <v/>
      </c>
      <c r="AF26" s="21" t="str" cm="1">
        <f t="array" ref="AF26" xml:space="preserve"> svgPathRect(DecimalPlaces, _xlfn.SINGLE(Simple.SVG_painting_1), _xlfn.SINGLE(Simple.MaxX) / 3, _xlfn.SINGLE(Simple.MaxY) - 1)</f>
        <v>&lt;path fill='#FFF' d='M2 5V-5H-2V5Z'/&gt;</v>
      </c>
      <c r="AG26" t="str">
        <f t="shared" si="1"/>
        <v/>
      </c>
      <c r="AH26" s="5" t="str">
        <f xml:space="preserve"> "&lt;path " &amp; _xlfn.SINGLE(Simple.SVG_painting_1) &amp; " d='M1 0V1H0L-1 0V-1H0Z'/&gt;"</f>
        <v>&lt;path fill='#002D62' d='M1 0V1H0L-1 0V-1H0Z'/&gt;</v>
      </c>
      <c r="AI26" t="str">
        <f t="shared" si="1"/>
        <v/>
      </c>
      <c r="AJ26" s="5" t="str">
        <f xml:space="preserve"> "&lt;path " &amp; _xlfn.SINGLE(Simple.SVG_painting_1) &amp; " d='M1 2H-2V-2L2 2V-2H-1 -2Z'/&gt;"</f>
        <v>&lt;path fill='#C8102E' d='M1 2H-2V-2L2 2V-2H-1 -2Z'/&gt;</v>
      </c>
      <c r="AK26" t="str">
        <f t="shared" si="1"/>
        <v/>
      </c>
      <c r="AL26" s="5" t="str">
        <f xml:space="preserve"> "&lt;path " &amp; _xlfn.SINGLE(Simple.SVG_painting_1) &amp; " d='M1 0L2 2H-2L-1 0L-2 -2H2Z'/&gt;"</f>
        <v>&lt;path fill='#009639' d='M1 0L2 2H-2L-1 0L-2 -2H2Z'/&gt;</v>
      </c>
      <c r="AM26" t="str">
        <f t="shared" si="1"/>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1"/>
        <v/>
      </c>
      <c r="AP26" s="5" t="str" cm="1">
        <f t="array" ref="AP26" xml:space="preserve"> svgPathRect(DecimalPlaces, _xlfn.SINGLE(Simple.SVG_painting_1), _xlfn.SINGLE(Simple.MaxX), _xlfn.SINGLE(Simple.MaxY))</f>
        <v>&lt;path fill='#FCD116' d='M4 4V-4H-4V4Z'/&gt;</v>
      </c>
      <c r="AQ26" t="str">
        <f t="shared" si="1"/>
        <v/>
      </c>
      <c r="AR26" s="5" t="str" cm="1">
        <f t="array" ref="AR26" xml:space="preserve"> svgPathRect(DecimalPlaces, _xlfn.SINGLE(Simple.SVG_painting_1), _xlfn.SINGLE(Simple.MaxX), _xlfn.SINGLE(Simple.MaxY))</f>
        <v>&lt;path fill='#007FFF' d='M4 4V-4H-4V4Z'/&gt;</v>
      </c>
      <c r="AS26" t="str">
        <f t="shared" si="1"/>
        <v/>
      </c>
      <c r="AT26" s="21" t="str">
        <f xml:space="preserve"> "&lt;path " &amp; _xlfn.SINGLE(Simple.SVG_painting_1) &amp; " d='M -9 -7 h 4 v 14 h -4 Z   M 5 -7 h 4 v 14 h -4 Z   M -3 -7 h 6 v 14 h -6 Z'/&gt;"</f>
        <v>&lt;path fill='#FFF' d='M -9 -7 h 4 v 14 h -4 Z   M 5 -7 h 4 v 14 h -4 Z   M -3 -7 h 6 v 14 h -6 Z'/&gt;</v>
      </c>
      <c r="AU26" t="str">
        <f t="shared" si="1"/>
        <v/>
      </c>
      <c r="AV26" s="21" t="str">
        <f xml:space="preserve"> "&lt;path " &amp; _xlfn.SINGLE(Simple.SVG_painting_1) &amp; " d='M -9 -7 h 4 v 14 h -4 Z   M 5 -7 h 4 v 14 h -4 Z   M -3 -7 h 6 v 14 h -6 Z'/&gt;"</f>
        <v>&lt;path fill='#FF0000' d='M -9 -7 h 4 v 14 h -4 Z   M 5 -7 h 4 v 14 h -4 Z   M -3 -7 h 6 v 14 h -6 Z'/&gt;</v>
      </c>
      <c r="AW26" t="str">
        <f t="shared" si="1"/>
        <v/>
      </c>
      <c r="AX26" s="21" t="str" cm="1">
        <f t="array" ref="AX26" xml:space="preserve"> svgPathRect(DecimalPlaces, _xlfn.SINGLE(Simple.SVG_painting_1), 7, 2)</f>
        <v>&lt;path fill='#FFF' d='M7 2V-2H-7V2Z'/&gt;</v>
      </c>
      <c r="AY26" t="str">
        <f t="shared" si="1"/>
        <v/>
      </c>
      <c r="AZ26" s="21" t="str" cm="1">
        <f t="array" ref="AZ26" xml:space="preserve"> svgPathRect(DecimalPlaces, _xlfn.SINGLE(Simple.SVG_painting_1), 7, 2)</f>
        <v>&lt;path fill='#000' d='M7 2V-2H-7V2Z'/&gt;</v>
      </c>
      <c r="BA26" t="str">
        <f t="shared" si="1"/>
        <v/>
      </c>
      <c r="BB26" s="5" t="str">
        <f xml:space="preserve"> "&lt;path " &amp; _xlfn.SINGLE(Simple.SVG_painting_1) &amp; " d='M" &amp; (2*Thirds_M) &amp; " 0L0 " &amp; (Thirds_M) &amp; "L" &amp; (-2*Thirds_M) &amp; " 0L0 " &amp; (-Thirds_M) &amp; "Z'/&gt;"</f>
        <v>&lt;path fill='#FFF' d='M38 0L0 19L-38 0L0 -19Z'/&gt;</v>
      </c>
      <c r="BC26" t="str">
        <f t="shared" si="1"/>
        <v/>
      </c>
      <c r="BD26" s="5" t="str">
        <f xml:space="preserve"> "&lt;path " &amp; _xlfn.SINGLE(Simple.SVG_painting_1) &amp; " d='M3 1V3H1V-3H3v2H-3V-3h2V3H-3V1Z'/&gt;"</f>
        <v>&lt;path fill='red' d='M3 1V3H1V-3H3v2H-3V-3h2V3H-3V1Z'/&gt;</v>
      </c>
      <c r="BE26" t="str">
        <f t="shared" si="1"/>
        <v/>
      </c>
      <c r="BF26" s="5" t="str">
        <f xml:space="preserve"> "&lt;path " &amp; _xlfn.SINGLE(Simple.SVG_painting_1) &amp; " d='M" &amp; (3*Thirds_M) &amp; " 0L0 " &amp; (2*Thirds_M) &amp; "L" &amp; (-3*Thirds_M) &amp; " 0L0 " &amp; (-2*Thirds_M) &amp; "Z'/&gt;"</f>
        <v>&lt;path fill='#D7141A' d='M57 0L0 38L-57 0L0 -38Z'/&gt;</v>
      </c>
      <c r="BG26" t="str">
        <f t="shared" si="1"/>
        <v/>
      </c>
      <c r="BH26" s="5" t="str">
        <f xml:space="preserve"> _xlfn.LET(_xlpm.f,69,   "&lt;path " &amp; _xlfn.SINGLE(Simple.SVG_painting_2) &amp; " d='M" &amp; (4*_xlpm.f) &amp; " 0L0 " &amp; (3*_xlpm.f) &amp; "L" &amp; (-4*_xlpm.f) &amp; " 0L0 " &amp; (-3*_xlpm.f) &amp; "Z'/&gt;")</f>
        <v>&lt;path fill='#FFF' d='M276 0L0 207L-276 0L0 -207Z'/&gt;</v>
      </c>
      <c r="BI26" t="str">
        <f t="shared" si="1"/>
        <v/>
      </c>
      <c r="BJ26" s="5" t="str">
        <f xml:space="preserve"> "&lt;path " &amp; _xlfn.SINGLE(Simple.SVG_painting_1) &amp; " d='M3 1V3H-3V1L3 -1V-3H-3v2Z'/&gt;"</f>
        <v>&lt;path fill='#FFF' d='M3 1V3H-3V1L3 -1V-3H-3v2Z'/&gt;</v>
      </c>
      <c r="BK26" t="str">
        <f t="shared" si="1"/>
        <v/>
      </c>
      <c r="BL26" s="5" t="str">
        <f xml:space="preserve"> "&lt;path " &amp; _xlfn.SINGLE(Simple.SVG_painting_1) &amp; " d='M3 1V3H-3V1L3 -1V-3H-3v2Z'/&gt;"</f>
        <v>&lt;path fill='#FFF' d='M3 1V3H-3V1L3 -1V-3H-3v2Z'/&gt;</v>
      </c>
      <c r="BM26" t="str">
        <f t="shared" si="1"/>
        <v/>
      </c>
      <c r="BN26" s="5" t="str">
        <f xml:space="preserve"> "&lt;path " &amp; _xlfn.SINGLE(Simple.SVG_painting_1) &amp; " d='M0 -187L136 0L0 187L-136 0L0 -187V187'/&gt;"</f>
        <v>&lt;path stroke-width='44' stroke-linejoin='round' stroke='#1B618C' fill='none'  d='M0 -187L136 0L0 187L-136 0L0 -187V187'/&gt;</v>
      </c>
      <c r="BO26" t="str">
        <f t="shared" si="1"/>
        <v/>
      </c>
      <c r="BP26" s="5" t="str">
        <f xml:space="preserve"> "&lt;circle " &amp; _xlfn.SINGLE(Simple.SVG_painting_1) &amp; " r='" &amp; (_xlfn.SINGLE(Simple.MaxX) - 1) &amp; "'/&gt;"</f>
        <v>&lt;circle fill='#FFF' r='7'/&gt;</v>
      </c>
      <c r="BQ26" t="str">
        <f t="shared" si="1"/>
        <v/>
      </c>
      <c r="BR26" s="5" t="str">
        <f xml:space="preserve"> "&lt;path " &amp; _xlfn.SINGLE(Simple.SVG_painting_1) &amp; " d='M4 1L-1 4L-4 -1L1 -4Z'/&gt;"</f>
        <v>&lt;path fill='#D0A650' d='M4 1L-1 4L-4 -1L1 -4Z'/&gt;</v>
      </c>
      <c r="BS26" t="str">
        <f t="shared" si="1"/>
        <v/>
      </c>
      <c r="BT26" s="5" t="str">
        <f xml:space="preserve"> "&lt;rect " &amp; _xlfn.SINGLE(Simple.SVG_painting_1) &amp; " x='-16' y='-35.5' width='32' height='71' rx='2'/&gt;"</f>
        <v>&lt;rect fill='#C7C7C7' x='-16' y='-35.5' width='32' height='71' rx='2'/&gt;</v>
      </c>
      <c r="BU26" t="str">
        <f t="shared" si="1"/>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1"/>
        <v/>
      </c>
      <c r="BX26" s="21" t="str">
        <f xml:space="preserve"> "&lt;path " &amp; _xlfn.SINGLE(Simple.SVG_painting_1) &amp; " d='M0 -4A4 4 0 0 1 4 0L-4 0A4 4 0 0 0 0 4Z'/&gt;"</f>
        <v>&lt;path fill='#FCB90E' d='M0 -4A4 4 0 0 1 4 0L-4 0A4 4 0 0 0 0 4Z'/&gt;</v>
      </c>
      <c r="BY26" t="str">
        <f t="shared" si="1"/>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1"/>
        <v/>
      </c>
      <c r="CB26" s="21" t="str">
        <f xml:space="preserve"> "&lt;g " &amp; _xlfn.SINGLE(Simple.SVG_painting_1) &amp; "&gt;&lt;ellipse ry='" &amp; _xlfn.SINGLE(Simple.MaxY) &amp; "' rx='2'/&gt;&lt;ellipse ry='2' rx='4' cx='6'/&gt;&lt;ellipse ry='2' rx='4' cx='-6'/&gt;&lt;/g&gt;"</f>
        <v>&lt;g fill='#FDB813'&gt;&lt;ellipse ry='15' rx='2'/&gt;&lt;ellipse ry='2' rx='4' cx='6'/&gt;&lt;ellipse ry='2' rx='4' cx='-6'/&gt;&lt;/g&gt;</v>
      </c>
      <c r="CC26" t="str">
        <f t="shared" si="0"/>
        <v/>
      </c>
      <c r="CD26" t="str">
        <f t="shared" si="0"/>
        <v/>
      </c>
      <c r="CE26" s="9" t="str">
        <f t="shared" si="1"/>
        <v/>
      </c>
    </row>
    <row r="27" spans="2:83">
      <c r="C27" t="str">
        <f t="shared" si="1"/>
        <v/>
      </c>
      <c r="D27" s="21" t="str" cm="1">
        <f t="array" ref="D27" xml:space="preserve"> svgPathRect(DecimalPlaces, _xlfn.SINGLE(Simple.SVG_painting_2), D$36, 1)</f>
        <v>&lt;path fill='#FF33FF' d='M9 1V-1H-9V1Z'/&gt;</v>
      </c>
      <c r="E27" t="str">
        <f t="shared" si="1"/>
        <v/>
      </c>
      <c r="F27" s="21" t="str" cm="1">
        <f t="array" ref="F27" xml:space="preserve"> svgPathRect(DecimalPlaces, _xlfn.SINGLE(Simple.SVG_painting_2), F$36, 1)</f>
        <v>&lt;path fill='#039' d='M9 1V-1H-9V1Z'/&gt;</v>
      </c>
      <c r="G27" t="str">
        <f t="shared" si="1"/>
        <v/>
      </c>
      <c r="H27" s="21" t="str">
        <f xml:space="preserve"> "&lt;path " &amp; _xlfn.SINGLE(Simple.SVG_painting_2) &amp; " d='M" &amp; H$39 &amp; " 1V3H" &amp; (-H$39) &amp; "V1Z M" &amp; H$39 &amp; " -1V-3H" &amp; (-H$39) &amp; "V-1Z'/&gt;"</f>
        <v>&lt;path  fill='#FF33FF' d='M9 1V3H-9V1Z M9 -1V-3H-9V-1Z'/&gt;</v>
      </c>
      <c r="I27" t="str">
        <f t="shared" si="1"/>
        <v/>
      </c>
      <c r="J27" s="5"/>
      <c r="K27" t="str">
        <f t="shared" si="1"/>
        <v/>
      </c>
      <c r="L27" s="5"/>
      <c r="M27" t="str">
        <f t="shared" si="1"/>
        <v/>
      </c>
      <c r="N27" s="5" t="str">
        <f xml:space="preserve"> "&lt;circle " &amp; _xlfn.SINGLE(Simple.SVG_painting_1) &amp; " r='5'/&gt;"</f>
        <v>&lt;circle fill='#C4272F' r='5'/&gt;</v>
      </c>
      <c r="O27" t="str">
        <f t="shared" si="1"/>
        <v/>
      </c>
      <c r="P27" s="21" t="str" cm="1">
        <f t="array" ref="P27" xml:space="preserve"> svgPathRect(DecimalPlaces, _xlfn.SINGLE(Simple.SVG_painting_0), 3, 5)</f>
        <v>&lt;path fill='#CF101A' d='M3 5V-5H-3V5Z'/&gt;</v>
      </c>
      <c r="Q27" t="str">
        <f t="shared" si="1"/>
        <v/>
      </c>
      <c r="R27" s="21"/>
      <c r="S27" t="str">
        <f t="shared" si="1"/>
        <v/>
      </c>
      <c r="T27" s="21"/>
      <c r="U27" t="str">
        <f t="shared" si="1"/>
        <v/>
      </c>
      <c r="V27" s="21" t="str" cm="1">
        <f t="array" ref="V27" xml:space="preserve"> svgPathRect(DecimalPlaces, _xlfn.SINGLE(Simple.SVG_painting_0), _xlfn.SINGLE(Simple.MaxX) - 2, _xlfn.SINGLE(Simple.MaxY) - 2)</f>
        <v>&lt;path fill='#FFF' d='M2 1V-1H-2V1Z'/&gt;</v>
      </c>
      <c r="W27" t="str">
        <f t="shared" si="1"/>
        <v/>
      </c>
      <c r="X27" s="21" t="str">
        <f xml:space="preserve"> "&lt;use href='#" &amp; _xlfn.SINGLE(Simple.ID) &amp; "-m' " &amp; _xlfn.SINGLE(Simple.SVG_painting_1) &amp; " transform='scale(" &amp; ROUND(Thirds_M/Thirds_O,2) &amp; ")'/&gt;"</f>
        <v>&lt;use href='#IRR-m' fill='#FFF' transform='scale(0.7)'/&gt;</v>
      </c>
      <c r="Y27" t="str">
        <f t="shared" si="1"/>
        <v/>
      </c>
      <c r="Z27" s="21" t="str">
        <f xml:space="preserve"> "&lt;path " &amp; _xlfn.SINGLE(Simple.SVG_painting_0) &amp; " d='M0 -8A8 8 0 0 0 0 8 8 8 0 0 0 0 -8ZM0 -6A6 6 0 0 1 0 6 6 6 0 0 1 0 -6Z'/&gt;"</f>
        <v>&lt;path fill='black' d='M0 -8A8 8 0 0 0 0 8 8 8 0 0 0 0 -8ZM0 -6A6 6 0 0 1 0 6 6 6 0 0 1 0 -6Z'/&gt;</v>
      </c>
      <c r="AA27" t="str">
        <f t="shared" si="1"/>
        <v/>
      </c>
      <c r="AB27" s="5"/>
      <c r="AC27" t="str">
        <f t="shared" si="1"/>
        <v/>
      </c>
      <c r="AD27" s="5" t="str">
        <f xml:space="preserve"> "&lt;use href='#" &amp; _xlfn.SINGLE(Simple.ID) &amp; "-h' " &amp; _xlfn.SINGLE(Simple.SVG_painting_1) &amp; " transform='scale(" &amp; ROUND(Thirds_M / Thirds_O, 2) &amp; ")'/&gt;"</f>
        <v>&lt;use href='#BSD-h' fill='#FFC72C' transform='scale(0.7)'/&gt;</v>
      </c>
      <c r="AE27" t="str">
        <f t="shared" si="1"/>
        <v/>
      </c>
      <c r="AG27" t="str">
        <f t="shared" si="1"/>
        <v/>
      </c>
      <c r="AH27" s="5" t="str">
        <f xml:space="preserve"> "&lt;path " &amp; _xlfn.SINGLE(Simple.SVG_painting_0) &amp; " d='M1 0V-1H0V1H-1V0Z'/&gt;"</f>
        <v>&lt;path fill='#CE1126' d='M1 0V-1H0V1H-1V0Z'/&gt;</v>
      </c>
      <c r="AI27" t="str">
        <f t="shared" si="1"/>
        <v/>
      </c>
      <c r="AJ27" s="5" t="str">
        <f xml:space="preserve"> "&lt;path " &amp; _xlfn.SINGLE(Simple.SVG_painting_0) &amp; " d='M-2 -2H-1L2 2H1Z'/&gt;"</f>
        <v>&lt;path fill='black' d='M-2 -2H-1L2 2H1Z'/&gt;</v>
      </c>
      <c r="AK27" t="str">
        <f t="shared" si="1"/>
        <v/>
      </c>
      <c r="AL27" s="5" t="str">
        <f xml:space="preserve"> "&lt;path " &amp; _xlfn.SINGLE(Simple.SVG_painting_0) &amp; " d='M2 2V-2L-2 2V-2Z'/&gt;"</f>
        <v>&lt;path fill='black' d='M2 2V-2L-2 2V-2Z'/&gt;</v>
      </c>
      <c r="AM27" t="str">
        <f t="shared" si="1"/>
        <v/>
      </c>
      <c r="AN27" s="5" t="str">
        <f xml:space="preserve"> "&lt;use href='#" &amp; _xlfn.SINGLE(Simple.ID) &amp; "-m' transform='translate(-288,0)'/&gt;"</f>
        <v>&lt;use href='#KYS-m' transform='translate(-288,0)'/&gt;</v>
      </c>
      <c r="AO27" t="str">
        <f t="shared" si="1"/>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1"/>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1"/>
        <v/>
      </c>
      <c r="AT27" s="21"/>
      <c r="AU27" t="str">
        <f t="shared" si="1"/>
        <v/>
      </c>
      <c r="AV27" s="21"/>
      <c r="AW27" t="str">
        <f t="shared" si="1"/>
        <v/>
      </c>
      <c r="AY27" t="str">
        <f t="shared" si="1"/>
        <v/>
      </c>
      <c r="BA27" t="str">
        <f t="shared" si="1"/>
        <v/>
      </c>
      <c r="BB27" s="5" t="str">
        <f xml:space="preserve"> "&lt;path " &amp; _xlfn.SINGLE(Simple.SVG_painting_0) &amp; " d='M" &amp; (2*Thirds_I) &amp; " 0L0 " &amp; (Thirds_I) &amp; "L" &amp; (-2*Thirds_I) &amp; " 0L0 " &amp; (-Thirds_I) &amp; "Z'/&gt;"</f>
        <v>&lt;path fill='#00A3E0' d='M20 0L0 10L-20 0L0 -10Z'/&gt;</v>
      </c>
      <c r="BC27" t="str">
        <f t="shared" si="1"/>
        <v/>
      </c>
      <c r="BD27" s="5"/>
      <c r="BE27" t="str">
        <f t="shared" si="1"/>
        <v/>
      </c>
      <c r="BF27" s="5" t="str">
        <f xml:space="preserve"> "&lt;path " &amp; _xlfn.SINGLE(Simple.SVG_painting_0) &amp; " d='M" &amp; (3*Thirds_I) &amp; " 0L0 " &amp; (2*Thirds_I) &amp; "L" &amp; (-3*Thirds_I) &amp; " 0L0 " &amp; (-2*Thirds_I) &amp; "Z'/&gt;"</f>
        <v>&lt;path fill='#FFF' d='M30 0L0 20L-30 0L0 -20Z'/&gt;</v>
      </c>
      <c r="BG27" t="str">
        <f t="shared" si="1"/>
        <v/>
      </c>
      <c r="BH27" s="5" t="str">
        <f xml:space="preserve"> _xlfn.LET(_xlpm.f,47,   "&lt;path " &amp; _xlfn.SINGLE(Simple.SVG_painting_1) &amp; " d='M" &amp; (4*_xlpm.f) &amp; " 0L0 " &amp; (3*_xlpm.f) &amp; "L" &amp; (-4*_xlpm.f) &amp; " 0L0 " &amp; (-3*_xlpm.f) &amp; "Z'/&gt;")</f>
        <v>&lt;path fill='#000' d='M188 0L0 141L-188 0L0 -141Z'/&gt;</v>
      </c>
      <c r="BI27" t="str">
        <f t="shared" si="1"/>
        <v/>
      </c>
      <c r="BJ27" s="21" t="str" cm="1">
        <f t="array" ref="BJ27" xml:space="preserve"> svgPathRect(DecimalPlaces, _xlfn.SINGLE(Simple.SVG_painting_0), 3, 1)</f>
        <v>&lt;path fill='#FFD500' d='M3 1V-1H-3V1Z'/&gt;</v>
      </c>
      <c r="BK27" t="str">
        <f t="shared" si="1"/>
        <v/>
      </c>
      <c r="BL27" s="21" t="str" cm="1">
        <f t="array" ref="BL27" xml:space="preserve"> svgPathRect(DecimalPlaces, _xlfn.SINGLE(Simple.SVG_painting_0), 3, 1)</f>
        <v>&lt;path fill='#EF3340' d='M3 1V-1H-3V1Z'/&gt;</v>
      </c>
      <c r="BM27" t="str">
        <f t="shared" si="1"/>
        <v/>
      </c>
      <c r="BN27" s="5"/>
      <c r="BO27" t="str">
        <f t="shared" si="1"/>
        <v/>
      </c>
      <c r="BP27" s="5" t="str">
        <f xml:space="preserve"> "&lt;circle " &amp; _xlfn.SINGLE(Simple.SVG_painting_0) &amp; " r='" &amp; (_xlfn.SINGLE(Simple.MaxX) - 3) &amp; "'/&gt;"</f>
        <v>&lt;circle fill='#0046C2' r='5'/&gt;</v>
      </c>
      <c r="BQ27" t="str">
        <f t="shared" si="1"/>
        <v/>
      </c>
      <c r="BR27" s="5"/>
      <c r="BS27" t="str">
        <f t="shared" si="1"/>
        <v/>
      </c>
      <c r="BU27" t="str">
        <f t="shared" si="1"/>
        <v/>
      </c>
      <c r="BV27" s="5" t="str">
        <f xml:space="preserve"> "&lt;use href='#" &amp; _xlfn.SINGLE(Simple.ID) &amp; "-a' transform='rotate(180)'/&gt;"</f>
        <v>&lt;use href='#_EIB-a' transform='rotate(180)'/&gt;</v>
      </c>
      <c r="BW27" t="str">
        <f t="shared" si="1"/>
        <v/>
      </c>
      <c r="BX27" s="62" t="str" cm="1">
        <f t="array" ref="BX27" xml:space="preserve"> IF(FALSE, svgPathRect(DecimalPlaces, _xlfn.SINGLE(Simple.SVG_painting_0),  2,  1), "")</f>
        <v/>
      </c>
      <c r="BY27" t="str">
        <f t="shared" si="1"/>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1"/>
        <v/>
      </c>
      <c r="CB27" s="21"/>
      <c r="CC27" t="str">
        <f t="shared" si="0"/>
        <v/>
      </c>
      <c r="CD27" t="str">
        <f t="shared" si="0"/>
        <v/>
      </c>
      <c r="CE27" s="9" t="str">
        <f t="shared" si="1"/>
        <v/>
      </c>
    </row>
    <row r="28" spans="2:83">
      <c r="C28" t="str">
        <f t="shared" si="1"/>
        <v/>
      </c>
      <c r="D28" s="21"/>
      <c r="E28" t="str">
        <f t="shared" si="1"/>
        <v/>
      </c>
      <c r="F28" s="21"/>
      <c r="G28" t="str">
        <f t="shared" si="1"/>
        <v/>
      </c>
      <c r="H28" s="21"/>
      <c r="I28" t="str">
        <f t="shared" si="1"/>
        <v/>
      </c>
      <c r="J28" s="5"/>
      <c r="K28" t="str">
        <f t="shared" si="1"/>
        <v/>
      </c>
      <c r="L28" s="5"/>
      <c r="M28" t="str">
        <f t="shared" si="1"/>
        <v/>
      </c>
      <c r="N28" s="5"/>
      <c r="O28" t="str">
        <f t="shared" si="1"/>
        <v/>
      </c>
      <c r="P28" s="21"/>
      <c r="Q28" t="str">
        <f t="shared" si="1"/>
        <v/>
      </c>
      <c r="R28" s="21"/>
      <c r="S28" t="str">
        <f t="shared" si="1"/>
        <v/>
      </c>
      <c r="T28" s="21"/>
      <c r="U28" t="str">
        <f t="shared" si="1"/>
        <v/>
      </c>
      <c r="V28" s="21"/>
      <c r="W28" t="str">
        <f t="shared" si="1"/>
        <v/>
      </c>
      <c r="X28" s="21" t="str">
        <f xml:space="preserve"> "&lt;use href='#" &amp; _xlfn.SINGLE(Simple.ID) &amp; "-m' " &amp; _xlfn.SINGLE(Simple.SVG_painting_0) &amp; " transform='scale(" &amp; ROUND(Thirds_I/Thirds_O,2) &amp; ")'/&gt;"</f>
        <v>&lt;use href='#IRR-m' fill='#DA0000' transform='scale(0.37)'/&gt;</v>
      </c>
      <c r="Y28" t="str">
        <f t="shared" si="1"/>
        <v/>
      </c>
      <c r="Z28" s="21"/>
      <c r="AA28" t="str">
        <f t="shared" si="1"/>
        <v/>
      </c>
      <c r="AB28" s="5"/>
      <c r="AC28" t="str">
        <f t="shared" si="1"/>
        <v/>
      </c>
      <c r="AD28" s="5" t="str">
        <f xml:space="preserve"> "&lt;use href='#" &amp; _xlfn.SINGLE(Simple.ID) &amp; "-h' " &amp; _xlfn.SINGLE(Simple.SVG_painting_0) &amp; " transform='scale(" &amp; ROUND(Thirds_I / Thirds_O, 2) &amp; ")'/&gt;"</f>
        <v>&lt;use href='#BSD-h' fill='black' transform='scale(0.37)'/&gt;</v>
      </c>
      <c r="AE28" t="str">
        <f t="shared" si="1"/>
        <v/>
      </c>
      <c r="AG28" t="str">
        <f t="shared" si="1"/>
        <v/>
      </c>
      <c r="AH28" s="5"/>
      <c r="AI28" t="str">
        <f t="shared" si="1"/>
        <v/>
      </c>
      <c r="AJ28" s="5"/>
      <c r="AK28" t="str">
        <f t="shared" si="1"/>
        <v/>
      </c>
      <c r="AL28" s="5"/>
      <c r="AM28" t="str">
        <f t="shared" si="1"/>
        <v/>
      </c>
      <c r="AN28" s="5" t="str">
        <f xml:space="preserve"> "&lt;ellipse " &amp; _xlfn.SINGLE(Simple.SVG_painting_0) &amp; " rx='48' ry='72'/&gt;"</f>
        <v>&lt;ellipse fill='#FFF' rx='48' ry='72'/&gt;</v>
      </c>
      <c r="AO28" t="str">
        <f t="shared" si="1"/>
        <v/>
      </c>
      <c r="AP28" s="5"/>
      <c r="AQ28" t="str">
        <f t="shared" si="1"/>
        <v/>
      </c>
      <c r="AR28" s="5"/>
      <c r="AS28" t="str">
        <f t="shared" si="1"/>
        <v/>
      </c>
      <c r="AT28" s="21"/>
      <c r="AU28" t="str">
        <f t="shared" si="1"/>
        <v/>
      </c>
      <c r="AV28" s="21"/>
      <c r="AW28" t="str">
        <f t="shared" si="1"/>
        <v/>
      </c>
      <c r="AY28" t="str">
        <f t="shared" si="1"/>
        <v/>
      </c>
      <c r="BA28" t="str">
        <f t="shared" si="1"/>
        <v/>
      </c>
      <c r="BB28" s="5"/>
      <c r="BC28" t="str">
        <f t="shared" si="1"/>
        <v/>
      </c>
      <c r="BD28" s="5"/>
      <c r="BE28" t="str">
        <f t="shared" si="1"/>
        <v/>
      </c>
      <c r="BF28" s="5"/>
      <c r="BG28" t="str">
        <f t="shared" si="1"/>
        <v/>
      </c>
      <c r="BH28" s="5" t="str">
        <f xml:space="preserve"> _xlfn.LET(_xlpm.f,24,   "&lt;path " &amp; _xlfn.SINGLE(Simple.SVG_painting_0) &amp; " d='M" &amp; (4*_xlpm.f) &amp; " 0L0 " &amp; (3*_xlpm.f) &amp; "L" &amp; (-4*_xlpm.f) &amp; " 0L0 " &amp; (-3*_xlpm.f) &amp; "Z'/&gt;")</f>
        <v>&lt;path fill='#EE2A35' d='M96 0L0 72L-96 0L0 -72Z'/&gt;</v>
      </c>
      <c r="BI28" t="str">
        <f t="shared" si="1"/>
        <v/>
      </c>
      <c r="BJ28" s="21"/>
      <c r="BK28" t="str">
        <f t="shared" si="1"/>
        <v/>
      </c>
      <c r="BL28" s="21"/>
      <c r="BM28" t="str">
        <f t="shared" si="1"/>
        <v/>
      </c>
      <c r="BN28" s="5"/>
      <c r="BO28" t="str">
        <f t="shared" si="1"/>
        <v/>
      </c>
      <c r="BP28" s="5" t="str">
        <f xml:space="preserve"> "&lt;path transform='rotate(45)' " &amp; _xlfn.SINGLE(Simple.SVG_painting_1) &amp; " d='M1 6V-6L3 -5V5Z M-1 -6V6L-3 5V-5Z'/&gt;"</f>
        <v>&lt;path transform='rotate(45)' fill='#FFF' d='M1 6V-6L3 -5V5Z M-1 -6V6L-3 5V-5Z'/&gt;</v>
      </c>
      <c r="BQ28" t="str">
        <f t="shared" si="1"/>
        <v/>
      </c>
      <c r="BR28" s="5"/>
      <c r="BS28" t="str">
        <f t="shared" si="1"/>
        <v/>
      </c>
      <c r="BU28" t="str">
        <f t="shared" si="1"/>
        <v/>
      </c>
      <c r="BV28" s="5" t="str">
        <f xml:space="preserve"> "&lt;path " &amp; _xlfn.SINGLE(Simple.SVG_painting_2) &amp; " d='M31 17H-31L-34 13H34Z M-31 -17H31L34 -13H-34Z'/&gt;"</f>
        <v>&lt;path fill='#003399' d='M31 17H-31L-34 13H34Z M-31 -17H31L34 -13H-34Z'/&gt;</v>
      </c>
      <c r="BW28" t="str">
        <f t="shared" si="1"/>
        <v/>
      </c>
      <c r="BX28" s="5"/>
      <c r="BY28" t="str">
        <f t="shared" si="1"/>
        <v/>
      </c>
      <c r="BZ28" s="5"/>
      <c r="CA28" t="str">
        <f t="shared" si="1"/>
        <v/>
      </c>
      <c r="CB28" s="5"/>
      <c r="CC28" t="str">
        <f t="shared" si="0"/>
        <v/>
      </c>
      <c r="CD28" t="str">
        <f t="shared" si="0"/>
        <v/>
      </c>
      <c r="CE28" s="9" t="str">
        <f t="shared" si="1"/>
        <v/>
      </c>
    </row>
    <row r="29" spans="2:83">
      <c r="C29" s="10" t="str">
        <f t="shared" si="1"/>
        <v/>
      </c>
      <c r="D29" s="15" t="s">
        <v>15</v>
      </c>
      <c r="E29" s="10" t="str">
        <f t="shared" si="1"/>
        <v/>
      </c>
      <c r="F29" s="15" t="s">
        <v>15</v>
      </c>
      <c r="G29" s="10" t="str">
        <f t="shared" si="1"/>
        <v/>
      </c>
      <c r="H29" s="15" t="s">
        <v>15</v>
      </c>
      <c r="I29" s="10" t="str">
        <f t="shared" si="1"/>
        <v/>
      </c>
      <c r="J29" s="15" t="s">
        <v>15</v>
      </c>
      <c r="K29" s="10" t="str">
        <f t="shared" si="1"/>
        <v/>
      </c>
      <c r="L29" s="15" t="s">
        <v>15</v>
      </c>
      <c r="M29" s="10" t="str">
        <f t="shared" si="1"/>
        <v/>
      </c>
      <c r="N29" s="15" t="s">
        <v>15</v>
      </c>
      <c r="O29" s="10" t="str">
        <f t="shared" si="1"/>
        <v/>
      </c>
      <c r="P29" s="15" t="s">
        <v>15</v>
      </c>
      <c r="Q29" s="10" t="str">
        <f t="shared" si="1"/>
        <v/>
      </c>
      <c r="R29" s="15" t="s">
        <v>15</v>
      </c>
      <c r="S29" s="10" t="str">
        <f t="shared" si="1"/>
        <v/>
      </c>
      <c r="T29" s="15" t="s">
        <v>15</v>
      </c>
      <c r="U29" s="10" t="str">
        <f t="shared" si="1"/>
        <v/>
      </c>
      <c r="V29" s="15" t="s">
        <v>15</v>
      </c>
      <c r="W29" s="10" t="str">
        <f t="shared" si="1"/>
        <v/>
      </c>
      <c r="X29" s="24" t="s">
        <v>15</v>
      </c>
      <c r="Y29" s="10" t="str">
        <f t="shared" si="1"/>
        <v/>
      </c>
      <c r="Z29" s="24" t="s">
        <v>15</v>
      </c>
      <c r="AA29" s="10" t="str">
        <f t="shared" si="1"/>
        <v/>
      </c>
      <c r="AB29" s="15" t="s">
        <v>15</v>
      </c>
      <c r="AC29" s="10" t="str">
        <f t="shared" si="1"/>
        <v/>
      </c>
      <c r="AD29" s="15" t="s">
        <v>15</v>
      </c>
      <c r="AE29" s="10" t="str">
        <f t="shared" si="1"/>
        <v/>
      </c>
      <c r="AF29" s="15" t="s">
        <v>15</v>
      </c>
      <c r="AG29" s="10" t="str">
        <f t="shared" si="1"/>
        <v/>
      </c>
      <c r="AH29" s="15" t="s">
        <v>15</v>
      </c>
      <c r="AI29" s="10" t="str">
        <f t="shared" si="1"/>
        <v/>
      </c>
      <c r="AJ29" s="15" t="s">
        <v>15</v>
      </c>
      <c r="AK29" s="10" t="str">
        <f t="shared" si="1"/>
        <v/>
      </c>
      <c r="AL29" s="15" t="s">
        <v>15</v>
      </c>
      <c r="AM29" s="10" t="str">
        <f t="shared" si="1"/>
        <v/>
      </c>
      <c r="AN29" s="15" t="s">
        <v>15</v>
      </c>
      <c r="AO29" s="10" t="str">
        <f t="shared" si="1"/>
        <v/>
      </c>
      <c r="AP29" s="15" t="s">
        <v>15</v>
      </c>
      <c r="AQ29" s="10" t="str">
        <f t="shared" si="1"/>
        <v/>
      </c>
      <c r="AR29" s="15" t="s">
        <v>15</v>
      </c>
      <c r="AS29" s="10" t="str">
        <f t="shared" si="1"/>
        <v/>
      </c>
      <c r="AT29" s="15" t="s">
        <v>15</v>
      </c>
      <c r="AU29" s="10" t="str">
        <f t="shared" si="1"/>
        <v/>
      </c>
      <c r="AV29" s="15" t="s">
        <v>15</v>
      </c>
      <c r="AW29" s="10" t="str">
        <f t="shared" si="1"/>
        <v/>
      </c>
      <c r="AX29" s="15" t="s">
        <v>15</v>
      </c>
      <c r="AY29" s="10" t="str">
        <f t="shared" si="1"/>
        <v/>
      </c>
      <c r="AZ29" s="15" t="s">
        <v>15</v>
      </c>
      <c r="BA29" s="10" t="str">
        <f t="shared" si="1"/>
        <v/>
      </c>
      <c r="BB29" s="15" t="s">
        <v>15</v>
      </c>
      <c r="BC29" s="10" t="str">
        <f t="shared" si="1"/>
        <v/>
      </c>
      <c r="BD29" s="15" t="s">
        <v>15</v>
      </c>
      <c r="BE29" s="10" t="str">
        <f t="shared" si="1"/>
        <v/>
      </c>
      <c r="BF29" s="15" t="s">
        <v>15</v>
      </c>
      <c r="BG29" s="10" t="str">
        <f t="shared" si="1"/>
        <v/>
      </c>
      <c r="BH29" s="15" t="s">
        <v>15</v>
      </c>
      <c r="BI29" s="10" t="str">
        <f t="shared" si="1"/>
        <v/>
      </c>
      <c r="BJ29" s="15" t="s">
        <v>15</v>
      </c>
      <c r="BK29" s="10" t="str">
        <f t="shared" si="1"/>
        <v/>
      </c>
      <c r="BL29" s="15" t="s">
        <v>15</v>
      </c>
      <c r="BM29" s="10" t="str">
        <f t="shared" si="1"/>
        <v/>
      </c>
      <c r="BN29" s="15" t="s">
        <v>15</v>
      </c>
      <c r="BO29" s="10" t="str">
        <f t="shared" si="1"/>
        <v/>
      </c>
      <c r="BP29" s="15" t="s">
        <v>15</v>
      </c>
      <c r="BQ29" s="10" t="str">
        <f t="shared" si="1"/>
        <v/>
      </c>
      <c r="BR29" s="15" t="s">
        <v>15</v>
      </c>
      <c r="BS29" s="10" t="str">
        <f t="shared" si="1"/>
        <v/>
      </c>
      <c r="BT29" s="15" t="s">
        <v>15</v>
      </c>
      <c r="BU29" s="10" t="str">
        <f t="shared" si="1"/>
        <v/>
      </c>
      <c r="BV29" s="15" t="s">
        <v>15</v>
      </c>
      <c r="BW29" s="10" t="str">
        <f t="shared" si="1"/>
        <v/>
      </c>
      <c r="BX29" s="15" t="s">
        <v>15</v>
      </c>
      <c r="BY29" s="10" t="str">
        <f t="shared" si="1"/>
        <v/>
      </c>
      <c r="BZ29" s="15" t="s">
        <v>15</v>
      </c>
      <c r="CA29" s="10" t="str">
        <f t="shared" si="1"/>
        <v/>
      </c>
      <c r="CB29" s="15" t="s">
        <v>15</v>
      </c>
      <c r="CC29" s="10" t="str">
        <f t="shared" si="0"/>
        <v/>
      </c>
      <c r="CD29" s="10" t="str">
        <f t="shared" si="0"/>
        <v/>
      </c>
      <c r="CE29" s="11" t="str">
        <f t="shared" si="1"/>
        <v/>
      </c>
    </row>
    <row r="32" spans="2:83">
      <c r="D32" t="str">
        <f xml:space="preserve"> _xlfn.SINGLE(Simple.ID)</f>
        <v>EUR</v>
      </c>
      <c r="F32" t="str">
        <f xml:space="preserve"> _xlfn.SINGLE(Simple.ID)</f>
        <v>EUR_2</v>
      </c>
      <c r="H32" t="str">
        <f xml:space="preserve"> _xlfn.SINGLE(Simple.ID)</f>
        <v>_ECB</v>
      </c>
      <c r="J32" t="str">
        <f xml:space="preserve"> _xlfn.SINGLE(Simple.ID)</f>
        <v>BGN</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c r="CB32" t="str">
        <f xml:space="preserve"> _xlfn.SINGLE(Simple.ID)</f>
        <v>XOF</v>
      </c>
    </row>
    <row r="34" spans="4:56">
      <c r="D34">
        <f xml:space="preserve"> SQRT((Simple.MaxX - 2)^2 - 1^2)</f>
        <v>7.9372539331937721</v>
      </c>
      <c r="F34">
        <f xml:space="preserve"> SQRT((Simple.MaxX - 2)^2 - 1^2)</f>
        <v>7.9372539331937721</v>
      </c>
      <c r="H34">
        <f xml:space="preserve"> D34</f>
        <v>7.9372539331937721</v>
      </c>
    </row>
    <row r="35" spans="4:56">
      <c r="D35">
        <f xml:space="preserve"> SQRT((Simple.MaxX - 0)^2 - 1^2)</f>
        <v>9.9498743710661994</v>
      </c>
      <c r="F35">
        <f xml:space="preserve"> SQRT((Simple.MaxX - 0)^2 - 1^2)</f>
        <v>9.9498743710661994</v>
      </c>
      <c r="H35">
        <f xml:space="preserve"> D35</f>
        <v>9.9498743710661994</v>
      </c>
    </row>
    <row r="36" spans="4:56">
      <c r="D36">
        <f xml:space="preserve"> MROUND(AVERAGE(D34:D35), 0.2)</f>
        <v>9</v>
      </c>
      <c r="F36">
        <f xml:space="preserve"> MROUND(AVERAGE(F34:F35), 0.2)</f>
        <v>9</v>
      </c>
    </row>
    <row r="37" spans="4:56">
      <c r="H37">
        <f xml:space="preserve"> SQRT((Simple.MaxX - 2)^2 - 3^2)</f>
        <v>7.416198487095663</v>
      </c>
    </row>
    <row r="38" spans="4:56">
      <c r="H38">
        <f xml:space="preserve"> SQRT((Simple.MaxX - 0)^2 - 3^2)</f>
        <v>9.5393920141694561</v>
      </c>
    </row>
    <row r="39" spans="4:56">
      <c r="H39">
        <f xml:space="preserve"> MROUND(AVERAGE(MAX(H$34, H$37), MIN(H$35, H$38)), 1)</f>
        <v>9</v>
      </c>
    </row>
    <row r="40" spans="4:56">
      <c r="BD40" s="5"/>
    </row>
    <row r="41" spans="4:56">
      <c r="BD41" s="5"/>
    </row>
    <row r="48" spans="4:56">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2238</v>
      </c>
      <c r="D2" t="s">
        <v>2239</v>
      </c>
      <c r="E2" t="s">
        <v>2240</v>
      </c>
      <c r="G2" t="s">
        <v>2225</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-27.999999999999986</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2.45029690981724E-15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-1.3721662694976544E-14</v>
      </c>
      <c r="E23">
        <v>56</v>
      </c>
      <c r="G23" t="str">
        <v>L0 -56Z</v>
      </c>
    </row>
    <row r="26" spans="2:7">
      <c r="F26" s="4" t="s">
        <v>2230</v>
      </c>
      <c r="G26">
        <f xml:space="preserve"> _CoEDB.Radius_1</f>
        <v>64</v>
      </c>
    </row>
    <row r="27" spans="2:7">
      <c r="F27" s="4" t="s">
        <v>2232</v>
      </c>
      <c r="G27">
        <f xml:space="preserve"> _CoEDB.MaxX</f>
        <v>64</v>
      </c>
    </row>
    <row r="28" spans="2:7">
      <c r="F28" s="4" t="s">
        <v>2229</v>
      </c>
      <c r="G28">
        <f xml:space="preserve"> - G26</f>
        <v>-64</v>
      </c>
    </row>
    <row r="29" spans="2:7">
      <c r="F29" s="4" t="s">
        <v>2231</v>
      </c>
      <c r="G29">
        <f xml:space="preserve"> - G27</f>
        <v>-64</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viewBox='-96 -96 192 192'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AB100"/>
  <sheetViews>
    <sheetView workbookViewId="0">
      <selection activeCell="B2" sqref="B2"/>
    </sheetView>
  </sheetViews>
  <sheetFormatPr baseColWidth="10" defaultRowHeight="16"/>
  <cols>
    <col min="9" max="9" width="10.83203125" style="70"/>
    <col min="10" max="10" width="10.83203125" style="68"/>
  </cols>
  <sheetData>
    <row r="2" spans="2:28">
      <c r="B2" s="4" t="s">
        <v>2688</v>
      </c>
      <c r="C2">
        <v>35</v>
      </c>
    </row>
    <row r="3" spans="2:28">
      <c r="B3" s="4" t="s">
        <v>2689</v>
      </c>
      <c r="C3">
        <f xml:space="preserve"> XPF.RadiusOuter * 0.8</f>
        <v>28</v>
      </c>
    </row>
    <row r="5" spans="2:28">
      <c r="B5" s="4" t="s">
        <v>2690</v>
      </c>
      <c r="C5">
        <f xml:space="preserve"> DecimalPlaces - INT(LOG(XPF.RadiusOuter, 10) + 0.2)</f>
        <v>4</v>
      </c>
    </row>
    <row r="7" spans="2:28">
      <c r="B7" s="4" t="s">
        <v>2700</v>
      </c>
      <c r="C7">
        <f xml:space="preserve"> 45 / 28</f>
        <v>1.6071428571428572</v>
      </c>
      <c r="F7">
        <f xml:space="preserve"> GCD(XPF.RadiusOuter, XPF.RadiusInner, $F$10, $F$14, $G$10, $G$11)</f>
        <v>1</v>
      </c>
    </row>
    <row r="8" spans="2:28">
      <c r="B8" s="4" t="s">
        <v>2701</v>
      </c>
      <c r="C8">
        <f xml:space="preserve"> XPF.RadiusOuter - XPF.RadiusInner</f>
        <v>7</v>
      </c>
    </row>
    <row r="9" spans="2:28" ht="17" thickBot="1">
      <c r="F9" s="3" t="s">
        <v>2702</v>
      </c>
      <c r="G9" s="3" t="s">
        <v>2703</v>
      </c>
      <c r="I9" s="71" t="s">
        <v>2704</v>
      </c>
      <c r="J9" s="69" t="s">
        <v>2731</v>
      </c>
      <c r="R9" s="3" t="s">
        <v>2710</v>
      </c>
      <c r="S9" s="3" t="s">
        <v>2711</v>
      </c>
      <c r="T9" s="3" t="s">
        <v>2712</v>
      </c>
      <c r="U9" s="3" t="s">
        <v>2713</v>
      </c>
      <c r="V9" s="3" t="s">
        <v>2714</v>
      </c>
      <c r="X9" s="3" t="s">
        <v>2729</v>
      </c>
      <c r="Y9" s="3" t="s">
        <v>2730</v>
      </c>
      <c r="AA9" s="3" t="s">
        <v>2734</v>
      </c>
      <c r="AB9" s="3" t="s">
        <v>2735</v>
      </c>
    </row>
    <row r="10" spans="2:28">
      <c r="C10">
        <f xml:space="preserve"> 44.3 / 27.9</f>
        <v>1.5878136200716846</v>
      </c>
      <c r="F10" s="28">
        <f xml:space="preserve"> XPF.RadiusOuter - XPF.RadiusInner  +  XPF.RadiusInner*0.1</f>
        <v>9.8000000000000007</v>
      </c>
      <c r="G10">
        <f xml:space="preserve"> XPF.ThicknessM * SQRT( XPF.SlopeM^2 + 1^2 )  +  XPF.SlopeM * ABS(XPF.X)</f>
        <v>29.000000000000004</v>
      </c>
      <c r="I10" s="70" cm="1">
        <f t="array" ref="I10:I19" xml:space="preserve"> SQRT( XPF.X^2 + XPF.Y^2 )</f>
        <v>30.611109094575458</v>
      </c>
      <c r="J10" s="68" cm="1">
        <f t="array" ref="J10:J19" xml:space="preserve"> (XPF.R - XPF.RadiusInner) / (XPF.RadiusOuter - XPF.RadiusInner)</f>
        <v>0.37301558493935111</v>
      </c>
      <c r="R10" cm="1">
        <f t="array" ref="R10:R100" xml:space="preserve"> _xlfn.SEQUENCE(91, 1, 0, 4)</f>
        <v>0</v>
      </c>
      <c r="S10" cm="1">
        <f t="array" ref="S10:S100" xml:space="preserve"> XPF.RadiusOuter * COS(XPF.Angle * PI() / 180)</f>
        <v>35</v>
      </c>
      <c r="T10" cm="1">
        <f t="array" ref="T10:T100" xml:space="preserve"> XPF.RadiusOuter * SIN(XPF.Angle * PI() / 180)</f>
        <v>0</v>
      </c>
      <c r="U10" cm="1">
        <f t="array" ref="U10:U100" xml:space="preserve"> XPF.RadiusInner * COS(XPF.Angle * PI() / 180)</f>
        <v>28</v>
      </c>
      <c r="V10" cm="1">
        <f t="array" ref="V10:V100" xml:space="preserve"> XPF.RadiusInner * SIN(XPF.Angle * PI() / 180)</f>
        <v>0</v>
      </c>
      <c r="X10" cm="1">
        <f t="array" ref="X10:X100" xml:space="preserve"> (XPF.RadiusOuter - XPF.RadiusInner) * COS(XPF.Angle * PI() / 180)   +   F$11</f>
        <v>7</v>
      </c>
      <c r="Y10" cm="1">
        <f t="array" ref="Y10:Y100" xml:space="preserve"> (XPF.RadiusOuter - XPF.RadiusInner) * SIN(XPF.Angle * PI() / 180)   +   G$11</f>
        <v>13.250000000000002</v>
      </c>
      <c r="AA10" cm="1">
        <f t="array" ref="AA10:AA100" xml:space="preserve"> (XPF.RadiusOuter - XPF.RadiusInner) * COS(XPF.Angle * PI() / 180)   +   AVERAGE(F$13, F$14, F$14, F$14, F$14)</f>
        <v>17.080000000000002</v>
      </c>
      <c r="AB10" cm="1">
        <f t="array" ref="AB10:AB100" xml:space="preserve"> (XPF.RadiusOuter - XPF.RadiusInner) * SIN(XPF.Angle * PI() / 180)   +   AVERAGE(G$13, G$14, G$14, G$14, G$14)</f>
        <v>-16.200000000000003</v>
      </c>
    </row>
    <row r="11" spans="2:28">
      <c r="C11">
        <f xml:space="preserve"> 47.6 / 29.9</f>
        <v>1.5919732441471572</v>
      </c>
      <c r="F11">
        <v>0</v>
      </c>
      <c r="G11">
        <f xml:space="preserve"> XPF.ThicknessM * SQRT( XPF.SlopeM^2 + 1^2 )  +  XPF.SlopeM * ABS(XPF.X)</f>
        <v>13.250000000000002</v>
      </c>
      <c r="I11" s="70">
        <v>13.250000000000002</v>
      </c>
      <c r="J11" s="68">
        <v>-2.1071428571428568</v>
      </c>
      <c r="R11">
        <v>4</v>
      </c>
      <c r="S11">
        <v>34.91474175909385</v>
      </c>
      <c r="T11">
        <v>2.4414765810443857</v>
      </c>
      <c r="U11">
        <v>27.931793407275077</v>
      </c>
      <c r="V11">
        <v>1.9531812648355085</v>
      </c>
      <c r="X11">
        <v>6.9829483518187692</v>
      </c>
      <c r="Y11">
        <v>13.738295316208879</v>
      </c>
      <c r="AA11">
        <v>17.062948351818772</v>
      </c>
      <c r="AB11">
        <v>-15.711704683791126</v>
      </c>
    </row>
    <row r="12" spans="2:28">
      <c r="C12">
        <f xml:space="preserve"> GEOMEAN(C10:C11)</f>
        <v>1.589892071760395</v>
      </c>
      <c r="F12">
        <f xml:space="preserve"> - F10</f>
        <v>-9.8000000000000007</v>
      </c>
      <c r="G12">
        <f xml:space="preserve"> XPF.ThicknessM * SQRT( XPF.SlopeM^2 + 1^2 )  +  XPF.SlopeM * ABS(XPF.X)</f>
        <v>29.000000000000004</v>
      </c>
      <c r="I12" s="70">
        <v>30.611109094575458</v>
      </c>
      <c r="J12" s="68">
        <v>0.37301558493935111</v>
      </c>
      <c r="R12">
        <v>8</v>
      </c>
      <c r="S12">
        <v>34.659382405954965</v>
      </c>
      <c r="T12">
        <v>4.87105853360229</v>
      </c>
      <c r="U12">
        <v>27.727505924763971</v>
      </c>
      <c r="V12">
        <v>3.8968468268818324</v>
      </c>
      <c r="X12">
        <v>6.9318764811909928</v>
      </c>
      <c r="Y12">
        <v>14.22421170672046</v>
      </c>
      <c r="AA12">
        <v>17.011876481190995</v>
      </c>
      <c r="AB12">
        <v>-15.225788293279544</v>
      </c>
    </row>
    <row r="13" spans="2:28">
      <c r="C13">
        <f xml:space="preserve"> (ATAN(XPF.SlopeM) - ATAN(C$12) ) * 180 / PI()</f>
        <v>0.278013606529387</v>
      </c>
      <c r="D13" t="s">
        <v>2733</v>
      </c>
      <c r="F13" s="28">
        <f xml:space="preserve"> -XPF.RadiusOuter * 0.48</f>
        <v>-16.8</v>
      </c>
      <c r="G13">
        <f xml:space="preserve"> XPF.SlopeM * ABS(XPF.X)</f>
        <v>27.000000000000004</v>
      </c>
      <c r="I13" s="70">
        <v>31.800000000000004</v>
      </c>
      <c r="J13" s="68">
        <v>0.54285714285714348</v>
      </c>
      <c r="R13">
        <v>12</v>
      </c>
      <c r="S13">
        <v>34.235166025683199</v>
      </c>
      <c r="T13">
        <v>7.276909178621576</v>
      </c>
      <c r="U13">
        <v>27.388132820546559</v>
      </c>
      <c r="V13">
        <v>5.8215273428972605</v>
      </c>
      <c r="X13">
        <v>6.8470332051366398</v>
      </c>
      <c r="Y13">
        <v>14.705381835724317</v>
      </c>
      <c r="AA13">
        <v>16.927033205136642</v>
      </c>
      <c r="AB13">
        <v>-14.744618164275687</v>
      </c>
    </row>
    <row r="14" spans="2:28">
      <c r="F14">
        <f xml:space="preserve"> - F13</f>
        <v>16.8</v>
      </c>
      <c r="G14">
        <f xml:space="preserve"> - G13</f>
        <v>-27.000000000000004</v>
      </c>
      <c r="I14" s="70">
        <v>31.800000000000004</v>
      </c>
      <c r="J14" s="68">
        <v>0.54285714285714348</v>
      </c>
      <c r="R14">
        <v>16</v>
      </c>
      <c r="S14">
        <v>33.644159357841161</v>
      </c>
      <c r="T14">
        <v>9.647307453594971</v>
      </c>
      <c r="U14">
        <v>26.915327486272929</v>
      </c>
      <c r="V14">
        <v>7.7178459628759768</v>
      </c>
      <c r="X14">
        <v>6.7288318715682323</v>
      </c>
      <c r="Y14">
        <v>15.179461490718996</v>
      </c>
      <c r="AA14">
        <v>16.808831871568234</v>
      </c>
      <c r="AB14">
        <v>-14.270538509281009</v>
      </c>
    </row>
    <row r="15" spans="2:28">
      <c r="F15">
        <f xml:space="preserve"> F10</f>
        <v>9.8000000000000007</v>
      </c>
      <c r="G15">
        <f xml:space="preserve"> - G12</f>
        <v>-29.000000000000004</v>
      </c>
      <c r="I15" s="70">
        <v>30.611109094575458</v>
      </c>
      <c r="J15" s="68">
        <v>0.37301558493935111</v>
      </c>
      <c r="R15">
        <v>20</v>
      </c>
      <c r="S15">
        <v>32.889241727506793</v>
      </c>
      <c r="T15">
        <v>11.970705016398405</v>
      </c>
      <c r="U15">
        <v>26.311393382005434</v>
      </c>
      <c r="V15">
        <v>9.5765640131187233</v>
      </c>
      <c r="X15">
        <v>6.5778483455013586</v>
      </c>
      <c r="Y15">
        <v>15.644141003279682</v>
      </c>
      <c r="AA15">
        <v>16.65784834550136</v>
      </c>
      <c r="AB15">
        <v>-13.805858996720321</v>
      </c>
    </row>
    <row r="16" spans="2:28">
      <c r="C16" t="s">
        <v>2732</v>
      </c>
      <c r="F16">
        <f xml:space="preserve"> - F11</f>
        <v>0</v>
      </c>
      <c r="G16">
        <f xml:space="preserve"> - G11</f>
        <v>-13.250000000000002</v>
      </c>
      <c r="I16" s="70">
        <v>13.250000000000002</v>
      </c>
      <c r="J16" s="68">
        <v>-2.1071428571428568</v>
      </c>
      <c r="R16">
        <v>24</v>
      </c>
      <c r="S16">
        <v>31.97409101749103</v>
      </c>
      <c r="T16">
        <v>14.235782507653006</v>
      </c>
      <c r="U16">
        <v>25.579272813992823</v>
      </c>
      <c r="V16">
        <v>11.388626006122404</v>
      </c>
      <c r="X16">
        <v>6.3948182034982057</v>
      </c>
      <c r="Y16">
        <v>16.097156501530602</v>
      </c>
      <c r="AA16">
        <v>16.474818203498209</v>
      </c>
      <c r="AB16">
        <v>-13.352843498469401</v>
      </c>
    </row>
    <row r="17" spans="2:28">
      <c r="F17">
        <f xml:space="preserve"> - F10</f>
        <v>-9.8000000000000007</v>
      </c>
      <c r="G17">
        <f xml:space="preserve"> - G10</f>
        <v>-29.000000000000004</v>
      </c>
      <c r="I17" s="70">
        <v>30.611109094575458</v>
      </c>
      <c r="J17" s="68">
        <v>0.37301558493935111</v>
      </c>
      <c r="R17">
        <v>28</v>
      </c>
      <c r="S17">
        <v>30.903165750062445</v>
      </c>
      <c r="T17">
        <v>16.431504697506178</v>
      </c>
      <c r="U17">
        <v>24.722532600049956</v>
      </c>
      <c r="V17">
        <v>13.145203758004943</v>
      </c>
      <c r="X17">
        <v>6.1806331500124889</v>
      </c>
      <c r="Y17">
        <v>16.536300939501238</v>
      </c>
      <c r="AA17">
        <v>16.260633150012492</v>
      </c>
      <c r="AB17">
        <v>-12.913699060498768</v>
      </c>
    </row>
    <row r="18" spans="2:28">
      <c r="F18">
        <f xml:space="preserve"> F13</f>
        <v>-16.8</v>
      </c>
      <c r="G18">
        <f xml:space="preserve"> - G19</f>
        <v>-27.000000000000004</v>
      </c>
      <c r="I18" s="70">
        <v>31.800000000000004</v>
      </c>
      <c r="J18" s="68">
        <v>0.54285714285714348</v>
      </c>
      <c r="R18">
        <v>32</v>
      </c>
      <c r="S18">
        <v>29.681683365474907</v>
      </c>
      <c r="T18">
        <v>18.547174248162172</v>
      </c>
      <c r="U18">
        <v>23.745346692379925</v>
      </c>
      <c r="V18">
        <v>14.837739398529738</v>
      </c>
      <c r="X18">
        <v>5.9363366730949814</v>
      </c>
      <c r="Y18">
        <v>16.959434849632437</v>
      </c>
      <c r="AA18">
        <v>16.016336673094983</v>
      </c>
      <c r="AB18">
        <v>-12.490565150367569</v>
      </c>
    </row>
    <row r="19" spans="2:28">
      <c r="F19">
        <f xml:space="preserve"> - F13</f>
        <v>16.8</v>
      </c>
      <c r="G19">
        <f xml:space="preserve"> XPF.SlopeM * ABS(XPF.X)</f>
        <v>27.000000000000004</v>
      </c>
      <c r="I19" s="70">
        <v>31.800000000000004</v>
      </c>
      <c r="J19" s="68">
        <v>0.54285714285714348</v>
      </c>
      <c r="R19">
        <v>36</v>
      </c>
      <c r="S19">
        <v>28.315594803123162</v>
      </c>
      <c r="T19">
        <v>20.57248383023656</v>
      </c>
      <c r="U19">
        <v>22.652475842498529</v>
      </c>
      <c r="V19">
        <v>16.457987064189247</v>
      </c>
      <c r="X19">
        <v>5.6631189606246322</v>
      </c>
      <c r="Y19">
        <v>17.364496766047314</v>
      </c>
      <c r="AA19">
        <v>15.743118960624635</v>
      </c>
      <c r="AB19">
        <v>-12.085503233952691</v>
      </c>
    </row>
    <row r="20" spans="2:28">
      <c r="R20">
        <v>40</v>
      </c>
      <c r="S20">
        <v>26.811555509164229</v>
      </c>
      <c r="T20">
        <v>22.497566339028875</v>
      </c>
      <c r="U20">
        <v>21.449244407331385</v>
      </c>
      <c r="V20">
        <v>17.998053071223097</v>
      </c>
      <c r="X20">
        <v>5.3623111018328462</v>
      </c>
      <c r="Y20">
        <v>17.749513267805774</v>
      </c>
      <c r="AA20">
        <v>15.442311101832848</v>
      </c>
      <c r="AB20">
        <v>-11.700486732194229</v>
      </c>
    </row>
    <row r="21" spans="2:28">
      <c r="B21" s="4" t="s">
        <v>2691</v>
      </c>
      <c r="C21" cm="1">
        <f t="array" ref="C21" xml:space="preserve"> XPF.RadiusOuter</f>
        <v>35</v>
      </c>
      <c r="G21" cm="1">
        <f t="array" ref="G21" xml:space="preserve"> GCD(XPF.RadiusOuter, XPF.RadiusInner, ABS(XPF.Y), ABS(F12:F15) )</f>
        <v>1</v>
      </c>
      <c r="R21">
        <v>44</v>
      </c>
      <c r="S21">
        <v>25.17689301185279</v>
      </c>
      <c r="T21">
        <v>24.313042966064906</v>
      </c>
      <c r="U21">
        <v>20.141514409482234</v>
      </c>
      <c r="V21">
        <v>19.450434372851923</v>
      </c>
      <c r="X21">
        <v>5.0353786023705585</v>
      </c>
      <c r="Y21">
        <v>18.112608593212983</v>
      </c>
      <c r="AA21">
        <v>15.11537860237056</v>
      </c>
      <c r="AB21">
        <v>-11.337391406787022</v>
      </c>
    </row>
    <row r="22" spans="2:28">
      <c r="B22" s="4" t="s">
        <v>2692</v>
      </c>
      <c r="C22" cm="1">
        <f t="array" ref="C22" xml:space="preserve"> XPF.MaxX</f>
        <v>35</v>
      </c>
      <c r="R22">
        <v>48</v>
      </c>
      <c r="S22">
        <v>23.419571222560037</v>
      </c>
      <c r="T22">
        <v>26.010068891708794</v>
      </c>
      <c r="U22">
        <v>18.735656978048031</v>
      </c>
      <c r="V22">
        <v>20.808055113367036</v>
      </c>
      <c r="X22">
        <v>4.6839142445120077</v>
      </c>
      <c r="Y22">
        <v>18.452013778341762</v>
      </c>
      <c r="AA22">
        <v>14.763914244512009</v>
      </c>
      <c r="AB22">
        <v>-10.997986221658245</v>
      </c>
    </row>
    <row r="23" spans="2:28">
      <c r="B23" s="4" t="s">
        <v>2693</v>
      </c>
      <c r="C23" cm="1">
        <f t="array" ref="C23" xml:space="preserve"> - XPF.MaxX</f>
        <v>-35</v>
      </c>
      <c r="R23">
        <v>52</v>
      </c>
      <c r="S23">
        <v>21.548151636398039</v>
      </c>
      <c r="T23">
        <v>27.580376376235272</v>
      </c>
      <c r="U23">
        <v>17.238521309118433</v>
      </c>
      <c r="V23">
        <v>22.064301100988217</v>
      </c>
      <c r="X23">
        <v>4.3096303272796082</v>
      </c>
      <c r="Y23">
        <v>18.766075275247054</v>
      </c>
      <c r="AA23">
        <v>14.38963032727961</v>
      </c>
      <c r="AB23">
        <v>-10.683924724752949</v>
      </c>
    </row>
    <row r="24" spans="2:28">
      <c r="B24" s="4" t="s">
        <v>2694</v>
      </c>
      <c r="C24" cm="1">
        <f t="array" ref="C24" xml:space="preserve"> - XPF.MaxY</f>
        <v>-35</v>
      </c>
      <c r="R24">
        <v>56</v>
      </c>
      <c r="S24">
        <v>19.571751621476139</v>
      </c>
      <c r="T24">
        <v>29.016315039426459</v>
      </c>
      <c r="U24">
        <v>15.657401297180911</v>
      </c>
      <c r="V24">
        <v>23.213052031541167</v>
      </c>
      <c r="X24">
        <v>3.9143503242952278</v>
      </c>
      <c r="Y24">
        <v>19.053263007885292</v>
      </c>
      <c r="AA24">
        <v>13.99435032429523</v>
      </c>
      <c r="AB24">
        <v>-10.396736992114711</v>
      </c>
    </row>
    <row r="25" spans="2:28">
      <c r="R25">
        <v>60</v>
      </c>
      <c r="S25">
        <v>17.500000000000004</v>
      </c>
      <c r="T25">
        <v>30.310889132455351</v>
      </c>
      <c r="U25">
        <v>14.000000000000004</v>
      </c>
      <c r="V25">
        <v>24.248711305964282</v>
      </c>
      <c r="X25">
        <v>3.5000000000000009</v>
      </c>
      <c r="Y25">
        <v>19.312177826491073</v>
      </c>
      <c r="AA25">
        <v>13.580000000000002</v>
      </c>
      <c r="AB25">
        <v>-10.137822173508933</v>
      </c>
    </row>
    <row r="26" spans="2:28">
      <c r="B26" s="4" t="s">
        <v>2695</v>
      </c>
      <c r="C26" s="26">
        <f xml:space="preserve"> MODE(Circles.AreaMultiplier)</f>
        <v>1</v>
      </c>
      <c r="R26">
        <v>64</v>
      </c>
      <c r="S26">
        <v>15.342990137617711</v>
      </c>
      <c r="T26">
        <v>31.457791620470847</v>
      </c>
      <c r="U26">
        <v>12.274392110094169</v>
      </c>
      <c r="V26">
        <v>25.166233296376678</v>
      </c>
      <c r="X26">
        <v>3.0685980275235423</v>
      </c>
      <c r="Y26">
        <v>19.541558324094172</v>
      </c>
      <c r="AA26">
        <v>13.148598027523544</v>
      </c>
      <c r="AB26">
        <v>-9.9084416759058342</v>
      </c>
    </row>
    <row r="27" spans="2:28">
      <c r="B27" s="4" t="s">
        <v>2696</v>
      </c>
      <c r="C27" cm="1">
        <f t="array" ref="C27" xml:space="preserve"> MAX( XPF.MaxY, -  XPF.MinY) / MAX( XPF.MaxX, -  XPF.MinX)</f>
        <v>1</v>
      </c>
      <c r="R27">
        <v>68</v>
      </c>
      <c r="S27">
        <v>13.111230769556919</v>
      </c>
      <c r="T27">
        <v>32.451434909837559</v>
      </c>
      <c r="U27">
        <v>10.488984615645535</v>
      </c>
      <c r="V27">
        <v>25.961147927870048</v>
      </c>
      <c r="X27">
        <v>2.6222461539113837</v>
      </c>
      <c r="Y27">
        <v>19.740286981967515</v>
      </c>
      <c r="AA27">
        <v>12.702246153911386</v>
      </c>
      <c r="AB27">
        <v>-9.7097130180324918</v>
      </c>
    </row>
    <row r="28" spans="2:28">
      <c r="B28" s="4" t="s">
        <v>2697</v>
      </c>
      <c r="C28" cm="1">
        <f t="array" ref="C28" xml:space="preserve"> VALUE(TEXT(SQRT(XPF.AreaMultiplier * BasicBBoxArea * XPF.Aspect), SVG.NumberFormatHeight))</f>
        <v>15</v>
      </c>
      <c r="R28">
        <v>72</v>
      </c>
      <c r="S28">
        <v>10.815594803123162</v>
      </c>
      <c r="T28">
        <v>33.28697807033037</v>
      </c>
      <c r="U28">
        <v>8.6524758424985286</v>
      </c>
      <c r="V28">
        <v>26.629582456264298</v>
      </c>
      <c r="X28">
        <v>2.1631189606246322</v>
      </c>
      <c r="Y28">
        <v>19.907395614066075</v>
      </c>
      <c r="AA28">
        <v>12.243118960624635</v>
      </c>
      <c r="AB28">
        <v>-9.5426043859339273</v>
      </c>
    </row>
    <row r="29" spans="2:28">
      <c r="B29" s="4" t="s">
        <v>2698</v>
      </c>
      <c r="C29" cm="1">
        <f t="array" ref="C29" xml:space="preserve"> XPF.Height / XPF.Aspect</f>
        <v>15</v>
      </c>
      <c r="R29">
        <v>76</v>
      </c>
      <c r="S29">
        <v>8.4672663459883761</v>
      </c>
      <c r="T29">
        <v>33.960350419659875</v>
      </c>
      <c r="U29">
        <v>6.7738130767907014</v>
      </c>
      <c r="V29">
        <v>27.1682803357279</v>
      </c>
      <c r="X29">
        <v>1.6934532691976754</v>
      </c>
      <c r="Y29">
        <v>20.042070083931975</v>
      </c>
      <c r="AA29">
        <v>11.773453269197677</v>
      </c>
      <c r="AB29">
        <v>-9.4079299160680279</v>
      </c>
    </row>
    <row r="30" spans="2:28">
      <c r="R30">
        <v>80</v>
      </c>
      <c r="S30">
        <v>6.0776862183425644</v>
      </c>
      <c r="T30">
        <v>34.468271355427284</v>
      </c>
      <c r="U30">
        <v>4.8621489746740512</v>
      </c>
      <c r="V30">
        <v>27.574617084341824</v>
      </c>
      <c r="X30">
        <v>1.2155372436685128</v>
      </c>
      <c r="Y30">
        <v>20.14365427108546</v>
      </c>
      <c r="AA30">
        <v>11.295537243668514</v>
      </c>
      <c r="AB30">
        <v>-9.3063457289145468</v>
      </c>
    </row>
    <row r="31" spans="2:28">
      <c r="B31" s="4" t="s">
        <v>2705</v>
      </c>
      <c r="C31" s="5" t="s">
        <v>2709</v>
      </c>
      <c r="R31">
        <v>84</v>
      </c>
      <c r="S31">
        <v>3.658496214367871</v>
      </c>
      <c r="T31">
        <v>34.808266337889563</v>
      </c>
      <c r="U31">
        <v>2.926796971494297</v>
      </c>
      <c r="V31">
        <v>27.846613070311651</v>
      </c>
      <c r="X31">
        <v>0.73169924287357424</v>
      </c>
      <c r="Y31">
        <v>20.211653267577915</v>
      </c>
      <c r="AA31">
        <v>10.811699242873576</v>
      </c>
      <c r="AB31">
        <v>-9.2383467324220909</v>
      </c>
    </row>
    <row r="32" spans="2:28">
      <c r="B32" s="4" t="s">
        <v>2706</v>
      </c>
      <c r="C32" s="5" t="s">
        <v>2708</v>
      </c>
      <c r="R32">
        <v>88</v>
      </c>
      <c r="S32">
        <v>1.2214823845875378</v>
      </c>
      <c r="T32">
        <v>34.978678945668349</v>
      </c>
      <c r="U32">
        <v>0.97718590767003022</v>
      </c>
      <c r="V32">
        <v>27.982943156534681</v>
      </c>
      <c r="X32">
        <v>0.24429647691750755</v>
      </c>
      <c r="Y32">
        <v>20.245735789133672</v>
      </c>
      <c r="AA32">
        <v>10.32429647691751</v>
      </c>
      <c r="AB32">
        <v>-9.2042642108663326</v>
      </c>
    </row>
    <row r="33" spans="2:28">
      <c r="B33" s="4" t="s">
        <v>2707</v>
      </c>
      <c r="C33" s="5" t="s">
        <v>2087</v>
      </c>
      <c r="R33">
        <v>92</v>
      </c>
      <c r="S33">
        <v>-1.2214823845875256</v>
      </c>
      <c r="T33">
        <v>34.978678945668349</v>
      </c>
      <c r="U33">
        <v>-0.97718590767002056</v>
      </c>
      <c r="V33">
        <v>27.982943156534681</v>
      </c>
      <c r="X33">
        <v>-0.24429647691750514</v>
      </c>
      <c r="Y33">
        <v>20.245735789133672</v>
      </c>
      <c r="AA33">
        <v>9.835703523082497</v>
      </c>
      <c r="AB33">
        <v>-9.2042642108663326</v>
      </c>
    </row>
    <row r="34" spans="2:28">
      <c r="R34">
        <v>96</v>
      </c>
      <c r="S34">
        <v>-3.6584962143678665</v>
      </c>
      <c r="T34">
        <v>34.80826633788957</v>
      </c>
      <c r="U34">
        <v>-2.9267969714942934</v>
      </c>
      <c r="V34">
        <v>27.846613070311655</v>
      </c>
      <c r="X34">
        <v>-0.73169924287357335</v>
      </c>
      <c r="Y34">
        <v>20.211653267577915</v>
      </c>
      <c r="AA34">
        <v>9.3483007571264292</v>
      </c>
      <c r="AB34">
        <v>-9.2383467324220891</v>
      </c>
    </row>
    <row r="35" spans="2:28">
      <c r="E35" cm="1">
        <f t="array" ref="E35" xml:space="preserve"> SVG_length(XPF.svg)</f>
        <v>357</v>
      </c>
      <c r="R35">
        <v>100</v>
      </c>
      <c r="S35">
        <v>-6.0776862183425608</v>
      </c>
      <c r="T35">
        <v>34.468271355427284</v>
      </c>
      <c r="U35">
        <v>-4.8621489746740485</v>
      </c>
      <c r="V35">
        <v>27.574617084341824</v>
      </c>
      <c r="X35">
        <v>-1.2155372436685121</v>
      </c>
      <c r="Y35">
        <v>20.14365427108546</v>
      </c>
      <c r="AA35">
        <v>8.8644627563314895</v>
      </c>
      <c r="AB35">
        <v>-9.3063457289145468</v>
      </c>
    </row>
    <row r="36" spans="2:28" ht="17" thickBot="1">
      <c r="C36" s="3" t="s">
        <v>2699</v>
      </c>
      <c r="R36">
        <v>104</v>
      </c>
      <c r="S36">
        <v>-8.4672663459883726</v>
      </c>
      <c r="T36">
        <v>33.960350419659875</v>
      </c>
      <c r="U36">
        <v>-6.7738130767906979</v>
      </c>
      <c r="V36">
        <v>27.1682803357279</v>
      </c>
      <c r="X36">
        <v>-1.6934532691976745</v>
      </c>
      <c r="Y36">
        <v>20.042070083931975</v>
      </c>
      <c r="AA36">
        <v>8.386546730802328</v>
      </c>
      <c r="AB36">
        <v>-9.4079299160680279</v>
      </c>
    </row>
    <row r="37" spans="2:28">
      <c r="C37"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width='15' height='15' viewBox='-52.5 -52.5 105 105'  id='%thisID%' xmlns='http://www.w3.org/2000/svg'&gt;</v>
      </c>
      <c r="R37">
        <v>108</v>
      </c>
      <c r="S37">
        <v>-10.815594803123156</v>
      </c>
      <c r="T37">
        <v>33.286978070330377</v>
      </c>
      <c r="U37">
        <v>-8.6524758424985251</v>
      </c>
      <c r="V37">
        <v>26.629582456264302</v>
      </c>
      <c r="X37">
        <v>-2.1631189606246313</v>
      </c>
      <c r="Y37">
        <v>19.907395614066075</v>
      </c>
      <c r="AA37">
        <v>7.9168810393753706</v>
      </c>
      <c r="AB37">
        <v>-9.5426043859339273</v>
      </c>
    </row>
    <row r="38" spans="2:28">
      <c r="C38" s="5" t="str" cm="1">
        <f t="array" ref="C38" xml:space="preserve"> "&lt;circle " &amp; XPF.SVG_painting_W &amp; " r='" &amp; ROUND(AVERAGE(XPF.RadiusOuter,XPF.RadiusInner),XPF.DecimalPlaces) &amp; "'/&gt;"</f>
        <v>&lt;circle fill='#FFF' r='31.5'/&gt;</v>
      </c>
      <c r="R38">
        <v>112</v>
      </c>
      <c r="S38">
        <v>-13.111230769556922</v>
      </c>
      <c r="T38">
        <v>32.451434909837559</v>
      </c>
      <c r="U38">
        <v>-10.488984615645538</v>
      </c>
      <c r="V38">
        <v>25.961147927870048</v>
      </c>
      <c r="X38">
        <v>-2.6222461539113846</v>
      </c>
      <c r="Y38">
        <v>19.740286981967515</v>
      </c>
      <c r="AA38">
        <v>7.4577538460886172</v>
      </c>
      <c r="AB38">
        <v>-9.7097130180324918</v>
      </c>
    </row>
    <row r="39" spans="2:28">
      <c r="C39" s="5" t="str">
        <f xml:space="preserve"> "&lt;path " &amp; XPF.SVG_painting_R &amp; " d='" &amp; _xlfn.TEXTJOIN(" ",TRUE, svgpath(XPF.X, XPF.Y, XPF.DecimalPlaces) ) &amp; "'/&gt;"</f>
        <v>&lt;path fill='#B5163D' d='M9.8 29 L0 13.25 L-9.8 29 l-7 -2 L16.8 -27 l-7 -2 L0 -13.25 L-9.8 -29 l-7 2 L16.8 27Z'/&gt;</v>
      </c>
      <c r="R39">
        <v>116</v>
      </c>
      <c r="S39">
        <v>-15.342990137617713</v>
      </c>
      <c r="T39">
        <v>31.457791620470843</v>
      </c>
      <c r="U39">
        <v>-12.274392110094171</v>
      </c>
      <c r="V39">
        <v>25.166233296376674</v>
      </c>
      <c r="X39">
        <v>-3.0685980275235427</v>
      </c>
      <c r="Y39">
        <v>19.541558324094169</v>
      </c>
      <c r="AA39">
        <v>7.0114019724764596</v>
      </c>
      <c r="AB39">
        <v>-9.9084416759058342</v>
      </c>
    </row>
    <row r="40" spans="2:28">
      <c r="C40"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fill='#1E2C52' d='M35 0A35 35 0 1 0 -35 0A35 35 0 1 0 35 0Z M28 0A28 28 0 1 1 -28 0A28 28 0 1 1 28 0Z'/&gt;</v>
      </c>
      <c r="R40">
        <v>120</v>
      </c>
      <c r="S40">
        <v>-17.499999999999993</v>
      </c>
      <c r="T40">
        <v>30.310889132455355</v>
      </c>
      <c r="U40">
        <v>-13.999999999999993</v>
      </c>
      <c r="V40">
        <v>24.248711305964285</v>
      </c>
      <c r="X40">
        <v>-3.4999999999999982</v>
      </c>
      <c r="Y40">
        <v>19.312177826491073</v>
      </c>
      <c r="AA40">
        <v>6.5800000000000036</v>
      </c>
      <c r="AB40">
        <v>-10.137822173508932</v>
      </c>
    </row>
    <row r="41" spans="2:28">
      <c r="C41" s="5" t="s">
        <v>15</v>
      </c>
      <c r="R41">
        <v>124</v>
      </c>
      <c r="S41">
        <v>-19.571751621476135</v>
      </c>
      <c r="T41">
        <v>29.016315039426459</v>
      </c>
      <c r="U41">
        <v>-15.657401297180908</v>
      </c>
      <c r="V41">
        <v>23.213052031541167</v>
      </c>
      <c r="X41">
        <v>-3.9143503242952269</v>
      </c>
      <c r="Y41">
        <v>19.053263007885292</v>
      </c>
      <c r="AA41">
        <v>6.165649675704775</v>
      </c>
      <c r="AB41">
        <v>-10.396736992114711</v>
      </c>
    </row>
    <row r="42" spans="2:28">
      <c r="R42">
        <v>128</v>
      </c>
      <c r="S42">
        <v>-21.548151636398039</v>
      </c>
      <c r="T42">
        <v>27.580376376235272</v>
      </c>
      <c r="U42">
        <v>-17.238521309118433</v>
      </c>
      <c r="V42">
        <v>22.064301100988217</v>
      </c>
      <c r="X42">
        <v>-4.3096303272796082</v>
      </c>
      <c r="Y42">
        <v>18.766075275247054</v>
      </c>
      <c r="AA42">
        <v>5.7703696727203937</v>
      </c>
      <c r="AB42">
        <v>-10.683924724752949</v>
      </c>
    </row>
    <row r="43" spans="2:28">
      <c r="R43">
        <v>132</v>
      </c>
      <c r="S43">
        <v>-23.419571222560037</v>
      </c>
      <c r="T43">
        <v>26.010068891708798</v>
      </c>
      <c r="U43">
        <v>-18.735656978048031</v>
      </c>
      <c r="V43">
        <v>20.80805511336704</v>
      </c>
      <c r="X43">
        <v>-4.6839142445120077</v>
      </c>
      <c r="Y43">
        <v>18.452013778341762</v>
      </c>
      <c r="AA43">
        <v>5.3960857554879942</v>
      </c>
      <c r="AB43">
        <v>-10.997986221658243</v>
      </c>
    </row>
    <row r="44" spans="2:28">
      <c r="R44">
        <v>136</v>
      </c>
      <c r="S44">
        <v>-25.17689301185279</v>
      </c>
      <c r="T44">
        <v>24.313042966064899</v>
      </c>
      <c r="U44">
        <v>-20.141514409482234</v>
      </c>
      <c r="V44">
        <v>19.45043437285192</v>
      </c>
      <c r="X44">
        <v>-5.0353786023705585</v>
      </c>
      <c r="Y44">
        <v>18.112608593212983</v>
      </c>
      <c r="AA44">
        <v>5.0446213976294434</v>
      </c>
      <c r="AB44">
        <v>-11.337391406787024</v>
      </c>
    </row>
    <row r="45" spans="2:28">
      <c r="R45">
        <v>140</v>
      </c>
      <c r="S45">
        <v>-26.811555509164226</v>
      </c>
      <c r="T45">
        <v>22.497566339028882</v>
      </c>
      <c r="U45">
        <v>-21.449244407331381</v>
      </c>
      <c r="V45">
        <v>17.998053071223104</v>
      </c>
      <c r="X45">
        <v>-5.3623111018328453</v>
      </c>
      <c r="Y45">
        <v>17.749513267805778</v>
      </c>
      <c r="AA45">
        <v>4.7176888981671565</v>
      </c>
      <c r="AB45">
        <v>-11.700486732194227</v>
      </c>
    </row>
    <row r="46" spans="2:28">
      <c r="R46">
        <v>144</v>
      </c>
      <c r="S46">
        <v>-28.315594803123158</v>
      </c>
      <c r="T46">
        <v>20.572483830236564</v>
      </c>
      <c r="U46">
        <v>-22.652475842498525</v>
      </c>
      <c r="V46">
        <v>16.457987064189251</v>
      </c>
      <c r="X46">
        <v>-5.6631189606246313</v>
      </c>
      <c r="Y46">
        <v>17.364496766047314</v>
      </c>
      <c r="AA46">
        <v>4.4168810393753706</v>
      </c>
      <c r="AB46">
        <v>-12.085503233952689</v>
      </c>
    </row>
    <row r="47" spans="2:28">
      <c r="R47">
        <v>148</v>
      </c>
      <c r="S47">
        <v>-29.681683365474907</v>
      </c>
      <c r="T47">
        <v>18.547174248162172</v>
      </c>
      <c r="U47">
        <v>-23.745346692379925</v>
      </c>
      <c r="V47">
        <v>14.837739398529738</v>
      </c>
      <c r="X47">
        <v>-5.9363366730949814</v>
      </c>
      <c r="Y47">
        <v>16.959434849632437</v>
      </c>
      <c r="AA47">
        <v>4.1436633269050205</v>
      </c>
      <c r="AB47">
        <v>-12.490565150367569</v>
      </c>
    </row>
    <row r="48" spans="2:28">
      <c r="R48">
        <v>152</v>
      </c>
      <c r="S48">
        <v>-30.903165750062438</v>
      </c>
      <c r="T48">
        <v>16.431504697506188</v>
      </c>
      <c r="U48">
        <v>-24.722532600049949</v>
      </c>
      <c r="V48">
        <v>13.14520375800495</v>
      </c>
      <c r="X48">
        <v>-6.1806331500124871</v>
      </c>
      <c r="Y48">
        <v>16.536300939501238</v>
      </c>
      <c r="AA48">
        <v>3.8993668499875147</v>
      </c>
      <c r="AB48">
        <v>-12.913699060498764</v>
      </c>
    </row>
    <row r="49" spans="18:28">
      <c r="R49">
        <v>156</v>
      </c>
      <c r="S49">
        <v>-31.974091017491027</v>
      </c>
      <c r="T49">
        <v>14.235782507653015</v>
      </c>
      <c r="U49">
        <v>-25.579272813992823</v>
      </c>
      <c r="V49">
        <v>11.388626006122411</v>
      </c>
      <c r="X49">
        <v>-6.3948182034982057</v>
      </c>
      <c r="Y49">
        <v>16.097156501530606</v>
      </c>
      <c r="AA49">
        <v>3.6851817965017961</v>
      </c>
      <c r="AB49">
        <v>-13.352843498469401</v>
      </c>
    </row>
    <row r="50" spans="18:28">
      <c r="R50">
        <v>160</v>
      </c>
      <c r="S50">
        <v>-32.889241727506793</v>
      </c>
      <c r="T50">
        <v>11.97070501639841</v>
      </c>
      <c r="U50">
        <v>-26.311393382005434</v>
      </c>
      <c r="V50">
        <v>9.5765640131187286</v>
      </c>
      <c r="X50">
        <v>-6.5778483455013586</v>
      </c>
      <c r="Y50">
        <v>15.644141003279683</v>
      </c>
      <c r="AA50">
        <v>3.5021516544986433</v>
      </c>
      <c r="AB50">
        <v>-13.805858996720321</v>
      </c>
    </row>
    <row r="51" spans="18:28">
      <c r="R51">
        <v>164</v>
      </c>
      <c r="S51">
        <v>-33.644159357841154</v>
      </c>
      <c r="T51">
        <v>9.6473074535949888</v>
      </c>
      <c r="U51">
        <v>-26.915327486272922</v>
      </c>
      <c r="V51">
        <v>7.717845962875991</v>
      </c>
      <c r="X51">
        <v>-6.7288318715682305</v>
      </c>
      <c r="Y51">
        <v>15.179461490719</v>
      </c>
      <c r="AA51">
        <v>3.3511681284317714</v>
      </c>
      <c r="AB51">
        <v>-14.270538509281005</v>
      </c>
    </row>
    <row r="52" spans="18:28">
      <c r="R52">
        <v>168</v>
      </c>
      <c r="S52">
        <v>-34.235166025683199</v>
      </c>
      <c r="T52">
        <v>7.276909178621576</v>
      </c>
      <c r="U52">
        <v>-27.388132820546559</v>
      </c>
      <c r="V52">
        <v>5.8215273428972605</v>
      </c>
      <c r="X52">
        <v>-6.8470332051366398</v>
      </c>
      <c r="Y52">
        <v>14.705381835724317</v>
      </c>
      <c r="AA52">
        <v>3.232966794863362</v>
      </c>
      <c r="AB52">
        <v>-14.744618164275687</v>
      </c>
    </row>
    <row r="53" spans="18:28">
      <c r="R53">
        <v>172</v>
      </c>
      <c r="S53">
        <v>-34.659382405954958</v>
      </c>
      <c r="T53">
        <v>4.8710585336023007</v>
      </c>
      <c r="U53">
        <v>-27.727505924763967</v>
      </c>
      <c r="V53">
        <v>3.8968468268818408</v>
      </c>
      <c r="X53">
        <v>-6.9318764811909919</v>
      </c>
      <c r="Y53">
        <v>14.224211706720462</v>
      </c>
      <c r="AA53">
        <v>3.14812351880901</v>
      </c>
      <c r="AB53">
        <v>-15.225788293279543</v>
      </c>
    </row>
    <row r="54" spans="18:28">
      <c r="R54">
        <v>176</v>
      </c>
      <c r="S54">
        <v>-34.91474175909385</v>
      </c>
      <c r="T54">
        <v>2.4414765810443932</v>
      </c>
      <c r="U54">
        <v>-27.931793407275077</v>
      </c>
      <c r="V54">
        <v>1.9531812648355147</v>
      </c>
      <c r="X54">
        <v>-6.9829483518187692</v>
      </c>
      <c r="Y54">
        <v>13.73829531620888</v>
      </c>
      <c r="AA54">
        <v>3.0970516481812327</v>
      </c>
      <c r="AB54">
        <v>-15.711704683791124</v>
      </c>
    </row>
    <row r="55" spans="18:28">
      <c r="R55">
        <v>180</v>
      </c>
      <c r="S55">
        <v>-35</v>
      </c>
      <c r="T55">
        <v>4.28801959218017E-15</v>
      </c>
      <c r="U55">
        <v>-28</v>
      </c>
      <c r="V55">
        <v>3.430415673744136E-15</v>
      </c>
      <c r="X55">
        <v>-7</v>
      </c>
      <c r="Y55">
        <v>13.250000000000002</v>
      </c>
      <c r="AA55">
        <v>3.0800000000000018</v>
      </c>
      <c r="AB55">
        <v>-16.200000000000003</v>
      </c>
    </row>
    <row r="56" spans="18:28">
      <c r="R56">
        <v>184</v>
      </c>
      <c r="S56">
        <v>-34.91474175909385</v>
      </c>
      <c r="T56">
        <v>-2.4414765810443693</v>
      </c>
      <c r="U56">
        <v>-27.93179340727508</v>
      </c>
      <c r="V56">
        <v>-1.9531812648354951</v>
      </c>
      <c r="X56">
        <v>-6.98294835181877</v>
      </c>
      <c r="Y56">
        <v>12.761704683791129</v>
      </c>
      <c r="AA56">
        <v>3.0970516481812318</v>
      </c>
      <c r="AB56">
        <v>-16.688295316208876</v>
      </c>
    </row>
    <row r="57" spans="18:28">
      <c r="R57">
        <v>188</v>
      </c>
      <c r="S57">
        <v>-34.659382405954958</v>
      </c>
      <c r="T57">
        <v>-4.8710585336022936</v>
      </c>
      <c r="U57">
        <v>-27.727505924763967</v>
      </c>
      <c r="V57">
        <v>-3.8968468268818346</v>
      </c>
      <c r="X57">
        <v>-6.9318764811909919</v>
      </c>
      <c r="Y57">
        <v>12.275788293279543</v>
      </c>
      <c r="AA57">
        <v>3.14812351880901</v>
      </c>
      <c r="AB57">
        <v>-17.174211706720463</v>
      </c>
    </row>
    <row r="58" spans="18:28">
      <c r="R58">
        <v>192</v>
      </c>
      <c r="S58">
        <v>-34.235166025683199</v>
      </c>
      <c r="T58">
        <v>-7.2769091786215672</v>
      </c>
      <c r="U58">
        <v>-27.388132820546559</v>
      </c>
      <c r="V58">
        <v>-5.8215273428972534</v>
      </c>
      <c r="X58">
        <v>-6.8470332051366398</v>
      </c>
      <c r="Y58">
        <v>11.794618164275688</v>
      </c>
      <c r="AA58">
        <v>3.232966794863362</v>
      </c>
      <c r="AB58">
        <v>-17.655381835724317</v>
      </c>
    </row>
    <row r="59" spans="18:28">
      <c r="R59">
        <v>196</v>
      </c>
      <c r="S59">
        <v>-33.644159357841161</v>
      </c>
      <c r="T59">
        <v>-9.6473074535949657</v>
      </c>
      <c r="U59">
        <v>-26.915327486272929</v>
      </c>
      <c r="V59">
        <v>-7.7178459628759715</v>
      </c>
      <c r="X59">
        <v>-6.7288318715682323</v>
      </c>
      <c r="Y59">
        <v>11.320538509281009</v>
      </c>
      <c r="AA59">
        <v>3.3511681284317696</v>
      </c>
      <c r="AB59">
        <v>-18.129461490718995</v>
      </c>
    </row>
    <row r="60" spans="18:28">
      <c r="R60">
        <v>200</v>
      </c>
      <c r="S60">
        <v>-32.889241727506793</v>
      </c>
      <c r="T60">
        <v>-11.970705016398403</v>
      </c>
      <c r="U60">
        <v>-26.311393382005434</v>
      </c>
      <c r="V60">
        <v>-9.5765640131187233</v>
      </c>
      <c r="X60">
        <v>-6.5778483455013586</v>
      </c>
      <c r="Y60">
        <v>10.855858996720322</v>
      </c>
      <c r="AA60">
        <v>3.5021516544986433</v>
      </c>
      <c r="AB60">
        <v>-18.594141003279685</v>
      </c>
    </row>
    <row r="61" spans="18:28">
      <c r="R61">
        <v>204</v>
      </c>
      <c r="S61">
        <v>-31.974091017491038</v>
      </c>
      <c r="T61">
        <v>-14.235782507652994</v>
      </c>
      <c r="U61">
        <v>-25.57927281399283</v>
      </c>
      <c r="V61">
        <v>-11.388626006122395</v>
      </c>
      <c r="X61">
        <v>-6.3948182034982075</v>
      </c>
      <c r="Y61">
        <v>10.402843498469403</v>
      </c>
      <c r="AA61">
        <v>3.6851817965017943</v>
      </c>
      <c r="AB61">
        <v>-19.047156501530601</v>
      </c>
    </row>
    <row r="62" spans="18:28">
      <c r="R62">
        <v>208</v>
      </c>
      <c r="S62">
        <v>-30.903165750062442</v>
      </c>
      <c r="T62">
        <v>-16.431504697506181</v>
      </c>
      <c r="U62">
        <v>-24.722532600049952</v>
      </c>
      <c r="V62">
        <v>-13.145203758004945</v>
      </c>
      <c r="X62">
        <v>-6.180633150012488</v>
      </c>
      <c r="Y62">
        <v>9.9636990604987652</v>
      </c>
      <c r="AA62">
        <v>3.8993668499875138</v>
      </c>
      <c r="AB62">
        <v>-19.486300939501238</v>
      </c>
    </row>
    <row r="63" spans="18:28">
      <c r="R63">
        <v>212</v>
      </c>
      <c r="S63">
        <v>-29.681683365474914</v>
      </c>
      <c r="T63">
        <v>-18.547174248162168</v>
      </c>
      <c r="U63">
        <v>-23.745346692379929</v>
      </c>
      <c r="V63">
        <v>-14.837739398529735</v>
      </c>
      <c r="X63">
        <v>-5.9363366730949823</v>
      </c>
      <c r="Y63">
        <v>9.5405651503675681</v>
      </c>
      <c r="AA63">
        <v>4.1436633269050196</v>
      </c>
      <c r="AB63">
        <v>-19.909434849632436</v>
      </c>
    </row>
    <row r="64" spans="18:28">
      <c r="R64">
        <v>216</v>
      </c>
      <c r="S64">
        <v>-28.315594803123165</v>
      </c>
      <c r="T64">
        <v>-20.572483830236557</v>
      </c>
      <c r="U64">
        <v>-22.652475842498532</v>
      </c>
      <c r="V64">
        <v>-16.457987064189243</v>
      </c>
      <c r="X64">
        <v>-5.663118960624633</v>
      </c>
      <c r="Y64">
        <v>9.13550323395269</v>
      </c>
      <c r="AA64">
        <v>4.4168810393753688</v>
      </c>
      <c r="AB64">
        <v>-20.314496766047313</v>
      </c>
    </row>
    <row r="65" spans="18:28">
      <c r="R65">
        <v>220</v>
      </c>
      <c r="S65">
        <v>-26.811555509164229</v>
      </c>
      <c r="T65">
        <v>-22.497566339028875</v>
      </c>
      <c r="U65">
        <v>-21.449244407331385</v>
      </c>
      <c r="V65">
        <v>-17.998053071223097</v>
      </c>
      <c r="X65">
        <v>-5.3623111018328462</v>
      </c>
      <c r="Y65">
        <v>8.7504867321942275</v>
      </c>
      <c r="AA65">
        <v>4.7176888981671556</v>
      </c>
      <c r="AB65">
        <v>-20.699513267805777</v>
      </c>
    </row>
    <row r="66" spans="18:28">
      <c r="R66">
        <v>224</v>
      </c>
      <c r="S66">
        <v>-25.176893011852787</v>
      </c>
      <c r="T66">
        <v>-24.313042966064909</v>
      </c>
      <c r="U66">
        <v>-20.14151440948223</v>
      </c>
      <c r="V66">
        <v>-19.450434372851927</v>
      </c>
      <c r="X66">
        <v>-5.0353786023705576</v>
      </c>
      <c r="Y66">
        <v>8.387391406787021</v>
      </c>
      <c r="AA66">
        <v>5.0446213976294443</v>
      </c>
      <c r="AB66">
        <v>-21.062608593212985</v>
      </c>
    </row>
    <row r="67" spans="18:28">
      <c r="R67">
        <v>228</v>
      </c>
      <c r="S67">
        <v>-23.419571222560045</v>
      </c>
      <c r="T67">
        <v>-26.010068891708791</v>
      </c>
      <c r="U67">
        <v>-18.735656978048038</v>
      </c>
      <c r="V67">
        <v>-20.808055113367033</v>
      </c>
      <c r="X67">
        <v>-4.6839142445120094</v>
      </c>
      <c r="Y67">
        <v>8.0479862216582436</v>
      </c>
      <c r="AA67">
        <v>5.3960857554879924</v>
      </c>
      <c r="AB67">
        <v>-21.402013778341761</v>
      </c>
    </row>
    <row r="68" spans="18:28">
      <c r="R68">
        <v>232</v>
      </c>
      <c r="S68">
        <v>-21.548151636398032</v>
      </c>
      <c r="T68">
        <v>-27.580376376235275</v>
      </c>
      <c r="U68">
        <v>-17.238521309118426</v>
      </c>
      <c r="V68">
        <v>-22.064301100988221</v>
      </c>
      <c r="X68">
        <v>-4.3096303272796064</v>
      </c>
      <c r="Y68">
        <v>7.7339247247529466</v>
      </c>
      <c r="AA68">
        <v>5.7703696727203955</v>
      </c>
      <c r="AB68">
        <v>-21.716075275247057</v>
      </c>
    </row>
    <row r="69" spans="18:28">
      <c r="R69">
        <v>236</v>
      </c>
      <c r="S69">
        <v>-19.571751621476153</v>
      </c>
      <c r="T69">
        <v>-29.016315039426448</v>
      </c>
      <c r="U69">
        <v>-15.657401297180922</v>
      </c>
      <c r="V69">
        <v>-23.21305203154116</v>
      </c>
      <c r="X69">
        <v>-3.9143503242952304</v>
      </c>
      <c r="Y69">
        <v>7.4467369921147117</v>
      </c>
      <c r="AA69">
        <v>6.1656496757047714</v>
      </c>
      <c r="AB69">
        <v>-22.003263007885295</v>
      </c>
    </row>
    <row r="70" spans="18:28">
      <c r="R70">
        <v>240</v>
      </c>
      <c r="S70">
        <v>-17.500000000000014</v>
      </c>
      <c r="T70">
        <v>-30.310889132455344</v>
      </c>
      <c r="U70">
        <v>-14.000000000000012</v>
      </c>
      <c r="V70">
        <v>-24.248711305964274</v>
      </c>
      <c r="X70">
        <v>-3.5000000000000031</v>
      </c>
      <c r="Y70">
        <v>7.1878221735089332</v>
      </c>
      <c r="AA70">
        <v>6.5799999999999983</v>
      </c>
      <c r="AB70">
        <v>-22.262177826491072</v>
      </c>
    </row>
    <row r="71" spans="18:28">
      <c r="R71">
        <v>244</v>
      </c>
      <c r="S71">
        <v>-15.34299013761772</v>
      </c>
      <c r="T71">
        <v>-31.457791620470839</v>
      </c>
      <c r="U71">
        <v>-12.274392110094176</v>
      </c>
      <c r="V71">
        <v>-25.166233296376671</v>
      </c>
      <c r="X71">
        <v>-3.068598027523544</v>
      </c>
      <c r="Y71">
        <v>6.9584416759058341</v>
      </c>
      <c r="AA71">
        <v>7.0114019724764578</v>
      </c>
      <c r="AB71">
        <v>-22.491558324094171</v>
      </c>
    </row>
    <row r="72" spans="18:28">
      <c r="R72">
        <v>248</v>
      </c>
      <c r="S72">
        <v>-13.111230769556931</v>
      </c>
      <c r="T72">
        <v>-32.451434909837559</v>
      </c>
      <c r="U72">
        <v>-10.488984615645544</v>
      </c>
      <c r="V72">
        <v>-25.961147927870044</v>
      </c>
      <c r="X72">
        <v>-2.6222461539113859</v>
      </c>
      <c r="Y72">
        <v>6.7597130180324907</v>
      </c>
      <c r="AA72">
        <v>7.4577538460886164</v>
      </c>
      <c r="AB72">
        <v>-22.690286981967514</v>
      </c>
    </row>
    <row r="73" spans="18:28">
      <c r="R73">
        <v>252</v>
      </c>
      <c r="S73">
        <v>-10.815594803123165</v>
      </c>
      <c r="T73">
        <v>-33.28697807033037</v>
      </c>
      <c r="U73">
        <v>-8.6524758424985322</v>
      </c>
      <c r="V73">
        <v>-26.629582456264298</v>
      </c>
      <c r="X73">
        <v>-2.163118960624633</v>
      </c>
      <c r="Y73">
        <v>6.5926043859339272</v>
      </c>
      <c r="AA73">
        <v>7.9168810393753688</v>
      </c>
      <c r="AB73">
        <v>-22.857395614066078</v>
      </c>
    </row>
    <row r="74" spans="18:28">
      <c r="R74">
        <v>256</v>
      </c>
      <c r="S74">
        <v>-8.4672663459883726</v>
      </c>
      <c r="T74">
        <v>-33.960350419659875</v>
      </c>
      <c r="U74">
        <v>-6.7738130767906979</v>
      </c>
      <c r="V74">
        <v>-27.1682803357279</v>
      </c>
      <c r="X74">
        <v>-1.6934532691976745</v>
      </c>
      <c r="Y74">
        <v>6.4579299160680268</v>
      </c>
      <c r="AA74">
        <v>8.386546730802328</v>
      </c>
      <c r="AB74">
        <v>-22.992070083931978</v>
      </c>
    </row>
    <row r="75" spans="18:28">
      <c r="R75">
        <v>260</v>
      </c>
      <c r="S75">
        <v>-6.0776862183425617</v>
      </c>
      <c r="T75">
        <v>-34.468271355427284</v>
      </c>
      <c r="U75">
        <v>-4.8621489746740494</v>
      </c>
      <c r="V75">
        <v>-27.574617084341824</v>
      </c>
      <c r="X75">
        <v>-1.2155372436685123</v>
      </c>
      <c r="Y75">
        <v>6.3563457289145457</v>
      </c>
      <c r="AA75">
        <v>8.8644627563314895</v>
      </c>
      <c r="AB75">
        <v>-23.093654271085459</v>
      </c>
    </row>
    <row r="76" spans="18:28">
      <c r="R76">
        <v>264</v>
      </c>
      <c r="S76">
        <v>-3.6584962143678674</v>
      </c>
      <c r="T76">
        <v>-34.80826633788957</v>
      </c>
      <c r="U76">
        <v>-2.9267969714942943</v>
      </c>
      <c r="V76">
        <v>-27.846613070311655</v>
      </c>
      <c r="X76">
        <v>-0.73169924287357357</v>
      </c>
      <c r="Y76">
        <v>6.2883467324220881</v>
      </c>
      <c r="AA76">
        <v>9.3483007571264274</v>
      </c>
      <c r="AB76">
        <v>-23.161653267577918</v>
      </c>
    </row>
    <row r="77" spans="18:28">
      <c r="R77">
        <v>268</v>
      </c>
      <c r="S77">
        <v>-1.2214823845875578</v>
      </c>
      <c r="T77">
        <v>-34.978678945668349</v>
      </c>
      <c r="U77">
        <v>-0.97718590767004621</v>
      </c>
      <c r="V77">
        <v>-27.982943156534677</v>
      </c>
      <c r="X77">
        <v>-0.24429647691751155</v>
      </c>
      <c r="Y77">
        <v>6.2542642108663324</v>
      </c>
      <c r="AA77">
        <v>9.8357035230824899</v>
      </c>
      <c r="AB77">
        <v>-23.195735789133671</v>
      </c>
    </row>
    <row r="78" spans="18:28">
      <c r="R78">
        <v>272</v>
      </c>
      <c r="S78">
        <v>1.2214823845875449</v>
      </c>
      <c r="T78">
        <v>-34.978678945668349</v>
      </c>
      <c r="U78">
        <v>0.97718590767003588</v>
      </c>
      <c r="V78">
        <v>-27.982943156534681</v>
      </c>
      <c r="X78">
        <v>0.24429647691750897</v>
      </c>
      <c r="Y78">
        <v>6.2542642108663316</v>
      </c>
      <c r="AA78">
        <v>10.32429647691751</v>
      </c>
      <c r="AB78">
        <v>-23.195735789133671</v>
      </c>
    </row>
    <row r="79" spans="18:28">
      <c r="R79">
        <v>276</v>
      </c>
      <c r="S79">
        <v>3.6584962143678545</v>
      </c>
      <c r="T79">
        <v>-34.80826633788957</v>
      </c>
      <c r="U79">
        <v>2.9267969714942836</v>
      </c>
      <c r="V79">
        <v>-27.846613070311655</v>
      </c>
      <c r="X79">
        <v>0.73169924287357091</v>
      </c>
      <c r="Y79">
        <v>6.2883467324220881</v>
      </c>
      <c r="AA79">
        <v>10.811699242873573</v>
      </c>
      <c r="AB79">
        <v>-23.161653267577918</v>
      </c>
    </row>
    <row r="80" spans="18:28">
      <c r="R80">
        <v>280</v>
      </c>
      <c r="S80">
        <v>6.0776862183425493</v>
      </c>
      <c r="T80">
        <v>-34.468271355427284</v>
      </c>
      <c r="U80">
        <v>4.8621489746740387</v>
      </c>
      <c r="V80">
        <v>-27.574617084341828</v>
      </c>
      <c r="X80">
        <v>1.2155372436685097</v>
      </c>
      <c r="Y80">
        <v>6.3563457289145449</v>
      </c>
      <c r="AA80">
        <v>11.295537243668512</v>
      </c>
      <c r="AB80">
        <v>-23.093654271085459</v>
      </c>
    </row>
    <row r="81" spans="18:28">
      <c r="R81">
        <v>284</v>
      </c>
      <c r="S81">
        <v>8.4672663459883601</v>
      </c>
      <c r="T81">
        <v>-33.960350419659882</v>
      </c>
      <c r="U81">
        <v>6.773813076790689</v>
      </c>
      <c r="V81">
        <v>-27.168280335727903</v>
      </c>
      <c r="X81">
        <v>1.6934532691976723</v>
      </c>
      <c r="Y81">
        <v>6.4579299160680259</v>
      </c>
      <c r="AA81">
        <v>11.773453269197674</v>
      </c>
      <c r="AB81">
        <v>-22.992070083931978</v>
      </c>
    </row>
    <row r="82" spans="18:28">
      <c r="R82">
        <v>288</v>
      </c>
      <c r="S82">
        <v>10.815594803123153</v>
      </c>
      <c r="T82">
        <v>-33.286978070330377</v>
      </c>
      <c r="U82">
        <v>8.6524758424985215</v>
      </c>
      <c r="V82">
        <v>-26.629582456264302</v>
      </c>
      <c r="X82">
        <v>2.1631189606246304</v>
      </c>
      <c r="Y82">
        <v>6.5926043859339263</v>
      </c>
      <c r="AA82">
        <v>12.243118960624631</v>
      </c>
      <c r="AB82">
        <v>-22.857395614066078</v>
      </c>
    </row>
    <row r="83" spans="18:28">
      <c r="R83">
        <v>292</v>
      </c>
      <c r="S83">
        <v>13.111230769556919</v>
      </c>
      <c r="T83">
        <v>-32.451434909837559</v>
      </c>
      <c r="U83">
        <v>10.488984615645535</v>
      </c>
      <c r="V83">
        <v>-25.961147927870048</v>
      </c>
      <c r="X83">
        <v>2.6222461539113837</v>
      </c>
      <c r="Y83">
        <v>6.7597130180324898</v>
      </c>
      <c r="AA83">
        <v>12.702246153911386</v>
      </c>
      <c r="AB83">
        <v>-22.690286981967514</v>
      </c>
    </row>
    <row r="84" spans="18:28">
      <c r="R84">
        <v>296</v>
      </c>
      <c r="S84">
        <v>15.34299013761771</v>
      </c>
      <c r="T84">
        <v>-31.457791620470847</v>
      </c>
      <c r="U84">
        <v>12.274392110094167</v>
      </c>
      <c r="V84">
        <v>-25.166233296376678</v>
      </c>
      <c r="X84">
        <v>3.0685980275235418</v>
      </c>
      <c r="Y84">
        <v>6.9584416759058323</v>
      </c>
      <c r="AA84">
        <v>13.148598027523544</v>
      </c>
      <c r="AB84">
        <v>-22.491558324094171</v>
      </c>
    </row>
    <row r="85" spans="18:28">
      <c r="R85">
        <v>300</v>
      </c>
      <c r="S85">
        <v>17.500000000000004</v>
      </c>
      <c r="T85">
        <v>-30.310889132455351</v>
      </c>
      <c r="U85">
        <v>14.000000000000004</v>
      </c>
      <c r="V85">
        <v>-24.248711305964282</v>
      </c>
      <c r="X85">
        <v>3.5000000000000009</v>
      </c>
      <c r="Y85">
        <v>7.1878221735089314</v>
      </c>
      <c r="AA85">
        <v>13.580000000000002</v>
      </c>
      <c r="AB85">
        <v>-22.262177826491072</v>
      </c>
    </row>
    <row r="86" spans="18:28">
      <c r="R86">
        <v>304</v>
      </c>
      <c r="S86">
        <v>19.571751621476118</v>
      </c>
      <c r="T86">
        <v>-29.016315039426473</v>
      </c>
      <c r="U86">
        <v>15.657401297180895</v>
      </c>
      <c r="V86">
        <v>-23.213052031541178</v>
      </c>
      <c r="X86">
        <v>3.9143503242952238</v>
      </c>
      <c r="Y86">
        <v>7.4467369921147073</v>
      </c>
      <c r="AA86">
        <v>13.994350324295226</v>
      </c>
      <c r="AB86">
        <v>-22.003263007885298</v>
      </c>
    </row>
    <row r="87" spans="18:28">
      <c r="R87">
        <v>308</v>
      </c>
      <c r="S87">
        <v>21.54815163639805</v>
      </c>
      <c r="T87">
        <v>-27.580376376235265</v>
      </c>
      <c r="U87">
        <v>17.23852130911844</v>
      </c>
      <c r="V87">
        <v>-22.06430110098821</v>
      </c>
      <c r="X87">
        <v>4.3096303272796099</v>
      </c>
      <c r="Y87">
        <v>7.7339247247529492</v>
      </c>
      <c r="AA87">
        <v>14.389630327279612</v>
      </c>
      <c r="AB87">
        <v>-21.716075275247057</v>
      </c>
    </row>
    <row r="88" spans="18:28">
      <c r="R88">
        <v>312</v>
      </c>
      <c r="S88">
        <v>23.419571222560023</v>
      </c>
      <c r="T88">
        <v>-26.010068891708809</v>
      </c>
      <c r="U88">
        <v>18.73565697804802</v>
      </c>
      <c r="V88">
        <v>-20.808055113367047</v>
      </c>
      <c r="X88">
        <v>4.683914244512005</v>
      </c>
      <c r="Y88">
        <v>8.0479862216582401</v>
      </c>
      <c r="AA88">
        <v>14.763914244512007</v>
      </c>
      <c r="AB88">
        <v>-21.402013778341765</v>
      </c>
    </row>
    <row r="89" spans="18:28">
      <c r="R89">
        <v>316</v>
      </c>
      <c r="S89">
        <v>25.17689301185278</v>
      </c>
      <c r="T89">
        <v>-24.313042966064916</v>
      </c>
      <c r="U89">
        <v>20.141514409482223</v>
      </c>
      <c r="V89">
        <v>-19.450434372851934</v>
      </c>
      <c r="X89">
        <v>5.0353786023705558</v>
      </c>
      <c r="Y89">
        <v>8.3873914067870174</v>
      </c>
      <c r="AA89">
        <v>15.115378602370559</v>
      </c>
      <c r="AB89">
        <v>-21.062608593212985</v>
      </c>
    </row>
    <row r="90" spans="18:28">
      <c r="R90">
        <v>320</v>
      </c>
      <c r="S90">
        <v>26.811555509164222</v>
      </c>
      <c r="T90">
        <v>-22.497566339028886</v>
      </c>
      <c r="U90">
        <v>21.449244407331378</v>
      </c>
      <c r="V90">
        <v>-17.998053071223108</v>
      </c>
      <c r="X90">
        <v>5.3623111018328444</v>
      </c>
      <c r="Y90">
        <v>8.7504867321942257</v>
      </c>
      <c r="AA90">
        <v>15.442311101832846</v>
      </c>
      <c r="AB90">
        <v>-20.699513267805781</v>
      </c>
    </row>
    <row r="91" spans="18:28">
      <c r="R91">
        <v>324</v>
      </c>
      <c r="S91">
        <v>28.315594803123158</v>
      </c>
      <c r="T91">
        <v>-20.572483830236568</v>
      </c>
      <c r="U91">
        <v>22.652475842498525</v>
      </c>
      <c r="V91">
        <v>-16.457987064189254</v>
      </c>
      <c r="X91">
        <v>5.6631189606246313</v>
      </c>
      <c r="Y91">
        <v>9.1355032339526883</v>
      </c>
      <c r="AA91">
        <v>15.743118960624633</v>
      </c>
      <c r="AB91">
        <v>-20.314496766047316</v>
      </c>
    </row>
    <row r="92" spans="18:28">
      <c r="R92">
        <v>328</v>
      </c>
      <c r="S92">
        <v>29.681683365474889</v>
      </c>
      <c r="T92">
        <v>-18.547174248162204</v>
      </c>
      <c r="U92">
        <v>23.745346692379911</v>
      </c>
      <c r="V92">
        <v>-14.837739398529763</v>
      </c>
      <c r="X92">
        <v>5.9363366730949778</v>
      </c>
      <c r="Y92">
        <v>9.540565150367561</v>
      </c>
      <c r="AA92">
        <v>16.01633667309498</v>
      </c>
      <c r="AB92">
        <v>-19.909434849632444</v>
      </c>
    </row>
    <row r="93" spans="18:28">
      <c r="R93">
        <v>332</v>
      </c>
      <c r="S93">
        <v>30.903165750062442</v>
      </c>
      <c r="T93">
        <v>-16.431504697506178</v>
      </c>
      <c r="U93">
        <v>24.722532600049952</v>
      </c>
      <c r="V93">
        <v>-13.145203758004943</v>
      </c>
      <c r="X93">
        <v>6.180633150012488</v>
      </c>
      <c r="Y93">
        <v>9.9636990604987652</v>
      </c>
      <c r="AA93">
        <v>16.260633150012488</v>
      </c>
      <c r="AB93">
        <v>-19.486300939501238</v>
      </c>
    </row>
    <row r="94" spans="18:28">
      <c r="R94">
        <v>336</v>
      </c>
      <c r="S94">
        <v>31.974091017491034</v>
      </c>
      <c r="T94">
        <v>-14.235782507653006</v>
      </c>
      <c r="U94">
        <v>25.579272813992826</v>
      </c>
      <c r="V94">
        <v>-11.388626006122404</v>
      </c>
      <c r="X94">
        <v>6.3948182034982066</v>
      </c>
      <c r="Y94">
        <v>10.402843498469402</v>
      </c>
      <c r="AA94">
        <v>16.474818203498209</v>
      </c>
      <c r="AB94">
        <v>-19.047156501530605</v>
      </c>
    </row>
    <row r="95" spans="18:28">
      <c r="R95">
        <v>340</v>
      </c>
      <c r="S95">
        <v>32.889241727506793</v>
      </c>
      <c r="T95">
        <v>-11.970705016398401</v>
      </c>
      <c r="U95">
        <v>26.311393382005434</v>
      </c>
      <c r="V95">
        <v>-9.5765640131187215</v>
      </c>
      <c r="X95">
        <v>6.5778483455013586</v>
      </c>
      <c r="Y95">
        <v>10.855858996720322</v>
      </c>
      <c r="AA95">
        <v>16.65784834550136</v>
      </c>
      <c r="AB95">
        <v>-18.594141003279685</v>
      </c>
    </row>
    <row r="96" spans="18:28">
      <c r="R96">
        <v>344</v>
      </c>
      <c r="S96">
        <v>33.644159357841154</v>
      </c>
      <c r="T96">
        <v>-9.6473074535949923</v>
      </c>
      <c r="U96">
        <v>26.915327486272922</v>
      </c>
      <c r="V96">
        <v>-7.7178459628759937</v>
      </c>
      <c r="X96">
        <v>6.7288318715682305</v>
      </c>
      <c r="Y96">
        <v>11.320538509281004</v>
      </c>
      <c r="AA96">
        <v>16.808831871568231</v>
      </c>
      <c r="AB96">
        <v>-18.129461490719002</v>
      </c>
    </row>
    <row r="97" spans="18:28">
      <c r="R97">
        <v>348</v>
      </c>
      <c r="S97">
        <v>34.235166025683192</v>
      </c>
      <c r="T97">
        <v>-7.2769091786215956</v>
      </c>
      <c r="U97">
        <v>27.388132820546556</v>
      </c>
      <c r="V97">
        <v>-5.8215273428972765</v>
      </c>
      <c r="X97">
        <v>6.8470332051366389</v>
      </c>
      <c r="Y97">
        <v>11.794618164275683</v>
      </c>
      <c r="AA97">
        <v>16.927033205136642</v>
      </c>
      <c r="AB97">
        <v>-17.65538183572432</v>
      </c>
    </row>
    <row r="98" spans="18:28">
      <c r="R98">
        <v>352</v>
      </c>
      <c r="S98">
        <v>34.659382405954958</v>
      </c>
      <c r="T98">
        <v>-4.871058533602306</v>
      </c>
      <c r="U98">
        <v>27.727505924763967</v>
      </c>
      <c r="V98">
        <v>-3.8968468268818448</v>
      </c>
      <c r="X98">
        <v>6.9318764811909919</v>
      </c>
      <c r="Y98">
        <v>12.27578829327954</v>
      </c>
      <c r="AA98">
        <v>17.011876481190995</v>
      </c>
      <c r="AB98">
        <v>-17.174211706720463</v>
      </c>
    </row>
    <row r="99" spans="18:28">
      <c r="R99">
        <v>356</v>
      </c>
      <c r="S99">
        <v>34.91474175909385</v>
      </c>
      <c r="T99">
        <v>-2.4414765810443666</v>
      </c>
      <c r="U99">
        <v>27.93179340727508</v>
      </c>
      <c r="V99">
        <v>-1.9531812648354934</v>
      </c>
      <c r="X99">
        <v>6.98294835181877</v>
      </c>
      <c r="Y99">
        <v>12.761704683791129</v>
      </c>
      <c r="AA99">
        <v>17.062948351818772</v>
      </c>
      <c r="AB99">
        <v>-16.688295316208876</v>
      </c>
    </row>
    <row r="100" spans="18:28">
      <c r="R100">
        <v>360</v>
      </c>
      <c r="S100">
        <v>35</v>
      </c>
      <c r="T100">
        <v>-8.5760391843603401E-15</v>
      </c>
      <c r="U100">
        <v>28</v>
      </c>
      <c r="V100">
        <v>-6.8608313474882721E-15</v>
      </c>
      <c r="X100">
        <v>7</v>
      </c>
      <c r="Y100">
        <v>13.25</v>
      </c>
      <c r="AA100">
        <v>17.080000000000002</v>
      </c>
      <c r="AB100">
        <v>-16.200000000000003</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71"/>
  <sheetViews>
    <sheetView workbookViewId="0">
      <pane ySplit="2" topLeftCell="A3" activePane="bottomLeft" state="frozenSplit"/>
      <selection pane="bottomLeft" activeCell="B2" sqref="B2"/>
    </sheetView>
  </sheetViews>
  <sheetFormatPr baseColWidth="10" defaultRowHeight="16"/>
  <sheetData>
    <row r="2" spans="2:19" ht="17" thickBot="1">
      <c r="B2" s="3" t="s">
        <v>1827</v>
      </c>
      <c r="C2" s="3" t="s">
        <v>1828</v>
      </c>
      <c r="E2" s="3" t="s">
        <v>1829</v>
      </c>
      <c r="F2" s="3" t="s">
        <v>1830</v>
      </c>
      <c r="G2" s="3" t="s">
        <v>1983</v>
      </c>
      <c r="H2" s="3" t="s">
        <v>1831</v>
      </c>
      <c r="I2" s="3" t="s">
        <v>1832</v>
      </c>
      <c r="J2" s="3" t="s">
        <v>1833</v>
      </c>
      <c r="K2" s="3" t="s">
        <v>1834</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71" xml:space="preserve"> _xlfn.BYROW(ChartLines.Hex6, _xlfn.LAMBDA(_xlpm.hex, IF(LEN(_xlpm.hex)=6, HEX2DEC(LEFT(_xlpm.hex, 2)), "·") ))</f>
        <v>0</v>
      </c>
      <c r="I3" cm="1">
        <f t="array" ref="I3:I371" xml:space="preserve"> _xlfn.BYROW(ChartLines.Hex6, _xlfn.LAMBDA(_xlpm.hex, IF(LEN(_xlpm.hex)=6, HEX2DEC(MID(_xlpm.hex, 3, 2)), "·") ))</f>
        <v>0</v>
      </c>
      <c r="J3" cm="1">
        <f t="array" ref="J3:J371" xml:space="preserve"> _xlfn.BYROW(ChartLines.Hex6, _xlfn.LAMBDA(_xlpm.hex, IF(LEN(_xlpm.hex)=6, HEX2DEC(RIGHT(_xlpm.hex, 2)), "·") ))</f>
        <v>0</v>
      </c>
      <c r="K3" cm="1">
        <f t="array" ref="K3:K371" xml:space="preserve"> _xlfn.SEQUENCE(ROWS(ChartLines.RowNum))</f>
        <v>1</v>
      </c>
    </row>
    <row r="4" spans="2:19">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1981</v>
      </c>
      <c r="P7" t="s">
        <v>23</v>
      </c>
      <c r="Q7" t="s">
        <v>24</v>
      </c>
      <c r="R7" t="s">
        <v>1985</v>
      </c>
      <c r="S7" t="s">
        <v>1986</v>
      </c>
    </row>
    <row r="8" spans="2:19">
      <c r="B8" t="s">
        <v>1835</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1982</v>
      </c>
      <c r="P8">
        <v>3.6</v>
      </c>
      <c r="Q8">
        <v>1.2</v>
      </c>
      <c r="R8">
        <f xml:space="preserve"> $P8 - $Q8</f>
        <v>2.4000000000000004</v>
      </c>
      <c r="S8">
        <f xml:space="preserve"> MAX($P8:$R8)</f>
        <v>3.6</v>
      </c>
    </row>
    <row r="9" spans="2:19">
      <c r="B9" t="s">
        <v>405</v>
      </c>
      <c r="C9" t="s">
        <v>1836</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1987</v>
      </c>
      <c r="P9">
        <v>3</v>
      </c>
      <c r="Q9">
        <v>1</v>
      </c>
      <c r="R9">
        <f xml:space="preserve"> $P9 - $Q9</f>
        <v>2</v>
      </c>
      <c r="S9">
        <f xml:space="preserve"> MAX($P9:$R9)</f>
        <v>3</v>
      </c>
    </row>
    <row r="10" spans="2:19">
      <c r="B10" t="s">
        <v>2673</v>
      </c>
      <c r="C10" t="s">
        <v>1836</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2673</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1984</v>
      </c>
      <c r="P11">
        <f xml:space="preserve"> _xlfn.MAXIFS(ChartLines_Thicknesses.StrokeWidth,   ChartLines_Thicknesses.StrokeWidth,"&gt;0")</f>
        <v>3.6</v>
      </c>
    </row>
    <row r="12" spans="2:19">
      <c r="B12" t="s">
        <v>1835</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1958</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1955</v>
      </c>
      <c r="P13" s="5" t="s">
        <v>1956</v>
      </c>
    </row>
    <row r="14" spans="2:19">
      <c r="B14" t="s">
        <v>1835</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1957</v>
      </c>
      <c r="P14" s="5" t="s">
        <v>15</v>
      </c>
    </row>
    <row r="15" spans="2:19">
      <c r="B15" t="s">
        <v>2254</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2254</v>
      </c>
      <c r="C16" t="s">
        <v>1839</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2255</v>
      </c>
      <c r="C17" t="s">
        <v>1857</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2255</v>
      </c>
      <c r="C18" t="s">
        <v>1940</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2256</v>
      </c>
      <c r="C19" t="s">
        <v>1844</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2256</v>
      </c>
      <c r="C20" t="s">
        <v>1839</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2257</v>
      </c>
      <c r="C21" t="s">
        <v>2253</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2257</v>
      </c>
      <c r="C22" t="s">
        <v>1844</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2258</v>
      </c>
      <c r="C23" t="s">
        <v>1844</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2258</v>
      </c>
      <c r="C24" t="s">
        <v>2253</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1837</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1835</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1539</v>
      </c>
      <c r="C27" t="s">
        <v>1838</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1539</v>
      </c>
      <c r="C28" t="s">
        <v>1839</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2281</v>
      </c>
      <c r="C29" t="s">
        <v>1838</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2281</v>
      </c>
      <c r="C30" t="s">
        <v>2288</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1840</v>
      </c>
      <c r="C31" t="s">
        <v>1838</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1840</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2299</v>
      </c>
      <c r="C33" t="s">
        <v>1838</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2299</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1841</v>
      </c>
      <c r="C35" t="s">
        <v>1842</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1841</v>
      </c>
      <c r="C36" t="s">
        <v>1843</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1844</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1845</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1846</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1847</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794</v>
      </c>
      <c r="C44" t="s">
        <v>1836</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794</v>
      </c>
      <c r="C45" t="s">
        <v>1839</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2652</v>
      </c>
      <c r="C46" t="s">
        <v>1836</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2652</v>
      </c>
      <c r="C47" t="s">
        <v>2660</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2653</v>
      </c>
      <c r="C48" t="s">
        <v>1836</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2653</v>
      </c>
      <c r="C49" t="s">
        <v>2661</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2654</v>
      </c>
      <c r="C50" t="s">
        <v>1836</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2654</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796</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796</v>
      </c>
      <c r="C53" t="s">
        <v>1836</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581</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581</v>
      </c>
      <c r="C55" t="s">
        <v>1839</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2274</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2274</v>
      </c>
      <c r="C57" t="s">
        <v>1838</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598</v>
      </c>
      <c r="C58" t="s">
        <v>1848</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598</v>
      </c>
      <c r="C59" t="s">
        <v>1849</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2276</v>
      </c>
      <c r="C60" t="s">
        <v>1848</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2276</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635</v>
      </c>
      <c r="C62" t="s">
        <v>1850</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635</v>
      </c>
      <c r="C63" t="s">
        <v>1851</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2277</v>
      </c>
      <c r="C64" t="s">
        <v>1850</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2277</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2147</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2148</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2278</v>
      </c>
      <c r="C68" t="s">
        <v>2147</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2278</v>
      </c>
      <c r="C69" t="s">
        <v>2288</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636</v>
      </c>
      <c r="C70" t="s">
        <v>1852</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636</v>
      </c>
      <c r="C71" t="s">
        <v>1853</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2289</v>
      </c>
      <c r="C72" t="s">
        <v>2290</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2289</v>
      </c>
      <c r="C73" t="s">
        <v>1853</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655</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655</v>
      </c>
      <c r="C75" t="s">
        <v>1854</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2291</v>
      </c>
      <c r="C76" t="s">
        <v>1854</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2291</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656</v>
      </c>
      <c r="C78" t="s">
        <v>1844</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656</v>
      </c>
      <c r="C79" t="s">
        <v>1839</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2280</v>
      </c>
      <c r="C80" t="s">
        <v>1844</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2280</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657</v>
      </c>
      <c r="C82" t="s">
        <v>1855</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1835</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2292</v>
      </c>
      <c r="C84" t="s">
        <v>1855</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2292</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1856</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1839</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2296</v>
      </c>
      <c r="C88" t="s">
        <v>1856</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2296</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1857</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1835</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2297</v>
      </c>
      <c r="C92" t="s">
        <v>1857</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2297</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675</v>
      </c>
      <c r="C94" t="s">
        <v>1858</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675</v>
      </c>
      <c r="C95" t="s">
        <v>1859</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2298</v>
      </c>
      <c r="C96" t="s">
        <v>1859</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2298</v>
      </c>
      <c r="C97" t="s">
        <v>1858</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358</v>
      </c>
      <c r="C98" t="s">
        <v>1837</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358</v>
      </c>
      <c r="C99" t="s">
        <v>1860</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2293</v>
      </c>
      <c r="C100" t="s">
        <v>1860</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2293</v>
      </c>
      <c r="C101" t="s">
        <v>1837</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614</v>
      </c>
      <c r="C102" t="s">
        <v>2162</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614</v>
      </c>
      <c r="C103" t="s">
        <v>1861</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1862</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1835</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1666</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1835</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359</v>
      </c>
      <c r="C108" t="s">
        <v>1863</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359</v>
      </c>
      <c r="C109" t="s">
        <v>1864</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676</v>
      </c>
      <c r="C110" t="s">
        <v>1865</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676</v>
      </c>
      <c r="C111" t="s">
        <v>1839</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1866</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694</v>
      </c>
      <c r="C114" t="s">
        <v>1867</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694</v>
      </c>
      <c r="C115" t="s">
        <v>1868</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714</v>
      </c>
      <c r="C116" t="s">
        <v>1869</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714</v>
      </c>
      <c r="C117" t="s">
        <v>2160</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715</v>
      </c>
      <c r="C118" t="s">
        <v>1870</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715</v>
      </c>
      <c r="C119" t="s">
        <v>1871</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1704</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1704</v>
      </c>
      <c r="C121" t="s">
        <v>1872</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795</v>
      </c>
      <c r="C122" t="s">
        <v>1873</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795</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2131</v>
      </c>
      <c r="C124" t="s">
        <v>1862</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2131</v>
      </c>
      <c r="C125" t="s">
        <v>1837</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1857</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1839</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1540</v>
      </c>
      <c r="C129" t="s">
        <v>1874</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1540</v>
      </c>
      <c r="C130" t="s">
        <v>1875</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326</v>
      </c>
      <c r="C131" t="s">
        <v>1980</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1835</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372</v>
      </c>
      <c r="C133" t="s">
        <v>1877</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372</v>
      </c>
      <c r="C134" t="s">
        <v>1876</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357</v>
      </c>
      <c r="C135" t="s">
        <v>1842</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357</v>
      </c>
      <c r="C136" t="s">
        <v>1878</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376</v>
      </c>
      <c r="C137" t="s">
        <v>1879</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376</v>
      </c>
      <c r="C138" t="s">
        <v>1880</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393</v>
      </c>
      <c r="C139" t="s">
        <v>1881</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393</v>
      </c>
      <c r="C140" t="s">
        <v>1839</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1882</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1883</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1884</v>
      </c>
      <c r="C144" t="s">
        <v>1838</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1835</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1885</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1839</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1886</v>
      </c>
      <c r="C148" t="s">
        <v>1887</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1886</v>
      </c>
      <c r="C149" t="s">
        <v>1888</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1889</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1835</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1890</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1838</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1839</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1891</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2379</v>
      </c>
      <c r="C158" t="s">
        <v>2408</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2379</v>
      </c>
      <c r="C159" t="s">
        <v>2407</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1892</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1880</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261</v>
      </c>
      <c r="C162" t="s">
        <v>1893</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261</v>
      </c>
      <c r="C163" t="s">
        <v>1894</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296</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296</v>
      </c>
      <c r="C165" t="s">
        <v>1839</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1895</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1839</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1896</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1897</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1898</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1899</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1900</v>
      </c>
      <c r="C172" t="s">
        <v>1901</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1900</v>
      </c>
      <c r="C173" t="s">
        <v>1902</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2311</v>
      </c>
      <c r="C174" t="s">
        <v>2406</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2311</v>
      </c>
      <c r="C175" t="s">
        <v>2405</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2409</v>
      </c>
      <c r="C176" t="s">
        <v>1940</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2409</v>
      </c>
      <c r="C177" t="s">
        <v>2410</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1614</v>
      </c>
      <c r="C178" t="s">
        <v>1903</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1614</v>
      </c>
      <c r="C179" t="s">
        <v>1904</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2420</v>
      </c>
      <c r="C180" t="s">
        <v>2422</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2420</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2268</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2268</v>
      </c>
      <c r="C183" t="s">
        <v>2301</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2682</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1835</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879</v>
      </c>
      <c r="C187" t="s">
        <v>1905</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879</v>
      </c>
      <c r="C188" t="s">
        <v>1906</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394</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394</v>
      </c>
      <c r="C190" t="s">
        <v>1857</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406</v>
      </c>
      <c r="C191" t="s">
        <v>1907</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406</v>
      </c>
      <c r="C192" t="s">
        <v>1908</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1670</v>
      </c>
      <c r="C193" t="s">
        <v>1909</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1670</v>
      </c>
      <c r="C194" t="s">
        <v>1910</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1911</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1979</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1912</v>
      </c>
      <c r="C197" t="s">
        <v>1838</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1912</v>
      </c>
      <c r="C198" t="s">
        <v>1839</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2414</v>
      </c>
      <c r="C199" t="s">
        <v>2416</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2414</v>
      </c>
      <c r="C200" t="s">
        <v>1839</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2415</v>
      </c>
      <c r="C201" t="s">
        <v>1934</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2415</v>
      </c>
      <c r="C202" t="s">
        <v>2417</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2154</v>
      </c>
      <c r="C203" t="s">
        <v>1913</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2154</v>
      </c>
      <c r="C204" t="s">
        <v>1839</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407</v>
      </c>
      <c r="C205" t="s">
        <v>2077</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407</v>
      </c>
      <c r="C206" t="s">
        <v>2068</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1914</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1835</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1839</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459</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459</v>
      </c>
      <c r="C213" t="s">
        <v>1837</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1978</v>
      </c>
      <c r="C214" t="s">
        <v>1844</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1978</v>
      </c>
      <c r="C215" t="s">
        <v>1979</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473</v>
      </c>
      <c r="C216" t="s">
        <v>1915</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473</v>
      </c>
      <c r="C217" t="s">
        <v>1839</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2413</v>
      </c>
      <c r="C218" t="s">
        <v>1857</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1916</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1916</v>
      </c>
      <c r="C220" t="s">
        <v>1917</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2026</v>
      </c>
      <c r="C221" t="s">
        <v>2025</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2026</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2310</v>
      </c>
      <c r="C223" t="s">
        <v>2404</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2310</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491</v>
      </c>
      <c r="C225" t="s">
        <v>1917</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491</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1837</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2306</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2306</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1918</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1918</v>
      </c>
      <c r="C232" t="s">
        <v>1839</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1919</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1839</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1920</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1624</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1624</v>
      </c>
      <c r="C238" t="s">
        <v>1839</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492</v>
      </c>
      <c r="C239" t="s">
        <v>1921</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492</v>
      </c>
      <c r="C240" t="s">
        <v>1839</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900</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900</v>
      </c>
      <c r="C242" t="s">
        <v>1922</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510</v>
      </c>
      <c r="C243" t="s">
        <v>1923</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510</v>
      </c>
      <c r="C244" t="s">
        <v>1839</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433</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433</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1839</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1617</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1617</v>
      </c>
      <c r="C251" t="s">
        <v>1924</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2005</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2005</v>
      </c>
      <c r="C253" t="s">
        <v>1839</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1627</v>
      </c>
      <c r="C254" t="s">
        <v>1925</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1627</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1623</v>
      </c>
      <c r="C256" t="s">
        <v>1880</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1623</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1637</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1637</v>
      </c>
      <c r="C259" t="s">
        <v>1926</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1620</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1620</v>
      </c>
      <c r="C261" t="s">
        <v>1927</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1959</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1959</v>
      </c>
      <c r="C263" t="s">
        <v>1845</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1929</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1928</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1852</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1930</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1931</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2418</v>
      </c>
      <c r="C270" t="s">
        <v>1880</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2418</v>
      </c>
      <c r="C271" t="s">
        <v>1917</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2151</v>
      </c>
      <c r="C272" t="s">
        <v>1844</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2151</v>
      </c>
      <c r="C273" t="s">
        <v>1843</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2677</v>
      </c>
      <c r="C274" t="s">
        <v>2681</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1835</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2683</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2683</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526</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526</v>
      </c>
      <c r="C280" t="s">
        <v>1844</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528</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528</v>
      </c>
      <c r="C282" t="s">
        <v>1932</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1933</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1934</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1843</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1844</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1839</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544</v>
      </c>
      <c r="C289" t="s">
        <v>2161</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544</v>
      </c>
      <c r="C290" t="s">
        <v>1839</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1935</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1839</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1936</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1936</v>
      </c>
      <c r="C294" t="s">
        <v>1839</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560</v>
      </c>
      <c r="C295" t="s">
        <v>1937</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560</v>
      </c>
      <c r="C296" t="s">
        <v>1844</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563</v>
      </c>
      <c r="C297" t="s">
        <v>1866</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563</v>
      </c>
      <c r="C298" t="s">
        <v>1845</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2314</v>
      </c>
      <c r="C299" t="s">
        <v>2411</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2314</v>
      </c>
      <c r="C300" t="s">
        <v>2412</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2309</v>
      </c>
      <c r="C301" t="s">
        <v>1938</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2309</v>
      </c>
      <c r="C302" t="s">
        <v>1852</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1923</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1839</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2357</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2357</v>
      </c>
      <c r="C306" t="s">
        <v>1857</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2377</v>
      </c>
      <c r="C307" t="s">
        <v>2403</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2377</v>
      </c>
      <c r="C308" t="s">
        <v>1839</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1707</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1707</v>
      </c>
      <c r="C310" t="s">
        <v>1939</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578</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578</v>
      </c>
      <c r="C312" t="s">
        <v>1917</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579</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579</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580</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580</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1776</v>
      </c>
      <c r="C317" t="s">
        <v>1940</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1776</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2444</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971</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971</v>
      </c>
      <c r="C323" t="s">
        <v>1839</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2246</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2246</v>
      </c>
      <c r="C325" t="s">
        <v>1839</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1941</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1941</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798</v>
      </c>
      <c r="C328" t="s">
        <v>2130</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2247</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2247</v>
      </c>
      <c r="C330" t="s">
        <v>2250</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1835</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1942</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1835</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1943</v>
      </c>
      <c r="C334" t="s">
        <v>1944</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1943</v>
      </c>
      <c r="C335" t="s">
        <v>1839</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955</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955</v>
      </c>
      <c r="C337" t="s">
        <v>1839</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2042</v>
      </c>
      <c r="C340" t="s">
        <v>2043</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2042</v>
      </c>
      <c r="C341" t="s">
        <v>2044</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992</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992</v>
      </c>
      <c r="C343" t="s">
        <v>1839</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2032</v>
      </c>
      <c r="C344" t="s">
        <v>2035</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2032</v>
      </c>
      <c r="C345" t="s">
        <v>2036</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2037</v>
      </c>
      <c r="C346" t="s">
        <v>2040</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2037</v>
      </c>
      <c r="C347" t="s">
        <v>2041</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1050</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1050</v>
      </c>
      <c r="C349" t="s">
        <v>1945</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1946</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1946</v>
      </c>
      <c r="C351" t="s">
        <v>1839</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1947</v>
      </c>
      <c r="C352" t="s">
        <v>1948</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1835</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E363" si="424" xml:space="preserve"> IF(AND(LEN(ChartLines.ID)&gt;0,"Unused"&lt;&gt;ChartLines.ID), COUNTIFS(ChartLines.ID,ChartLines.ID), "·")</f>
        <v>·</v>
      </c>
      <c r="F354" t="str">
        <f t="shared" ref="F354:F363"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2715</v>
      </c>
      <c r="C355" t="s">
        <v>2724</v>
      </c>
      <c r="E355">
        <f t="shared" si="424"/>
        <v>1</v>
      </c>
      <c r="F355">
        <f t="shared" si="425"/>
        <v>1</v>
      </c>
      <c r="G355" t="str" cm="1">
        <f t="array" ref="G355" xml:space="preserve"> _xlfn.IFS(OR(LEN(_xlfn.SINGLE(ChartLines.ID))=0,"Unused"=_xlfn.SINGLE(ChartLines.ID)), "·",   1=_xlfn.SINGLE(ChartLines.NumInstances), IF("USD"=_xlfn.SINGLE(ChartLines.ID), "SoleBig", "SoleOrdinary"),   1=_xlfn.SINGLE(ChartLines.InstanceNum), "Outer",   TRUE, "Inner")</f>
        <v>SoleOrdinary</v>
      </c>
      <c r="H355">
        <v>147</v>
      </c>
      <c r="I355">
        <v>122</v>
      </c>
      <c r="J355">
        <v>54</v>
      </c>
      <c r="K355">
        <v>353</v>
      </c>
    </row>
    <row r="356" spans="2:11">
      <c r="B356" t="s">
        <v>1835</v>
      </c>
      <c r="E356" t="str">
        <f t="shared" si="424"/>
        <v>·</v>
      </c>
      <c r="F356" t="str">
        <f t="shared" si="425"/>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2717</v>
      </c>
      <c r="C357" t="str">
        <f xml:space="preserve"> "572600"</f>
        <v>572600</v>
      </c>
      <c r="E357">
        <f t="shared" si="424"/>
        <v>2</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87</v>
      </c>
      <c r="I357">
        <v>38</v>
      </c>
      <c r="J357">
        <v>0</v>
      </c>
      <c r="K357">
        <v>355</v>
      </c>
    </row>
    <row r="358" spans="2:11">
      <c r="B358" t="s">
        <v>2717</v>
      </c>
      <c r="C358" t="s">
        <v>2725</v>
      </c>
      <c r="E358">
        <f t="shared" si="424"/>
        <v>2</v>
      </c>
      <c r="F358">
        <f t="shared" si="425"/>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253</v>
      </c>
      <c r="I358">
        <v>184</v>
      </c>
      <c r="J358">
        <v>19</v>
      </c>
      <c r="K358">
        <v>356</v>
      </c>
    </row>
    <row r="359" spans="2:11">
      <c r="B359" t="s">
        <v>2718</v>
      </c>
      <c r="C359" t="s">
        <v>2722</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30</v>
      </c>
      <c r="I359">
        <v>44</v>
      </c>
      <c r="J359">
        <v>82</v>
      </c>
      <c r="K359">
        <v>357</v>
      </c>
    </row>
    <row r="360" spans="2:11">
      <c r="B360" t="s">
        <v>2718</v>
      </c>
      <c r="C360" t="s">
        <v>2723</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181</v>
      </c>
      <c r="I360">
        <v>22</v>
      </c>
      <c r="J360">
        <v>61</v>
      </c>
      <c r="K360">
        <v>358</v>
      </c>
    </row>
    <row r="361" spans="2:11">
      <c r="B361" t="s">
        <v>2719</v>
      </c>
      <c r="C361" t="str">
        <f xml:space="preserve"> "002096"</f>
        <v>002096</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0</v>
      </c>
      <c r="I361">
        <v>32</v>
      </c>
      <c r="J361">
        <v>150</v>
      </c>
      <c r="K361">
        <v>359</v>
      </c>
    </row>
    <row r="362" spans="2:11">
      <c r="B362" t="s">
        <v>2719</v>
      </c>
      <c r="C362" t="str">
        <f xml:space="preserve"> "009008"</f>
        <v>009008</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0</v>
      </c>
      <c r="I362">
        <v>144</v>
      </c>
      <c r="J362">
        <v>8</v>
      </c>
      <c r="K362">
        <v>360</v>
      </c>
    </row>
    <row r="363" spans="2:11">
      <c r="E363" t="str">
        <f t="shared" si="424"/>
        <v>·</v>
      </c>
      <c r="F363" t="str">
        <f t="shared" si="425"/>
        <v>·</v>
      </c>
      <c r="G363" t="str" cm="1">
        <f t="array" ref="G363" xml:space="preserve"> _xlfn.IFS(OR(LEN(_xlfn.SINGLE(ChartLines.ID))=0,"Unused"=_xlfn.SINGLE(ChartLines.ID)), "·",   1=_xlfn.SINGLE(ChartLines.NumInstances), IF("USD"=_xlfn.SINGLE(ChartLines.ID), "SoleBig", "SoleOrdinary"),   1=_xlfn.SINGLE(ChartLines.InstanceNum), "Outer",   TRUE, "Inner")</f>
        <v>·</v>
      </c>
      <c r="H363" t="str">
        <v>·</v>
      </c>
      <c r="I363" t="str">
        <v>·</v>
      </c>
      <c r="J363" t="str">
        <v>·</v>
      </c>
      <c r="K363">
        <v>361</v>
      </c>
    </row>
    <row r="364" spans="2:11">
      <c r="B364" t="s">
        <v>1949</v>
      </c>
      <c r="C364" t="str">
        <f xml:space="preserve"> "996515"</f>
        <v>996515</v>
      </c>
      <c r="E364">
        <f t="shared" ref="E364" si="426" xml:space="preserve"> IF(AND(LEN(ChartLines.ID)&gt;0,"Unused"&lt;&gt;ChartLines.ID), COUNTIFS(ChartLines.ID,ChartLines.ID), "·")</f>
        <v>2</v>
      </c>
      <c r="F364">
        <f t="shared" ref="F364" si="427" xml:space="preserve"> IF(AND(LEN(ChartLines.ID)&gt;0,"Unused"&lt;&gt;ChartLines.ID), COUNTIFS(ChartLines.ID,ChartLines.ID,   ChartLines.RowNum,"&lt;="&amp;ChartLines.RowNum), "·")</f>
        <v>1</v>
      </c>
      <c r="G364" t="str" cm="1">
        <f t="array" ref="G364" xml:space="preserve"> _xlfn.IFS(OR(LEN(_xlfn.SINGLE(ChartLines.ID))=0,"Unused"=_xlfn.SINGLE(ChartLines.ID)), "·",   1=_xlfn.SINGLE(ChartLines.NumInstances), IF("USD"=_xlfn.SINGLE(ChartLines.ID), "SoleBig", "SoleOrdinary"),   1=_xlfn.SINGLE(ChartLines.InstanceNum), "Outer",   TRUE, "Inner")</f>
        <v>Outer</v>
      </c>
      <c r="H364">
        <v>153</v>
      </c>
      <c r="I364">
        <v>101</v>
      </c>
      <c r="J364">
        <v>21</v>
      </c>
      <c r="K364">
        <v>362</v>
      </c>
    </row>
    <row r="365" spans="2:11">
      <c r="B365" t="s">
        <v>1949</v>
      </c>
      <c r="C365" t="str">
        <f xml:space="preserve"> "D4AF37"</f>
        <v>D4AF37</v>
      </c>
      <c r="E365">
        <f t="shared" ref="E365" si="428" xml:space="preserve"> IF(AND(LEN(ChartLines.ID)&gt;0,"Unused"&lt;&gt;ChartLines.ID), COUNTIFS(ChartLines.ID,ChartLines.ID), "·")</f>
        <v>2</v>
      </c>
      <c r="F365">
        <f t="shared" ref="F365" si="429" xml:space="preserve"> IF(AND(LEN(ChartLines.ID)&gt;0,"Unused"&lt;&gt;ChartLines.ID), COUNTIFS(ChartLines.ID,ChartLines.ID,   ChartLines.RowNum,"&lt;="&amp;ChartLines.RowNum), "·")</f>
        <v>2</v>
      </c>
      <c r="G365" t="str" cm="1">
        <f t="array" ref="G365" xml:space="preserve"> _xlfn.IFS(OR(LEN(_xlfn.SINGLE(ChartLines.ID))=0,"Unused"=_xlfn.SINGLE(ChartLines.ID)), "·",   1=_xlfn.SINGLE(ChartLines.NumInstances), IF("USD"=_xlfn.SINGLE(ChartLines.ID), "SoleBig", "SoleOrdinary"),   1=_xlfn.SINGLE(ChartLines.InstanceNum), "Outer",   TRUE, "Inner")</f>
        <v>Inner</v>
      </c>
      <c r="H365">
        <v>212</v>
      </c>
      <c r="I365">
        <v>175</v>
      </c>
      <c r="J365">
        <v>55</v>
      </c>
      <c r="K365">
        <v>363</v>
      </c>
    </row>
    <row r="366" spans="2:11">
      <c r="B366" t="s">
        <v>1950</v>
      </c>
      <c r="C366" t="s">
        <v>1951</v>
      </c>
      <c r="E366">
        <f t="shared" ref="E366" si="430" xml:space="preserve"> IF(AND(LEN(ChartLines.ID)&gt;0,"Unused"&lt;&gt;ChartLines.ID), COUNTIFS(ChartLines.ID,ChartLines.ID), "·")</f>
        <v>2</v>
      </c>
      <c r="F366">
        <f t="shared" ref="F366" si="431"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92</v>
      </c>
      <c r="I366">
        <v>92</v>
      </c>
      <c r="J366">
        <v>92</v>
      </c>
      <c r="K366">
        <v>364</v>
      </c>
    </row>
    <row r="367" spans="2:11">
      <c r="B367" t="s">
        <v>1950</v>
      </c>
      <c r="C367" t="str">
        <f xml:space="preserve"> "C0C0C0"</f>
        <v>C0C0C0</v>
      </c>
      <c r="E367">
        <f t="shared" ref="E367" si="432" xml:space="preserve"> IF(AND(LEN(ChartLines.ID)&gt;0,"Unused"&lt;&gt;ChartLines.ID), COUNTIFS(ChartLines.ID,ChartLines.ID), "·")</f>
        <v>2</v>
      </c>
      <c r="F367">
        <f t="shared" ref="F367" si="433"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192</v>
      </c>
      <c r="I367">
        <v>192</v>
      </c>
      <c r="J367">
        <v>192</v>
      </c>
      <c r="K367">
        <v>365</v>
      </c>
    </row>
    <row r="368" spans="2:11">
      <c r="B368" t="s">
        <v>929</v>
      </c>
      <c r="C368" t="s">
        <v>1952</v>
      </c>
      <c r="E368">
        <f t="shared" ref="E368" si="434" xml:space="preserve"> IF(AND(LEN(ChartLines.ID)&gt;0,"Unused"&lt;&gt;ChartLines.ID), COUNTIFS(ChartLines.ID,ChartLines.ID), "·")</f>
        <v>2</v>
      </c>
      <c r="F368">
        <f t="shared" ref="F368" si="435"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217</v>
      </c>
      <c r="I368">
        <v>91</v>
      </c>
      <c r="J368">
        <v>20</v>
      </c>
      <c r="K368">
        <v>366</v>
      </c>
    </row>
    <row r="369" spans="2:11">
      <c r="B369" t="s">
        <v>929</v>
      </c>
      <c r="C369" t="s">
        <v>1953</v>
      </c>
      <c r="E369">
        <f t="shared" ref="E369:E371" si="436" xml:space="preserve"> IF(AND(LEN(ChartLines.ID)&gt;0,"Unused"&lt;&gt;ChartLines.ID), COUNTIFS(ChartLines.ID,ChartLines.ID), "·")</f>
        <v>2</v>
      </c>
      <c r="F369">
        <f t="shared" ref="F369:F371" si="437"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199</v>
      </c>
      <c r="I369">
        <v>199</v>
      </c>
      <c r="J369">
        <v>199</v>
      </c>
      <c r="K369">
        <v>367</v>
      </c>
    </row>
    <row r="370" spans="2:11">
      <c r="H370" t="str">
        <v>·</v>
      </c>
      <c r="I370" t="str">
        <v>·</v>
      </c>
      <c r="J370" t="str">
        <v>·</v>
      </c>
      <c r="K370">
        <v>368</v>
      </c>
    </row>
    <row r="371" spans="2:11">
      <c r="B371" t="s">
        <v>2617</v>
      </c>
      <c r="C371" t="s">
        <v>2617</v>
      </c>
      <c r="E371">
        <f t="shared" si="436"/>
        <v>1</v>
      </c>
      <c r="F371">
        <f t="shared" si="437"/>
        <v>1</v>
      </c>
      <c r="G371" t="str" cm="1">
        <f t="array" ref="G371" xml:space="preserve"> _xlfn.IFS(OR(LEN(_xlfn.SINGLE(ChartLines.ID))=0,"Unused"=_xlfn.SINGLE(ChartLines.ID)), "·",   1=_xlfn.SINGLE(ChartLines.NumInstances), IF("USD"=_xlfn.SINGLE(ChartLines.ID), "SoleBig", "SoleOrdinary"),   1=_xlfn.SINGLE(ChartLines.InstanceNum), "Outer",   TRUE, "Inner")</f>
        <v>SoleOrdinary</v>
      </c>
      <c r="H371" t="str">
        <v>·</v>
      </c>
      <c r="I371" t="str">
        <v>·</v>
      </c>
      <c r="J371" t="str">
        <v>·</v>
      </c>
      <c r="K371">
        <v>369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5"/>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2446</v>
      </c>
      <c r="C5" s="35" t="s">
        <v>2447</v>
      </c>
      <c r="D5" s="35" t="s">
        <v>2448</v>
      </c>
      <c r="E5" s="35" t="s">
        <v>2449</v>
      </c>
    </row>
    <row r="7" spans="2:5">
      <c r="B7" s="5" t="s">
        <v>2</v>
      </c>
      <c r="C7" s="5" t="s">
        <v>2640</v>
      </c>
      <c r="E7" s="5" t="s">
        <v>2641</v>
      </c>
    </row>
    <row r="8" spans="2:5">
      <c r="B8" s="5" t="s">
        <v>2648</v>
      </c>
      <c r="C8" s="5" t="s">
        <v>2662</v>
      </c>
      <c r="D8" s="5" t="s">
        <v>2664</v>
      </c>
    </row>
    <row r="9" spans="2:5">
      <c r="B9" s="5" t="s">
        <v>2651</v>
      </c>
      <c r="C9" s="5" t="s">
        <v>2663</v>
      </c>
      <c r="D9" s="5" t="s">
        <v>2665</v>
      </c>
    </row>
    <row r="10" spans="2:5">
      <c r="B10" s="5" t="s">
        <v>405</v>
      </c>
      <c r="C10" s="5" t="s">
        <v>2450</v>
      </c>
      <c r="D10" s="5" t="s">
        <v>2674</v>
      </c>
    </row>
    <row r="11" spans="2:5">
      <c r="B11" s="5" t="s">
        <v>2673</v>
      </c>
      <c r="C11" s="5" t="s">
        <v>2676</v>
      </c>
      <c r="D11" s="5" t="s">
        <v>2675</v>
      </c>
    </row>
    <row r="12" spans="2:5">
      <c r="B12" s="5" t="s">
        <v>0</v>
      </c>
      <c r="C12" s="5" t="s">
        <v>2451</v>
      </c>
      <c r="D12" s="5" t="s">
        <v>2452</v>
      </c>
    </row>
    <row r="13" spans="2:5">
      <c r="B13" s="5" t="s">
        <v>2256</v>
      </c>
      <c r="C13" s="5" t="s">
        <v>2453</v>
      </c>
    </row>
    <row r="14" spans="2:5">
      <c r="B14" s="5" t="s">
        <v>2254</v>
      </c>
      <c r="C14" s="5" t="s">
        <v>2454</v>
      </c>
    </row>
    <row r="15" spans="2:5">
      <c r="B15" s="5" t="s">
        <v>2257</v>
      </c>
      <c r="C15" s="5" t="s">
        <v>2455</v>
      </c>
    </row>
    <row r="16" spans="2:5">
      <c r="B16" s="5" t="s">
        <v>2255</v>
      </c>
      <c r="C16" s="5" t="s">
        <v>2456</v>
      </c>
    </row>
    <row r="17" spans="2:5">
      <c r="B17" s="5" t="s">
        <v>2258</v>
      </c>
      <c r="C17" s="5" t="s">
        <v>2457</v>
      </c>
      <c r="D17" s="5" t="s">
        <v>2626</v>
      </c>
    </row>
    <row r="18" spans="2:5">
      <c r="B18" s="5" t="s">
        <v>7</v>
      </c>
      <c r="C18" s="5" t="s">
        <v>2458</v>
      </c>
    </row>
    <row r="19" spans="2:5">
      <c r="B19" s="5" t="s">
        <v>1539</v>
      </c>
      <c r="C19" s="5" t="s">
        <v>2459</v>
      </c>
      <c r="D19" s="5" t="s">
        <v>2460</v>
      </c>
    </row>
    <row r="20" spans="2:5">
      <c r="B20" s="5" t="s">
        <v>2281</v>
      </c>
      <c r="C20" s="5" t="s">
        <v>2461</v>
      </c>
      <c r="D20" s="5" t="s">
        <v>2462</v>
      </c>
    </row>
    <row r="21" spans="2:5">
      <c r="B21" s="5" t="s">
        <v>1840</v>
      </c>
      <c r="C21" s="5" t="s">
        <v>2463</v>
      </c>
      <c r="D21" s="5" t="s">
        <v>2464</v>
      </c>
    </row>
    <row r="22" spans="2:5">
      <c r="B22" s="5" t="s">
        <v>2299</v>
      </c>
      <c r="C22" s="5" t="s">
        <v>2465</v>
      </c>
      <c r="D22" s="5" t="s">
        <v>2466</v>
      </c>
    </row>
    <row r="23" spans="2:5">
      <c r="B23" s="5" t="s">
        <v>1841</v>
      </c>
      <c r="C23" s="5" t="s">
        <v>2467</v>
      </c>
    </row>
    <row r="24" spans="2:5">
      <c r="B24" s="5" t="s">
        <v>122</v>
      </c>
      <c r="C24" s="5" t="s">
        <v>2468</v>
      </c>
    </row>
    <row r="25" spans="2:5">
      <c r="B25" s="5" t="s">
        <v>126</v>
      </c>
      <c r="C25" s="5" t="s">
        <v>2469</v>
      </c>
    </row>
    <row r="26" spans="2:5">
      <c r="B26" s="5" t="s">
        <v>128</v>
      </c>
      <c r="C26" s="5" t="s">
        <v>2470</v>
      </c>
    </row>
    <row r="27" spans="2:5">
      <c r="B27" s="5" t="s">
        <v>133</v>
      </c>
      <c r="C27" s="5" t="s">
        <v>2471</v>
      </c>
    </row>
    <row r="28" spans="2:5">
      <c r="B28" s="5" t="s">
        <v>1884</v>
      </c>
      <c r="C28" s="5" t="s">
        <v>2647</v>
      </c>
    </row>
    <row r="29" spans="2:5">
      <c r="B29" s="5" t="s">
        <v>203</v>
      </c>
      <c r="C29" s="5" t="s">
        <v>2472</v>
      </c>
    </row>
    <row r="30" spans="2:5">
      <c r="B30" s="5" t="s">
        <v>1886</v>
      </c>
      <c r="C30" s="5" t="s">
        <v>2630</v>
      </c>
      <c r="E30" s="5" t="s">
        <v>2631</v>
      </c>
    </row>
    <row r="31" spans="2:5">
      <c r="B31" s="5" t="s">
        <v>136</v>
      </c>
      <c r="C31" s="5" t="s">
        <v>2473</v>
      </c>
    </row>
    <row r="32" spans="2:5">
      <c r="B32" s="5" t="s">
        <v>235</v>
      </c>
      <c r="C32" s="5" t="s">
        <v>2632</v>
      </c>
      <c r="E32" s="5" t="s">
        <v>2633</v>
      </c>
    </row>
    <row r="33" spans="2:3">
      <c r="B33" s="5" t="s">
        <v>162</v>
      </c>
      <c r="C33" s="5" t="s">
        <v>2474</v>
      </c>
    </row>
    <row r="34" spans="2:3">
      <c r="B34" s="5" t="s">
        <v>163</v>
      </c>
      <c r="C34" s="5" t="s">
        <v>2475</v>
      </c>
    </row>
    <row r="35" spans="2:3">
      <c r="B35" s="5" t="s">
        <v>2379</v>
      </c>
      <c r="C35" s="5" t="s">
        <v>2476</v>
      </c>
    </row>
    <row r="36" spans="2:3">
      <c r="B36" s="5" t="s">
        <v>248</v>
      </c>
      <c r="C36" s="5" t="s">
        <v>2477</v>
      </c>
    </row>
    <row r="37" spans="2:3">
      <c r="B37" s="5" t="s">
        <v>261</v>
      </c>
      <c r="C37" s="5" t="s">
        <v>2478</v>
      </c>
    </row>
    <row r="38" spans="2:3">
      <c r="B38" s="5" t="s">
        <v>296</v>
      </c>
      <c r="C38" s="5" t="s">
        <v>2479</v>
      </c>
    </row>
    <row r="39" spans="2:3">
      <c r="B39" s="5" t="s">
        <v>135</v>
      </c>
      <c r="C39" s="5" t="s">
        <v>2480</v>
      </c>
    </row>
    <row r="40" spans="2:3">
      <c r="B40" s="5" t="s">
        <v>97</v>
      </c>
      <c r="C40" s="5" t="s">
        <v>2481</v>
      </c>
    </row>
    <row r="41" spans="2:3">
      <c r="B41" s="5" t="s">
        <v>164</v>
      </c>
      <c r="C41" s="5" t="s">
        <v>2482</v>
      </c>
    </row>
    <row r="42" spans="2:3">
      <c r="B42" s="5" t="s">
        <v>2420</v>
      </c>
      <c r="C42" s="5" t="s">
        <v>2625</v>
      </c>
    </row>
    <row r="43" spans="2:3">
      <c r="B43" s="5" t="s">
        <v>1900</v>
      </c>
      <c r="C43" s="5" t="s">
        <v>2483</v>
      </c>
    </row>
    <row r="44" spans="2:3">
      <c r="B44" s="5" t="s">
        <v>2311</v>
      </c>
      <c r="C44" s="5" t="s">
        <v>2484</v>
      </c>
    </row>
    <row r="45" spans="2:3">
      <c r="B45" s="5" t="s">
        <v>2409</v>
      </c>
      <c r="C45" s="5" t="s">
        <v>2485</v>
      </c>
    </row>
    <row r="46" spans="2:3">
      <c r="B46" s="5" t="s">
        <v>1614</v>
      </c>
      <c r="C46" s="5" t="s">
        <v>2486</v>
      </c>
    </row>
    <row r="47" spans="2:3">
      <c r="B47" s="5" t="s">
        <v>2268</v>
      </c>
      <c r="C47" s="5" t="s">
        <v>2487</v>
      </c>
    </row>
    <row r="48" spans="2:3">
      <c r="B48" s="5" t="s">
        <v>2682</v>
      </c>
      <c r="C48" s="5" t="s">
        <v>2686</v>
      </c>
    </row>
    <row r="49" spans="2:5">
      <c r="B49" s="5" t="s">
        <v>132</v>
      </c>
      <c r="C49" s="5" t="s">
        <v>2488</v>
      </c>
    </row>
    <row r="50" spans="2:5">
      <c r="B50" s="5" t="s">
        <v>1540</v>
      </c>
      <c r="C50" s="5" t="s">
        <v>2489</v>
      </c>
    </row>
    <row r="51" spans="2:5">
      <c r="B51" s="5" t="s">
        <v>326</v>
      </c>
      <c r="C51" s="5" t="s">
        <v>2490</v>
      </c>
    </row>
    <row r="52" spans="2:5">
      <c r="B52" s="5" t="s">
        <v>372</v>
      </c>
      <c r="C52" s="5" t="s">
        <v>2491</v>
      </c>
    </row>
    <row r="53" spans="2:5">
      <c r="B53" s="5" t="s">
        <v>357</v>
      </c>
      <c r="C53" s="5" t="s">
        <v>2638</v>
      </c>
    </row>
    <row r="54" spans="2:5">
      <c r="B54" s="5" t="s">
        <v>376</v>
      </c>
      <c r="C54" s="5" t="s">
        <v>2492</v>
      </c>
    </row>
    <row r="55" spans="2:5">
      <c r="B55" s="5" t="s">
        <v>393</v>
      </c>
      <c r="C55" s="5" t="s">
        <v>2493</v>
      </c>
    </row>
    <row r="56" spans="2:5">
      <c r="B56" s="5" t="s">
        <v>879</v>
      </c>
      <c r="C56" s="5" t="s">
        <v>2494</v>
      </c>
    </row>
    <row r="57" spans="2:5">
      <c r="B57" s="5" t="s">
        <v>394</v>
      </c>
      <c r="C57" s="5" t="s">
        <v>2495</v>
      </c>
    </row>
    <row r="58" spans="2:5">
      <c r="B58" s="5" t="s">
        <v>406</v>
      </c>
      <c r="C58" s="5" t="s">
        <v>2496</v>
      </c>
    </row>
    <row r="59" spans="2:5">
      <c r="B59" s="5" t="s">
        <v>1670</v>
      </c>
      <c r="C59" s="5" t="s">
        <v>2497</v>
      </c>
    </row>
    <row r="60" spans="2:5">
      <c r="B60" s="5" t="s">
        <v>165</v>
      </c>
      <c r="C60" s="5" t="s">
        <v>2498</v>
      </c>
    </row>
    <row r="61" spans="2:5">
      <c r="B61" s="5" t="s">
        <v>1912</v>
      </c>
      <c r="C61" s="5" t="s">
        <v>2499</v>
      </c>
      <c r="E61" s="5" t="s">
        <v>2500</v>
      </c>
    </row>
    <row r="62" spans="2:5">
      <c r="B62" s="5" t="s">
        <v>2414</v>
      </c>
      <c r="C62" s="5" t="s">
        <v>2501</v>
      </c>
    </row>
    <row r="63" spans="2:5">
      <c r="B63" s="5" t="s">
        <v>2415</v>
      </c>
      <c r="C63" s="5" t="s">
        <v>2502</v>
      </c>
    </row>
    <row r="64" spans="2:5">
      <c r="B64" s="5" t="s">
        <v>2154</v>
      </c>
      <c r="C64" s="5" t="s">
        <v>2503</v>
      </c>
    </row>
    <row r="65" spans="2:5">
      <c r="B65" s="5" t="s">
        <v>407</v>
      </c>
      <c r="C65" s="5" t="s">
        <v>2634</v>
      </c>
      <c r="E65" s="5" t="s">
        <v>2635</v>
      </c>
    </row>
    <row r="66" spans="2:5">
      <c r="B66" s="5" t="s">
        <v>134</v>
      </c>
      <c r="C66" s="5" t="s">
        <v>2642</v>
      </c>
    </row>
    <row r="67" spans="2:5">
      <c r="B67" s="5" t="s">
        <v>166</v>
      </c>
      <c r="C67" s="5" t="s">
        <v>2504</v>
      </c>
    </row>
    <row r="68" spans="2:5">
      <c r="B68" s="5" t="s">
        <v>459</v>
      </c>
      <c r="C68" s="5" t="s">
        <v>2505</v>
      </c>
    </row>
    <row r="69" spans="2:5">
      <c r="B69" s="5" t="s">
        <v>1978</v>
      </c>
      <c r="C69" s="5" t="s">
        <v>2506</v>
      </c>
    </row>
    <row r="70" spans="2:5">
      <c r="B70" s="5" t="s">
        <v>473</v>
      </c>
      <c r="C70" s="5" t="s">
        <v>2507</v>
      </c>
    </row>
    <row r="71" spans="2:5">
      <c r="B71" s="5" t="s">
        <v>2413</v>
      </c>
      <c r="C71" s="5" t="s">
        <v>2508</v>
      </c>
    </row>
    <row r="72" spans="2:5">
      <c r="B72" s="5" t="s">
        <v>1916</v>
      </c>
      <c r="C72" s="5" t="s">
        <v>2509</v>
      </c>
    </row>
    <row r="73" spans="2:5">
      <c r="B73" s="5" t="s">
        <v>2026</v>
      </c>
      <c r="C73" s="5" t="s">
        <v>2510</v>
      </c>
    </row>
    <row r="74" spans="2:5">
      <c r="B74" s="5" t="s">
        <v>491</v>
      </c>
      <c r="C74" s="5" t="s">
        <v>2511</v>
      </c>
    </row>
    <row r="75" spans="2:5">
      <c r="B75" s="5" t="s">
        <v>167</v>
      </c>
      <c r="C75" s="5" t="s">
        <v>2512</v>
      </c>
    </row>
    <row r="76" spans="2:5">
      <c r="B76" s="5" t="s">
        <v>2310</v>
      </c>
      <c r="C76" s="5" t="s">
        <v>2644</v>
      </c>
    </row>
    <row r="77" spans="2:5">
      <c r="B77" s="5" t="s">
        <v>2306</v>
      </c>
      <c r="C77" s="5" t="s">
        <v>2513</v>
      </c>
    </row>
    <row r="78" spans="2:5">
      <c r="B78" s="5" t="s">
        <v>1918</v>
      </c>
      <c r="C78" s="5" t="s">
        <v>2514</v>
      </c>
    </row>
    <row r="79" spans="2:5">
      <c r="B79" s="5" t="s">
        <v>137</v>
      </c>
      <c r="C79" s="5" t="s">
        <v>2515</v>
      </c>
    </row>
    <row r="80" spans="2:5">
      <c r="B80" s="5" t="s">
        <v>138</v>
      </c>
      <c r="C80" s="5" t="s">
        <v>2516</v>
      </c>
    </row>
    <row r="81" spans="2:5">
      <c r="B81" s="5" t="s">
        <v>1624</v>
      </c>
      <c r="C81" s="5" t="s">
        <v>2517</v>
      </c>
      <c r="E81" s="5" t="s">
        <v>2643</v>
      </c>
    </row>
    <row r="82" spans="2:5">
      <c r="B82" s="5" t="s">
        <v>492</v>
      </c>
      <c r="C82" s="5" t="s">
        <v>2518</v>
      </c>
    </row>
    <row r="83" spans="2:5">
      <c r="B83" s="5" t="s">
        <v>900</v>
      </c>
      <c r="C83" s="5" t="s">
        <v>2519</v>
      </c>
    </row>
    <row r="84" spans="2:5">
      <c r="B84" s="5" t="s">
        <v>510</v>
      </c>
      <c r="C84" s="5" t="s">
        <v>2628</v>
      </c>
      <c r="E84" s="5" t="s">
        <v>2629</v>
      </c>
    </row>
    <row r="85" spans="2:5">
      <c r="B85" s="5" t="s">
        <v>433</v>
      </c>
      <c r="C85" s="5" t="s">
        <v>2520</v>
      </c>
    </row>
    <row r="86" spans="2:5">
      <c r="B86" s="5" t="s">
        <v>168</v>
      </c>
      <c r="C86" s="5" t="s">
        <v>2521</v>
      </c>
    </row>
    <row r="87" spans="2:5">
      <c r="B87" s="5" t="s">
        <v>1617</v>
      </c>
      <c r="C87" s="5" t="s">
        <v>2522</v>
      </c>
    </row>
    <row r="88" spans="2:5">
      <c r="B88" s="5" t="s">
        <v>2005</v>
      </c>
      <c r="C88" s="5" t="s">
        <v>2523</v>
      </c>
    </row>
    <row r="89" spans="2:5">
      <c r="B89" s="5" t="s">
        <v>1627</v>
      </c>
      <c r="C89" s="5" t="s">
        <v>2524</v>
      </c>
    </row>
    <row r="90" spans="2:5">
      <c r="B90" s="5" t="s">
        <v>1623</v>
      </c>
      <c r="C90" s="5" t="s">
        <v>2525</v>
      </c>
    </row>
    <row r="91" spans="2:5">
      <c r="B91" s="5" t="s">
        <v>1637</v>
      </c>
      <c r="C91" s="5" t="s">
        <v>2526</v>
      </c>
    </row>
    <row r="92" spans="2:5">
      <c r="B92" s="5" t="s">
        <v>1620</v>
      </c>
      <c r="C92" s="5" t="s">
        <v>2527</v>
      </c>
    </row>
    <row r="93" spans="2:5">
      <c r="B93" s="5" t="s">
        <v>1959</v>
      </c>
      <c r="C93" s="5" t="s">
        <v>2528</v>
      </c>
    </row>
    <row r="94" spans="2:5">
      <c r="B94" s="5" t="s">
        <v>139</v>
      </c>
      <c r="C94" s="5" t="s">
        <v>2529</v>
      </c>
    </row>
    <row r="95" spans="2:5">
      <c r="B95" s="5" t="s">
        <v>99</v>
      </c>
      <c r="C95" s="5" t="s">
        <v>2530</v>
      </c>
    </row>
    <row r="96" spans="2:5">
      <c r="B96" s="5" t="s">
        <v>98</v>
      </c>
      <c r="C96" s="5" t="s">
        <v>2531</v>
      </c>
    </row>
    <row r="97" spans="2:5">
      <c r="B97" s="5" t="s">
        <v>2418</v>
      </c>
      <c r="C97" s="5" t="s">
        <v>2532</v>
      </c>
    </row>
    <row r="98" spans="2:5">
      <c r="B98" s="5" t="s">
        <v>2151</v>
      </c>
      <c r="C98" s="5" t="s">
        <v>2533</v>
      </c>
    </row>
    <row r="99" spans="2:5">
      <c r="B99" s="5" t="s">
        <v>2677</v>
      </c>
      <c r="C99" s="5" t="s">
        <v>2680</v>
      </c>
    </row>
    <row r="100" spans="2:5">
      <c r="B100" s="5" t="s">
        <v>2683</v>
      </c>
      <c r="C100" s="5" t="s">
        <v>2685</v>
      </c>
      <c r="E100" s="5" t="s">
        <v>2687</v>
      </c>
    </row>
    <row r="101" spans="2:5">
      <c r="B101" s="5" t="s">
        <v>526</v>
      </c>
      <c r="C101" s="5" t="s">
        <v>2534</v>
      </c>
    </row>
    <row r="102" spans="2:5">
      <c r="B102" s="5" t="s">
        <v>528</v>
      </c>
      <c r="C102" s="5" t="s">
        <v>2535</v>
      </c>
    </row>
    <row r="103" spans="2:5">
      <c r="B103" s="5" t="s">
        <v>140</v>
      </c>
      <c r="C103" s="5" t="s">
        <v>2536</v>
      </c>
      <c r="E103" s="5" t="s">
        <v>2537</v>
      </c>
    </row>
    <row r="104" spans="2:5">
      <c r="B104" s="5" t="s">
        <v>100</v>
      </c>
      <c r="C104" s="5" t="s">
        <v>2538</v>
      </c>
    </row>
    <row r="105" spans="2:5">
      <c r="B105" s="5" t="s">
        <v>101</v>
      </c>
      <c r="C105" s="5" t="s">
        <v>2539</v>
      </c>
    </row>
    <row r="106" spans="2:5">
      <c r="B106" s="5" t="s">
        <v>544</v>
      </c>
      <c r="C106" s="5" t="s">
        <v>2540</v>
      </c>
    </row>
    <row r="107" spans="2:5">
      <c r="B107" s="5" t="s">
        <v>102</v>
      </c>
      <c r="C107" s="5" t="s">
        <v>2541</v>
      </c>
    </row>
    <row r="108" spans="2:5">
      <c r="B108" s="5" t="s">
        <v>1936</v>
      </c>
      <c r="C108" s="5" t="s">
        <v>2542</v>
      </c>
    </row>
    <row r="109" spans="2:5">
      <c r="B109" s="5" t="s">
        <v>560</v>
      </c>
      <c r="C109" s="5" t="s">
        <v>2543</v>
      </c>
    </row>
    <row r="110" spans="2:5">
      <c r="B110" s="5" t="s">
        <v>563</v>
      </c>
      <c r="C110" s="5" t="s">
        <v>2544</v>
      </c>
    </row>
    <row r="111" spans="2:5">
      <c r="B111" s="5" t="s">
        <v>2314</v>
      </c>
      <c r="C111" s="5" t="s">
        <v>2545</v>
      </c>
    </row>
    <row r="112" spans="2:5">
      <c r="B112" s="5" t="s">
        <v>2309</v>
      </c>
      <c r="C112" s="5" t="s">
        <v>2546</v>
      </c>
    </row>
    <row r="113" spans="2:5">
      <c r="B113" s="5" t="s">
        <v>169</v>
      </c>
      <c r="C113" s="5" t="s">
        <v>2547</v>
      </c>
    </row>
    <row r="114" spans="2:5">
      <c r="B114" s="5" t="s">
        <v>2357</v>
      </c>
      <c r="C114" s="5" t="s">
        <v>2548</v>
      </c>
    </row>
    <row r="115" spans="2:5">
      <c r="B115" s="5" t="s">
        <v>2377</v>
      </c>
      <c r="C115" s="5" t="s">
        <v>2549</v>
      </c>
    </row>
    <row r="116" spans="2:5">
      <c r="B116" s="5" t="s">
        <v>1707</v>
      </c>
      <c r="C116" s="5" t="s">
        <v>2550</v>
      </c>
      <c r="E116" s="5" t="s">
        <v>2537</v>
      </c>
    </row>
    <row r="117" spans="2:5">
      <c r="B117" s="5" t="s">
        <v>578</v>
      </c>
      <c r="C117" s="5" t="s">
        <v>2551</v>
      </c>
    </row>
    <row r="118" spans="2:5">
      <c r="B118" s="5" t="s">
        <v>579</v>
      </c>
      <c r="C118" s="5" t="s">
        <v>2552</v>
      </c>
    </row>
    <row r="119" spans="2:5">
      <c r="B119" s="5" t="s">
        <v>580</v>
      </c>
      <c r="C119" s="5" t="s">
        <v>2553</v>
      </c>
    </row>
    <row r="120" spans="2:5">
      <c r="B120" s="5" t="s">
        <v>1776</v>
      </c>
      <c r="C120" s="5" t="s">
        <v>2554</v>
      </c>
    </row>
    <row r="121" spans="2:5">
      <c r="B121" s="5" t="s">
        <v>794</v>
      </c>
      <c r="C121" s="5" t="s">
        <v>2555</v>
      </c>
      <c r="D121" s="5" t="s">
        <v>2668</v>
      </c>
    </row>
    <row r="122" spans="2:5">
      <c r="B122" s="5" t="s">
        <v>2652</v>
      </c>
      <c r="C122" s="5" t="str">
        <f xml:space="preserve"> "Shape from `" &amp; $B$121 &amp; "` marker; with green."</f>
        <v>Shape from `EU` marker; with green.</v>
      </c>
      <c r="D122" s="5" t="s">
        <v>2666</v>
      </c>
    </row>
    <row r="123" spans="2:5">
      <c r="B123" s="5" t="s">
        <v>2653</v>
      </c>
      <c r="C123" s="5" t="str">
        <f xml:space="preserve"> "Shape from `" &amp; $B$121 &amp; "` marker; with blue and yellow from the [flag of Europe](http://en.wikipedia.org/wiki/Flag_of_Europe)."</f>
        <v>Shape from `EU` marker; with blue and yellow from the [flag of Europe](http://en.wikipedia.org/wiki/Flag_of_Europe).</v>
      </c>
      <c r="D123" s="5" t="s">
        <v>2667</v>
      </c>
    </row>
    <row r="124" spans="2:5">
      <c r="B124" s="5" t="s">
        <v>2654</v>
      </c>
      <c r="C124" s="5" t="str">
        <f xml:space="preserve"> "Shape from `" &amp; $B$121 &amp; "` marker; with blue from the [flag of Europe](http://en.wikipedia.org/wiki/Flag_of_Europe)."</f>
        <v>Shape from `EU` marker; with blue from the [flag of Europe](http://en.wikipedia.org/wiki/Flag_of_Europe).</v>
      </c>
      <c r="D124" s="5" t="s">
        <v>2669</v>
      </c>
    </row>
    <row r="125" spans="2:5">
      <c r="B125" s="5" t="s">
        <v>796</v>
      </c>
      <c r="C125" s="5" t="s">
        <v>2556</v>
      </c>
    </row>
    <row r="126" spans="2:5">
      <c r="B126" s="5" t="s">
        <v>581</v>
      </c>
      <c r="C126" s="5" t="s">
        <v>2557</v>
      </c>
      <c r="D126" s="5" t="s">
        <v>2558</v>
      </c>
    </row>
    <row r="127" spans="2:5">
      <c r="B127" s="5" t="str">
        <f xml:space="preserve"> B126&amp;"_2"</f>
        <v>DE_2</v>
      </c>
      <c r="C127" s="5" t="str">
        <f xml:space="preserve"> "Shape from `" &amp; $B126 &amp; "` marker; red replacing white."</f>
        <v>Shape from `DE` marker; red replacing white.</v>
      </c>
      <c r="D127" s="5" t="s">
        <v>2559</v>
      </c>
    </row>
    <row r="128" spans="2:5">
      <c r="B128" s="5" t="s">
        <v>598</v>
      </c>
      <c r="C128" s="5" t="s">
        <v>2560</v>
      </c>
      <c r="D128" s="5" t="s">
        <v>2561</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2624</v>
      </c>
    </row>
    <row r="130" spans="2:4">
      <c r="B130" s="5" t="s">
        <v>635</v>
      </c>
      <c r="C130" s="5" t="s">
        <v>2562</v>
      </c>
      <c r="D130" s="5" t="s">
        <v>2563</v>
      </c>
    </row>
    <row r="131" spans="2:4">
      <c r="B131" s="5" t="str">
        <f xml:space="preserve"> B130&amp;"_2"</f>
        <v>IT_2</v>
      </c>
      <c r="C131" s="5" t="str">
        <f xml:space="preserve"> "Shape from `" &amp; $B130 &amp; "` marker; black replacing white."</f>
        <v>Shape from `IT` marker; black replacing white.</v>
      </c>
      <c r="D131" s="5" t="s">
        <v>2564</v>
      </c>
    </row>
    <row r="132" spans="2:4">
      <c r="B132" s="5" t="s">
        <v>170</v>
      </c>
      <c r="C132" s="5" t="s">
        <v>2565</v>
      </c>
      <c r="D132" s="5" t="s">
        <v>2639</v>
      </c>
    </row>
    <row r="133" spans="2:4">
      <c r="B133" s="5" t="str">
        <f xml:space="preserve"> B132&amp;"_2"</f>
        <v>ES_2</v>
      </c>
      <c r="C133" s="5" t="str">
        <f xml:space="preserve"> "Shape from `" &amp; $B132 &amp; "` marker; green replacing gold."</f>
        <v>Shape from `ES` marker; green replacing gold.</v>
      </c>
      <c r="D133" s="5" t="s">
        <v>2566</v>
      </c>
    </row>
    <row r="134" spans="2:4">
      <c r="B134" s="5" t="s">
        <v>636</v>
      </c>
      <c r="C134" s="5" t="s">
        <v>2567</v>
      </c>
      <c r="D134" s="5" t="s">
        <v>2568</v>
      </c>
    </row>
    <row r="135" spans="2:4">
      <c r="B135" s="5" t="str">
        <f xml:space="preserve"> B134&amp;"_2"</f>
        <v>NL_2</v>
      </c>
      <c r="C135" s="5" t="str">
        <f xml:space="preserve"> "Shape from `" &amp; $B134 &amp; "` marker; the colours switched."</f>
        <v>Shape from `NL` marker; the colours switched.</v>
      </c>
      <c r="D135" s="5" t="s">
        <v>2569</v>
      </c>
    </row>
    <row r="136" spans="2:4">
      <c r="B136" s="5" t="s">
        <v>655</v>
      </c>
      <c r="C136" s="5" t="s">
        <v>2570</v>
      </c>
      <c r="D136" s="5" t="s">
        <v>2618</v>
      </c>
    </row>
    <row r="137" spans="2:4">
      <c r="B137" s="5" t="str">
        <f xml:space="preserve"> B136&amp;"_2"</f>
        <v>BE_2</v>
      </c>
      <c r="C137" s="5" t="str">
        <f xml:space="preserve"> "Shape from `" &amp; $B136 &amp; "` marker; the colours switched."</f>
        <v>Shape from `BE` marker; the colours switched.</v>
      </c>
      <c r="D137" s="5" t="s">
        <v>2571</v>
      </c>
    </row>
    <row r="138" spans="2:4">
      <c r="B138" s="5" t="s">
        <v>656</v>
      </c>
      <c r="C138" s="5" t="s">
        <v>2572</v>
      </c>
      <c r="D138" s="5" t="s">
        <v>2573</v>
      </c>
    </row>
    <row r="139" spans="2:4">
      <c r="B139" s="5" t="str">
        <f xml:space="preserve"> B138&amp;"_2"</f>
        <v>AT_2</v>
      </c>
      <c r="C139" s="5" t="str">
        <f xml:space="preserve"> "Shape from `" &amp; $B138 &amp; "` marker; black replacing white."</f>
        <v>Shape from `AT` marker; black replacing white.</v>
      </c>
      <c r="D139" s="5" t="s">
        <v>2574</v>
      </c>
    </row>
    <row r="140" spans="2:4">
      <c r="B140" s="5" t="s">
        <v>103</v>
      </c>
      <c r="C140" s="5" t="s">
        <v>2575</v>
      </c>
      <c r="D140" s="5" t="s">
        <v>2576</v>
      </c>
    </row>
    <row r="141" spans="2:4">
      <c r="B141" s="5" t="str">
        <f xml:space="preserve"> B140&amp;"_2"</f>
        <v>PT_2</v>
      </c>
      <c r="C141" s="5" t="str">
        <f xml:space="preserve"> "Shape from `" &amp; $B140 &amp; "` marker; bright green replacing dark green."</f>
        <v>Shape from `PT` marker; bright green replacing dark green.</v>
      </c>
      <c r="D141" s="5" t="s">
        <v>2577</v>
      </c>
    </row>
    <row r="142" spans="2:4">
      <c r="B142" s="5" t="s">
        <v>171</v>
      </c>
      <c r="C142" s="5" t="s">
        <v>2578</v>
      </c>
      <c r="D142" s="5" t="s">
        <v>2579</v>
      </c>
    </row>
    <row r="143" spans="2:4">
      <c r="B143" s="5" t="str">
        <f xml:space="preserve"> B142&amp;"_2"</f>
        <v>GR_2</v>
      </c>
      <c r="C143" s="5" t="str">
        <f xml:space="preserve"> "Shape from `" &amp; $B142 &amp; "` marker; green replacing white."</f>
        <v>Shape from `GR` marker; green replacing white.</v>
      </c>
      <c r="D143" s="5" t="s">
        <v>2580</v>
      </c>
    </row>
    <row r="144" spans="2:4">
      <c r="B144" s="5" t="s">
        <v>675</v>
      </c>
      <c r="C144" s="5" t="s">
        <v>2627</v>
      </c>
      <c r="D144" s="5" t="s">
        <v>2581</v>
      </c>
    </row>
    <row r="145" spans="2:5">
      <c r="B145" s="5" t="str">
        <f xml:space="preserve"> B144&amp;"_2"</f>
        <v>IE_2</v>
      </c>
      <c r="C145" s="5" t="str">
        <f xml:space="preserve"> "Shape from `" &amp; $B144 &amp; "` marker; the colours switched."</f>
        <v>Shape from `IE` marker; the colours switched.</v>
      </c>
      <c r="D145" s="5" t="s">
        <v>2582</v>
      </c>
    </row>
    <row r="146" spans="2:5">
      <c r="B146" s="5" t="s">
        <v>657</v>
      </c>
      <c r="C146" s="5" t="s">
        <v>2583</v>
      </c>
      <c r="D146" s="5" t="s">
        <v>2584</v>
      </c>
    </row>
    <row r="147" spans="2:5">
      <c r="B147" s="5" t="str">
        <f xml:space="preserve"> B146&amp;"_2"</f>
        <v>FI_2</v>
      </c>
      <c r="C147" s="5" t="str">
        <f xml:space="preserve"> "Shape from `" &amp; $B146 &amp; "` marker; green replacing white."</f>
        <v>Shape from `FI` marker; green replacing white.</v>
      </c>
      <c r="D147" s="5" t="s">
        <v>2585</v>
      </c>
    </row>
    <row r="148" spans="2:5">
      <c r="B148" s="5" t="s">
        <v>358</v>
      </c>
      <c r="C148" s="5" t="s">
        <v>2586</v>
      </c>
      <c r="D148" s="5" t="s">
        <v>2587</v>
      </c>
    </row>
    <row r="149" spans="2:5">
      <c r="B149" s="5" t="str">
        <f xml:space="preserve"> B148&amp;"_2"</f>
        <v>SK_2</v>
      </c>
      <c r="C149" s="5" t="str">
        <f xml:space="preserve"> "Shape from `" &amp; $B148 &amp; "` marker; the colours switched."</f>
        <v>Shape from `SK` marker; the colours switched.</v>
      </c>
      <c r="D149" s="5" t="s">
        <v>2588</v>
      </c>
    </row>
    <row r="150" spans="2:5">
      <c r="B150" s="5" t="s">
        <v>1666</v>
      </c>
      <c r="C150" s="5" t="s">
        <v>2589</v>
      </c>
    </row>
    <row r="151" spans="2:5">
      <c r="B151" s="5" t="s">
        <v>359</v>
      </c>
      <c r="C151" s="5" t="s">
        <v>2590</v>
      </c>
    </row>
    <row r="152" spans="2:5">
      <c r="B152" s="5" t="s">
        <v>614</v>
      </c>
      <c r="C152" s="5" t="s">
        <v>2591</v>
      </c>
      <c r="E152" s="5" t="s">
        <v>2592</v>
      </c>
    </row>
    <row r="153" spans="2:5">
      <c r="B153" s="5" t="s">
        <v>676</v>
      </c>
      <c r="C153" s="5" t="s">
        <v>2593</v>
      </c>
    </row>
    <row r="154" spans="2:5">
      <c r="B154" s="5" t="s">
        <v>104</v>
      </c>
      <c r="C154" s="5" t="s">
        <v>2594</v>
      </c>
      <c r="E154" s="5" t="s">
        <v>2636</v>
      </c>
    </row>
    <row r="155" spans="2:5">
      <c r="B155" s="5" t="s">
        <v>105</v>
      </c>
      <c r="C155" s="5" t="s">
        <v>2595</v>
      </c>
    </row>
    <row r="156" spans="2:5">
      <c r="B156" s="5" t="s">
        <v>694</v>
      </c>
      <c r="C156" s="5" t="s">
        <v>2596</v>
      </c>
    </row>
    <row r="157" spans="2:5">
      <c r="B157" s="5" t="s">
        <v>714</v>
      </c>
      <c r="C157" s="5" t="s">
        <v>2597</v>
      </c>
    </row>
    <row r="158" spans="2:5">
      <c r="B158" s="5" t="s">
        <v>1704</v>
      </c>
      <c r="C158" s="5" t="s">
        <v>2598</v>
      </c>
      <c r="E158" s="5" t="s">
        <v>2599</v>
      </c>
    </row>
    <row r="159" spans="2:5">
      <c r="B159" s="5" t="s">
        <v>715</v>
      </c>
      <c r="C159" s="5" t="s">
        <v>2600</v>
      </c>
    </row>
    <row r="160" spans="2:5">
      <c r="B160" s="5" t="s">
        <v>795</v>
      </c>
      <c r="C160" s="5" t="s">
        <v>2601</v>
      </c>
    </row>
    <row r="161" spans="2:3">
      <c r="B161" s="5" t="s">
        <v>2131</v>
      </c>
      <c r="C161" s="5" t="s">
        <v>2637</v>
      </c>
    </row>
    <row r="162" spans="2:3">
      <c r="B162" s="5" t="s">
        <v>172</v>
      </c>
      <c r="C162" s="5" t="s">
        <v>2646</v>
      </c>
    </row>
    <row r="163" spans="2:3">
      <c r="B163" s="5" t="s">
        <v>971</v>
      </c>
      <c r="C163" s="5" t="s">
        <v>2602</v>
      </c>
    </row>
    <row r="164" spans="2:3">
      <c r="B164" s="5" t="s">
        <v>2246</v>
      </c>
      <c r="C164" s="5" t="s">
        <v>2603</v>
      </c>
    </row>
    <row r="165" spans="2:3">
      <c r="B165" s="5" t="s">
        <v>1941</v>
      </c>
      <c r="C165" s="5" t="s">
        <v>2604</v>
      </c>
    </row>
    <row r="166" spans="2:3">
      <c r="B166" s="5" t="s">
        <v>798</v>
      </c>
      <c r="C166" s="5" t="s">
        <v>2605</v>
      </c>
    </row>
    <row r="167" spans="2:3">
      <c r="B167" s="5" t="s">
        <v>2247</v>
      </c>
      <c r="C167" s="5" t="s">
        <v>2623</v>
      </c>
    </row>
    <row r="168" spans="2:3">
      <c r="B168" s="5" t="s">
        <v>173</v>
      </c>
      <c r="C168" s="5" t="s">
        <v>2606</v>
      </c>
    </row>
    <row r="169" spans="2:3">
      <c r="B169" s="5" t="s">
        <v>1943</v>
      </c>
      <c r="C169" s="5" t="s">
        <v>2607</v>
      </c>
    </row>
    <row r="170" spans="2:3">
      <c r="B170" s="5" t="s">
        <v>955</v>
      </c>
      <c r="C170" s="5" t="s">
        <v>2608</v>
      </c>
    </row>
    <row r="171" spans="2:3">
      <c r="B171" s="5" t="s">
        <v>106</v>
      </c>
      <c r="C171" s="5" t="s">
        <v>2609</v>
      </c>
    </row>
    <row r="172" spans="2:3">
      <c r="B172" s="5" t="s">
        <v>2042</v>
      </c>
      <c r="C172" s="5" t="s">
        <v>2645</v>
      </c>
    </row>
    <row r="173" spans="2:3">
      <c r="B173" s="5" t="s">
        <v>992</v>
      </c>
      <c r="C173" s="5" t="s">
        <v>2610</v>
      </c>
    </row>
    <row r="174" spans="2:3">
      <c r="B174" s="5" t="s">
        <v>2032</v>
      </c>
      <c r="C174" s="5" t="s">
        <v>2611</v>
      </c>
    </row>
    <row r="175" spans="2:3">
      <c r="B175" s="5" t="s">
        <v>2037</v>
      </c>
      <c r="C175" s="5" t="s">
        <v>2612</v>
      </c>
    </row>
    <row r="176" spans="2:3">
      <c r="B176" s="5" t="s">
        <v>1050</v>
      </c>
      <c r="C176" s="5" t="s">
        <v>2613</v>
      </c>
    </row>
    <row r="177" spans="2:5">
      <c r="B177" s="5" t="s">
        <v>1946</v>
      </c>
      <c r="C177" s="5" t="s">
        <v>2621</v>
      </c>
      <c r="E177" s="5" t="s">
        <v>2622</v>
      </c>
    </row>
    <row r="178" spans="2:5">
      <c r="B178" s="5" t="s">
        <v>1947</v>
      </c>
      <c r="C178" s="5" t="s">
        <v>2619</v>
      </c>
      <c r="D178" s="5" t="s">
        <v>2620</v>
      </c>
    </row>
    <row r="179" spans="2:5">
      <c r="B179" s="5" t="s">
        <v>2715</v>
      </c>
      <c r="C179" s="5" t="s">
        <v>2721</v>
      </c>
    </row>
    <row r="180" spans="2:5">
      <c r="B180" s="5" t="s">
        <v>2717</v>
      </c>
      <c r="C180" s="5" t="s">
        <v>2728</v>
      </c>
    </row>
    <row r="181" spans="2:5">
      <c r="B181" s="5" t="s">
        <v>2718</v>
      </c>
      <c r="C181" s="5" t="s">
        <v>2720</v>
      </c>
    </row>
    <row r="182" spans="2:5">
      <c r="B182" s="5" t="s">
        <v>2719</v>
      </c>
      <c r="C182" s="5" t="s">
        <v>2739</v>
      </c>
    </row>
    <row r="183" spans="2:5">
      <c r="B183" s="5" t="s">
        <v>1949</v>
      </c>
      <c r="C183" s="5" t="s">
        <v>2614</v>
      </c>
    </row>
    <row r="184" spans="2:5">
      <c r="B184" s="5" t="s">
        <v>1950</v>
      </c>
      <c r="C184" s="5" t="s">
        <v>2615</v>
      </c>
    </row>
    <row r="185" spans="2:5">
      <c r="B185" s="5" t="s">
        <v>929</v>
      </c>
      <c r="C185" s="5" t="s">
        <v>2616</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45953.940772453701</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45953</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194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129778</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2740</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45953.940393518518</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B54" s="4" t="s">
        <v>2670</v>
      </c>
      <c r="C54" s="64" t="str">
        <f xml:space="preserve"> " XCD XPF XAF XOF AFN "</f>
        <v xml:space="preserve"> XCD XPF XAF XOF AFN </v>
      </c>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B55" s="4" t="s">
        <v>2671</v>
      </c>
      <c r="C55" s="67">
        <f xml:space="preserve"> DATE(2025,10,26) + TIME(23, 45, 0)</f>
        <v>45956.989583333336</v>
      </c>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1363</vt:i4>
      </vt:variant>
    </vt:vector>
  </HeadingPairs>
  <TitlesOfParts>
    <vt:vector size="1426"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XPF.RadiusInner</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2025-10-23T21:34:56Z</dcterms:modified>
</cp:coreProperties>
</file>