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7B668439-07A6-0B41-AD63-91F7F29866D8}" xr6:coauthVersionLast="45" xr6:coauthVersionMax="45" xr10:uidLastSave="{00000000-0000-0000-0000-000000000000}"/>
  <bookViews>
    <workbookView xWindow="640" yWindow="460" windowWidth="39540" windowHeight="28340" firstSheet="38" activeTab="59"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Smalls" sheetId="5" r:id="rId60"/>
    <sheet name="Rational" sheetId="57" r:id="rId61"/>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ChartLines!$J$3:$J$342</definedName>
    <definedName name="ChartLines.G">ChartLines!$I$3:$I$342</definedName>
    <definedName name="ChartLines.Hex6">ChartLines!$C$3:$C$342</definedName>
    <definedName name="ChartLines.ID">ChartLines!$B$3:$B$342</definedName>
    <definedName name="ChartLines.InstanceNum">ChartLines!$F$3:$F$342</definedName>
    <definedName name="ChartLines.NumInstances">ChartLines!$E$3:$E$342</definedName>
    <definedName name="ChartLines.R">ChartLines!$H$3:$H$342</definedName>
    <definedName name="ChartLines.RowNum">ChartLines!$K$3:$K$342</definedName>
    <definedName name="ChartLines.ThicknessText">ChartLines!$G$3:$G$342</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Smalls!$AA$6:$AA$10</definedName>
    <definedName name="ExportControl.BasicBBoxArea_Base">Smalls!$AA$3</definedName>
    <definedName name="ExportControl.FileNameSuffix">Smalls!$AB$6:$AB$10</definedName>
    <definedName name="ExportControl.IsMarkers">Smalls!$Y$6:$Y$10</definedName>
    <definedName name="ExportControl.Num">Smalls!$W$3</definedName>
    <definedName name="ExportControl.OneFile">Smalls!$X$6:$X$10</definedName>
    <definedName name="ExportControl.Path">Smalls!$AC$6:$AC$10</definedName>
    <definedName name="ExportControl.RowNum">Smalls!$W$6:$W$10</definedName>
    <definedName name="ExportControl.SizeConstant">Smalls!$Z$6:$Z$10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Smalls!$L$6:$L$72</definedName>
    <definedName name="ExportSubstitutions.Notes">Smalls!$N$6:$N$72</definedName>
    <definedName name="ExportSubstitutions.RowNum">Smalls!$K$6:$K$72</definedName>
    <definedName name="ExportSubstitutions.To">Smalls!$M$6:$M$72</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Smalls!$AC$3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76" l="1"/>
  <c r="C15" i="76"/>
  <c r="C16" i="76" s="1"/>
  <c r="C12" i="76"/>
  <c r="C10" i="76"/>
  <c r="C14" i="76" l="1"/>
  <c r="F6" i="76"/>
  <c r="D9" i="76"/>
  <c r="D11" i="76"/>
  <c r="D15"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G204" i="63" s="1" a="1"/>
  <c r="G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B9" i="5"/>
  <c r="AB7" i="5"/>
  <c r="AB6" i="5"/>
  <c r="F14" i="76" a="1"/>
  <c r="F14" i="76" l="1"/>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5" i="5" a="1"/>
  <c r="K35" i="5" s="1"/>
  <c r="AB10" i="5"/>
  <c r="W10" i="5" a="1"/>
  <c r="W10"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15" i="75" a="1"/>
  <c r="F24"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W9" i="5" a="1"/>
  <c r="W9" i="5" s="1"/>
  <c r="AB8" i="5"/>
  <c r="W8" i="5" a="1"/>
  <c r="W8" i="5" s="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7" i="67" a="1"/>
  <c r="K39" i="67" a="1"/>
  <c r="K45" i="67" a="1"/>
  <c r="K48" i="67" a="1"/>
  <c r="K42" i="67" a="1"/>
  <c r="K36"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BP26" i="25"/>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16" i="65" a="1"/>
  <c r="F21" i="65" a="1"/>
  <c r="F2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C303" i="63"/>
  <c r="I303" i="63" s="1"/>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W7" i="5" a="1"/>
  <c r="W7" i="5"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J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I304" i="63"/>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J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J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14" i="63" l="1"/>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AB17" i="5"/>
  <c r="W17" i="5" a="1"/>
  <c r="W17" i="5" s="1"/>
  <c r="D35" i="25"/>
  <c r="D34" i="25"/>
  <c r="AA3" i="5" l="1"/>
  <c r="W6" i="5" a="1"/>
  <c r="W6" i="5" s="1"/>
  <c r="AA6" i="5" l="1"/>
  <c r="AA7" i="5"/>
  <c r="AA8" i="5"/>
  <c r="AA10" i="5"/>
  <c r="AA17"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F29" i="14" a="1"/>
  <c r="F30" i="14" a="1"/>
  <c r="AB30" i="14" a="1"/>
  <c r="D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N25" i="25" a="1"/>
  <c r="AR26" i="25" a="1"/>
  <c r="P25" i="25" a="1"/>
  <c r="AR25" i="25" a="1"/>
  <c r="P25" i="25" l="1"/>
  <c r="AR26" i="25"/>
  <c r="AR25" i="25"/>
  <c r="AN25" i="25"/>
  <c r="N27" i="25" a="1"/>
  <c r="BP25" i="25" a="1"/>
  <c r="N27" i="25" l="1"/>
  <c r="BP25" i="25"/>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29" i="14" a="1"/>
  <c r="R30"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42" i="34" a="1"/>
  <c r="F24" i="34" a="1"/>
  <c r="F37" i="34" a="1"/>
  <c r="F3" i="33"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D31" i="14" a="1"/>
  <c r="H31" i="14" a="1"/>
  <c r="AF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J30" i="14" a="1"/>
  <c r="V29" i="14" a="1"/>
  <c r="AD30" i="14" a="1"/>
  <c r="V30" i="14" a="1"/>
  <c r="H30" i="14" a="1"/>
  <c r="T29" i="14" a="1"/>
  <c r="AF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29" i="14" a="1"/>
  <c r="AF29" i="14" a="1"/>
  <c r="H29" i="14" a="1"/>
  <c r="Z30" i="14" a="1"/>
  <c r="AD29" i="14" a="1"/>
  <c r="AF29" i="14" l="1"/>
  <c r="AF19" i="14"/>
  <c r="J29" i="14"/>
  <c r="H29" i="14"/>
  <c r="AD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X29" i="14" a="1"/>
  <c r="X30" i="14" a="1"/>
  <c r="F26" i="60" a="1"/>
  <c r="BY18" i="61" l="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J37" i="24" a="1"/>
  <c r="N37" i="24" a="1"/>
  <c r="N29" i="14" a="1"/>
  <c r="H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T3" i="25" l="1"/>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AF28" i="14" s="1"/>
  <c r="D3" i="58"/>
  <c r="I100" i="58"/>
  <c r="I99" i="58"/>
  <c r="I98" i="58"/>
  <c r="I97" i="58"/>
  <c r="I96" i="58"/>
  <c r="I95" i="58"/>
  <c r="I94" i="58"/>
  <c r="F37" i="76" l="1"/>
  <c r="F37" i="69"/>
  <c r="AD28" i="14"/>
  <c r="F48" i="75"/>
  <c r="F55" i="75" s="1"/>
  <c r="J28" i="14"/>
  <c r="V28" i="14"/>
  <c r="E44" i="72"/>
  <c r="BT24" i="25"/>
  <c r="BB24" i="25"/>
  <c r="H34" i="40"/>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6" i="25" a="1"/>
  <c r="Z25"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11" i="45" a="1"/>
  <c r="F20" i="45" a="1"/>
  <c r="D27" i="2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G28" i="39" s="1"/>
  <c r="F19" i="25"/>
  <c r="AR19" i="25"/>
  <c r="AB7" i="14"/>
  <c r="B10" i="38"/>
  <c r="C9" i="38"/>
  <c r="D9" i="38"/>
  <c r="F48" i="34"/>
  <c r="F49" i="34"/>
  <c r="C10" i="30"/>
  <c r="C11" i="30" s="1"/>
  <c r="C12" i="30" s="1"/>
  <c r="C13" i="30" s="1"/>
  <c r="D9" i="30"/>
  <c r="I20" i="29" a="1"/>
  <c r="I20" i="29" s="1"/>
  <c r="H22" i="29" s="1" a="1"/>
  <c r="H22" i="29" s="1"/>
  <c r="H22" i="28" a="1"/>
  <c r="H22" i="28" s="1"/>
  <c r="F6" i="32" a="1"/>
  <c r="AH30" i="8" a="1"/>
  <c r="F57" i="30"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6" i="26" a="1"/>
  <c r="F55" i="26" a="1"/>
  <c r="F5"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47" i="22" a="1"/>
  <c r="H39" i="22" a="1"/>
  <c r="H23" i="22" a="1"/>
  <c r="H43" i="22" a="1"/>
  <c r="H6" i="18" a="1"/>
  <c r="H51" i="22" a="1"/>
  <c r="H51" i="18" a="1"/>
  <c r="H35" i="22" a="1"/>
  <c r="H31" i="22" a="1"/>
  <c r="H27" i="22"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L29" i="14" a="1"/>
  <c r="Z31" i="14" a="1"/>
  <c r="T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D37" i="76" a="1"/>
  <c r="X31" i="14" a="1"/>
  <c r="C44" i="72" a="1"/>
  <c r="J25" i="14" a="1"/>
  <c r="BB22" i="25" a="1"/>
  <c r="D48" i="75" a="1"/>
  <c r="BT22" i="25" a="1"/>
  <c r="AF25" i="14" a="1"/>
  <c r="V25" i="14" a="1"/>
  <c r="AD25" i="14" a="1"/>
  <c r="D37" i="76" l="1"/>
  <c r="AF25" i="14"/>
  <c r="D48" i="75"/>
  <c r="C44" i="72"/>
  <c r="J25" i="14"/>
  <c r="AD25" i="14"/>
  <c r="BT22" i="25"/>
  <c r="V25" i="14"/>
  <c r="D6" i="74"/>
  <c r="F33" i="74" a="1"/>
  <c r="F33" i="74" s="1"/>
  <c r="F34" i="74" s="1" a="1"/>
  <c r="F34" i="74" s="1"/>
  <c r="F35" i="74" s="1" a="1"/>
  <c r="F35" i="74" s="1"/>
  <c r="F39" i="74" s="1"/>
  <c r="F3" i="74" a="1"/>
  <c r="F3" i="74" s="1"/>
  <c r="X31" i="14"/>
  <c r="BB22" i="25"/>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6" i="74" a="1"/>
  <c r="F19" i="62" a="1"/>
  <c r="F15"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X25" i="8" s="1"/>
  <c r="T7" i="8"/>
  <c r="R7" i="8"/>
  <c r="N7" i="8"/>
  <c r="L7" i="8"/>
  <c r="H7" i="8"/>
  <c r="T29" i="8"/>
  <c r="AC3" i="5" a="1"/>
  <c r="AC3" i="5" s="1"/>
  <c r="AC9" i="5" s="1"/>
  <c r="F37" i="68" a="1"/>
  <c r="F27" i="68" a="1"/>
  <c r="E5" i="42" a="1"/>
  <c r="F44" i="68" a="1"/>
  <c r="F6" i="68" a="1"/>
  <c r="F23" i="62" a="1"/>
  <c r="F32" i="68" a="1"/>
  <c r="X23" i="8" a="1"/>
  <c r="D39" i="74" a="1"/>
  <c r="AC6" i="5" l="1"/>
  <c r="AC7" i="5"/>
  <c r="AC10" i="5"/>
  <c r="D39" i="74"/>
  <c r="X23" i="8"/>
  <c r="AC8" i="5"/>
  <c r="F53" i="68"/>
  <c r="F65" i="68" s="1"/>
  <c r="F52" i="68"/>
  <c r="F54" i="68"/>
  <c r="F44" i="68"/>
  <c r="F6" i="68"/>
  <c r="F37" i="68"/>
  <c r="F27" i="68"/>
  <c r="F32" i="68"/>
  <c r="AC17" i="5"/>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6" i="19" a="1"/>
  <c r="E36" i="42"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N24" i="7" a="1"/>
  <c r="N24" i="7"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30" i="31" a="1"/>
  <c r="E6" i="15" a="1"/>
  <c r="F38" i="31" a="1"/>
  <c r="F26" i="31" a="1"/>
  <c r="F46" i="31" a="1"/>
  <c r="F6" i="31" a="1"/>
  <c r="F42" i="31" a="1"/>
  <c r="F19" i="31" a="1"/>
  <c r="F34" i="31"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V3" i="61"/>
  <c r="AH3" i="61"/>
  <c r="AD3" i="61"/>
  <c r="AT3" i="61"/>
  <c r="BR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J18" i="61" a="1"/>
  <c r="N18" i="61" a="1"/>
  <c r="BN18" i="61" a="1"/>
  <c r="F40" i="23" a="1"/>
  <c r="AL18" i="61" a="1"/>
  <c r="CD18" i="61" a="1"/>
  <c r="F25" i="23" a="1"/>
  <c r="AT18" i="61" a="1"/>
  <c r="BV18" i="61" a="1"/>
  <c r="BJ18" i="61" a="1"/>
  <c r="F30" i="23" a="1"/>
  <c r="Z18" i="61" a="1"/>
  <c r="AT52" i="61" a="1"/>
  <c r="BB18" i="61" a="1"/>
  <c r="AP18" i="61" a="1"/>
  <c r="AH18" i="61" a="1"/>
  <c r="F5" i="36" a="1"/>
  <c r="BZ18" i="61" a="1"/>
  <c r="BR18" i="61" a="1"/>
  <c r="V18" i="61" a="1"/>
  <c r="E6" i="51" a="1"/>
  <c r="F35" i="23" a="1"/>
  <c r="R18" i="61" a="1"/>
  <c r="BF18" i="61" a="1"/>
  <c r="AD18" i="61" a="1"/>
  <c r="F8" i="23" a="1"/>
  <c r="BZ64" i="61" l="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D68" i="61"/>
  <c r="CD69" i="61" s="1"/>
  <c r="CD73" i="61" s="1"/>
  <c r="E31" i="15"/>
  <c r="BV24" i="61"/>
  <c r="BV19" i="61"/>
  <c r="BV18" i="61"/>
  <c r="BV25" i="61"/>
  <c r="BV21" i="61"/>
  <c r="BV26" i="61"/>
  <c r="BV20" i="61"/>
  <c r="BV27" i="61"/>
  <c r="BV23" i="61"/>
  <c r="BV22" i="61"/>
  <c r="C14" i="5"/>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37" i="61" a="1"/>
  <c r="AT57" i="61" a="1"/>
  <c r="CD82" i="61" l="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AT42" i="61" a="1"/>
  <c r="AX18" i="61" a="1"/>
  <c r="D65" i="31" a="1"/>
  <c r="AR22" i="25" a="1"/>
  <c r="P22" i="25" a="1"/>
  <c r="Z22" i="25" a="1"/>
  <c r="F23" i="8" a="1"/>
  <c r="C62" i="34" a="1"/>
  <c r="AN22" i="25" a="1"/>
  <c r="AB25" i="14" a="1"/>
  <c r="H23" i="8" a="1"/>
  <c r="D23" i="8" a="1"/>
  <c r="P23" i="8" a="1"/>
  <c r="AL22" i="25" a="1"/>
  <c r="J23" i="8" a="1"/>
  <c r="T23" i="8" a="1"/>
  <c r="BF22" i="25" a="1"/>
  <c r="E13" i="22" a="1"/>
  <c r="D42" i="62" a="1"/>
  <c r="C39" i="32" a="1"/>
  <c r="F25" i="14" a="1"/>
  <c r="BH22" i="25" a="1"/>
  <c r="T22" i="25" a="1"/>
  <c r="BD22" i="25" a="1"/>
  <c r="AJ22" i="25" a="1"/>
  <c r="AT22" i="25" a="1"/>
  <c r="AZ22" i="25" a="1"/>
  <c r="BN22" i="25" a="1"/>
  <c r="AH23" i="8" a="1"/>
  <c r="L22" i="25" a="1"/>
  <c r="E34" i="69" a="1"/>
  <c r="AB23" i="8" a="1"/>
  <c r="BV15" i="61" a="1"/>
  <c r="X25" i="14" a="1"/>
  <c r="Z25" i="14" a="1"/>
  <c r="AP22" i="25" a="1"/>
  <c r="N25" i="14" a="1"/>
  <c r="AD22" i="25" a="1"/>
  <c r="N22" i="25" a="1"/>
  <c r="BZ15" i="61" a="1"/>
  <c r="AJ23" i="8" a="1"/>
  <c r="CD15" i="61" a="1"/>
  <c r="F18" i="39" a="1"/>
  <c r="D46" i="65" a="1"/>
  <c r="AB22" i="25" a="1"/>
  <c r="BR22" i="25" a="1"/>
  <c r="BL22" i="25" a="1"/>
  <c r="E40" i="71" a="1"/>
  <c r="D22" i="25" a="1"/>
  <c r="H25" i="14" a="1"/>
  <c r="Z23" i="8" a="1"/>
  <c r="V23" i="8" a="1"/>
  <c r="C35" i="64" a="1"/>
  <c r="L25" i="14" a="1"/>
  <c r="N23" i="8" a="1"/>
  <c r="S35" i="9" a="1"/>
  <c r="R22" i="25" a="1"/>
  <c r="AH22" i="25" a="1"/>
  <c r="V22" i="25" a="1"/>
  <c r="AL23" i="8" a="1"/>
  <c r="D25" i="14" a="1"/>
  <c r="AV22" i="25" a="1"/>
  <c r="C35" i="42" a="1"/>
  <c r="AD23" i="8" a="1"/>
  <c r="AF23" i="8" a="1"/>
  <c r="X22" i="25" a="1"/>
  <c r="H22" i="25" a="1"/>
  <c r="R25" i="14" a="1"/>
  <c r="F3" i="21" a="1"/>
  <c r="AX22" i="25" a="1"/>
  <c r="O20" i="48" a="1"/>
  <c r="H84" i="67" a="1"/>
  <c r="F22" i="25" a="1"/>
  <c r="BJ22" i="25" a="1"/>
  <c r="P25" i="14" a="1"/>
  <c r="C52" i="33" a="1"/>
  <c r="AF22" i="25" a="1"/>
  <c r="J22" i="25" a="1"/>
  <c r="BP22" i="25" a="1"/>
  <c r="L23" i="8" a="1"/>
  <c r="T25" i="14" a="1"/>
  <c r="CD15" i="61" l="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T47" i="61" a="1"/>
  <c r="AX75" i="61" a="1"/>
  <c r="AH15" i="61" a="1"/>
  <c r="R15" i="61" a="1"/>
  <c r="BN15" i="61" a="1"/>
  <c r="C62" i="23" a="1"/>
  <c r="N15" i="61" a="1"/>
  <c r="Z15" i="61" a="1"/>
  <c r="V15" i="61" a="1"/>
  <c r="AL15" i="61" a="1"/>
  <c r="J15" i="61" a="1"/>
  <c r="BJ15" i="61" a="1"/>
  <c r="BR15" i="61" a="1"/>
  <c r="C31" i="51" a="1"/>
  <c r="BB15" i="61" a="1"/>
  <c r="AP15" i="61" a="1"/>
  <c r="AD15" i="61" a="1"/>
  <c r="BF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X15" i="61" a="1"/>
  <c r="AT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25" i="43" a="1"/>
  <c r="F20" i="43" a="1"/>
  <c r="F11"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6" i="44" a="1"/>
  <c r="F15" i="30" a="1"/>
  <c r="F20" i="44" a="1"/>
  <c r="F28" i="30"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7" a="1"/>
  <c r="F22" i="7" a="1"/>
  <c r="F22" i="28" a="1"/>
  <c r="F6" i="28"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23" i="3" a="1"/>
  <c r="F6"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X95" i="58"/>
  <c r="V95" i="58"/>
  <c r="N95" i="58"/>
  <c r="J95" i="58"/>
  <c r="R95" i="58"/>
  <c r="L95" i="58"/>
  <c r="T95" i="58"/>
  <c r="P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N97" i="58"/>
  <c r="T96" i="58"/>
  <c r="J97" i="58"/>
  <c r="R96" i="58"/>
  <c r="P97" i="58"/>
  <c r="L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T7" i="58" a="1"/>
  <c r="N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X7" i="58" a="1"/>
  <c r="J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0" i="59" a="1"/>
  <c r="F27"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D58" i="60" a="1"/>
  <c r="R23" i="8"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<sst xmlns="http://schemas.openxmlformats.org/spreadsheetml/2006/main" count="4024" uniqueCount="2447">
  <si>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</si>
  <si>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</si>
  <si>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</si>
  <si>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</si>
  <si>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</si>
  <si>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</si>
  <si>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</si>
  <si>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</si>
  <si>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</si>
  <si>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</si>
  <si>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</si>
  <si>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</si>
  <si>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</si>
  <si>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</si>
  <si>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</si>
  <si>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</si>
  <si>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</si>
  <si>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</si>
  <si>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</si>
  <si>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</si>
  <si>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</si>
  <si>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</si>
  <si>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</si>
  <si>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</si>
  <si>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</si>
  <si>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</si>
  <si>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</si>
  <si>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</si>
  <si>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</si>
  <si>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</si>
  <si>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</si>
  <si>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</si>
  <si>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</si>
  <si>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</si>
  <si>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</si>
  <si>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</si>
  <si>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</si>
  <si>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</si>
  <si>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</si>
  <si>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</si>
  <si>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</si>
  <si>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</si>
  <si>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</si>
  <si>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</si>
  <si>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</si>
  <si>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</si>
  <si>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</si>
  <si>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</si>
  <si>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</si>
  <si>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</si>
  <si>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</si>
  <si>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</si>
  <si>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</si>
  <si>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</si>
  <si>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</si>
  <si>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</si>
  <si>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</si>
  <si>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</si>
  <si>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</si>
  <si>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</si>
  <si>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</si>
  <si>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</si>
  <si>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</si>
  <si>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</si>
  <si>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</si>
  <si>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</si>
  <si>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</si>
  <si>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</si>
  <si>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</si>
  <si>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</si>
  <si>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</si>
  <si>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</si>
  <si>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</si>
  <si>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</si>
  <si>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</si>
  <si>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</si>
  <si>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</si>
  <si>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</si>
  <si>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</si>
  <si>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</si>
  <si>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</si>
  <si>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</si>
  <si>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</si>
  <si>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</si>
  <si>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</si>
  <si>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</si>
  <si>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</si>
  <si>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</si>
  <si>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</si>
  <si>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</si>
  <si>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</si>
  <si>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</si>
  <si>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</si>
  <si>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</si>
  <si>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</si>
  <si>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</si>
  <si>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</si>
  <si>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</si>
  <si>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</si>
  <si>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</si>
  <si>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</si>
  <si>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</si>
  <si>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</si>
  <si>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</si>
  <si>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</si>
  <si>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</si>
  <si>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</si>
  <si>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</si>
  <si>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</si>
  <si>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</si>
  <si>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</si>
  <si>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</si>
  <si>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</si>
  <si>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</si>
  <si>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</si>
  <si>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</si>
  <si>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</si>
  <si>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</si>
  <si>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</si>
  <si>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</si>
  <si>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</si>
  <si>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</si>
  <si>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</si>
  <si>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</si>
  <si>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</si>
  <si>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</si>
  <si>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</si>
  <si>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</si>
  <si>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</si>
  <si>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</si>
  <si>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</si>
  <si>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</si>
  <si>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</si>
  <si>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</si>
  <si>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</si>
  <si>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</si>
  <si>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</si>
  <si>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</si>
  <si>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</si>
  <si>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</si>
  <si>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</si>
  <si>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</si>
  <si>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</si>
  <si>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</si>
  <si>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</si>
  <si>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</si>
  <si>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</si>
  <si>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</si>
  <si>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</si>
  <si>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</si>
  <si>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</si>
  <si>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</si>
  <si>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</si>
  <si>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</si>
  <si>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</si>
  <si>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</si>
  <si>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</si>
  <si>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</si>
  <si>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</si>
  <si>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</si>
  <si>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</si>
  <si>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</si>
  <si>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</si>
  <si>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</si>
  <si>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</si>
  <si>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</si>
  <si>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</si>
  <si>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</si>
  <si>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</si>
  <si>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</si>
  <si>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</si>
  <si>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</si>
  <si>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</si>
  <si>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</si>
  <si>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</si>
  <si>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</si>
  <si>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</si>
  <si>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</si>
  <si>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</si>
  <si>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</si>
  <si>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</si>
  <si>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</si>
  <si>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</si>
  <si>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</si>
  <si>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</si>
  <si>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</si>
  <si>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</si>
  <si>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</si>
  <si>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</si>
  <si>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</si>
  <si>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</si>
  <si>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</si>
  <si>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</si>
  <si>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</si>
  <si>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</si>
  <si>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</si>
  <si>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</si>
  <si>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</si>
  <si>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</si>
  <si>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</si>
  <si>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</si>
  <si>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</si>
  <si>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</si>
  <si>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</si>
  <si>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</si>
  <si>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</si>
  <si>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</si>
  <si>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</si>
  <si>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</si>
  <si>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</si>
  <si>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</si>
  <si>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</si>
  <si>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</si>
  <si>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</si>
  <si>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</si>
  <si>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</si>
  <si>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</si>
  <si>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</si>
  <si>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</si>
  <si>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</si>
  <si>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</si>
  <si>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</si>
  <si>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</si>
  <si>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</si>
  <si>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</si>
  <si>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</si>
  <si>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</si>
  <si>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</si>
  <si>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</si>
  <si>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</si>
  <si>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</si>
  <si>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</si>
  <si>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</si>
  <si>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</si>
  <si>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</si>
  <si>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</si>
  <si>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</si>
  <si>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</si>
  <si>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</si>
  <si>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</si>
  <si>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</si>
  <si>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</si>
  <si>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</si>
  <si>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</si>
  <si>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</si>
  <si>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</si>
  <si>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</si>
  <si>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</si>
  <si>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</si>
  <si>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</si>
  <si>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</si>
  <si>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</si>
  <si>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</si>
  <si>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</si>
  <si>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</si>
  <si>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</si>
  <si>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</si>
  <si>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</si>
  <si>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</si>
  <si>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</si>
  <si>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</si>
  <si>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</si>
  <si>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</si>
  <si>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</si>
  <si>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</si>
  <si>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</si>
  <si>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</si>
  <si>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</si>
  <si>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</si>
  <si>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</si>
  <si>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</si>
  <si>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</si>
  <si>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</si>
  <si>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</si>
  <si>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</si>
  <si>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</si>
  <si>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</si>
  <si>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</si>
  <si>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</si>
  <si>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</si>
  <si>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</si>
  <si>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</si>
  <si>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</si>
  <si>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</si>
  <si>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</si>
  <si>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</si>
  <si>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</si>
  <si>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</si>
  <si>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</si>
  <si>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</si>
  <si>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</si>
  <si>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</si>
  <si>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</si>
  <si>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</si>
  <si>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</si>
  <si>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</si>
  <si>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</si>
  <si>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</si>
  <si>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</si>
  <si>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</si>
  <si>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</si>
  <si>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</si>
  <si>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</si>
  <si>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</si>
  <si>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</si>
  <si>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</si>
  <si>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</si>
  <si>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</si>
  <si>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</si>
  <si>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</si>
  <si>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</si>
  <si>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</si>
  <si>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</si>
  <si>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</si>
  <si>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</si>
  <si>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</si>
  <si>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</si>
  <si>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</si>
  <si>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</si>
  <si>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</si>
  <si>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</si>
  <si>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</si>
  <si>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</si>
  <si>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</si>
  <si>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</si>
  <si>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</si>
  <si>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</si>
  <si>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</si>
  <si>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</si>
  <si>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</si>
  <si>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</si>
  <si>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</si>
  <si>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</si>
  <si>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</si>
  <si>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</si>
  <si>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</si>
  <si>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</si>
  <si>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</si>
  <si>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</si>
  <si>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</si>
  <si>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</si>
  <si>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</si>
  <si>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</si>
  <si>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</si>
  <si>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</si>
  <si>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</si>
  <si>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</si>
  <si>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</si>
  <si>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</si>
  <si>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</si>
  <si>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</si>
  <si>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</si>
  <si>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</si>
  <si>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</si>
  <si>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</si>
  <si>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</si>
  <si>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</si>
  <si>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</si>
  <si>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</si>
  <si>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</si>
  <si>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</si>
  <si>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</si>
  <si>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</si>
  <si>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</si>
  <si>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</si>
  <si>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</si>
  <si>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</si>
  <si>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</si>
  <si>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</si>
  <si>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</si>
  <si>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</si>
  <si>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</si>
  <si>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</si>
  <si>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</si>
  <si>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</si>
  <si>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</si>
  <si>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</si>
  <si>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</si>
  <si>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</si>
  <si>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</si>
  <si>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</si>
  <si>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</si>
  <si>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</si>
  <si>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</si>
  <si>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</si>
  <si>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</si>
  <si>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</si>
  <si>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</si>
  <si>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</si>
  <si>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</si>
  <si>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</si>
  <si>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</si>
  <si>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</si>
  <si>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</si>
  <si>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</si>
  <si>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</si>
  <si>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</si>
  <si>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</si>
  <si>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</si>
  <si>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</si>
  <si>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</si>
  <si>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</si>
  <si>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</si>
  <si>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</si>
  <si>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</si>
  <si>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</si>
  <si>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</si>
  <si>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</si>
  <si>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</si>
  <si>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</si>
  <si>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</si>
  <si>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</si>
  <si>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</si>
  <si>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</si>
  <si>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</si>
  <si>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</si>
  <si>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</si>
  <si>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</si>
  <si>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</si>
  <si>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</si>
  <si>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</si>
  <si>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</si>
  <si>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</si>
  <si>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</si>
  <si>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</si>
  <si>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</si>
  <si>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</si>
  <si>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</si>
  <si>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</si>
  <si>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</si>
  <si>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</si>
  <si>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</si>
  <si>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</si>
  <si>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</si>
  <si>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</si>
  <si>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</si>
  <si>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</si>
  <si>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</si>
  <si>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</si>
  <si>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</si>
  <si>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</si>
  <si>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</si>
  <si>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</si>
  <si>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</si>
  <si>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</si>
  <si>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</si>
  <si>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</si>
  <si>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</si>
  <si>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</si>
  <si>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</si>
  <si>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</si>
  <si>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</si>
  <si>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</si>
  <si>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</si>
  <si>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</si>
  <si>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</si>
  <si>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</si>
  <si>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</si>
  <si>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</si>
  <si>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</si>
  <si>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</si>
  <si>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</si>
  <si>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</si>
  <si>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</si>
  <si>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</si>
  <si>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</si>
  <si>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</si>
  <si>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</si>
  <si>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</si>
  <si>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</si>
  <si>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</si>
  <si>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</si>
  <si>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</si>
  <si>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</si>
  <si>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</si>
  <si>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</si>
  <si>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</si>
  <si>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</si>
  <si>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</si>
  <si>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</si>
  <si>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</si>
  <si>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</si>
  <si>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</si>
  <si>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</si>
  <si>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</si>
  <si>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</si>
  <si>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</si>
  <si>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</si>
  <si>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</si>
  <si>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</si>
  <si>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</si>
  <si>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</si>
  <si>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</si>
  <si>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</si>
  <si>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</si>
  <si>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</si>
  <si>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</si>
  <si>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</si>
  <si>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</si>
  <si>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</si>
  <si>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</si>
  <si>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</si>
  <si>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</si>
  <si>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</si>
  <si>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</si>
  <si>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</si>
  <si>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</si>
  <si>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</si>
  <si>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</si>
  <si>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</si>
  <si>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</si>
  <si>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</si>
  <si>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</si>
  <si>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</si>
  <si>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</si>
  <si>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</si>
  <si>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</si>
  <si>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</si>
  <si>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</si>
  <si>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</si>
  <si>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</si>
  <si>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</si>
  <si>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</si>
  <si>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</si>
  <si>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</si>
  <si>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</si>
  <si>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</si>
  <si>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</si>
  <si>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</si>
  <si>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</si>
  <si>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</si>
  <si>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</si>
  <si>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</si>
  <si>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</si>
  <si>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</si>
  <si>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</si>
  <si>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</si>
  <si>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</si>
  <si>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</si>
  <si>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</si>
  <si>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</si>
  <si>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</si>
  <si>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</si>
  <si>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</si>
  <si>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</si>
  <si>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</si>
  <si>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</si>
  <si>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</si>
  <si>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</si>
  <si>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</si>
  <si>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</si>
  <si>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</si>
  <si>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</si>
  <si>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</si>
  <si>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</si>
  <si>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</si>
  <si>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</si>
  <si>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</si>
  <si>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</si>
  <si>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</si>
  <si>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</si>
  <si>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</si>
  <si>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</si>
  <si>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</si>
  <si>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</si>
  <si>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</si>
  <si>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</si>
  <si>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</si>
  <si>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</si>
  <si>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</si>
  <si>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</si>
  <si>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</si>
  <si>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</si>
  <si>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</si>
  <si>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</si>
  <si>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</si>
  <si>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</si>
  <si>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</si>
  <si>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</si>
  <si>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</si>
  <si>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</si>
  <si>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</si>
  <si>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</si>
  <si>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</si>
  <si>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</si>
  <si>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</si>
  <si>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</si>
  <si>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</si>
  <si>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</si>
  <si>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</si>
  <si>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</si>
  <si>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</si>
  <si>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</si>
  <si>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</si>
  <si>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</si>
  <si>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</si>
  <si>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</si>
  <si>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</si>
  <si>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</si>
  <si>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</si>
  <si>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</si>
  <si>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</si>
  <si>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</si>
  <si>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</si>
  <si>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</si>
  <si>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</si>
  <si>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</si>
  <si>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</si>
  <si>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</si>
  <si>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</si>
  <si>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</si>
  <si>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</si>
  <si>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</si>
  <si>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</si>
  <si>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</si>
  <si>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</si>
  <si>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</si>
  <si>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</si>
  <si>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</si>
  <si>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</si>
  <si>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</si>
  <si>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</si>
  <si>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</si>
  <si>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</si>
  <si>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</si>
  <si>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</si>
  <si>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</si>
  <si>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</si>
  <si>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</si>
  <si>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</si>
  <si>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</si>
  <si>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</si>
  <si>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</si>
  <si>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</si>
  <si>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</si>
  <si>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</si>
  <si>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</si>
  <si>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</si>
  <si>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</si>
  <si>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</si>
  <si>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</si>
  <si>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</si>
  <si>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</si>
  <si>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</si>
  <si>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</si>
  <si>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</si>
  <si>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</si>
  <si>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</si>
  <si>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</si>
  <si>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</si>
  <si>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</si>
  <si>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</si>
  <si>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</si>
  <si>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</si>
  <si>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</si>
  <si>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</si>
  <si>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</si>
  <si>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</si>
  <si>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</si>
  <si>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</si>
  <si>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</si>
  <si>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</si>
  <si>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</si>
  <si>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</si>
  <si>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</si>
  <si>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</si>
  <si>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</si>
  <si>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</si>
  <si>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</si>
  <si>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</si>
  <si>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</si>
  <si>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</si>
  <si>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</si>
  <si>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</si>
  <si>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</si>
  <si>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</si>
  <si>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</si>
  <si>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</si>
  <si>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</si>
  <si>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</si>
  <si>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</si>
  <si>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</si>
  <si>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</si>
  <si>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</si>
  <si>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</si>
  <si>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</si>
  <si>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</si>
  <si>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</si>
  <si>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</si>
  <si>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</si>
  <si>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</si>
  <si>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</si>
  <si>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</si>
  <si>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</si>
  <si>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</si>
  <si>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</si>
  <si>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</si>
  <si>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</si>
  <si>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</si>
  <si>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</si>
  <si>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</si>
  <si>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</si>
  <si>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</si>
  <si>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</si>
  <si>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</si>
  <si>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</si>
  <si>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</si>
  <si>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</si>
  <si>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</si>
  <si>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</si>
  <si>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</si>
  <si>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</si>
  <si>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</si>
  <si>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</si>
  <si>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</si>
  <si>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</si>
  <si>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</si>
  <si>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</si>
  <si>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</si>
  <si>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</si>
  <si>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</si>
  <si>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</si>
  <si>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</si>
  <si>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</si>
  <si>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</si>
  <si>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</si>
  <si>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</si>
  <si>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</si>
  <si>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</si>
  <si>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</si>
  <si>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</si>
  <si>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</si>
  <si>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</si>
  <si>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</si>
  <si>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</si>
  <si>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</si>
  <si>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</si>
  <si>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</si>
  <si>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</si>
  <si>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</si>
  <si>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</si>
  <si>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</si>
  <si>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fill='#949494'</t>
  </si>
  <si>
    <t>fill='#1D428A'</t>
  </si>
  <si>
    <t>fill='#010080'</t>
  </si>
  <si>
    <t>fill='#005EB8'</t>
  </si>
  <si>
    <t>fill='#08528C'</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</si>
  <si>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</si>
  <si>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</si>
  <si>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</si>
  <si>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</si>
  <si>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</si>
  <si>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</si>
  <si>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</si>
  <si>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</si>
  <si>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</si>
  <si>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</si>
  <si>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</si>
  <si>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</si>
  <si>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</si>
  <si>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</si>
  <si>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</si>
  <si>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</si>
  <si>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</si>
  <si>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</si>
  <si>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</si>
  <si>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</si>
  <si>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</si>
  <si>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</si>
  <si>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</si>
  <si>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</si>
  <si>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</si>
  <si>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</si>
  <si>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</si>
  <si>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</si>
  <si>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</si>
  <si>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</si>
  <si>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</si>
  <si>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</si>
  <si>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</si>
  <si>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</si>
  <si>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</si>
  <si>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</si>
  <si>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</si>
  <si>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</si>
  <si>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</si>
  <si>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</si>
  <si>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</si>
  <si>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</si>
  <si>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</si>
  <si>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</si>
  <si>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</si>
  <si>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</si>
  <si>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</si>
  <si>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</si>
  <si>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</si>
  <si>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</si>
  <si>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</si>
  <si>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</si>
  <si>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</si>
  <si>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</si>
  <si>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</si>
  <si>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</si>
  <si>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</si>
  <si>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</si>
  <si>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</si>
  <si>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</si>
  <si>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</si>
  <si>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</si>
  <si>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</si>
  <si>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</si>
  <si>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</si>
  <si>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</si>
  <si>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</si>
  <si>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</si>
  <si>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</si>
  <si>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</si>
  <si>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</si>
  <si>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</si>
  <si>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</si>
  <si>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</si>
  <si>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</si>
  <si>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</si>
  <si>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</si>
  <si>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</si>
  <si>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</si>
  <si>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</si>
  <si>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</si>
  <si>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</si>
  <si>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</si>
  <si>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</si>
  <si>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</si>
  <si>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</si>
  <si>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</si>
  <si>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</si>
  <si>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</si>
  <si>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</si>
  <si>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</si>
  <si>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</si>
  <si>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</si>
  <si>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</si>
  <si>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</si>
  <si>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</si>
  <si>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</si>
  <si>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</si>
  <si>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</si>
  <si>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</si>
  <si>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</si>
  <si>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</si>
  <si>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</si>
  <si>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</si>
  <si>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</si>
  <si>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</si>
  <si>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</si>
  <si>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</si>
  <si>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</si>
  <si>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</si>
  <si>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</si>
  <si>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</si>
  <si>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</si>
  <si>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</si>
  <si>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</si>
  <si>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</si>
  <si>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</si>
  <si>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</si>
  <si>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</si>
  <si>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</si>
  <si>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</si>
  <si>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</si>
  <si>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</si>
  <si>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</si>
  <si>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</si>
  <si>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</si>
  <si>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</si>
  <si>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</si>
  <si>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</si>
  <si>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</si>
  <si>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</si>
  <si>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</si>
  <si>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</si>
  <si>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</si>
  <si>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</si>
  <si>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</si>
  <si>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</si>
  <si>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</si>
  <si>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</si>
  <si>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</si>
  <si>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</si>
  <si>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</si>
  <si>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</si>
  <si>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</si>
  <si>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</si>
  <si>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</si>
  <si>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</si>
  <si>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</si>
  <si>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</si>
  <si>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</si>
  <si>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</si>
  <si>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</si>
  <si>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</si>
  <si>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</si>
  <si>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</si>
  <si>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</si>
  <si>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</si>
  <si>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</si>
  <si>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</si>
  <si>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</si>
  <si>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</si>
  <si>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</si>
  <si>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</si>
  <si>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</si>
  <si>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</si>
  <si>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</si>
  <si>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</si>
  <si>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</si>
  <si>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</si>
  <si>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</si>
  <si>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</si>
  <si>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</si>
  <si>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</si>
  <si>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</si>
  <si>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</si>
  <si>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</si>
  <si>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</si>
  <si>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</si>
  <si>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</si>
  <si>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</si>
  <si>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</si>
  <si>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</si>
  <si>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</si>
  <si>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</si>
  <si>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</si>
  <si>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</si>
  <si>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</si>
  <si>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</si>
  <si>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</si>
  <si>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</si>
  <si>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</si>
  <si>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</si>
  <si>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</si>
  <si>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</si>
  <si>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</si>
  <si>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</si>
  <si>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</si>
  <si>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</si>
  <si>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</si>
  <si>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</si>
  <si>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</si>
  <si>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</si>
  <si>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</si>
  <si>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</si>
  <si>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</si>
  <si>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</si>
  <si>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</si>
  <si>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</si>
  <si>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</si>
  <si>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</si>
  <si>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</si>
  <si>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</si>
  <si>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</si>
  <si>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</si>
  <si>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</si>
  <si>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</si>
  <si>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</si>
  <si>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</si>
  <si>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</si>
  <si>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</si>
  <si>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</si>
  <si>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</si>
  <si>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</si>
  <si>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</si>
  <si>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</si>
  <si>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</si>
  <si>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</si>
  <si>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</si>
  <si>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</si>
  <si>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</si>
  <si>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</si>
  <si>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</si>
  <si>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</si>
  <si>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</si>
  <si>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</si>
  <si>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</si>
  <si>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</si>
  <si>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</si>
  <si>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</si>
  <si>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</si>
  <si>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</si>
  <si>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</si>
  <si>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</si>
  <si>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</si>
  <si>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</si>
  <si>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</si>
  <si>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</si>
  <si>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</si>
  <si>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</si>
  <si>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</si>
  <si>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</si>
  <si>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</si>
  <si>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</si>
  <si>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</si>
  <si>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</si>
  <si>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</si>
  <si>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</si>
  <si>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</si>
  <si>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</si>
  <si>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</si>
  <si>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</si>
  <si>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</si>
  <si>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</si>
  <si>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</si>
  <si>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</si>
  <si>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</si>
  <si>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</si>
  <si>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</si>
  <si>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</si>
  <si>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</si>
  <si>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</si>
  <si>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</si>
  <si>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</si>
  <si>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</si>
  <si>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</si>
  <si>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</si>
  <si>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</si>
  <si>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</si>
  <si>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</si>
  <si>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</si>
  <si>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</si>
  <si>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</si>
  <si>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</si>
  <si>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</si>
  <si>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</si>
  <si>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</si>
  <si>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</si>
  <si>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</si>
  <si>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</si>
  <si>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</si>
  <si>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</si>
  <si>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</si>
  <si>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</si>
  <si>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</si>
  <si>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</si>
  <si>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</si>
  <si>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</si>
  <si>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</si>
  <si>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</si>
  <si>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</si>
  <si>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</si>
  <si>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</si>
  <si>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</si>
  <si>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</si>
  <si>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</si>
  <si>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</si>
  <si>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</si>
  <si>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</si>
  <si>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</si>
  <si>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</si>
  <si>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</si>
  <si>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</si>
  <si>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</si>
  <si>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</si>
  <si>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</si>
  <si>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</si>
  <si>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</si>
  <si>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</si>
  <si>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</si>
  <si>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</si>
  <si>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</si>
  <si>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</si>
  <si>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</si>
  <si>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</si>
  <si>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</si>
  <si>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</si>
  <si>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</si>
  <si>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</si>
  <si>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</si>
  <si>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</si>
  <si>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</si>
  <si>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</si>
  <si>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</si>
  <si>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</si>
  <si>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</si>
  <si>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</si>
  <si>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</si>
  <si>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</si>
  <si>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</si>
  <si>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</si>
  <si>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</si>
  <si>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</si>
  <si>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</si>
  <si>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</si>
  <si>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</si>
  <si>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</si>
  <si>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</si>
  <si>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</si>
  <si>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</si>
  <si>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</si>
  <si>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</si>
  <si>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</si>
  <si>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</si>
  <si>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</si>
  <si>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</si>
  <si>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</si>
  <si>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</si>
  <si>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</si>
  <si>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</si>
  <si>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</si>
  <si>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</si>
  <si>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</si>
  <si>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</si>
  <si>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</si>
  <si>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</si>
  <si>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</si>
  <si>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</si>
  <si>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</si>
  <si>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</si>
  <si>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</si>
  <si>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</si>
  <si>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</si>
  <si>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</si>
  <si>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</si>
  <si>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</si>
  <si>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</si>
  <si>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</si>
  <si>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</si>
  <si>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</si>
  <si>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</si>
  <si>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</si>
  <si>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</si>
  <si>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</si>
  <si>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</si>
  <si>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</si>
  <si>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</si>
  <si>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</si>
  <si>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</si>
  <si>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</si>
  <si>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</si>
  <si>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</si>
  <si>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</si>
  <si>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</si>
  <si>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</si>
  <si>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</si>
  <si>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</si>
  <si>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</si>
  <si>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</si>
  <si>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</si>
  <si>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</si>
  <si>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</si>
  <si>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</si>
  <si>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</si>
  <si>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</si>
  <si>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</si>
  <si>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</si>
  <si>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</si>
  <si>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</si>
  <si>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</si>
  <si>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</si>
  <si>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</si>
  <si>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</si>
  <si>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</si>
  <si>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</si>
  <si>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</si>
  <si>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</si>
  <si>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</si>
  <si>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</si>
  <si>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</si>
  <si>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</si>
  <si>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</si>
  <si>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</si>
  <si>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</si>
  <si>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</si>
  <si>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</si>
  <si>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</si>
  <si>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</si>
  <si>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</si>
  <si>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</si>
  <si>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</si>
  <si>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</si>
  <si>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</si>
  <si>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</si>
  <si>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</si>
  <si>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</si>
  <si>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</si>
  <si>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</si>
  <si>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</si>
  <si>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</si>
  <si>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</si>
  <si>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</si>
  <si>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</si>
  <si>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</si>
  <si>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</si>
  <si>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</si>
  <si>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</si>
  <si>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</si>
  <si>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</si>
  <si>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</si>
  <si>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</si>
  <si>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</si>
  <si>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</si>
  <si>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</si>
  <si>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</si>
  <si>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</si>
  <si>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</si>
  <si>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</si>
  <si>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</si>
  <si>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</si>
  <si>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</si>
  <si>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</si>
  <si>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</si>
  <si>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</si>
  <si>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</si>
  <si>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</si>
  <si>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</si>
  <si>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</si>
  <si>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</si>
  <si>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</si>
  <si>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</si>
  <si>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</si>
  <si>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</si>
  <si>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</si>
  <si>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</si>
  <si>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</si>
  <si>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</si>
  <si>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</si>
  <si>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</si>
  <si>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</si>
  <si>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</si>
  <si>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</si>
  <si>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</si>
  <si>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</si>
  <si>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</si>
  <si>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</si>
  <si>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</si>
  <si>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</si>
  <si>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</si>
  <si>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</si>
  <si>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</si>
  <si>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</si>
  <si>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</si>
  <si>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</si>
  <si>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</si>
  <si>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</si>
  <si>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</si>
  <si>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</si>
  <si>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</si>
  <si>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</si>
  <si>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</si>
  <si>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</si>
  <si>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</si>
  <si>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</si>
  <si>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</si>
  <si>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</si>
  <si>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</si>
  <si>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</si>
  <si>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</si>
  <si>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</si>
  <si>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</si>
  <si>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</si>
  <si>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</si>
  <si>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</si>
  <si>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</si>
  <si>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</si>
  <si>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</si>
  <si>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</si>
  <si>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</si>
  <si>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</si>
  <si>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</si>
  <si>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</si>
  <si>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</si>
  <si>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</si>
  <si>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</si>
  <si>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</si>
  <si>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</si>
  <si>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</si>
  <si>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</si>
  <si>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</si>
  <si>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</si>
  <si>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</si>
  <si>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</si>
  <si>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</si>
  <si>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</si>
  <si>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</si>
  <si>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</si>
  <si>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</si>
  <si>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</si>
  <si>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</si>
  <si>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</si>
  <si>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</si>
  <si>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</si>
  <si>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</si>
  <si>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</si>
  <si>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</si>
  <si>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</si>
  <si>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</si>
  <si>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</si>
  <si>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</si>
  <si>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</si>
  <si>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</si>
  <si>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</si>
  <si>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</si>
  <si>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</si>
  <si>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</si>
  <si>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</si>
  <si>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</si>
  <si>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</si>
  <si>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</si>
  <si>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</si>
  <si>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</si>
  <si>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</si>
  <si>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</si>
  <si>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</si>
  <si>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</si>
  <si>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</si>
  <si>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</si>
  <si>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</si>
  <si>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</si>
  <si>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</si>
  <si>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</si>
  <si>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</si>
  <si>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</si>
  <si>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</si>
  <si>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</si>
  <si>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</si>
  <si>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</si>
  <si>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</si>
  <si>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</si>
  <si>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</si>
  <si>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</si>
  <si>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</si>
  <si>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</si>
  <si>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</si>
  <si>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</si>
  <si>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</si>
  <si>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</si>
  <si>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</si>
  <si>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</si>
  <si>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</si>
  <si>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</si>
  <si>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</si>
  <si>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</si>
  <si>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</si>
  <si>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</si>
  <si>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</si>
  <si>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</si>
  <si>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</si>
  <si>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</si>
  <si>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</si>
  <si>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</si>
  <si>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</si>
  <si>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</si>
  <si>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</si>
  <si>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</si>
  <si>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</si>
  <si>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</si>
  <si>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</si>
  <si>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</si>
  <si>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</si>
  <si>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</si>
  <si>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</si>
  <si>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</si>
  <si>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</si>
  <si>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</si>
  <si>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</si>
  <si>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</si>
  <si>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</si>
  <si>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</si>
  <si>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</si>
  <si>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</si>
  <si>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</si>
  <si>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</si>
  <si>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</si>
  <si>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</si>
  <si>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</si>
  <si>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</si>
  <si>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</si>
  <si>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</si>
  <si>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</si>
  <si>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</si>
  <si>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</si>
  <si>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</si>
  <si>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</si>
  <si>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</si>
  <si>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</si>
  <si>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</si>
  <si>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</si>
  <si>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</si>
  <si>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</si>
  <si>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</si>
  <si>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</si>
  <si>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</si>
  <si>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</si>
  <si>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</si>
  <si>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</si>
  <si>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</si>
  <si>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</si>
  <si>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</si>
  <si>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</si>
  <si>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</si>
  <si>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</si>
  <si>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</si>
  <si>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</si>
  <si>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</si>
  <si>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</si>
  <si>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</si>
  <si>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</si>
  <si>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</si>
  <si>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</si>
  <si>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</si>
  <si>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</si>
  <si>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</si>
  <si>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</si>
  <si>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</si>
  <si>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</si>
  <si>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</si>
  <si>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</si>
  <si>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</si>
  <si>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</si>
  <si>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</si>
  <si>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</si>
  <si>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</si>
  <si>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</si>
  <si>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</si>
  <si>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</si>
  <si>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</si>
  <si>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</si>
  <si>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</si>
  <si>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</si>
  <si>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</si>
  <si>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</si>
  <si>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</si>
  <si>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</si>
  <si>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</si>
  <si>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</si>
  <si>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</si>
  <si>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</si>
  <si>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</si>
  <si>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</si>
  <si>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</si>
  <si>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</si>
  <si>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</si>
  <si>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</si>
  <si>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</si>
  <si>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</si>
  <si>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</si>
  <si>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</si>
  <si>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</si>
  <si>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</si>
  <si>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</si>
  <si>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</si>
  <si>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</si>
  <si>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</si>
  <si>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</si>
  <si>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</si>
  <si>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</si>
  <si>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</si>
  <si>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</si>
  <si>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</si>
  <si>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</si>
  <si>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</si>
  <si>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</si>
  <si>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</si>
  <si>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</si>
  <si>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</si>
  <si>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</si>
  <si>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</si>
  <si>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</si>
  <si>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</si>
  <si>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</si>
  <si>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</si>
  <si>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</si>
  <si>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</si>
  <si>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</si>
  <si>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</si>
  <si>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</si>
  <si>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</si>
  <si>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</si>
  <si>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</si>
  <si>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</si>
  <si>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</si>
  <si>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</si>
  <si>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</si>
  <si>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</si>
  <si>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</si>
  <si>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</si>
  <si>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</si>
  <si>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</si>
  <si>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</si>
  <si>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</si>
  <si>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</si>
  <si>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</si>
  <si>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</si>
  <si>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</si>
  <si>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</si>
  <si>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</si>
  <si>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</si>
  <si>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</si>
  <si>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</si>
  <si>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</si>
  <si>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</si>
  <si>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</si>
  <si>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</si>
  <si>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</si>
  <si>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</si>
  <si>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</si>
  <si>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</si>
  <si>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</si>
  <si>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</si>
  <si>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</si>
  <si>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</si>
  <si>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</si>
  <si>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</si>
  <si>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</si>
  <si>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</si>
  <si>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</si>
  <si>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</si>
  <si>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</si>
  <si>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</si>
  <si>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</si>
  <si>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</si>
  <si>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</si>
  <si>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</si>
  <si>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</si>
  <si>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</si>
  <si>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</si>
  <si>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</si>
  <si>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</si>
  <si>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</si>
  <si>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</si>
  <si>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</si>
  <si>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</si>
  <si>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</si>
  <si>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</si>
  <si>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</si>
  <si>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</si>
  <si>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</si>
  <si>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</si>
  <si>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</si>
  <si>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</si>
  <si>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</si>
  <si>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</si>
  <si>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</si>
  <si>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</si>
  <si>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</si>
  <si>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</si>
  <si>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</si>
  <si>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</si>
  <si>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</si>
  <si>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</si>
  <si>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</si>
  <si>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</si>
  <si>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</si>
  <si>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</si>
  <si>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</si>
  <si>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</si>
  <si>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</si>
  <si>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</si>
  <si>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</si>
  <si>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</si>
  <si>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</si>
  <si>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</si>
  <si>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</si>
  <si>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</si>
  <si>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</si>
  <si>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</si>
  <si>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</si>
  <si>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</si>
  <si>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</si>
  <si>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</si>
  <si>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</si>
  <si>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</si>
  <si>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</si>
  <si>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</si>
  <si>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</si>
  <si>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</si>
  <si>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</si>
  <si>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</si>
  <si>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</si>
  <si>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</si>
  <si>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</si>
  <si>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</si>
  <si>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</si>
  <si>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</si>
  <si>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</si>
  <si>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</si>
  <si>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</si>
  <si>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</si>
  <si>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</si>
  <si>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</si>
  <si>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</si>
  <si>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</si>
  <si>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</si>
  <si>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</si>
  <si>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</si>
  <si>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</si>
  <si>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</si>
  <si>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</si>
  <si>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</si>
  <si>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</si>
  <si>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</si>
  <si>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</si>
  <si>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</si>
  <si>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</si>
  <si>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</si>
  <si>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</si>
  <si>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</si>
  <si>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</si>
  <si>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</si>
  <si>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</si>
  <si>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</si>
  <si>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</si>
  <si>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</si>
  <si>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</si>
  <si>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</si>
  <si>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</si>
  <si>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</si>
  <si>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</si>
  <si>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</si>
  <si>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</si>
  <si>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</si>
  <si>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</si>
  <si>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</si>
  <si>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</si>
  <si>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</si>
  <si>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</si>
  <si>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</si>
  <si>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</si>
  <si>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</si>
  <si>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</si>
  <si>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</si>
  <si>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</si>
  <si>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</si>
  <si>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</si>
  <si>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</si>
  <si>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</si>
  <si>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</si>
  <si>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</si>
  <si>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</si>
  <si>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</si>
  <si>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</si>
  <si>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</si>
  <si>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</si>
  <si>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</si>
  <si>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</si>
  <si>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</si>
  <si>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</si>
  <si>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</si>
  <si>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</si>
  <si>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</si>
  <si>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</si>
  <si>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</si>
  <si>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</si>
  <si>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</si>
  <si>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</si>
  <si>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</si>
  <si>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</si>
  <si>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</si>
  <si>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</si>
  <si>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</si>
  <si>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</si>
  <si>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</si>
  <si>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</si>
  <si>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</si>
  <si>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</si>
  <si>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</si>
  <si>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</si>
  <si>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</si>
  <si>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</si>
  <si>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</si>
  <si>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</si>
  <si>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</si>
  <si>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</si>
  <si>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</si>
  <si>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</si>
  <si>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</si>
  <si>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</si>
  <si>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</si>
  <si>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</si>
  <si>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</si>
  <si>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</si>
  <si>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</si>
  <si>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</si>
  <si>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</si>
  <si>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</si>
  <si>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</si>
  <si>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</si>
  <si>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</si>
  <si>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</si>
  <si>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</si>
  <si>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</si>
  <si>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</si>
  <si>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</si>
  <si>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</si>
  <si>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</si>
  <si>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</si>
  <si>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</si>
  <si>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</si>
  <si>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</si>
  <si>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</si>
  <si>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</si>
  <si>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</si>
  <si>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</si>
  <si>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</si>
  <si>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</si>
  <si>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</si>
  <si>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</si>
  <si>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</si>
  <si>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</si>
  <si>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</si>
  <si>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</si>
  <si>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</si>
  <si>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</si>
  <si>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</si>
  <si>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</si>
  <si>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</si>
  <si>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</si>
  <si>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</si>
  <si>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</si>
  <si>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</si>
  <si>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</si>
  <si>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</si>
  <si>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</si>
  <si>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</si>
  <si>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</si>
  <si>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</si>
  <si>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</si>
  <si>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</si>
  <si>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</si>
  <si>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</si>
  <si>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</si>
  <si>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</si>
  <si>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</si>
  <si>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</si>
  <si>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</si>
  <si>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</si>
  <si>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</si>
  <si>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</si>
  <si>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</si>
  <si>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</si>
  <si>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</si>
  <si>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</si>
  <si>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</si>
  <si>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</si>
  <si>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</si>
  <si>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</si>
  <si>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</si>
  <si>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</si>
  <si>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</si>
  <si>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</si>
  <si>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</si>
  <si>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</si>
  <si>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</si>
  <si>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</si>
  <si>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</si>
  <si>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</si>
  <si>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</si>
  <si>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</si>
  <si>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</si>
  <si>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</si>
  <si>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</si>
  <si>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</si>
  <si>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</si>
  <si>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</si>
  <si>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</si>
  <si>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</si>
  <si>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</si>
  <si>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</si>
  <si>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</si>
  <si>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</si>
  <si>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</si>
  <si>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</si>
  <si>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</si>
  <si>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</si>
  <si>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</si>
  <si>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</si>
  <si>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</si>
  <si>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</si>
  <si>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</si>
  <si>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</si>
  <si>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</si>
  <si>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</si>
  <si>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</si>
  <si>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</si>
  <si>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</si>
  <si>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</si>
  <si>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</si>
  <si>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</si>
  <si>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</si>
  <si>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</si>
  <si>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</si>
  <si>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</si>
  <si>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</si>
  <si>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</si>
  <si>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</si>
  <si>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</si>
  <si>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</si>
  <si>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</si>
  <si>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</si>
  <si>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</si>
  <si>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</si>
  <si>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</si>
  <si>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</si>
  <si>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</si>
  <si>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</si>
  <si>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</si>
  <si>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</si>
  <si>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</si>
  <si>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</si>
  <si>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</si>
  <si>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</si>
  <si>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</si>
  <si>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</si>
  <si>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</si>
  <si>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</si>
  <si>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</si>
  <si>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</si>
  <si>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</si>
  <si>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</si>
  <si>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</si>
  <si>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</si>
  <si>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</si>
  <si>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</si>
  <si>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</si>
  <si>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</si>
  <si>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</si>
  <si>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</si>
  <si>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</si>
  <si>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</si>
  <si>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</si>
  <si>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</si>
  <si>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</si>
  <si>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</si>
  <si>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</si>
  <si>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</si>
  <si>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</si>
  <si>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</si>
  <si>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</si>
  <si>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</si>
  <si>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</si>
  <si>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</si>
  <si>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</si>
  <si>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</si>
  <si>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</si>
  <si>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</si>
  <si>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</si>
  <si>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</si>
  <si>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</si>
  <si>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</si>
  <si>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</si>
  <si>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</si>
  <si>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</si>
  <si>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</si>
  <si>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</si>
  <si>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</si>
  <si>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</si>
  <si>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</si>
  <si>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</si>
  <si>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</si>
  <si>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</si>
  <si>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</si>
  <si>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</si>
  <si>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</si>
  <si>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</si>
  <si>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</si>
  <si>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</si>
  <si>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</si>
  <si>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</si>
  <si>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</si>
  <si>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</si>
  <si>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</si>
  <si>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</si>
  <si>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</si>
  <si>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</si>
  <si>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</si>
  <si>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</si>
  <si>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</si>
  <si>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</si>
  <si>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</si>
  <si>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</si>
  <si>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</si>
  <si>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</si>
  <si>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</si>
  <si>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</si>
  <si>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</si>
  <si>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</si>
  <si>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</si>
  <si>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</si>
  <si>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</si>
  <si>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</si>
  <si>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</si>
  <si>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</si>
  <si>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</si>
  <si>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</si>
  <si>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</si>
  <si>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</si>
  <si>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</si>
  <si>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</si>
  <si>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</si>
  <si>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</si>
  <si>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</si>
  <si>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</si>
  <si>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</si>
  <si>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</si>
  <si>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</si>
  <si>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</si>
  <si>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</si>
  <si>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</si>
  <si>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</si>
  <si>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</si>
  <si>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</si>
  <si>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</si>
  <si>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</si>
  <si>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</si>
  <si>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</si>
  <si>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</si>
  <si>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</si>
  <si>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</si>
  <si>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</si>
  <si>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</si>
  <si>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</si>
  <si>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</si>
  <si>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</si>
  <si>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</si>
  <si>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</si>
  <si>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</si>
  <si>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</si>
  <si>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</si>
  <si>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</si>
  <si>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</si>
  <si>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</si>
  <si>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</si>
  <si>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</si>
  <si>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</si>
  <si>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</si>
  <si>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</si>
  <si>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</si>
  <si>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</si>
  <si>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</si>
  <si>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</si>
  <si>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</si>
  <si>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</si>
  <si>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</si>
  <si>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</si>
  <si>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</si>
  <si>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</si>
  <si>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08528C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</si>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</sst>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x14ac:knownFonts="1">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84">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0" xfId="0" applyBorder="1" applyAlignment="1">
      <alignment horizontal="lef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Border="1"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pplyBorder="1">
      <alignment horizontal="right"/>
    </xf>
    <xf numFmtId="0" fontId="0" fillId="2" borderId="0" xfId="0" applyFill="1">
      <alignment horizontal="right"/>
    </xf>
    <xf numFmtId="0" fontId="0" fillId="3" borderId="0" xfId="0" applyFill="1">
      <alignment horizontal="right"/>
    </xf>
    <xf numFmtId="0" fontId="0" fillId="2" borderId="0" xfId="0" applyFill="1" applyBorder="1" applyAlignment="1"/>
    <xf numFmtId="0" fontId="0" fillId="3" borderId="0" xfId="0" applyFill="1" applyBorder="1" applyAlignment="1"/>
    <xf numFmtId="0" fontId="0" fillId="4" borderId="0" xfId="0" applyFill="1" applyBorder="1" applyAlignment="1"/>
    <xf numFmtId="164" fontId="0" fillId="0" borderId="0" xfId="0" applyNumberFormat="1">
      <alignment horizontal="right"/>
    </xf>
    <xf numFmtId="0" fontId="0" fillId="0" borderId="0" xfId="0" applyAlignment="1"/>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0" fontId="1" fillId="0" borderId="0" xfId="0" applyFont="1" applyBorder="1">
      <alignment horizontal="right"/>
    </xf>
    <xf numFmtId="0" fontId="0" fillId="0" borderId="0" xfId="0" applyFont="1">
      <alignment horizontal="right"/>
    </xf>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0" fillId="0" borderId="0" xfId="0" applyFill="1" applyBorder="1">
      <alignment horizontal="righ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0" xfId="0" applyAlignment="1">
      <alignment horizontal="right"/>
    </xf>
    <xf numFmtId="0" fontId="0" fillId="0" borderId="2" xfId="0" applyBorder="1" applyAlignment="1">
      <alignment horizontal="right"/>
    </xf>
    <xf numFmtId="0" fontId="0" fillId="0" borderId="0" xfId="0" applyBorder="1" applyAlignment="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 xfId="0" applyFill="1" applyBorder="1">
      <alignment horizontal="right"/>
    </xf>
    <xf numFmtId="0" fontId="0" fillId="2" borderId="0" xfId="0" applyFill="1" applyAlignment="1">
      <alignment horizontal="right"/>
    </xf>
    <xf numFmtId="0" fontId="0" fillId="2" borderId="0" xfId="0" applyFill="1" applyAlignment="1">
      <alignment horizontal="left"/>
    </xf>
    <xf numFmtId="0" fontId="1" fillId="3" borderId="0" xfId="0" applyNumberFormat="1" applyFont="1" applyFill="1">
      <alignment horizontal="right"/>
    </xf>
    <xf numFmtId="0" fontId="0" fillId="4" borderId="0" xfId="0" applyFill="1" applyBorder="1">
      <alignment horizontal="right"/>
    </xf>
    <xf numFmtId="0" fontId="0" fillId="3" borderId="0" xfId="0" applyNumberFormat="1"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Border="1" applyAlignment="1">
      <alignment horizontal="left"/>
    </xf>
    <xf numFmtId="0" fontId="0" fillId="0" borderId="0" xfId="0" applyNumberFormat="1">
      <alignment horizontal="right"/>
    </xf>
    <xf numFmtId="0" fontId="0" fillId="0" borderId="1" xfId="0" applyNumberFormat="1" applyBorder="1">
      <alignment horizontal="right"/>
    </xf>
    <xf numFmtId="0" fontId="0" fillId="3" borderId="0" xfId="0" applyFill="1" applyBorder="1">
      <alignment horizontal="right"/>
    </xf>
    <xf numFmtId="0" fontId="0" fillId="3" borderId="0" xfId="0" applyFill="1" applyAlignment="1">
      <alignment horizontal="left"/>
    </xf>
    <xf numFmtId="0" fontId="0" fillId="0" borderId="1" xfId="0" applyBorder="1" applyAlignment="1">
      <alignment horizontal="right"/>
    </xf>
    <xf numFmtId="0" fontId="0" fillId="11" borderId="0" xfId="0" applyFill="1" applyBorder="1">
      <alignment horizontal="righ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23</xdr:col>
      <xdr:colOff>0</xdr:colOff>
      <xdr:row>11</xdr:row>
      <xdr:rowOff>0</xdr:rowOff>
    </xdr:from>
    <xdr:to>
      <xdr:col>26</xdr:col>
      <xdr:colOff>0</xdr:colOff>
      <xdr:row>13</xdr:row>
      <xdr:rowOff>127000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0370800" y="22606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1: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x14ac:dyDescent="0.2"/>
  <sheetData>
    <row r="1" spans="2:87" x14ac:dyDescent="0.2">
      <c r="F1" s="57"/>
    </row>
    <row r="2" spans="2:87" x14ac:dyDescent="0.2">
      <c r="C2" s="4" t="s">
        <v>3</v>
      </c>
      <c r="D2" s="1" cm="1">
        <f t="array" ref="D2" xml:space="preserve"> SQRT(50 - 22*Sqrt5) * 5/4</f>
        <v>1.1225699414489618</v>
      </c>
      <c r="F2" s="58" t="s">
        <v>4</v>
      </c>
      <c r="G2" s="5"/>
      <c r="H2" t="s">
        <v>2</v>
      </c>
      <c r="I2" t="str">
        <f xml:space="preserve"> H2</f>
        <v>USD</v>
      </c>
      <c r="J2" t="str">
        <f xml:space="preserve"> I2</f>
        <v>USD</v>
      </c>
      <c r="L2" t="s">
        <v>796</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1619</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1626</v>
      </c>
      <c r="AW2" t="str">
        <f xml:space="preserve"> AV2</f>
        <v>DZD</v>
      </c>
      <c r="AX2" t="str">
        <f xml:space="preserve"> AW2</f>
        <v>DZD</v>
      </c>
      <c r="AZ2" t="s">
        <v>1963</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1710</v>
      </c>
      <c r="BM2" t="str">
        <f xml:space="preserve"> BL2</f>
        <v>PAB</v>
      </c>
      <c r="BN2" t="str">
        <f xml:space="preserve"> BM2</f>
        <v>PAB</v>
      </c>
      <c r="BP2" t="s">
        <v>2313</v>
      </c>
      <c r="BQ2" t="str">
        <f xml:space="preserve"> BP2</f>
        <v>VED</v>
      </c>
      <c r="BR2" t="str">
        <f xml:space="preserve"> BQ2</f>
        <v>VED</v>
      </c>
      <c r="BT2" t="s">
        <v>2272</v>
      </c>
      <c r="BU2" t="str">
        <f xml:space="preserve"> BT2</f>
        <v>KPW</v>
      </c>
      <c r="BV2" t="str">
        <f xml:space="preserve"> BU2</f>
        <v>KPW</v>
      </c>
      <c r="BX2" t="s">
        <v>2314</v>
      </c>
      <c r="BY2" t="str">
        <f xml:space="preserve"> BX2</f>
        <v>SYP</v>
      </c>
      <c r="BZ2" t="str">
        <f xml:space="preserve"> BY2</f>
        <v>SYP</v>
      </c>
      <c r="CB2" t="s">
        <v>2315</v>
      </c>
      <c r="CC2" t="str">
        <f xml:space="preserve"> CB2</f>
        <v>UZS</v>
      </c>
      <c r="CD2" t="str">
        <f xml:space="preserve"> CC2</f>
        <v>UZS</v>
      </c>
      <c r="CI2" t="e">
        <f xml:space="preserve"> NA()</f>
        <v>#N/A</v>
      </c>
    </row>
    <row r="3" spans="2:87" x14ac:dyDescent="0.2">
      <c r="C3" s="58" t="s">
        <v>2089</v>
      </c>
      <c r="D3">
        <f xml:space="preserve"> GoldenRatio</f>
        <v>1.6180339887498949</v>
      </c>
      <c r="F3" s="58" t="s">
        <v>118</v>
      </c>
      <c r="J3" s="28">
        <v>2.25</v>
      </c>
      <c r="K3" s="28"/>
      <c r="N3" s="28">
        <v>1</v>
      </c>
      <c r="O3" s="28"/>
      <c r="P3" s="28"/>
      <c r="R3" s="28">
        <f xml:space="preserve"> $N3</f>
        <v>1</v>
      </c>
      <c r="S3" s="28"/>
      <c r="T3" s="28"/>
      <c r="V3" s="28">
        <f xml:space="preserve"> Star_5_2.AreaMultiplier_Default</f>
        <v>1.6180339887498949</v>
      </c>
      <c r="W3" s="28"/>
      <c r="X3" s="28"/>
      <c r="Z3" s="28">
        <f xml:space="preserve"> $N3</f>
        <v>1</v>
      </c>
      <c r="AA3" s="28"/>
      <c r="AB3" s="28"/>
      <c r="AD3" s="28">
        <f xml:space="preserve"> Star_5_2.AreaMultiplier_Default</f>
        <v>1.6180339887498949</v>
      </c>
      <c r="AE3" s="28"/>
      <c r="AF3" s="28"/>
      <c r="AH3" s="28">
        <f xml:space="preserve"> Star_5_2.AreaMultiplier_Default</f>
        <v>1.6180339887498949</v>
      </c>
      <c r="AI3" s="28"/>
      <c r="AJ3" s="28"/>
      <c r="AL3" s="28">
        <f xml:space="preserve"> $N3</f>
        <v>1</v>
      </c>
      <c r="AM3" s="28"/>
      <c r="AN3" s="28"/>
      <c r="AP3" s="28">
        <f xml:space="preserve"> $N3</f>
        <v>1</v>
      </c>
      <c r="AQ3" s="28"/>
      <c r="AR3" s="28"/>
      <c r="AT3" s="28">
        <f xml:space="preserve"> Star_5_2.AreaMultiplier_Default</f>
        <v>1.6180339887498949</v>
      </c>
      <c r="AU3" s="28"/>
      <c r="AV3" s="28"/>
      <c r="AX3" s="28">
        <f xml:space="preserve"> MODE(Squares.AreaMultiplier)</f>
        <v>0.85</v>
      </c>
      <c r="AY3" s="28"/>
      <c r="AZ3" s="28"/>
      <c r="BB3" s="28">
        <f xml:space="preserve"> Star_5_2.AreaMultiplier_Default</f>
        <v>1.6180339887498949</v>
      </c>
      <c r="BC3" s="28"/>
      <c r="BD3" s="28"/>
      <c r="BF3" s="28">
        <f xml:space="preserve"> Star_5_2.AreaMultiplier_Default</f>
        <v>1.6180339887498949</v>
      </c>
      <c r="BG3" s="28"/>
      <c r="BH3" s="28"/>
      <c r="BJ3" s="28">
        <f xml:space="preserve"> MODE(Squares.AreaMultiplier)</f>
        <v>0.85</v>
      </c>
      <c r="BK3" s="28"/>
      <c r="BL3" s="28"/>
      <c r="BN3" s="28">
        <f xml:space="preserve"> MODE(Squares.AreaMultiplier)</f>
        <v>0.85</v>
      </c>
      <c r="BO3" s="28"/>
      <c r="BP3" s="28"/>
      <c r="BR3" s="28">
        <f xml:space="preserve"> Star_5_2.AreaMultiplier_Default</f>
        <v>1.6180339887498949</v>
      </c>
      <c r="BS3" s="28"/>
      <c r="BT3" s="28"/>
      <c r="BV3" s="28">
        <f xml:space="preserve"> $R3</f>
        <v>1</v>
      </c>
      <c r="BW3" s="28"/>
      <c r="BX3" s="28"/>
      <c r="BZ3" s="28">
        <f xml:space="preserve"> Star_5_2.AreaMultiplier_Default</f>
        <v>1.6180339887498949</v>
      </c>
      <c r="CA3" s="28"/>
      <c r="CB3" s="28"/>
      <c r="CD3" s="28">
        <f xml:space="preserve"> $R3</f>
        <v>1</v>
      </c>
      <c r="CE3" s="28"/>
      <c r="CF3" s="28"/>
      <c r="CG3" s="28"/>
      <c r="CH3" s="28"/>
    </row>
    <row r="4" spans="2:87" x14ac:dyDescent="0.2">
      <c r="C4" s="58" t="s">
        <v>2090</v>
      </c>
      <c r="D4" s="1">
        <f xml:space="preserve"> SQRT(Star_5_2.AreaMultiplier_Default * BasicBBoxArea)</f>
        <v>12.720196495140689</v>
      </c>
      <c r="F4" s="58"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x14ac:dyDescent="0.2">
      <c r="C5" s="1"/>
      <c r="D5" s="1"/>
      <c r="F5" s="58"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x14ac:dyDescent="0.2">
      <c r="C6" s="1"/>
      <c r="D6" s="1"/>
      <c r="F6" s="58"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x14ac:dyDescent="0.2">
      <c r="C7" s="1"/>
      <c r="D7" s="1"/>
      <c r="F7" s="58"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x14ac:dyDescent="0.2">
      <c r="C8" s="1"/>
      <c r="D8" s="1"/>
      <c r="F8" s="58" t="s">
        <v>1776</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x14ac:dyDescent="0.2">
      <c r="F9" s="58" t="s">
        <v>124</v>
      </c>
      <c r="I9" s="6"/>
      <c r="J9" s="6" t="s">
        <v>726</v>
      </c>
      <c r="M9" s="6"/>
      <c r="N9" s="6" t="s">
        <v>1705</v>
      </c>
      <c r="Q9" s="6"/>
      <c r="R9" s="6" t="s">
        <v>1474</v>
      </c>
      <c r="U9" s="6"/>
      <c r="V9" s="6" t="s">
        <v>784</v>
      </c>
      <c r="Y9" s="6"/>
      <c r="Z9" s="6" t="s">
        <v>785</v>
      </c>
      <c r="AC9" s="6"/>
      <c r="AD9" s="6" t="s">
        <v>786</v>
      </c>
      <c r="AG9" s="6"/>
      <c r="AH9" s="6" t="s">
        <v>787</v>
      </c>
      <c r="AK9" s="6"/>
      <c r="AL9" s="6" t="s">
        <v>1620</v>
      </c>
      <c r="AO9" s="6"/>
      <c r="AP9" s="6" t="s">
        <v>789</v>
      </c>
      <c r="AS9" s="6"/>
      <c r="AT9" s="6" t="s">
        <v>790</v>
      </c>
      <c r="AW9" s="6"/>
      <c r="AX9" s="6" t="s">
        <v>1627</v>
      </c>
      <c r="BA9" s="6"/>
      <c r="BB9" s="6" t="s">
        <v>726</v>
      </c>
      <c r="BE9" s="36"/>
      <c r="BF9" s="36" t="s">
        <v>1064</v>
      </c>
      <c r="BI9" s="6"/>
      <c r="BJ9" s="6" t="s">
        <v>1829</v>
      </c>
      <c r="BM9" s="6"/>
      <c r="BN9" s="6" t="s">
        <v>1700</v>
      </c>
      <c r="BQ9" s="6"/>
      <c r="BR9" s="6" t="s">
        <v>717</v>
      </c>
      <c r="BS9" s="6"/>
      <c r="BU9" s="6"/>
      <c r="BV9" s="6" t="s">
        <v>2270</v>
      </c>
      <c r="BW9" s="6"/>
      <c r="BY9" s="6"/>
      <c r="BZ9" s="6" t="s">
        <v>1669</v>
      </c>
      <c r="CA9" s="6"/>
      <c r="CC9" s="6"/>
      <c r="CD9" s="6" t="s">
        <v>2316</v>
      </c>
      <c r="CE9" s="6"/>
      <c r="CF9" s="6"/>
      <c r="CG9" s="6"/>
      <c r="CH9" s="6"/>
    </row>
    <row r="10" spans="2:87" x14ac:dyDescent="0.2">
      <c r="F10" s="58" t="s">
        <v>150</v>
      </c>
      <c r="I10" s="6"/>
      <c r="J10" s="6" t="s">
        <v>2091</v>
      </c>
      <c r="M10" s="6"/>
      <c r="N10" s="6" t="s">
        <v>2091</v>
      </c>
      <c r="Q10" s="6"/>
      <c r="R10" s="6" t="s">
        <v>2091</v>
      </c>
      <c r="U10" s="6"/>
      <c r="V10" s="6" t="s">
        <v>788</v>
      </c>
      <c r="Y10" s="6"/>
      <c r="Z10" s="6" t="s">
        <v>2091</v>
      </c>
      <c r="AC10" s="6"/>
      <c r="AD10" s="6" t="s">
        <v>2091</v>
      </c>
      <c r="AG10" s="6"/>
      <c r="AH10" s="6" t="s">
        <v>2091</v>
      </c>
      <c r="AK10" s="6"/>
      <c r="AL10" s="6" t="s">
        <v>1621</v>
      </c>
      <c r="AO10" s="6"/>
      <c r="AP10" s="6" t="s">
        <v>2091</v>
      </c>
      <c r="AS10" s="6"/>
      <c r="AT10" s="6"/>
      <c r="AW10" s="6"/>
      <c r="AX10" s="6" t="s">
        <v>2091</v>
      </c>
      <c r="BA10" s="6"/>
      <c r="BB10" s="6" t="s">
        <v>722</v>
      </c>
      <c r="BE10" s="36"/>
      <c r="BF10" s="36" t="s">
        <v>1065</v>
      </c>
      <c r="BI10" s="6"/>
      <c r="BJ10" s="6" t="s">
        <v>2091</v>
      </c>
      <c r="BM10" s="6"/>
      <c r="BN10" s="6"/>
      <c r="BQ10" s="6"/>
      <c r="BR10" s="6" t="s">
        <v>721</v>
      </c>
      <c r="BS10" s="6"/>
      <c r="BU10" s="6"/>
      <c r="BV10" s="6" t="s">
        <v>2271</v>
      </c>
      <c r="BW10" s="6"/>
      <c r="BY10" s="6"/>
      <c r="BZ10" s="6" t="s">
        <v>2091</v>
      </c>
      <c r="CA10" s="6"/>
      <c r="CC10" s="6"/>
      <c r="CD10" s="6" t="s">
        <v>2091</v>
      </c>
      <c r="CE10" s="6"/>
      <c r="CF10" s="6"/>
      <c r="CG10" s="6"/>
      <c r="CH10" s="6"/>
    </row>
    <row r="11" spans="2:87" x14ac:dyDescent="0.2">
      <c r="F11" s="58" t="s">
        <v>125</v>
      </c>
      <c r="I11" s="6"/>
      <c r="J11" s="6"/>
      <c r="M11" s="6"/>
      <c r="N11" s="6" t="str">
        <f xml:space="preserve"> _xlfn.SINGLE(Star_5_2.SVG_painting_Outer)</f>
        <v xml:space="preserve">fill='#FF33FF' </v>
      </c>
      <c r="Q11" s="6"/>
      <c r="R11" s="6" t="s">
        <v>728</v>
      </c>
      <c r="U11" s="6"/>
      <c r="V11" s="6"/>
      <c r="Y11" s="6"/>
      <c r="Z11" s="6"/>
      <c r="AC11" s="6"/>
      <c r="AD11" s="6"/>
      <c r="AG11" s="6"/>
      <c r="AH11" s="6"/>
      <c r="AK11" s="6"/>
      <c r="AL11" s="6" t="str">
        <f xml:space="preserve"> _xlfn.SINGLE(Star_5_2.SVG_painting_Outer)</f>
        <v>fill='#0F47AF'</v>
      </c>
      <c r="AO11" s="6"/>
      <c r="AP11" s="6" t="str">
        <f xml:space="preserve"> _xlfn.SINGLE(Star_5_2.SVG_painting_Outer)</f>
        <v>fill='#E70013'</v>
      </c>
      <c r="AS11" s="6"/>
      <c r="AT11" s="6" t="s">
        <v>1537</v>
      </c>
      <c r="AW11" s="6"/>
      <c r="AX11" s="6" t="s">
        <v>1628</v>
      </c>
      <c r="BA11" s="6"/>
      <c r="BB11" s="6" t="s">
        <v>726</v>
      </c>
      <c r="BI11" s="6"/>
      <c r="BJ11" s="6" t="s">
        <v>783</v>
      </c>
      <c r="BM11" s="6"/>
      <c r="BN11" s="6" t="s">
        <v>1701</v>
      </c>
      <c r="BQ11" s="6"/>
      <c r="BR11" s="6" t="s">
        <v>791</v>
      </c>
      <c r="BS11" s="6"/>
      <c r="BU11" s="6"/>
      <c r="BV11" s="6" t="s">
        <v>2091</v>
      </c>
      <c r="BW11" s="6"/>
      <c r="BY11" s="6"/>
      <c r="BZ11" s="6" t="s">
        <v>756</v>
      </c>
      <c r="CA11" s="6"/>
      <c r="CC11" s="6"/>
      <c r="CD11" s="6" t="s">
        <v>2317</v>
      </c>
      <c r="CE11" s="6"/>
      <c r="CF11" s="6"/>
      <c r="CG11" s="6"/>
      <c r="CH11" s="6"/>
    </row>
    <row r="12" spans="2:87" x14ac:dyDescent="0.2">
      <c r="B12" t="b">
        <v>1</v>
      </c>
      <c r="F12" s="58" t="s">
        <v>1687</v>
      </c>
      <c r="H12" s="64" t="b">
        <v>1</v>
      </c>
      <c r="I12" s="57" t="b">
        <f xml:space="preserve"> H12</f>
        <v>1</v>
      </c>
      <c r="J12" s="57" t="b">
        <f xml:space="preserve"> I12</f>
        <v>1</v>
      </c>
      <c r="L12" s="64" t="b">
        <v>0</v>
      </c>
      <c r="M12" s="57" t="b">
        <f xml:space="preserve"> L12</f>
        <v>0</v>
      </c>
      <c r="N12" s="57" t="b">
        <f xml:space="preserve"> M12</f>
        <v>0</v>
      </c>
      <c r="P12" s="64" t="b">
        <v>1</v>
      </c>
      <c r="Q12" s="57" t="b">
        <f xml:space="preserve"> P12</f>
        <v>1</v>
      </c>
      <c r="R12" s="57" t="b">
        <f xml:space="preserve"> Q12</f>
        <v>1</v>
      </c>
      <c r="T12" s="64" t="b">
        <v>1</v>
      </c>
      <c r="U12" s="57" t="b">
        <f xml:space="preserve"> T12</f>
        <v>1</v>
      </c>
      <c r="V12" s="57" t="b">
        <f xml:space="preserve"> U12</f>
        <v>1</v>
      </c>
      <c r="X12" s="64" t="b">
        <v>0</v>
      </c>
      <c r="Y12" s="57" t="b">
        <f xml:space="preserve"> X12</f>
        <v>0</v>
      </c>
      <c r="Z12" s="57" t="b">
        <f xml:space="preserve"> Y12</f>
        <v>0</v>
      </c>
      <c r="AB12" s="64" t="b">
        <v>1</v>
      </c>
      <c r="AC12" s="57" t="b">
        <f xml:space="preserve"> AB12</f>
        <v>1</v>
      </c>
      <c r="AD12" s="57" t="b">
        <f xml:space="preserve"> AC12</f>
        <v>1</v>
      </c>
      <c r="AF12" s="64" t="b">
        <v>1</v>
      </c>
      <c r="AG12" s="57" t="b">
        <f xml:space="preserve"> AF12</f>
        <v>1</v>
      </c>
      <c r="AH12" s="57" t="b">
        <f xml:space="preserve"> AG12</f>
        <v>1</v>
      </c>
      <c r="AJ12" s="64" t="b">
        <v>1</v>
      </c>
      <c r="AK12" s="57" t="b">
        <f xml:space="preserve"> AJ12</f>
        <v>1</v>
      </c>
      <c r="AL12" s="57" t="b">
        <f xml:space="preserve"> AK12</f>
        <v>1</v>
      </c>
      <c r="AN12" s="64" t="b">
        <v>0</v>
      </c>
      <c r="AO12" s="57" t="b">
        <f xml:space="preserve"> AN12</f>
        <v>0</v>
      </c>
      <c r="AP12" s="57" t="b">
        <f xml:space="preserve"> AO12</f>
        <v>0</v>
      </c>
      <c r="AR12" s="64" t="b">
        <v>0</v>
      </c>
      <c r="AS12" s="57" t="b">
        <f xml:space="preserve"> AR12</f>
        <v>0</v>
      </c>
      <c r="AT12" s="57" t="b">
        <f xml:space="preserve"> AS12</f>
        <v>0</v>
      </c>
      <c r="AV12" s="64" t="b">
        <v>0</v>
      </c>
      <c r="AW12" s="57" t="b">
        <f xml:space="preserve"> AV12</f>
        <v>0</v>
      </c>
      <c r="AX12" s="57" t="b">
        <f xml:space="preserve"> AW12</f>
        <v>0</v>
      </c>
      <c r="AZ12" s="64" t="b">
        <v>1</v>
      </c>
      <c r="BA12" s="57" t="b">
        <f xml:space="preserve"> AZ12</f>
        <v>1</v>
      </c>
      <c r="BB12" s="57" t="b">
        <f xml:space="preserve"> BA12</f>
        <v>1</v>
      </c>
      <c r="BD12" s="64" t="b">
        <v>1</v>
      </c>
      <c r="BE12" s="57" t="b">
        <f xml:space="preserve"> BD12</f>
        <v>1</v>
      </c>
      <c r="BF12" s="57" t="b">
        <f xml:space="preserve"> BE12</f>
        <v>1</v>
      </c>
      <c r="BH12" s="64" t="b">
        <v>0</v>
      </c>
      <c r="BI12" s="57" t="b">
        <f xml:space="preserve"> BH12</f>
        <v>0</v>
      </c>
      <c r="BJ12" s="57" t="b">
        <f xml:space="preserve"> BI12</f>
        <v>0</v>
      </c>
      <c r="BL12" s="64" t="b">
        <v>0</v>
      </c>
      <c r="BM12" s="57" t="b">
        <f xml:space="preserve"> BL12</f>
        <v>0</v>
      </c>
      <c r="BN12" s="57" t="b">
        <f xml:space="preserve"> BM12</f>
        <v>0</v>
      </c>
      <c r="BP12" s="64" t="b">
        <v>1</v>
      </c>
      <c r="BQ12" s="57" t="b">
        <f xml:space="preserve"> BP12</f>
        <v>1</v>
      </c>
      <c r="BR12" s="57" t="b">
        <f xml:space="preserve"> BQ12</f>
        <v>1</v>
      </c>
      <c r="BS12" s="57"/>
      <c r="BT12" s="64" t="b">
        <v>0</v>
      </c>
      <c r="BU12" s="57" t="b">
        <f xml:space="preserve"> BT12</f>
        <v>0</v>
      </c>
      <c r="BV12" s="57" t="b">
        <f xml:space="preserve"> BU12</f>
        <v>0</v>
      </c>
      <c r="BW12" s="57"/>
      <c r="BX12" s="64" t="b">
        <v>1</v>
      </c>
      <c r="BY12" s="57" t="b">
        <f xml:space="preserve"> BX12</f>
        <v>1</v>
      </c>
      <c r="BZ12" s="57" t="b">
        <f xml:space="preserve"> BY12</f>
        <v>1</v>
      </c>
      <c r="CA12" s="57"/>
      <c r="CB12" s="64" t="b">
        <v>0</v>
      </c>
      <c r="CC12" s="57" t="b">
        <f xml:space="preserve"> CB12</f>
        <v>0</v>
      </c>
      <c r="CD12" s="57" t="b">
        <f xml:space="preserve"> CC12</f>
        <v>0</v>
      </c>
      <c r="CE12" s="57"/>
      <c r="CF12" s="57"/>
      <c r="CG12" s="57"/>
      <c r="CH12" s="57"/>
    </row>
    <row r="13" spans="2:87" s="36" customFormat="1" x14ac:dyDescent="0.2">
      <c r="F13" s="58" t="s">
        <v>1540</v>
      </c>
      <c r="H13" s="36">
        <f xml:space="preserve"> DecimalPlaces - INT(LOG(MAX(IFERROR(0+Star_5_2.SizeOuter,0), IFERROR(0+Star_5_2.SizeMiddle,0), IFERROR(0+Star_5_2.SizeInner,0)), 10) + 0.2)</f>
        <v>4</v>
      </c>
      <c r="I13">
        <f t="shared" ref="I13:J13" si="24" xml:space="preserve"> IF(ISNUMBER(H13), H13, "·")</f>
        <v>4</v>
      </c>
      <c r="J13">
        <f t="shared" si="24"/>
        <v>4</v>
      </c>
      <c r="L13" s="36">
        <f xml:space="preserve"> DecimalPlaces - INT(LOG(MAX(IFERROR(0+Star_5_2.SizeOuter,0), IFERROR(0+Star_5_2.SizeMiddle,0), IFERROR(0+Star_5_2.SizeInner,0)), 10) + 0.2)</f>
        <v>4</v>
      </c>
      <c r="M13">
        <f t="shared" ref="M13:N13" si="25" xml:space="preserve"> IF(ISNUMBER(L13), L13, "·")</f>
        <v>4</v>
      </c>
      <c r="N13">
        <f t="shared" si="25"/>
        <v>4</v>
      </c>
      <c r="P13" s="36">
        <f xml:space="preserve"> DecimalPlaces - INT(LOG(MAX(IFERROR(0+Star_5_2.SizeOuter,0), IFERROR(0+Star_5_2.SizeMiddle,0), IFERROR(0+Star_5_2.SizeInner,0)), 10) + 0.2)</f>
        <v>5</v>
      </c>
      <c r="Q13">
        <f t="shared" ref="Q13:R13" si="26" xml:space="preserve"> IF(ISNUMBER(P13), P13, "·")</f>
        <v>5</v>
      </c>
      <c r="R13">
        <f t="shared" si="26"/>
        <v>5</v>
      </c>
      <c r="T13" s="36">
        <f xml:space="preserve"> DecimalPlaces - INT(LOG(MAX(IFERROR(0+Star_5_2.SizeOuter,0), IFERROR(0+Star_5_2.SizeMiddle,0), IFERROR(0+Star_5_2.SizeInner,0)), 10) + 0.2)</f>
        <v>4</v>
      </c>
      <c r="U13">
        <f t="shared" ref="U13:V13" si="27" xml:space="preserve"> IF(ISNUMBER(T13), T13, "·")</f>
        <v>4</v>
      </c>
      <c r="V13">
        <f t="shared" si="27"/>
        <v>4</v>
      </c>
      <c r="X13" s="36">
        <f xml:space="preserve"> DecimalPlaces - INT(LOG(MAX(IFERROR(0+Star_5_2.SizeOuter,0), IFERROR(0+Star_5_2.SizeMiddle,0), IFERROR(0+Star_5_2.SizeInner,0)), 10) + 0.2)</f>
        <v>5</v>
      </c>
      <c r="Y13">
        <f t="shared" ref="Y13:Z13" si="28" xml:space="preserve"> IF(ISNUMBER(X13), X13, "·")</f>
        <v>5</v>
      </c>
      <c r="Z13">
        <f t="shared" si="28"/>
        <v>5</v>
      </c>
      <c r="AB13" s="36">
        <f xml:space="preserve"> DecimalPlaces - INT(LOG(MAX(IFERROR(0+Star_5_2.SizeOuter,0), IFERROR(0+Star_5_2.SizeMiddle,0), IFERROR(0+Star_5_2.SizeInner,0)), 10) + 0.2)</f>
        <v>4</v>
      </c>
      <c r="AC13">
        <f t="shared" ref="AC13:AD13" si="29" xml:space="preserve"> IF(ISNUMBER(AB13), AB13, "·")</f>
        <v>4</v>
      </c>
      <c r="AD13">
        <f t="shared" si="29"/>
        <v>4</v>
      </c>
      <c r="AF13" s="36">
        <f xml:space="preserve"> DecimalPlaces - INT(LOG(MAX(IFERROR(0+Star_5_2.SizeOuter,0), IFERROR(0+Star_5_2.SizeMiddle,0), IFERROR(0+Star_5_2.SizeInner,0)), 10) + 0.2)</f>
        <v>4</v>
      </c>
      <c r="AG13">
        <f t="shared" ref="AG13:AH13" si="30" xml:space="preserve"> IF(ISNUMBER(AF13), AF13, "·")</f>
        <v>4</v>
      </c>
      <c r="AH13">
        <f t="shared" si="30"/>
        <v>4</v>
      </c>
      <c r="AJ13" s="36">
        <f xml:space="preserve"> DecimalPlaces - INT(LOG(MAX(IFERROR(0+Star_5_2.SizeOuter,0), IFERROR(0+Star_5_2.SizeMiddle,0), IFERROR(0+Star_5_2.SizeInner,0)), 10) + 0.2)</f>
        <v>5</v>
      </c>
      <c r="AK13">
        <f t="shared" ref="AK13:AL13" si="31" xml:space="preserve"> IF(ISNUMBER(AJ13), AJ13, "·")</f>
        <v>5</v>
      </c>
      <c r="AL13">
        <f t="shared" si="31"/>
        <v>5</v>
      </c>
      <c r="AN13" s="36">
        <f xml:space="preserve"> DecimalPlaces - INT(LOG(MAX(IFERROR(0+Star_5_2.SizeOuter,0), IFERROR(0+Star_5_2.SizeMiddle,0), IFERROR(0+Star_5_2.SizeInner,0)), 10) + 0.2)</f>
        <v>4</v>
      </c>
      <c r="AO13">
        <f t="shared" ref="AO13:AP13" si="32" xml:space="preserve"> IF(ISNUMBER(AN13), AN13, "·")</f>
        <v>4</v>
      </c>
      <c r="AP13">
        <f t="shared" si="32"/>
        <v>4</v>
      </c>
      <c r="AR13" s="36">
        <f xml:space="preserve"> DecimalPlaces - INT(LOG(MAX(IFERROR(0+Star_5_2.SizeOuter,0), IFERROR(0+Star_5_2.SizeMiddle,0), IFERROR(0+Star_5_2.SizeInner,0)), 10) + 0.2)</f>
        <v>5</v>
      </c>
      <c r="AS13">
        <f t="shared" ref="AS13:AT13" si="33" xml:space="preserve"> IF(ISNUMBER(AR13), AR13, "·")</f>
        <v>5</v>
      </c>
      <c r="AT13">
        <f t="shared" si="33"/>
        <v>5</v>
      </c>
      <c r="AV13" s="36">
        <f xml:space="preserve"> DecimalPlaces - INT(LOG(MAX(IFERROR(0+Star_5_2.SizeOuter,0), IFERROR(0+Star_5_2.SizeMiddle,0), IFERROR(0+Star_5_2.SizeInner,0)), 10) + 0.2)</f>
        <v>5</v>
      </c>
      <c r="AW13">
        <f t="shared" ref="AW13:AX13" si="34" xml:space="preserve"> IF(ISNUMBER(AV13), AV13, "·")</f>
        <v>5</v>
      </c>
      <c r="AX13">
        <f t="shared" si="34"/>
        <v>5</v>
      </c>
      <c r="AZ13" s="36">
        <f xml:space="preserve"> DecimalPlaces - INT(LOG(MAX(IFERROR(0+Star_5_2.SizeOuter,0), IFERROR(0+Star_5_2.SizeMiddle,0), IFERROR(0+Star_5_2.SizeInner,0)), 10) + 0.2)</f>
        <v>4</v>
      </c>
      <c r="BA13">
        <f t="shared" ref="BA13:BB13" si="35" xml:space="preserve"> IF(ISNUMBER(AZ13), AZ13, "·")</f>
        <v>4</v>
      </c>
      <c r="BB13">
        <f t="shared" si="35"/>
        <v>4</v>
      </c>
      <c r="BD13" s="36">
        <f xml:space="preserve"> DecimalPlaces - INT(LOG(MAX(IFERROR(0+Star_5_2.SizeOuter,0), IFERROR(0+Star_5_2.SizeMiddle,0), IFERROR(0+Star_5_2.SizeInner,0)), 10) + 0.2)</f>
        <v>4</v>
      </c>
      <c r="BE13">
        <f t="shared" ref="BE13:BF13" si="36" xml:space="preserve"> IF(ISNUMBER(BD13), BD13, "·")</f>
        <v>4</v>
      </c>
      <c r="BF13">
        <f t="shared" si="36"/>
        <v>4</v>
      </c>
      <c r="BH13" s="36">
        <f xml:space="preserve"> DecimalPlaces - INT(LOG(MAX(IFERROR(0+Star_5_2.SizeOuter,0), IFERROR(0+Star_5_2.SizeMiddle,0), IFERROR(0+Star_5_2.SizeInner,0)), 10) + 0.2)</f>
        <v>4</v>
      </c>
      <c r="BI13">
        <f t="shared" ref="BI13:BJ13" si="37" xml:space="preserve"> IF(ISNUMBER(BH13), BH13, "·")</f>
        <v>4</v>
      </c>
      <c r="BJ13">
        <f t="shared" si="37"/>
        <v>4</v>
      </c>
      <c r="BL13" s="36">
        <f xml:space="preserve"> DecimalPlaces - INT(LOG(MAX(IFERROR(0+Star_5_2.SizeOuter,0), IFERROR(0+Star_5_2.SizeMiddle,0), IFERROR(0+Star_5_2.SizeInner,0)), 10) + 0.2)</f>
        <v>5</v>
      </c>
      <c r="BM13">
        <f t="shared" ref="BM13:BN13" si="38" xml:space="preserve"> IF(ISNUMBER(BL13), BL13, "·")</f>
        <v>5</v>
      </c>
      <c r="BN13">
        <f t="shared" si="38"/>
        <v>5</v>
      </c>
      <c r="BP13" s="36">
        <f xml:space="preserve"> DecimalPlaces - INT(LOG(MAX(IFERROR(0+Star_5_2.SizeOuter,0), IFERROR(0+Star_5_2.SizeMiddle,0), IFERROR(0+Star_5_2.SizeInner,0)), 10) + 0.2)</f>
        <v>4</v>
      </c>
      <c r="BQ13">
        <f t="shared" ref="BQ13:BR13" si="39" xml:space="preserve"> IF(ISNUMBER(BP13), BP13, "·")</f>
        <v>4</v>
      </c>
      <c r="BR13">
        <f t="shared" si="39"/>
        <v>4</v>
      </c>
      <c r="BT13" s="36">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36">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36">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x14ac:dyDescent="0.2">
      <c r="D14" s="1"/>
      <c r="F14" s="59"/>
      <c r="G14" s="5"/>
    </row>
    <row r="15" spans="2:87" x14ac:dyDescent="0.2">
      <c r="J15" cm="1">
        <f t="array" ref="J15" xml:space="preserve"> SVG_length(J$73:J$84)</f>
        <v>354</v>
      </c>
      <c r="N15" cm="1">
        <f t="array" ref="N15" xml:space="preserve"> SVG_length(N$73:N$84)</f>
        <v>303</v>
      </c>
      <c r="R15" cm="1">
        <f t="array" ref="R15" xml:space="preserve"> SVG_length(R$73:R$84)</f>
        <v>377</v>
      </c>
      <c r="V15" cm="1">
        <f t="array" ref="V15" xml:space="preserve"> SVG_length(V$73:V$84)</f>
        <v>403</v>
      </c>
      <c r="Z15" cm="1">
        <f t="array" ref="Z15" xml:space="preserve"> SVG_length(Z$73:Z$84)</f>
        <v>253</v>
      </c>
      <c r="AD15" cm="1">
        <f t="array" ref="AD15" xml:space="preserve"> SVG_length(AD$73:AD$84)</f>
        <v>395</v>
      </c>
      <c r="AH15" cm="1">
        <f t="array" ref="AH15" xml:space="preserve"> SVG_length(AH$73:AH$84)</f>
        <v>368</v>
      </c>
      <c r="AL15" cm="1">
        <f t="array" ref="AL15" xml:space="preserve"> SVG_length(AL$73:AL$84)</f>
        <v>373</v>
      </c>
      <c r="AP15" cm="1">
        <f t="array" ref="AP15" xml:space="preserve"> SVG_length(AP$73:AP$84)</f>
        <v>310</v>
      </c>
      <c r="AT15" cm="1">
        <f t="array" ref="AT15" xml:space="preserve"> SVG_length(AT$73:AT$84)</f>
        <v>499</v>
      </c>
      <c r="AX15" cm="1">
        <f t="array" ref="AX15" xml:space="preserve"> SVG_length(AX$73:AX$84)</f>
        <v>382</v>
      </c>
      <c r="BB15" cm="1">
        <f t="array" ref="BB15" xml:space="preserve"> SVG_length(BB$73:BB$84)</f>
        <v>406</v>
      </c>
      <c r="BF15" cm="1">
        <f t="array" ref="BF15" xml:space="preserve"> SVG_length(BF$73:BF$84)</f>
        <v>366</v>
      </c>
      <c r="BJ15" cm="1">
        <f t="array" ref="BJ15" xml:space="preserve"> SVG_length(BJ$73:BJ$84)</f>
        <v>328</v>
      </c>
      <c r="BN15" cm="1">
        <f t="array" ref="BN15" xml:space="preserve"> SVG_length(BN$73:BN$84)</f>
        <v>268</v>
      </c>
      <c r="BR15" cm="1">
        <f t="array" ref="BR15" xml:space="preserve"> SVG_length(BR$73:BR$84)</f>
        <v>435</v>
      </c>
      <c r="BV15" cm="1">
        <f t="array" ref="BV15" xml:space="preserve"> SVG_length(BV$73:BV$84)</f>
        <v>322</v>
      </c>
      <c r="BZ15" cm="1">
        <f t="array" ref="BZ15" xml:space="preserve"> SVG_length(BZ$73:BZ$84)</f>
        <v>432</v>
      </c>
      <c r="CD15" cm="1">
        <f t="array" ref="CD15" xml:space="preserve"> SVG_length(CD$73:CD$84)</f>
        <v>308</v>
      </c>
    </row>
    <row r="16" spans="2:87" ht="17" thickBot="1" x14ac:dyDescent="0.25">
      <c r="B16" s="2" t="s">
        <v>123</v>
      </c>
      <c r="C16" s="2" t="s">
        <v>16</v>
      </c>
      <c r="D16" s="2" t="s">
        <v>17</v>
      </c>
    </row>
    <row r="17" spans="2:82" x14ac:dyDescent="0.2">
      <c r="B17" s="41"/>
      <c r="C17" s="41"/>
      <c r="D17" s="41"/>
    </row>
    <row r="18" spans="2:82" x14ac:dyDescent="0.2">
      <c r="B18" t="s">
        <v>1777</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x14ac:dyDescent="0.2">
      <c r="B19" t="s">
        <v>1777</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x14ac:dyDescent="0.2">
      <c r="B20" t="s">
        <v>1777</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x14ac:dyDescent="0.2">
      <c r="B21" t="s">
        <v>1777</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x14ac:dyDescent="0.2">
      <c r="B22" t="s">
        <v>1777</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x14ac:dyDescent="0.2">
      <c r="B23" t="s">
        <v>1777</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x14ac:dyDescent="0.2">
      <c r="B24" t="s">
        <v>1777</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x14ac:dyDescent="0.2">
      <c r="B25" t="s">
        <v>1777</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x14ac:dyDescent="0.2">
      <c r="B26" t="s">
        <v>1777</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x14ac:dyDescent="0.2">
      <c r="B27" t="s">
        <v>1777</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x14ac:dyDescent="0.2">
      <c r="J28" s="6"/>
      <c r="N28" s="6"/>
      <c r="R28" s="6"/>
      <c r="V28" s="6"/>
      <c r="Z28" s="6"/>
      <c r="AD28" s="6"/>
      <c r="AH28" s="6"/>
      <c r="AL28" s="6"/>
      <c r="AP28" s="6"/>
      <c r="AT28" s="6"/>
      <c r="AX28" s="6"/>
      <c r="BB28" s="6"/>
      <c r="BF28" s="6"/>
      <c r="BJ28" s="6"/>
      <c r="BN28" s="6"/>
      <c r="BR28" s="6"/>
      <c r="BV28" s="6"/>
      <c r="BZ28" s="6"/>
      <c r="CD28" s="6"/>
    </row>
    <row r="30" spans="2:82" x14ac:dyDescent="0.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x14ac:dyDescent="0.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x14ac:dyDescent="0.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x14ac:dyDescent="0.2">
      <c r="B33" t="s">
        <v>143</v>
      </c>
      <c r="C33" s="1">
        <f xml:space="preserve"> - C32</f>
        <v>0.15541568772728709</v>
      </c>
      <c r="D33" s="1">
        <f xml:space="preserve"> D32</f>
        <v>0.21391134274543211</v>
      </c>
      <c r="AR33">
        <f t="shared" si="84"/>
        <v>-0.15542</v>
      </c>
      <c r="AS33">
        <f t="shared" si="85"/>
        <v>-0.21390999999999999</v>
      </c>
      <c r="AT33" t="str">
        <v>H-.1554</v>
      </c>
    </row>
    <row r="34" spans="2:46" x14ac:dyDescent="0.2">
      <c r="B34" t="s">
        <v>143</v>
      </c>
      <c r="C34" s="1">
        <f xml:space="preserve"> -C31</f>
        <v>0.25146786512769093</v>
      </c>
      <c r="D34" s="1">
        <f xml:space="preserve"> D31</f>
        <v>-8.170686234962686E-2</v>
      </c>
      <c r="AR34">
        <f t="shared" si="84"/>
        <v>-0.25147000000000003</v>
      </c>
      <c r="AS34">
        <f t="shared" si="85"/>
        <v>8.1710000000000005E-2</v>
      </c>
      <c r="AT34" t="str">
        <v>L-.2515 .0817Z</v>
      </c>
    </row>
    <row r="35" spans="2:46" x14ac:dyDescent="0.2">
      <c r="C35" s="1"/>
      <c r="D35" s="1"/>
    </row>
    <row r="36" spans="2:46" x14ac:dyDescent="0.2">
      <c r="C36" s="1"/>
      <c r="D36" s="1"/>
    </row>
    <row r="37" spans="2:46" x14ac:dyDescent="0.2">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x14ac:dyDescent="0.2">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x14ac:dyDescent="0.2">
      <c r="B39" t="s">
        <v>148</v>
      </c>
      <c r="C39" s="1">
        <f xml:space="preserve"> - C38</f>
        <v>-0.12451398828979236</v>
      </c>
      <c r="D39" s="1">
        <f xml:space="preserve"> D38</f>
        <v>0.30901699437494745</v>
      </c>
      <c r="AR39">
        <f t="shared" si="86"/>
        <v>0.12451</v>
      </c>
      <c r="AS39">
        <f t="shared" si="87"/>
        <v>-0.30902000000000002</v>
      </c>
      <c r="AT39" t="str">
        <v>h.249Z</v>
      </c>
    </row>
    <row r="40" spans="2:46" x14ac:dyDescent="0.2">
      <c r="C40" s="1"/>
      <c r="D40" s="1"/>
    </row>
    <row r="41" spans="2:46" x14ac:dyDescent="0.2">
      <c r="C41" s="1"/>
      <c r="D41" s="1"/>
    </row>
    <row r="42" spans="2:46" x14ac:dyDescent="0.2">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x14ac:dyDescent="0.2">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x14ac:dyDescent="0.2">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x14ac:dyDescent="0.2">
      <c r="C45" s="1"/>
      <c r="D45" s="1"/>
    </row>
    <row r="46" spans="2:46" x14ac:dyDescent="0.2">
      <c r="C46" s="1"/>
      <c r="D46" s="1"/>
    </row>
    <row r="47" spans="2:46" x14ac:dyDescent="0.2">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x14ac:dyDescent="0.2">
      <c r="B48" t="s">
        <v>145</v>
      </c>
      <c r="C48" s="1">
        <f xml:space="preserve"> - C44</f>
        <v>-0.25541568772728712</v>
      </c>
      <c r="D48" s="1">
        <f xml:space="preserve"> D44</f>
        <v>0.21391134274543211</v>
      </c>
      <c r="AR48">
        <f t="shared" si="90"/>
        <v>0.25541999999999998</v>
      </c>
      <c r="AS48">
        <f t="shared" si="91"/>
        <v>-0.21390999999999999</v>
      </c>
      <c r="AT48" t="str">
        <v>H.2554</v>
      </c>
    </row>
    <row r="49" spans="2:82" x14ac:dyDescent="0.2">
      <c r="B49" t="s">
        <v>145</v>
      </c>
      <c r="C49" s="1">
        <f xml:space="preserve"> - C43</f>
        <v>-0.33236956456518563</v>
      </c>
      <c r="D49" s="1">
        <f xml:space="preserve"> D43</f>
        <v>-2.2928337120379547E-2</v>
      </c>
      <c r="AR49">
        <f t="shared" si="90"/>
        <v>0.33237</v>
      </c>
      <c r="AS49">
        <f t="shared" si="91"/>
        <v>2.2929999999999999E-2</v>
      </c>
      <c r="AT49" t="str">
        <v>l.077 .2368Z</v>
      </c>
    </row>
    <row r="50" spans="2:82" x14ac:dyDescent="0.2">
      <c r="C50" s="1"/>
      <c r="D50" s="1"/>
    </row>
    <row r="51" spans="2:82" x14ac:dyDescent="0.2">
      <c r="C51" s="1"/>
      <c r="D51" s="1"/>
    </row>
    <row r="52" spans="2:82" x14ac:dyDescent="0.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x14ac:dyDescent="0.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x14ac:dyDescent="0.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x14ac:dyDescent="0.2">
      <c r="C55" s="1"/>
      <c r="D55" s="1"/>
    </row>
    <row r="56" spans="2:82" x14ac:dyDescent="0.2">
      <c r="C56" s="1"/>
      <c r="D56" s="1"/>
    </row>
    <row r="57" spans="2:82" x14ac:dyDescent="0.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x14ac:dyDescent="0.2">
      <c r="B58" t="s">
        <v>147</v>
      </c>
      <c r="C58" s="1">
        <f xml:space="preserve"> - C54</f>
        <v>-0.28236956456518564</v>
      </c>
      <c r="D58" s="1">
        <f xml:space="preserve"> D54</f>
        <v>-0.17681251397914222</v>
      </c>
      <c r="AR58">
        <f t="shared" si="94"/>
        <v>0.28237000000000001</v>
      </c>
      <c r="AS58">
        <f t="shared" si="95"/>
        <v>0.17680999999999999</v>
      </c>
      <c r="AT58" t="str">
        <v>L.2824 .1768</v>
      </c>
    </row>
    <row r="59" spans="2:82" x14ac:dyDescent="0.2">
      <c r="B59" t="s">
        <v>147</v>
      </c>
      <c r="C59" s="1">
        <f xml:space="preserve"> - C53</f>
        <v>-8.0901699437494742E-2</v>
      </c>
      <c r="D59" s="1">
        <f xml:space="preserve"> D53</f>
        <v>-0.32318748602085767</v>
      </c>
      <c r="AR59">
        <f t="shared" si="94"/>
        <v>8.09E-2</v>
      </c>
      <c r="AS59">
        <f t="shared" si="95"/>
        <v>0.32318999999999998</v>
      </c>
      <c r="AT59" t="str">
        <v>L.0809 .3232Z</v>
      </c>
    </row>
    <row r="62" spans="2:82" x14ac:dyDescent="0.2">
      <c r="F62" s="58" t="s">
        <v>12</v>
      </c>
      <c r="J62">
        <f xml:space="preserve"> ROUND(MAX(H$18:H$59), _xlfn.SINGLE(Star_5_2.DecimalPlaces))</f>
        <v>9.5106000000000002</v>
      </c>
      <c r="N62" s="31">
        <f xml:space="preserve"> ROUND(MAX(_xlfn.SINGLE(Star_5_2.SizeOuter), _xlfn.SINGLE(Star_5_2.SizeMiddle), _xlfn.SINGLE(Star_5_2.SizeInner)), _xlfn.SINGLE(Star_5_2.DecimalPlaces))</f>
        <v>10</v>
      </c>
      <c r="R62" s="31">
        <f xml:space="preserve"> ROUND(MAX(_xlfn.SINGLE(Star_5_2.SizeOuter), _xlfn.SINGLE(Star_5_2.SizeMiddle), _xlfn.SINGLE(Star_5_2.SizeInner)), _xlfn.SINGLE(Star_5_2.DecimalPlaces))</f>
        <v>5</v>
      </c>
      <c r="V62">
        <f xml:space="preserve"> ROUND(MAX(T$18:T$59), _xlfn.SINGLE(Star_5_2.DecimalPlaces))</f>
        <v>8.8400999999999996</v>
      </c>
      <c r="Z62" s="31">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31">
        <f xml:space="preserve"> ROUND(MAX(_xlfn.SINGLE(Star_5_2.SizeOuter), _xlfn.SINGLE(Star_5_2.SizeMiddle), _xlfn.SINGLE(Star_5_2.SizeInner)), _xlfn.SINGLE(Star_5_2.DecimalPlaces))</f>
        <v>4</v>
      </c>
      <c r="AP62" s="31">
        <f xml:space="preserve"> ROUND(MAX(_xlfn.SINGLE(Star_5_2.SizeOuter), _xlfn.SINGLE(Star_5_2.SizeMiddle), _xlfn.SINGLE(Star_5_2.SizeInner)), _xlfn.SINGLE(Star_5_2.DecimalPlaces))</f>
        <v>16</v>
      </c>
      <c r="AT62">
        <f xml:space="preserve"> ROUND(MAX(AR$18:AR$59), _xlfn.SINGLE(Star_5_2.DecimalPlaces))</f>
        <v>0.95106000000000002</v>
      </c>
      <c r="AX62" s="68">
        <f xml:space="preserve"> _xlfn.SINGLE(Star_5_2.SizeOuter)</f>
        <v>6</v>
      </c>
      <c r="BB62">
        <f xml:space="preserve"> ROUND(MAX(AZ$18:AZ$59), _xlfn.SINGLE(Star_5_2.DecimalPlaces))</f>
        <v>25.6785</v>
      </c>
      <c r="BF62">
        <f xml:space="preserve"> ROUND(MAX(BD$18:BD$59), _xlfn.SINGLE(Star_5_2.DecimalPlaces))</f>
        <v>9.5106000000000002</v>
      </c>
      <c r="BJ62" s="31">
        <f xml:space="preserve"> ROUND(MAX(_xlfn.SINGLE(Star_5_2.SizeOuter), _xlfn.SINGLE(Star_5_2.SizeMiddle), _xlfn.SINGLE(Star_5_2.SizeInner)), _xlfn.SINGLE(Star_5_2.DecimalPlaces))</f>
        <v>8</v>
      </c>
      <c r="BN62" s="31">
        <f xml:space="preserve"> ROUND(MAX(_xlfn.SINGLE(Star_5_2.SizeOuter), _xlfn.SINGLE(Star_5_2.SizeMiddle), _xlfn.SINGLE(Star_5_2.SizeInner)), _xlfn.SINGLE(Star_5_2.DecimalPlaces))</f>
        <v>1</v>
      </c>
      <c r="BR62">
        <f xml:space="preserve"> ROUND(MAX(BP$18:BP$59), _xlfn.SINGLE(Star_5_2.DecimalPlaces))</f>
        <v>25.6785</v>
      </c>
      <c r="BV62" s="31">
        <v>40</v>
      </c>
      <c r="BZ62">
        <f xml:space="preserve"> ROUND(MAX(BX$18:BX$59), _xlfn.SINGLE(Star_5_2.DecimalPlaces))</f>
        <v>25.6785</v>
      </c>
      <c r="CD62" s="31">
        <v>3</v>
      </c>
    </row>
    <row r="63" spans="2:82" x14ac:dyDescent="0.2">
      <c r="F63" s="58" t="s">
        <v>14</v>
      </c>
      <c r="J63">
        <f xml:space="preserve"> ROUND(MAX(I$18:I$59), _xlfn.SINGLE(Star_5_2.DecimalPlaces))</f>
        <v>8.0901999999999994</v>
      </c>
      <c r="N63" s="31">
        <f xml:space="preserve"> _xlfn.SINGLE(Star_5_2.MaxX)</f>
        <v>10</v>
      </c>
      <c r="R63" s="31">
        <f xml:space="preserve"> _xlfn.SINGLE(Star_5_2.MaxX)</f>
        <v>5</v>
      </c>
      <c r="V63">
        <f xml:space="preserve"> ROUND(MAX(U$18:U$59), _xlfn.SINGLE(Star_5_2.DecimalPlaces))</f>
        <v>9.8520000000000003</v>
      </c>
      <c r="Z63" s="31">
        <f xml:space="preserve"> _xlfn.SINGLE(Star_5_2.MaxX)</f>
        <v>1</v>
      </c>
      <c r="AD63">
        <f xml:space="preserve"> ROUND(MAX(AC$18:AC$59), _xlfn.SINGLE(Star_5_2.DecimalPlaces))</f>
        <v>9.7680000000000007</v>
      </c>
      <c r="AH63">
        <f xml:space="preserve"> ROUND(MAX(AG$18:AG$59), _xlfn.SINGLE(Star_5_2.DecimalPlaces))</f>
        <v>9.5106000000000002</v>
      </c>
      <c r="AL63" s="31">
        <f xml:space="preserve"> _xlfn.SINGLE(Star_5_2.MaxX)</f>
        <v>4</v>
      </c>
      <c r="AP63" s="31">
        <f xml:space="preserve"> _xlfn.SINGLE(Star_5_2.MaxX)</f>
        <v>16</v>
      </c>
      <c r="AT63">
        <f xml:space="preserve"> ROUND(MAX(AS$18:AS$59), _xlfn.SINGLE(Star_5_2.DecimalPlaces))</f>
        <v>0.80901999999999996</v>
      </c>
      <c r="AX63" s="6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31">
        <f xml:space="preserve"> _xlfn.SINGLE(Star_5_2.MaxX)</f>
        <v>8</v>
      </c>
      <c r="BN63" s="31">
        <f xml:space="preserve"> _xlfn.SINGLE(Star_5_2.MaxX)</f>
        <v>1</v>
      </c>
      <c r="BR63">
        <f xml:space="preserve"> ROUND(MAX(BQ$18:BQ$59), _xlfn.SINGLE(Star_5_2.DecimalPlaces))</f>
        <v>21.843499999999999</v>
      </c>
      <c r="BV63" s="31">
        <f xml:space="preserve"> _xlfn.SINGLE(Star_5_2.MaxX)</f>
        <v>40</v>
      </c>
      <c r="BZ63">
        <f xml:space="preserve"> ROUND(MAX(BY$18:BY$59), _xlfn.SINGLE(Star_5_2.DecimalPlaces))</f>
        <v>21.843499999999999</v>
      </c>
      <c r="CD63" s="31">
        <f xml:space="preserve"> _xlfn.SINGLE(Star_5_2.MaxX)</f>
        <v>3</v>
      </c>
    </row>
    <row r="64" spans="2:82" x14ac:dyDescent="0.2">
      <c r="F64" s="58" t="s">
        <v>11</v>
      </c>
      <c r="J64">
        <f xml:space="preserve"> ROUND( MIN(H$18:H$59), _xlfn.SINGLE(Star_5_2.DecimalPlaces))</f>
        <v>-9.5106000000000002</v>
      </c>
      <c r="N64" s="31">
        <f xml:space="preserve"> - _xlfn.SINGLE(Star_5_2.MaxX)</f>
        <v>-10</v>
      </c>
      <c r="R64" s="31">
        <f xml:space="preserve"> - _xlfn.SINGLE(Star_5_2.MaxX)</f>
        <v>-5</v>
      </c>
      <c r="V64">
        <f xml:space="preserve"> ROUND( MIN(T$18:T$59), _xlfn.SINGLE(Star_5_2.DecimalPlaces))</f>
        <v>-9.8994999999999997</v>
      </c>
      <c r="Z64" s="31">
        <f xml:space="preserve"> - _xlfn.SINGLE(Star_5_2.MaxX)</f>
        <v>-1</v>
      </c>
      <c r="AD64">
        <f xml:space="preserve"> ROUND( MIN(AB$18:AB$59), _xlfn.SINGLE(Star_5_2.DecimalPlaces))</f>
        <v>-9.9517000000000007</v>
      </c>
      <c r="AH64">
        <f xml:space="preserve"> ROUND( MIN(AF$18:AF$59), _xlfn.SINGLE(Star_5_2.DecimalPlaces))</f>
        <v>-10</v>
      </c>
      <c r="AL64" s="31">
        <f xml:space="preserve"> - _xlfn.SINGLE(Star_5_2.MaxX)</f>
        <v>-4</v>
      </c>
      <c r="AP64" s="31">
        <f xml:space="preserve"> - _xlfn.SINGLE(Star_5_2.MaxX)</f>
        <v>-16</v>
      </c>
      <c r="AT64">
        <f xml:space="preserve"> ROUND( MIN(AR$18:AR$59), _xlfn.SINGLE(Star_5_2.DecimalPlaces))</f>
        <v>-0.95106000000000002</v>
      </c>
      <c r="AX64" s="68">
        <f xml:space="preserve"> - _xlfn.SINGLE(Star_5_2.SizeOuter)</f>
        <v>-6</v>
      </c>
      <c r="BB64">
        <f xml:space="preserve"> ROUND( MIN(AZ$18:AZ$59), _xlfn.SINGLE(Star_5_2.DecimalPlaces))</f>
        <v>-25.6785</v>
      </c>
      <c r="BF64">
        <f xml:space="preserve"> ROUND( MIN(BD$18:BD$59), _xlfn.SINGLE(Star_5_2.DecimalPlaces))</f>
        <v>-9.5106000000000002</v>
      </c>
      <c r="BJ64" s="31">
        <f xml:space="preserve"> - _xlfn.SINGLE(Star_5_2.MaxX)</f>
        <v>-8</v>
      </c>
      <c r="BN64" s="31">
        <f xml:space="preserve"> - _xlfn.SINGLE(Star_5_2.MaxX)</f>
        <v>-1</v>
      </c>
      <c r="BR64">
        <f xml:space="preserve"> ROUND( MIN(BP$18:BP$59), _xlfn.SINGLE(Star_5_2.DecimalPlaces))</f>
        <v>-25.6785</v>
      </c>
      <c r="BV64" s="31">
        <f xml:space="preserve"> - _xlfn.SINGLE(Star_5_2.MaxX)</f>
        <v>-40</v>
      </c>
      <c r="BZ64">
        <f xml:space="preserve"> ROUND( MIN(BX$18:BX$59), _xlfn.SINGLE(Star_5_2.DecimalPlaces))</f>
        <v>-25.6785</v>
      </c>
      <c r="CD64" s="31">
        <f xml:space="preserve"> - _xlfn.SINGLE(Star_5_2.MaxX)</f>
        <v>-3</v>
      </c>
    </row>
    <row r="65" spans="5:87" x14ac:dyDescent="0.2">
      <c r="F65" s="58" t="s">
        <v>13</v>
      </c>
      <c r="J65">
        <f xml:space="preserve"> ROUND( MIN(I$18:I$59), _xlfn.SINGLE(Star_5_2.DecimalPlaces))</f>
        <v>-10</v>
      </c>
      <c r="N65" s="31">
        <f xml:space="preserve"> - _xlfn.SINGLE(Star_5_2.MaxY)</f>
        <v>-10</v>
      </c>
      <c r="R65" s="31">
        <f xml:space="preserve"> - _xlfn.SINGLE(Star_5_2.MaxY)</f>
        <v>-5</v>
      </c>
      <c r="V65">
        <f xml:space="preserve"> ROUND( MIN(U$18:U$59), _xlfn.SINGLE(Star_5_2.DecimalPlaces))</f>
        <v>-8.9779999999999998</v>
      </c>
      <c r="Z65" s="31">
        <f xml:space="preserve"> - _xlfn.SINGLE(Star_5_2.MaxY)</f>
        <v>-1</v>
      </c>
      <c r="AD65">
        <f xml:space="preserve"> ROUND( MIN(AC$18:AC$59), _xlfn.SINGLE(Star_5_2.DecimalPlaces))</f>
        <v>-9.1613000000000007</v>
      </c>
      <c r="AH65">
        <f xml:space="preserve"> ROUND( MIN(AG$18:AG$59), _xlfn.SINGLE(Star_5_2.DecimalPlaces))</f>
        <v>-9.5106000000000002</v>
      </c>
      <c r="AL65" s="31">
        <f xml:space="preserve"> - _xlfn.SINGLE(Star_5_2.MaxY)</f>
        <v>-4</v>
      </c>
      <c r="AP65" s="31">
        <f xml:space="preserve"> - _xlfn.SINGLE(Star_5_2.MaxY)</f>
        <v>-16</v>
      </c>
      <c r="AT65">
        <f xml:space="preserve"> ROUND( MIN(AS$18:AS$59), _xlfn.SINGLE(Star_5_2.DecimalPlaces))</f>
        <v>-1</v>
      </c>
      <c r="AX65" s="68">
        <f xml:space="preserve"> - _xlfn.SINGLE(Star_5_2.MaxY)</f>
        <v>-6.8522400000000001</v>
      </c>
      <c r="BB65">
        <f xml:space="preserve"> ROUND( MIN(BA$18:BA$59), _xlfn.SINGLE(Star_5_2.DecimalPlaces))</f>
        <v>-27</v>
      </c>
      <c r="BF65">
        <f xml:space="preserve"> ROUND( MIN(BE$18:BE$59), _xlfn.SINGLE(Star_5_2.DecimalPlaces))</f>
        <v>-10</v>
      </c>
      <c r="BJ65" s="31">
        <f xml:space="preserve"> - _xlfn.SINGLE(Star_5_2.MaxY)</f>
        <v>-8</v>
      </c>
      <c r="BN65" s="31">
        <f xml:space="preserve"> - _xlfn.SINGLE(Star_5_2.MaxY)</f>
        <v>-1</v>
      </c>
      <c r="BR65">
        <f xml:space="preserve"> ROUND( MIN(BQ$18:BQ$59), _xlfn.SINGLE(Star_5_2.DecimalPlaces))</f>
        <v>-27</v>
      </c>
      <c r="BV65" s="31">
        <f xml:space="preserve"> - _xlfn.SINGLE(Star_5_2.MaxY)</f>
        <v>-40</v>
      </c>
      <c r="BZ65">
        <f xml:space="preserve"> ROUND( MIN(BY$18:BY$59), _xlfn.SINGLE(Star_5_2.DecimalPlaces))</f>
        <v>-27</v>
      </c>
      <c r="CD65" s="31">
        <f xml:space="preserve"> - _xlfn.SINGLE(Star_5_2.MaxY)</f>
        <v>-3</v>
      </c>
    </row>
    <row r="66" spans="5:87" x14ac:dyDescent="0.2">
      <c r="J66">
        <f xml:space="preserve"> SQRT(_xlfn.SINGLE(Star_5_2.AreaMultiplier) * BasicBBoxArea * _xlfn.SINGLE(Star_5_2.Aspect))</f>
        <v>15.381096640736642</v>
      </c>
    </row>
    <row r="67" spans="5:87" x14ac:dyDescent="0.2">
      <c r="F67" s="58"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30">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x14ac:dyDescent="0.2">
      <c r="F68" s="58"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10</v>
      </c>
      <c r="R68">
        <f xml:space="preserve"> VALUE(TEXT( IF(Star_5_2.AreaMultiplier_Default=_xlfn.SINGLE(Star_5_2.AreaMultiplier), Star_5_2.OuterPoints_Default * SQRT(_xlfn.SINGLE(Star_5_2.Aspect)), SQRT(_xlfn.SINGLE(Star_5_2.AreaMultiplier) * BasicBBoxArea * _xlfn.SINGLE(Star_5_2.Aspect)) ), SVG.NumberFormatHeight))</f>
        <v>10</v>
      </c>
      <c r="V68">
        <f xml:space="preserve"> VALUE(TEXT( IF(Star_5_2.AreaMultiplier_Default=_xlfn.SINGLE(Star_5_2.AreaMultiplier), Star_5_2.OuterPoints_Default * SQRT(_xlfn.SINGLE(Star_5_2.Aspect)), SQRT(_xlfn.SINGLE(Star_5_2.AreaMultiplier) * BasicBBoxArea * _xlfn.SINGLE(Star_5_2.Aspect)) ), SVG.NumberFormatHeight))</f>
        <v>12.7</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12.6</v>
      </c>
      <c r="AH68">
        <f xml:space="preserve"> VALUE(TEXT( IF(Star_5_2.AreaMultiplier_Default=_xlfn.SINGLE(Star_5_2.AreaMultiplier), Star_5_2.OuterPoints_Default * SQRT(_xlfn.SINGLE(Star_5_2.Aspect)), SQRT(_xlfn.SINGLE(Star_5_2.AreaMultiplier) * BasicBBoxArea * _xlfn.SINGLE(Star_5_2.Aspect)) ), SVG.NumberFormatHeight))</f>
        <v>12.4</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10</v>
      </c>
      <c r="AT68">
        <f xml:space="preserve"> VALUE(TEXT( IF(Star_5_2.AreaMultiplier_Default=_xlfn.SINGLE(Star_5_2.AreaMultiplier), Star_5_2.OuterPoints_Default * SQRT(_xlfn.SINGLE(Star_5_2.Aspect)), SQRT(_xlfn.SINGLE(Star_5_2.AreaMultiplier) * BasicBBoxArea * _xlfn.SINGLE(Star_5_2.Aspect)) ), SVG.NumberFormatHeight))</f>
        <v>13</v>
      </c>
      <c r="AX68">
        <f xml:space="preserve"> VALUE(TEXT( IF(Star_5_2.AreaMultiplier_Default=_xlfn.SINGLE(Star_5_2.AreaMultiplier), Star_5_2.OuterPoints_Default * SQRT(_xlfn.SINGLE(Star_5_2.Aspect)), SQRT(_xlfn.SINGLE(Star_5_2.AreaMultiplier) * BasicBBoxArea * _xlfn.SINGLE(Star_5_2.Aspect)) ), SVG.NumberFormatHeight))</f>
        <v>9.9</v>
      </c>
      <c r="BB68">
        <f xml:space="preserve"> VALUE(TEXT( IF(Star_5_2.AreaMultiplier_Default=_xlfn.SINGLE(Star_5_2.AreaMultiplier), Star_5_2.OuterPoints_Default * SQRT(_xlfn.SINGLE(Star_5_2.Aspect)), SQRT(_xlfn.SINGLE(Star_5_2.AreaMultiplier) * BasicBBoxArea * _xlfn.SINGLE(Star_5_2.Aspect)) ), SVG.NumberFormatHeight))</f>
        <v>13</v>
      </c>
      <c r="BF68">
        <f xml:space="preserve"> VALUE(TEXT( IF(Star_5_2.AreaMultiplier_Default=_xlfn.SINGLE(Star_5_2.AreaMultiplier), Star_5_2.OuterPoints_Default * SQRT(_xlfn.SINGLE(Star_5_2.Aspect)), SQRT(_xlfn.SINGLE(Star_5_2.AreaMultiplier) * BasicBBoxArea * _xlfn.SINGLE(Star_5_2.Aspect)) ), SVG.NumberFormatHeight))</f>
        <v>13</v>
      </c>
      <c r="BJ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N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R68">
        <f xml:space="preserve"> VALUE(TEXT( IF(Star_5_2.AreaMultiplier_Default=_xlfn.SINGLE(Star_5_2.AreaMultiplier), Star_5_2.OuterPoints_Default * SQRT(_xlfn.SINGLE(Star_5_2.Aspect)), SQRT(_xlfn.SINGLE(Star_5_2.AreaMultiplier) * BasicBBoxArea * _xlfn.SINGLE(Star_5_2.Aspect)) ), SVG.NumberFormatHeight))</f>
        <v>13</v>
      </c>
      <c r="BV68">
        <f xml:space="preserve"> VALUE(TEXT( IF(Star_5_2.AreaMultiplier_Default=_xlfn.SINGLE(Star_5_2.AreaMultiplier), Star_5_2.OuterPoints_Default * SQRT(_xlfn.SINGLE(Star_5_2.Aspect)), SQRT(_xlfn.SINGLE(Star_5_2.AreaMultiplier) * BasicBBoxArea * _xlfn.SINGLE(Star_5_2.Aspect)) ), SVG.NumberFormatHeight))</f>
        <v>10</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87" x14ac:dyDescent="0.2">
      <c r="F69" s="58" t="s">
        <v>80</v>
      </c>
      <c r="J69">
        <f xml:space="preserve"> _xlfn.SINGLE(Star_5_2.Height) / _xlfn.SINGLE(Star_5_2.Aspect)</f>
        <v>14.646324000000002</v>
      </c>
      <c r="N69">
        <f xml:space="preserve"> _xlfn.SINGLE(Star_5_2.Height) / _xlfn.SINGLE(Star_5_2.Aspect)</f>
        <v>10</v>
      </c>
      <c r="R69">
        <f xml:space="preserve"> _xlfn.SINGLE(Star_5_2.Height) / _xlfn.SINGLE(Star_5_2.Aspect)</f>
        <v>10</v>
      </c>
      <c r="V69">
        <f xml:space="preserve"> _xlfn.SINGLE(Star_5_2.Height) / _xlfn.SINGLE(Star_5_2.Aspect)</f>
        <v>12.761231222086884</v>
      </c>
      <c r="Z69">
        <f xml:space="preserve"> _xlfn.SINGLE(Star_5_2.Height) / _xlfn.SINGLE(Star_5_2.Aspect)</f>
        <v>10</v>
      </c>
      <c r="AD69">
        <f xml:space="preserve"> _xlfn.SINGLE(Star_5_2.Height) / _xlfn.SINGLE(Star_5_2.Aspect)</f>
        <v>12.836959459459459</v>
      </c>
      <c r="AH69">
        <f xml:space="preserve"> _xlfn.SINGLE(Star_5_2.Height) / _xlfn.SINGLE(Star_5_2.Aspect)</f>
        <v>13.038083822261477</v>
      </c>
      <c r="AL69">
        <f xml:space="preserve"> _xlfn.SINGLE(Star_5_2.Height) / _xlfn.SINGLE(Star_5_2.Aspect)</f>
        <v>10</v>
      </c>
      <c r="AP69">
        <f xml:space="preserve"> _xlfn.SINGLE(Star_5_2.Height) / _xlfn.SINGLE(Star_5_2.Aspect)</f>
        <v>10</v>
      </c>
      <c r="AT69">
        <f xml:space="preserve"> _xlfn.SINGLE(Star_5_2.Height) / _xlfn.SINGLE(Star_5_2.Aspect)</f>
        <v>12.36378</v>
      </c>
      <c r="AX69">
        <f xml:space="preserve"> _xlfn.SINGLE(Star_5_2.Height) / _xlfn.SINGLE(Star_5_2.Aspect)</f>
        <v>8.6686981191551968</v>
      </c>
      <c r="BB69">
        <f xml:space="preserve"> _xlfn.SINGLE(Star_5_2.Height) / _xlfn.SINGLE(Star_5_2.Aspect)</f>
        <v>12.363722222222224</v>
      </c>
      <c r="BF69">
        <f xml:space="preserve"> _xlfn.SINGLE(Star_5_2.Height) / _xlfn.SINGLE(Star_5_2.Aspect)</f>
        <v>12.36378</v>
      </c>
      <c r="BJ69">
        <f xml:space="preserve"> _xlfn.SINGLE(Star_5_2.Height) / _xlfn.SINGLE(Star_5_2.Aspect)</f>
        <v>9.1999999999999993</v>
      </c>
      <c r="BN69">
        <f xml:space="preserve"> _xlfn.SINGLE(Star_5_2.Height) / _xlfn.SINGLE(Star_5_2.Aspect)</f>
        <v>9.1999999999999993</v>
      </c>
      <c r="BR69">
        <f xml:space="preserve"> _xlfn.SINGLE(Star_5_2.Height) / _xlfn.SINGLE(Star_5_2.Aspect)</f>
        <v>12.363722222222224</v>
      </c>
      <c r="BV69">
        <f xml:space="preserve"> _xlfn.SINGLE(Star_5_2.Height) / _xlfn.SINGLE(Star_5_2.Aspect)</f>
        <v>10</v>
      </c>
      <c r="BZ69">
        <f xml:space="preserve"> _xlfn.SINGLE(Star_5_2.Height) / _xlfn.SINGLE(Star_5_2.Aspect)</f>
        <v>12.363722222222224</v>
      </c>
      <c r="CD69">
        <f xml:space="preserve"> _xlfn.SINGLE(Star_5_2.Height) / _xlfn.SINGLE(Star_5_2.Aspect)</f>
        <v>10</v>
      </c>
    </row>
    <row r="72" spans="5:87" ht="17" thickBot="1" x14ac:dyDescent="0.25">
      <c r="F72" s="7" t="s">
        <v>95</v>
      </c>
    </row>
    <row r="73" spans="5:87" x14ac:dyDescent="0.2">
      <c r="E73" t="s">
        <v>1755</v>
      </c>
      <c r="G73" s="13" t="str">
        <f xml:space="preserve"> ""</f>
        <v/>
      </c>
      <c r="H73" s="8"/>
      <c r="I73" s="8"/>
      <c r="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3" s="8" t="str">
        <f xml:space="preserve"> ""</f>
        <v/>
      </c>
      <c r="L73" s="8"/>
      <c r="M73" s="8"/>
      <c r="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O73" s="8" t="str">
        <f xml:space="preserve"> ""</f>
        <v/>
      </c>
      <c r="P73" s="8"/>
      <c r="Q73" s="8"/>
      <c r="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S73" s="8" t="str">
        <f xml:space="preserve"> ""</f>
        <v/>
      </c>
      <c r="T73" s="8"/>
      <c r="U73" s="8"/>
      <c r="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W73" s="8" t="str">
        <f xml:space="preserve"> ""</f>
        <v/>
      </c>
      <c r="X73" s="8"/>
      <c r="Y73" s="8"/>
      <c r="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A73" s="8" t="str">
        <f xml:space="preserve"> ""</f>
        <v/>
      </c>
      <c r="AB73" s="8"/>
      <c r="AC73" s="8"/>
      <c r="A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E73" s="8" t="str">
        <f xml:space="preserve"> ""</f>
        <v/>
      </c>
      <c r="AF73" s="8"/>
      <c r="AG73" s="8"/>
      <c r="AH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AI73" s="8" t="str">
        <f xml:space="preserve"> ""</f>
        <v/>
      </c>
      <c r="AJ73" s="8"/>
      <c r="AK73" s="8"/>
      <c r="AL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AM73" s="8" t="str">
        <f xml:space="preserve"> ""</f>
        <v/>
      </c>
      <c r="AN73" s="8"/>
      <c r="AO73" s="8"/>
      <c r="AP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AQ73" s="8" t="str">
        <f xml:space="preserve"> ""</f>
        <v/>
      </c>
      <c r="AR73" s="8"/>
      <c r="AS73" s="8"/>
      <c r="AT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AU73" s="8" t="str">
        <f xml:space="preserve"> ""</f>
        <v/>
      </c>
      <c r="AV73" s="8"/>
      <c r="AW73" s="8"/>
      <c r="AX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AY73" s="8"/>
      <c r="AZ73" s="8"/>
      <c r="BA73" s="8"/>
      <c r="BB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C73" s="8" t="str">
        <f xml:space="preserve"> ""</f>
        <v/>
      </c>
      <c r="BD73" s="8"/>
      <c r="BE73" s="8"/>
      <c r="BF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BG73" s="8" t="str">
        <f xml:space="preserve"> ""</f>
        <v/>
      </c>
      <c r="BH73" s="8"/>
      <c r="BI73" s="8"/>
      <c r="B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BK73" s="8" t="str">
        <f xml:space="preserve"> ""</f>
        <v/>
      </c>
      <c r="BL73" s="8"/>
      <c r="BM73" s="8"/>
      <c r="B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BO73" s="8" t="str">
        <f xml:space="preserve"> ""</f>
        <v/>
      </c>
      <c r="BP73" s="8"/>
      <c r="BQ73" s="8"/>
      <c r="B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S73" s="8"/>
      <c r="BT73" s="8"/>
      <c r="BU73" s="8"/>
      <c r="B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BW73" s="8"/>
      <c r="BX73" s="8"/>
      <c r="BY73" s="8"/>
      <c r="B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A73" s="8"/>
      <c r="CB73" s="8"/>
      <c r="CC73" s="8"/>
      <c r="C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E73" s="8"/>
      <c r="CF73" s="8"/>
      <c r="CG73" s="8"/>
      <c r="CH73" s="8"/>
      <c r="CI73" s="9"/>
    </row>
    <row r="74" spans="5:87" x14ac:dyDescent="0.2">
      <c r="E74" t="s">
        <v>1756</v>
      </c>
      <c r="G74" s="14" t="str">
        <f t="shared" ref="G74:G84" si="96" xml:space="preserve"> ""</f>
        <v/>
      </c>
      <c r="H74" s="5"/>
      <c r="I74" s="5"/>
      <c r="J74" s="5"/>
      <c r="K74" s="5" t="str">
        <f t="shared" ref="K74:K84" si="97" xml:space="preserve"> ""</f>
        <v/>
      </c>
      <c r="L74" s="5"/>
      <c r="M74" s="5"/>
      <c r="N74" s="29" t="str">
        <f xml:space="preserve"> "&lt;circle " &amp; _xlfn.SINGLE(Star_5_2.SVG_painting_Outer) &amp; " r='" &amp; ROUND(_xlfn.SINGLE(Star_5_2.SizeOuter), _xlfn.SINGLE(Star_5_2.DecimalPlaces)) &amp; "'/&gt;"</f>
        <v>&lt;circle fill='#FF33FF'  r='10'/&gt;</v>
      </c>
      <c r="O74" s="5" t="str">
        <f t="shared" ref="O74:O84" si="98" xml:space="preserve"> ""</f>
        <v/>
      </c>
      <c r="P74" s="5"/>
      <c r="Q74" s="5"/>
      <c r="R74" s="29" t="str">
        <f xml:space="preserve"> "&lt;circle " &amp; _xlfn.SINGLE(Star_5_2.SVG_painting_Outer) &amp; " r='" &amp; ROUND(_xlfn.SINGLE(Star_5_2.SizeOuter), _xlfn.SINGLE(Star_5_2.DecimalPlaces)) &amp; "'/&gt;"</f>
        <v>&lt;circle fill='#012169' r='5'/&gt;</v>
      </c>
      <c r="S74" s="5" t="str">
        <f t="shared" ref="S74:S84" si="99" xml:space="preserve"> ""</f>
        <v/>
      </c>
      <c r="T74" s="5"/>
      <c r="U74" s="5"/>
      <c r="V74" s="5"/>
      <c r="W74" s="5" t="str">
        <f t="shared" ref="W74:W84" si="100" xml:space="preserve"> ""</f>
        <v/>
      </c>
      <c r="X74" s="5"/>
      <c r="Y74" s="5"/>
      <c r="Z74" s="29" t="str">
        <f xml:space="preserve"> "&lt;circle " &amp; _xlfn.SINGLE(Star_5_2.SVG_painting_Outer) &amp; " r='" &amp; ROUND(_xlfn.SINGLE(Star_5_2.SizeOuter), _xlfn.SINGLE(Star_5_2.DecimalPlaces)) &amp; "'/&gt;"</f>
        <v>&lt;circle fill='#A78337' r='1'/&gt;</v>
      </c>
      <c r="AA74" s="5" t="str">
        <f t="shared" ref="AA74:AA84" si="101" xml:space="preserve"> ""</f>
        <v/>
      </c>
      <c r="AB74" s="5"/>
      <c r="AC74" s="5"/>
      <c r="AD74" s="5"/>
      <c r="AE74" s="5" t="str">
        <f t="shared" ref="AE74:AE84" si="102" xml:space="preserve"> ""</f>
        <v/>
      </c>
      <c r="AF74" s="5"/>
      <c r="AG74" s="5"/>
      <c r="AH74" s="5"/>
      <c r="AI74" s="5" t="str">
        <f t="shared" ref="AI74:AI84" si="103" xml:space="preserve"> ""</f>
        <v/>
      </c>
      <c r="AJ74" s="5"/>
      <c r="AK74" s="5"/>
      <c r="AL74" s="29" t="str">
        <f xml:space="preserve"> "&lt;circle " &amp; _xlfn.SINGLE(Star_5_2.SVG_painting_Outer) &amp; " r='" &amp; ROUND(_xlfn.SINGLE(Star_5_2.SizeOuter), _xlfn.SINGLE(Star_5_2.DecimalPlaces)) &amp; "'/&gt;"</f>
        <v>&lt;circle fill='#0F47AF' r='4'/&gt;</v>
      </c>
      <c r="AM74" s="5" t="str">
        <f t="shared" ref="AM74:AM84" si="104" xml:space="preserve"> ""</f>
        <v/>
      </c>
      <c r="AN74" s="5"/>
      <c r="AO74" s="5"/>
      <c r="AP74" s="29" t="str">
        <f xml:space="preserve"> "&lt;circle " &amp; _xlfn.SINGLE(Star_5_2.SVG_painting_Outer) &amp; " r='" &amp; ROUND(_xlfn.SINGLE(Star_5_2.SizeOuter), _xlfn.SINGLE(Star_5_2.DecimalPlaces)) &amp; "'/&gt;"</f>
        <v>&lt;circle fill='#E70013' r='16'/&gt;</v>
      </c>
      <c r="AQ74" s="5" t="str">
        <f t="shared" ref="AQ74:AQ84" si="105" xml:space="preserve"> ""</f>
        <v/>
      </c>
      <c r="AR74" s="5"/>
      <c r="AS74" s="5"/>
      <c r="AT74" s="5"/>
      <c r="AU74" s="5" t="str">
        <f t="shared" ref="AU74:AU84" si="106" xml:space="preserve"> ""</f>
        <v/>
      </c>
      <c r="AV74" s="5"/>
      <c r="AW74" s="5"/>
      <c r="AX74" s="29" t="str" cm="1">
        <f t="array" ref="AX74" xml:space="preserve"> svgPathRect(DecimalPlaces, _xlfn.SINGLE(Star_5_2.SVG_painting_Outer), _xlfn.SINGLE(Star_5_2.SizeOuter), _xlfn.SINGLE(Star_5_2.MaxY))</f>
        <v>&lt;path fill='#006633' d='M6 6.85224H-6V-6.85224H6Z'/&gt;</v>
      </c>
      <c r="AY74" s="5"/>
      <c r="AZ74" s="5"/>
      <c r="BA74" s="5"/>
      <c r="BB74" s="5"/>
      <c r="BC74" s="5" t="str">
        <f t="shared" ref="BC74:BC84" si="107" xml:space="preserve"> ""</f>
        <v/>
      </c>
      <c r="BD74" s="5"/>
      <c r="BE74" s="5"/>
      <c r="BF74" s="5"/>
      <c r="BG74" s="5" t="str">
        <f t="shared" ref="BG74:BG84" si="108" xml:space="preserve"> ""</f>
        <v/>
      </c>
      <c r="BH74" s="5"/>
      <c r="BI74" s="5"/>
      <c r="BJ74" s="29" t="str" cm="1">
        <f t="array" ref="BJ74" xml:space="preserve"> svgPathRect(DecimalPlaces, _xlfn.SINGLE(Star_5_2.SVG_painting_Outer), _xlfn.SINGLE(Star_5_2.SizeOuter), _xlfn.SINGLE(Star_5_2.SizeOuter))</f>
        <v>&lt;path fill='#D52B1E' d='M8 8V-8H-8V8Z'/&gt;</v>
      </c>
      <c r="BK74" s="5" t="str">
        <f t="shared" ref="BK74:BK84" si="109" xml:space="preserve"> ""</f>
        <v/>
      </c>
      <c r="BL74" s="5"/>
      <c r="BM74" s="5"/>
      <c r="BN74" s="29" t="str" cm="1">
        <f t="array" ref="BN74" xml:space="preserve"> svgPathRect(DecimalPlaces, _xlfn.SINGLE(Star_5_2.SVG_painting_Outer), _xlfn.SINGLE(Star_5_2.SizeOuter), _xlfn.SINGLE(Star_5_2.SizeOuter))</f>
        <v>&lt;path fill='#072357' d='M1 1V-1H-1V1Z'/&gt;</v>
      </c>
      <c r="BO74" s="5" t="str">
        <f t="shared" ref="BO74:BO84" si="110" xml:space="preserve"> ""</f>
        <v/>
      </c>
      <c r="BP74" s="5"/>
      <c r="BQ74" s="5"/>
      <c r="BR74" s="5"/>
      <c r="BS74" s="5"/>
      <c r="BT74" s="5"/>
      <c r="BU74" s="5"/>
      <c r="BV74" s="29" t="str">
        <f xml:space="preserve"> "&lt;circle " &amp; _xlfn.SINGLE(Star_5_2.SVG_painting_Outer) &amp; " r='40'/&gt;"</f>
        <v>&lt;circle fill='#024FA2' r='40'/&gt;</v>
      </c>
      <c r="BW74" s="5"/>
      <c r="BX74" s="5"/>
      <c r="BY74" s="5"/>
      <c r="BZ74" s="5"/>
      <c r="CA74" s="5"/>
      <c r="CB74" s="5"/>
      <c r="CC74" s="5"/>
      <c r="CD74" s="5" t="str">
        <f xml:space="preserve"> "&lt;circle r='" &amp; ROUND(_xlfn.SINGLE(Star_5_2.SizeOuter), _xlfn.SINGLE(Star_5_2.DecimalPlaces)) &amp; "' " &amp; _xlfn.SINGLE(Star_5_2.SVG_painting_Outer) &amp;"/&gt;"</f>
        <v>&lt;circle r='3' fill='#1EB53A'/&gt;</v>
      </c>
      <c r="CE74" s="5"/>
      <c r="CF74" s="5"/>
      <c r="CG74" s="5"/>
      <c r="CH74" s="5"/>
      <c r="CI74" s="10"/>
    </row>
    <row r="75" spans="5:87" x14ac:dyDescent="0.2">
      <c r="E75" t="s">
        <v>1757</v>
      </c>
      <c r="G75" s="14" t="str">
        <f t="shared" si="96"/>
        <v/>
      </c>
      <c r="H75" s="5"/>
      <c r="I75" s="5"/>
      <c r="J75" s="5"/>
      <c r="K75" s="5" t="str">
        <f t="shared" si="97"/>
        <v/>
      </c>
      <c r="L75" s="5"/>
      <c r="M75" s="5"/>
      <c r="N75" s="29" t="str">
        <f xml:space="preserve"> "&lt;circle " &amp; _xlfn.SINGLE(Star_5_2.SVG_painting_Middle) &amp; " r='" &amp; _xlfn.SINGLE(Star_5_2.SizeMiddle) &amp; "'/&gt;"</f>
        <v>&lt;circle fill='#FFF' r='8'/&gt;</v>
      </c>
      <c r="O75" s="5" t="str">
        <f t="shared" si="98"/>
        <v/>
      </c>
      <c r="P75" s="5"/>
      <c r="Q75" s="5"/>
      <c r="R75" s="5"/>
      <c r="S75" s="5" t="str">
        <f t="shared" si="99"/>
        <v/>
      </c>
      <c r="T75" s="5"/>
      <c r="U75" s="5"/>
      <c r="V75" s="5"/>
      <c r="W75" s="5" t="str">
        <f t="shared" si="100"/>
        <v/>
      </c>
      <c r="X75" s="5"/>
      <c r="Y75" s="5"/>
      <c r="Z75" s="5"/>
      <c r="AA75" s="5" t="str">
        <f t="shared" si="101"/>
        <v/>
      </c>
      <c r="AB75" s="5"/>
      <c r="AC75" s="5"/>
      <c r="AD75" s="5"/>
      <c r="AE75" s="5" t="str">
        <f t="shared" si="102"/>
        <v/>
      </c>
      <c r="AF75" s="5"/>
      <c r="AG75" s="5"/>
      <c r="AH75" s="5"/>
      <c r="AI75" s="5" t="str">
        <f t="shared" si="103"/>
        <v/>
      </c>
      <c r="AJ75" s="5"/>
      <c r="AK75" s="5"/>
      <c r="AL75" s="5"/>
      <c r="AM75" s="5" t="str">
        <f t="shared" si="104"/>
        <v/>
      </c>
      <c r="AN75" s="5"/>
      <c r="AO75" s="5"/>
      <c r="AP75" s="29" t="str">
        <f xml:space="preserve"> "&lt;circle " &amp; _xlfn.SINGLE(Star_5_2.SVG_painting_Middle) &amp; " r='" &amp; ROUND(_xlfn.SINGLE(Star_5_2.SizeMiddle), _xlfn.SINGLE(Star_5_2.DecimalPlaces)) &amp; "'/&gt;"</f>
        <v>&lt;circle fill='#FFF' r='14'/&gt;</v>
      </c>
      <c r="AQ75" s="5" t="str">
        <f t="shared" si="105"/>
        <v/>
      </c>
      <c r="AR75" s="5"/>
      <c r="AS75" s="5"/>
      <c r="AT75" s="5"/>
      <c r="AU75" s="5" t="str">
        <f t="shared" si="106"/>
        <v/>
      </c>
      <c r="AV75" s="5"/>
      <c r="AW75" s="5"/>
      <c r="AX75" s="29"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AY75" s="5"/>
      <c r="AZ75" s="5"/>
      <c r="BA75" s="5"/>
      <c r="BB75" s="5"/>
      <c r="BC75" s="5" t="str">
        <f t="shared" si="107"/>
        <v/>
      </c>
      <c r="BD75" s="5"/>
      <c r="BE75" s="5"/>
      <c r="BF75" s="5"/>
      <c r="BG75" s="5" t="str">
        <f t="shared" si="108"/>
        <v/>
      </c>
      <c r="BH75" s="5"/>
      <c r="BI75" s="5"/>
      <c r="BJ75" s="29" t="str" cm="1">
        <f t="array" ref="BJ75" xml:space="preserve"> svgPathRect(DecimalPlaces, _xlfn.SINGLE(Star_5_2.SVG_painting_Middle), _xlfn.SINGLE(Star_5_2.SizeMiddle), _xlfn.SINGLE(Star_5_2.SizeMiddle))</f>
        <v>&lt;path fill='#FFF' d='M7 7V-7H-7V7Z'/&gt;</v>
      </c>
      <c r="BK75" s="5" t="str">
        <f t="shared" si="109"/>
        <v/>
      </c>
      <c r="BL75" s="5"/>
      <c r="BM75" s="5"/>
      <c r="BN75" s="5"/>
      <c r="BO75" s="5" t="str">
        <f t="shared" si="110"/>
        <v/>
      </c>
      <c r="BP75" s="5"/>
      <c r="BQ75" s="5"/>
      <c r="BR75" s="5"/>
      <c r="BS75" s="5"/>
      <c r="BT75" s="5"/>
      <c r="BU75" s="5"/>
      <c r="BV75" s="29" t="str">
        <f xml:space="preserve"> "&lt;circle " &amp; _xlfn.SINGLE(Star_5_2.SVG_painting_Middle) &amp; " r='32'/&gt;"</f>
        <v>&lt;circle fill='#ED1C27' r='32'/&gt;</v>
      </c>
      <c r="BW75" s="5"/>
      <c r="BX75" s="5"/>
      <c r="BY75" s="5"/>
      <c r="BZ75" s="5"/>
      <c r="CA75" s="5"/>
      <c r="CB75" s="5"/>
      <c r="CC75" s="5"/>
      <c r="CD75" s="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E75" s="5"/>
      <c r="CF75" s="5"/>
      <c r="CG75" s="5"/>
      <c r="CH75" s="5"/>
      <c r="CI75" s="10"/>
    </row>
    <row r="76" spans="5:87" x14ac:dyDescent="0.2">
      <c r="E76" t="s">
        <v>1758</v>
      </c>
      <c r="G76" s="14" t="str">
        <f t="shared" si="96"/>
        <v/>
      </c>
      <c r="H76" s="5"/>
      <c r="I76" s="5"/>
      <c r="J76" s="5"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s="5" t="str">
        <f t="shared" si="97"/>
        <v/>
      </c>
      <c r="L76" s="5"/>
      <c r="M76" s="5"/>
      <c r="N76" s="5" t="str" cm="1">
        <f t="array" ref="N76" xml:space="preserve"> IF(_xlfn.SINGLE(Star_5_2.MultipleStars), "&lt;defs&gt;&lt;path id='" &amp; _xlfn.SINGLE(Star_5_2.ID) &amp; "-s' d='" &amp; _xlfn.TEXTJOIN(" ", TRUE, IF("Path"=Star_5_2.Part,N$17:N$59,"")) &amp; "'/&gt;&lt;/defs&gt;", "")</f>
        <v/>
      </c>
      <c r="O76" s="5" t="str">
        <f t="shared" si="98"/>
        <v/>
      </c>
      <c r="P76" s="5"/>
      <c r="Q76" s="5"/>
      <c r="R76" s="5"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s="5" t="str">
        <f t="shared" si="99"/>
        <v/>
      </c>
      <c r="T76" s="5"/>
      <c r="U76" s="5"/>
      <c r="V76" s="5"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s="5" t="str">
        <f t="shared" si="100"/>
        <v/>
      </c>
      <c r="X76" s="5"/>
      <c r="Y76" s="5"/>
      <c r="Z76" s="5" t="str" cm="1">
        <f t="array" ref="Z76" xml:space="preserve"> IF(_xlfn.SINGLE(Star_5_2.MultipleStars), "&lt;defs&gt;&lt;path id='" &amp; _xlfn.SINGLE(Star_5_2.ID) &amp; "-s' d='" &amp; _xlfn.TEXTJOIN(" ", TRUE, IF("Path"=Star_5_2.Part,Z$17:Z$59,"")) &amp; "'/&gt;&lt;/defs&gt;", "")</f>
        <v/>
      </c>
      <c r="AA76" s="5" t="str">
        <f t="shared" si="101"/>
        <v/>
      </c>
      <c r="AB76" s="5"/>
      <c r="AC76" s="5"/>
      <c r="AD76" s="5"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s="5" t="str">
        <f t="shared" si="102"/>
        <v/>
      </c>
      <c r="AF76" s="5"/>
      <c r="AG76" s="5"/>
      <c r="AH76" s="5"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s="5" t="str">
        <f t="shared" si="103"/>
        <v/>
      </c>
      <c r="AJ76" s="5"/>
      <c r="AK76" s="5"/>
      <c r="AL76" s="5"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s="5" t="str">
        <f t="shared" si="104"/>
        <v/>
      </c>
      <c r="AN76" s="5"/>
      <c r="AO76" s="5"/>
      <c r="AP76" s="5" t="str" cm="1">
        <f t="array" ref="AP76" xml:space="preserve"> IF(_xlfn.SINGLE(Star_5_2.MultipleStars), "&lt;defs&gt;&lt;path id='" &amp; _xlfn.SINGLE(Star_5_2.ID) &amp; "-s' d='" &amp; _xlfn.TEXTJOIN(" ", TRUE, IF("Path"=Star_5_2.Part,AP$17:AP$59,"")) &amp; "'/&gt;&lt;/defs&gt;", "")</f>
        <v/>
      </c>
      <c r="AQ76" s="5" t="str">
        <f t="shared" si="105"/>
        <v/>
      </c>
      <c r="AR76" s="5"/>
      <c r="AS76" s="5"/>
      <c r="AT76" s="5" t="str" cm="1">
        <f t="array" ref="AT76" xml:space="preserve"> IF(_xlfn.SINGLE(Star_5_2.MultipleStars), "&lt;defs&gt;&lt;path id='" &amp; _xlfn.SINGLE(Star_5_2.ID) &amp; "-s' d='" &amp; _xlfn.TEXTJOIN(" ", TRUE, IF("Path"=Star_5_2.Part,AT$17:AT$59,"")) &amp; "'/&gt;&lt;/defs&gt;", "")</f>
        <v/>
      </c>
      <c r="AU76" s="5" t="str">
        <f t="shared" si="106"/>
        <v/>
      </c>
      <c r="AV76" s="5"/>
      <c r="AW76" s="5"/>
      <c r="AX76" s="5" t="str" cm="1">
        <f t="array" ref="AX76" xml:space="preserve"> IF(_xlfn.SINGLE(Star_5_2.MultipleStars), "&lt;defs&gt;&lt;path id='" &amp; _xlfn.SINGLE(Star_5_2.ID) &amp; "-s' d='" &amp; _xlfn.TEXTJOIN(" ", TRUE, IF("Path"=Star_5_2.Part,AX$17:AX$59,"")) &amp; "'/&gt;&lt;/defs&gt;", "")</f>
        <v/>
      </c>
      <c r="AY76" s="5"/>
      <c r="AZ76" s="5"/>
      <c r="BA76" s="5"/>
      <c r="BB76" s="5"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s="5" t="str">
        <f t="shared" si="107"/>
        <v/>
      </c>
      <c r="BD76" s="5"/>
      <c r="BE76" s="5"/>
      <c r="BF76" s="5"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s="5" t="str">
        <f t="shared" si="108"/>
        <v/>
      </c>
      <c r="BH76" s="5"/>
      <c r="BI76" s="5"/>
      <c r="BJ76" s="5" t="str" cm="1">
        <f t="array" ref="BJ76" xml:space="preserve"> IF(_xlfn.SINGLE(Star_5_2.MultipleStars), "&lt;defs&gt;&lt;path id='" &amp; _xlfn.SINGLE(Star_5_2.ID) &amp; "-s' d='" &amp; _xlfn.TEXTJOIN(" ", TRUE, IF("Path"=Star_5_2.Part,BJ$17:BJ$59,"")) &amp; "'/&gt;&lt;/defs&gt;", "")</f>
        <v/>
      </c>
      <c r="BK76" s="5" t="str">
        <f t="shared" si="109"/>
        <v/>
      </c>
      <c r="BL76" s="5"/>
      <c r="BM76" s="5"/>
      <c r="BN76" s="5" t="str" cm="1">
        <f t="array" ref="BN76" xml:space="preserve"> IF(_xlfn.SINGLE(Star_5_2.MultipleStars), "&lt;defs&gt;&lt;path id='" &amp; _xlfn.SINGLE(Star_5_2.ID) &amp; "-s' d='" &amp; _xlfn.TEXTJOIN(" ", TRUE, IF("Path"=Star_5_2.Part,BN$17:BN$59,"")) &amp; "'/&gt;&lt;/defs&gt;", "")</f>
        <v/>
      </c>
      <c r="BO76" s="5" t="str">
        <f t="shared" si="110"/>
        <v/>
      </c>
      <c r="BP76" s="5"/>
      <c r="BQ76" s="5"/>
      <c r="BR76" s="5"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S76" s="5"/>
      <c r="BT76" s="5"/>
      <c r="BU76" s="5"/>
      <c r="BV76" s="5"/>
      <c r="BW76" s="5"/>
      <c r="BX76" s="5"/>
      <c r="BY76" s="5"/>
      <c r="BZ76" s="5"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A76" s="5"/>
      <c r="CB76" s="5"/>
      <c r="CC76" s="5"/>
      <c r="CD76" s="5" t="str" cm="1">
        <f t="array" ref="CD76" xml:space="preserve"> IF(_xlfn.SINGLE(Star_5_2.MultipleStars), "&lt;defs&gt;&lt;path id='" &amp; _xlfn.SINGLE(Star_5_2.ID) &amp; "-s' d='" &amp; _xlfn.TEXTJOIN(" ", TRUE, IF("Path"=Star_5_2.Part,CD$17:CD$59,"")) &amp; "'/&gt;&lt;/defs&gt;", "")</f>
        <v/>
      </c>
      <c r="CE76" s="5"/>
      <c r="CF76" s="5"/>
      <c r="CG76" s="5"/>
      <c r="CH76" s="5"/>
      <c r="CI76" s="10"/>
    </row>
    <row r="77" spans="5:87" x14ac:dyDescent="0.2">
      <c r="E77" t="s">
        <v>1770</v>
      </c>
      <c r="G77" s="14" t="str">
        <f t="shared" si="96"/>
        <v/>
      </c>
      <c r="H77" s="5"/>
      <c r="I77" s="5"/>
      <c r="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s="5" t="str">
        <f t="shared" si="97"/>
        <v/>
      </c>
      <c r="L77" s="5"/>
      <c r="M77" s="5"/>
      <c r="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s="5" t="str">
        <f t="shared" si="98"/>
        <v/>
      </c>
      <c r="P77" s="5"/>
      <c r="Q77" s="5"/>
      <c r="R77" s="67"/>
      <c r="S77" s="5" t="str">
        <f t="shared" si="99"/>
        <v/>
      </c>
      <c r="T77" s="5"/>
      <c r="U77" s="5"/>
      <c r="V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s="5" t="str">
        <f t="shared" si="100"/>
        <v/>
      </c>
      <c r="X77" s="5"/>
      <c r="Y77" s="5"/>
      <c r="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s="5" t="str">
        <f t="shared" si="101"/>
        <v/>
      </c>
      <c r="AB77" s="5"/>
      <c r="AC77" s="5"/>
      <c r="A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s="5" t="str">
        <f t="shared" si="102"/>
        <v/>
      </c>
      <c r="AF77" s="5"/>
      <c r="AG77" s="5"/>
      <c r="AH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s="5" t="str">
        <f t="shared" si="103"/>
        <v/>
      </c>
      <c r="AJ77" s="5"/>
      <c r="AK77" s="5"/>
      <c r="AL77" s="67"/>
      <c r="AM77" s="5" t="str">
        <f t="shared" si="104"/>
        <v/>
      </c>
      <c r="AN77" s="5"/>
      <c r="AO77" s="5"/>
      <c r="AP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s="5" t="str">
        <f t="shared" si="105"/>
        <v/>
      </c>
      <c r="AR77" s="5"/>
      <c r="AS77" s="5"/>
      <c r="AT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s="5" t="str">
        <f t="shared" si="106"/>
        <v/>
      </c>
      <c r="AV77" s="5"/>
      <c r="AW77" s="5"/>
      <c r="AX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Y77" s="5"/>
      <c r="AZ77" s="5"/>
      <c r="BA77" s="5"/>
      <c r="BB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s="5" t="str">
        <f t="shared" si="107"/>
        <v/>
      </c>
      <c r="BD77" s="5"/>
      <c r="BE77" s="5"/>
      <c r="BF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s="5" t="str">
        <f t="shared" si="108"/>
        <v/>
      </c>
      <c r="BH77" s="5"/>
      <c r="BI77" s="5"/>
      <c r="B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s="5" t="str">
        <f t="shared" si="109"/>
        <v/>
      </c>
      <c r="BL77" s="5"/>
      <c r="BM77" s="5"/>
      <c r="B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s="5" t="str">
        <f t="shared" si="110"/>
        <v/>
      </c>
      <c r="BP77" s="5"/>
      <c r="BQ77" s="5"/>
      <c r="BR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S77" s="5"/>
      <c r="BT77" s="5"/>
      <c r="BU77" s="5"/>
      <c r="BV77" s="5"/>
      <c r="BW77" s="5"/>
      <c r="BX77" s="5"/>
      <c r="BY77" s="5"/>
      <c r="B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A77" s="5"/>
      <c r="CB77" s="5"/>
      <c r="CC77" s="5"/>
      <c r="C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s="5"/>
      <c r="CF77" s="5"/>
      <c r="CG77" s="5"/>
      <c r="CH77" s="5"/>
      <c r="CI77" s="10"/>
    </row>
    <row r="78" spans="5:87" x14ac:dyDescent="0.2">
      <c r="E78" t="s">
        <v>1771</v>
      </c>
      <c r="G78" s="14" t="str">
        <f t="shared" si="96"/>
        <v/>
      </c>
      <c r="H78" s="5"/>
      <c r="I78" s="5"/>
      <c r="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s="5" t="str">
        <f t="shared" si="97"/>
        <v/>
      </c>
      <c r="L78" s="5"/>
      <c r="M78" s="5"/>
      <c r="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s="5" t="str">
        <f t="shared" si="98"/>
        <v/>
      </c>
      <c r="P78" s="5"/>
      <c r="Q78" s="5"/>
      <c r="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s="5" t="str">
        <f t="shared" si="99"/>
        <v/>
      </c>
      <c r="T78" s="5"/>
      <c r="U78" s="5"/>
      <c r="V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s="5" t="str">
        <f t="shared" si="100"/>
        <v/>
      </c>
      <c r="X78" s="5"/>
      <c r="Y78" s="5"/>
      <c r="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s="5" t="str">
        <f t="shared" si="101"/>
        <v/>
      </c>
      <c r="AB78" s="5"/>
      <c r="AC78" s="5"/>
      <c r="A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s="5" t="str">
        <f t="shared" si="102"/>
        <v/>
      </c>
      <c r="AF78" s="5"/>
      <c r="AG78" s="5"/>
      <c r="AH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s="5" t="str">
        <f t="shared" si="103"/>
        <v/>
      </c>
      <c r="AJ78" s="5"/>
      <c r="AK78" s="5"/>
      <c r="AL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s="5" t="str">
        <f t="shared" si="104"/>
        <v/>
      </c>
      <c r="AN78" s="5"/>
      <c r="AO78" s="5"/>
      <c r="AP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s="5" t="str">
        <f t="shared" si="105"/>
        <v/>
      </c>
      <c r="AR78" s="5"/>
      <c r="AS78" s="5"/>
      <c r="AT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s="5" t="str">
        <f t="shared" si="106"/>
        <v/>
      </c>
      <c r="AV78" s="5"/>
      <c r="AW78" s="5"/>
      <c r="AX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Y78" s="5"/>
      <c r="AZ78" s="5"/>
      <c r="BA78" s="5"/>
      <c r="BB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s="5" t="str">
        <f t="shared" si="107"/>
        <v/>
      </c>
      <c r="BD78" s="5"/>
      <c r="BE78" s="5"/>
      <c r="BF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s="5" t="str">
        <f t="shared" si="108"/>
        <v/>
      </c>
      <c r="BH78" s="5"/>
      <c r="BI78" s="5"/>
      <c r="B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s="5" t="str">
        <f t="shared" si="109"/>
        <v/>
      </c>
      <c r="BL78" s="5"/>
      <c r="BM78" s="5"/>
      <c r="B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s="5" t="str">
        <f t="shared" si="110"/>
        <v/>
      </c>
      <c r="BP78" s="5"/>
      <c r="BQ78" s="5"/>
      <c r="B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S78" s="5"/>
      <c r="BT78" s="5"/>
      <c r="BU78" s="5"/>
      <c r="BV78" s="5"/>
      <c r="BW78" s="5"/>
      <c r="BX78" s="5"/>
      <c r="BY78" s="5"/>
      <c r="B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A78" s="5"/>
      <c r="CB78" s="5"/>
      <c r="CC78" s="5"/>
      <c r="C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s="5"/>
      <c r="CF78" s="5"/>
      <c r="CG78" s="5"/>
      <c r="CH78" s="5"/>
      <c r="CI78" s="10"/>
    </row>
    <row r="79" spans="5:87" x14ac:dyDescent="0.2">
      <c r="E79" t="s">
        <v>1772</v>
      </c>
      <c r="G79" s="14" t="str">
        <f t="shared" si="96"/>
        <v/>
      </c>
      <c r="H79" s="5"/>
      <c r="I79" s="5"/>
      <c r="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s="5" t="str">
        <f t="shared" si="97"/>
        <v/>
      </c>
      <c r="L79" s="5"/>
      <c r="M79" s="5"/>
      <c r="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s="5" t="str">
        <f t="shared" si="98"/>
        <v/>
      </c>
      <c r="P79" s="5"/>
      <c r="Q79" s="5"/>
      <c r="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s="5" t="str">
        <f t="shared" si="99"/>
        <v/>
      </c>
      <c r="T79" s="5"/>
      <c r="U79" s="5"/>
      <c r="V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s="5" t="str">
        <f t="shared" si="100"/>
        <v/>
      </c>
      <c r="X79" s="5"/>
      <c r="Y79" s="5"/>
      <c r="Z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s="5" t="str">
        <f t="shared" si="101"/>
        <v/>
      </c>
      <c r="AB79" s="5"/>
      <c r="AC79" s="5"/>
      <c r="AD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s="5" t="str">
        <f t="shared" si="102"/>
        <v/>
      </c>
      <c r="AF79" s="5"/>
      <c r="AG79" s="5"/>
      <c r="AH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s="5" t="str">
        <f t="shared" si="103"/>
        <v/>
      </c>
      <c r="AJ79" s="5"/>
      <c r="AK79" s="5"/>
      <c r="AL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s="5" t="str">
        <f t="shared" si="104"/>
        <v/>
      </c>
      <c r="AN79" s="5"/>
      <c r="AO79" s="5"/>
      <c r="AP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s="5" t="str">
        <f t="shared" si="105"/>
        <v/>
      </c>
      <c r="AR79" s="5"/>
      <c r="AS79" s="5"/>
      <c r="AT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s="5" t="str">
        <f t="shared" si="106"/>
        <v/>
      </c>
      <c r="AV79" s="5"/>
      <c r="AW79" s="5"/>
      <c r="AX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s="5"/>
      <c r="AZ79" s="5"/>
      <c r="BA79" s="5"/>
      <c r="BB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s="5" t="str">
        <f t="shared" si="107"/>
        <v/>
      </c>
      <c r="BD79" s="5"/>
      <c r="BE79" s="5"/>
      <c r="BF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s="5" t="str">
        <f t="shared" si="108"/>
        <v/>
      </c>
      <c r="BH79" s="5"/>
      <c r="BI79" s="5"/>
      <c r="B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s="5" t="str">
        <f t="shared" si="109"/>
        <v/>
      </c>
      <c r="BL79" s="5"/>
      <c r="BM79" s="5"/>
      <c r="B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s="5" t="str">
        <f t="shared" si="110"/>
        <v/>
      </c>
      <c r="BP79" s="5"/>
      <c r="BQ79" s="5"/>
      <c r="B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S79" s="5"/>
      <c r="BT79" s="5"/>
      <c r="BU79" s="5"/>
      <c r="BV79" s="5"/>
      <c r="BW79" s="5"/>
      <c r="BX79" s="5"/>
      <c r="BY79" s="5"/>
      <c r="BZ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A79" s="5"/>
      <c r="CB79" s="5"/>
      <c r="CC79" s="5"/>
      <c r="CD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E79" s="5"/>
      <c r="CF79" s="5"/>
      <c r="CG79" s="5"/>
      <c r="CH79" s="5"/>
      <c r="CI79" s="10"/>
    </row>
    <row r="80" spans="5:87" x14ac:dyDescent="0.2">
      <c r="E80" t="s">
        <v>1773</v>
      </c>
      <c r="G80" s="14" t="str">
        <f t="shared" si="96"/>
        <v/>
      </c>
      <c r="H80" s="5"/>
      <c r="I80" s="5"/>
      <c r="J80" s="5"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s="5" t="str">
        <f t="shared" si="97"/>
        <v/>
      </c>
      <c r="L80" s="5"/>
      <c r="M80" s="5"/>
      <c r="N80" s="67"/>
      <c r="O80" s="5" t="str">
        <f t="shared" si="98"/>
        <v/>
      </c>
      <c r="P80" s="5"/>
      <c r="Q80" s="5"/>
      <c r="R80" s="5"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s="5" t="str">
        <f t="shared" si="99"/>
        <v/>
      </c>
      <c r="T80" s="5"/>
      <c r="U80" s="5"/>
      <c r="V80" s="5"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s="5" t="str">
        <f t="shared" si="100"/>
        <v/>
      </c>
      <c r="X80" s="5"/>
      <c r="Y80" s="5"/>
      <c r="Z80" s="67"/>
      <c r="AA80" s="5" t="str">
        <f t="shared" si="101"/>
        <v/>
      </c>
      <c r="AB80" s="5"/>
      <c r="AC80" s="5"/>
      <c r="AD80" s="5"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s="5" t="str">
        <f t="shared" si="102"/>
        <v/>
      </c>
      <c r="AF80" s="5"/>
      <c r="AG80" s="5"/>
      <c r="AH80" s="5"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s="5" t="str">
        <f t="shared" si="103"/>
        <v/>
      </c>
      <c r="AJ80" s="5"/>
      <c r="AK80" s="5"/>
      <c r="AL80" s="5"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s="5" t="str">
        <f t="shared" si="104"/>
        <v/>
      </c>
      <c r="AN80" s="5"/>
      <c r="AO80" s="5"/>
      <c r="AP80" s="67"/>
      <c r="AQ80" s="5" t="str">
        <f t="shared" si="105"/>
        <v/>
      </c>
      <c r="AR80" s="5"/>
      <c r="AS80" s="5"/>
      <c r="AT80" s="5"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s="5" t="str">
        <f t="shared" si="106"/>
        <v/>
      </c>
      <c r="AV80" s="5"/>
      <c r="AW80" s="5"/>
      <c r="AX80" s="67"/>
      <c r="AY80" s="5"/>
      <c r="AZ80" s="5"/>
      <c r="BA80" s="5"/>
      <c r="BB80" s="5"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s="5" t="str">
        <f t="shared" si="107"/>
        <v/>
      </c>
      <c r="BD80" s="5"/>
      <c r="BE80" s="5"/>
      <c r="BF80" s="5"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s="5" t="str">
        <f t="shared" si="108"/>
        <v/>
      </c>
      <c r="BH80" s="5"/>
      <c r="BI80" s="5"/>
      <c r="BJ80" s="67"/>
      <c r="BK80" s="5" t="str">
        <f t="shared" si="109"/>
        <v/>
      </c>
      <c r="BL80" s="5"/>
      <c r="BM80" s="5"/>
      <c r="BN80" s="67"/>
      <c r="BO80" s="5" t="str">
        <f t="shared" si="110"/>
        <v/>
      </c>
      <c r="BP80" s="5"/>
      <c r="BQ80" s="5"/>
      <c r="BR80" s="5"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S80" s="5"/>
      <c r="BT80" s="5"/>
      <c r="BU80" s="5"/>
      <c r="BV80" s="67"/>
      <c r="BW80" s="5"/>
      <c r="BX80" s="5"/>
      <c r="BY80" s="5"/>
      <c r="BZ80" s="5"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s="5"/>
      <c r="CB80" s="5"/>
      <c r="CC80" s="5"/>
      <c r="CD80" s="5"/>
      <c r="CE80" s="5"/>
      <c r="CF80" s="5"/>
      <c r="CG80" s="5"/>
      <c r="CH80" s="5"/>
      <c r="CI80" s="10"/>
    </row>
    <row r="81" spans="3:87" x14ac:dyDescent="0.2">
      <c r="E81" t="s">
        <v>1774</v>
      </c>
      <c r="G81" s="14" t="str">
        <f t="shared" si="96"/>
        <v/>
      </c>
      <c r="H81" s="5"/>
      <c r="I81" s="5"/>
      <c r="J81" s="5"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s="5" t="str">
        <f t="shared" si="97"/>
        <v/>
      </c>
      <c r="L81" s="5"/>
      <c r="M81" s="5"/>
      <c r="N81" s="67"/>
      <c r="O81" s="5" t="str">
        <f t="shared" si="98"/>
        <v/>
      </c>
      <c r="P81" s="5"/>
      <c r="Q81" s="5"/>
      <c r="R81" s="5"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s="5" t="str">
        <f t="shared" si="99"/>
        <v/>
      </c>
      <c r="T81" s="5"/>
      <c r="U81" s="5"/>
      <c r="V81" s="5"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s="5" t="str">
        <f t="shared" si="100"/>
        <v/>
      </c>
      <c r="X81" s="5"/>
      <c r="Y81" s="5"/>
      <c r="Z81" s="5"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s="5" t="str">
        <f t="shared" si="101"/>
        <v/>
      </c>
      <c r="AB81" s="5"/>
      <c r="AC81" s="5"/>
      <c r="AD81" s="5"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s="5" t="str">
        <f t="shared" si="102"/>
        <v/>
      </c>
      <c r="AF81" s="5"/>
      <c r="AG81" s="5"/>
      <c r="AH81" s="5"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s="5" t="str">
        <f t="shared" si="103"/>
        <v/>
      </c>
      <c r="AJ81" s="5"/>
      <c r="AK81" s="5"/>
      <c r="AL81" s="5"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s="5" t="str">
        <f t="shared" si="104"/>
        <v/>
      </c>
      <c r="AN81" s="5"/>
      <c r="AO81" s="5"/>
      <c r="AP81" s="67"/>
      <c r="AQ81" s="5" t="str">
        <f t="shared" si="105"/>
        <v/>
      </c>
      <c r="AR81" s="5"/>
      <c r="AS81" s="5"/>
      <c r="AT81" s="5"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s="5" t="str">
        <f t="shared" si="106"/>
        <v/>
      </c>
      <c r="AV81" s="5"/>
      <c r="AW81" s="5"/>
      <c r="AX81" s="67"/>
      <c r="AY81" s="5"/>
      <c r="AZ81" s="5"/>
      <c r="BA81" s="5"/>
      <c r="BB81" s="5"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s="5" t="str">
        <f t="shared" si="107"/>
        <v/>
      </c>
      <c r="BD81" s="5"/>
      <c r="BE81" s="5"/>
      <c r="BF81" s="5"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s="5" t="str">
        <f t="shared" si="108"/>
        <v/>
      </c>
      <c r="BH81" s="5"/>
      <c r="BI81" s="5"/>
      <c r="BJ81" s="67"/>
      <c r="BK81" s="5" t="str">
        <f t="shared" si="109"/>
        <v/>
      </c>
      <c r="BL81" s="5"/>
      <c r="BM81" s="5"/>
      <c r="BN81" s="5"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s="5" t="str">
        <f t="shared" si="110"/>
        <v/>
      </c>
      <c r="BP81" s="5"/>
      <c r="BQ81" s="5"/>
      <c r="BR81" s="5"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S81" s="5"/>
      <c r="BT81" s="5"/>
      <c r="BU81" s="5"/>
      <c r="BV81" s="67"/>
      <c r="BW81" s="5"/>
      <c r="BX81" s="5"/>
      <c r="BY81" s="5"/>
      <c r="BZ81" s="5"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s="5"/>
      <c r="CB81" s="5"/>
      <c r="CC81" s="5"/>
      <c r="CD81" s="5"/>
      <c r="CE81" s="5"/>
      <c r="CF81" s="5"/>
      <c r="CG81" s="5"/>
      <c r="CH81" s="5"/>
      <c r="CI81" s="10"/>
    </row>
    <row r="82" spans="3:87" x14ac:dyDescent="0.2">
      <c r="E82" t="s">
        <v>1775</v>
      </c>
      <c r="G82" s="14" t="str">
        <f t="shared" si="96"/>
        <v/>
      </c>
      <c r="H82" s="5"/>
      <c r="I82" s="5"/>
      <c r="J82" s="5"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s="5" t="str">
        <f t="shared" si="97"/>
        <v/>
      </c>
      <c r="L82" s="5"/>
      <c r="M82" s="5"/>
      <c r="N82" s="5"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s="5" t="str">
        <f t="shared" si="98"/>
        <v/>
      </c>
      <c r="P82" s="5"/>
      <c r="Q82" s="5"/>
      <c r="R82" s="5"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s="5" t="str">
        <f t="shared" si="99"/>
        <v/>
      </c>
      <c r="T82" s="5"/>
      <c r="U82" s="5"/>
      <c r="V82" s="5"/>
      <c r="W82" s="5" t="str">
        <f t="shared" si="100"/>
        <v/>
      </c>
      <c r="X82" s="5"/>
      <c r="Y82" s="5"/>
      <c r="Z82" s="5"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s="5" t="str">
        <f t="shared" si="101"/>
        <v/>
      </c>
      <c r="AB82" s="5"/>
      <c r="AC82" s="5"/>
      <c r="AD82" s="5"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s="5" t="str">
        <f t="shared" si="102"/>
        <v/>
      </c>
      <c r="AF82" s="5"/>
      <c r="AG82" s="5"/>
      <c r="AH82" s="5"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s="5" t="str">
        <f t="shared" si="103"/>
        <v/>
      </c>
      <c r="AJ82" s="5"/>
      <c r="AK82" s="5"/>
      <c r="AL82" s="5"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s="5" t="str">
        <f t="shared" si="104"/>
        <v/>
      </c>
      <c r="AN82" s="5"/>
      <c r="AO82" s="5"/>
      <c r="AP82" s="5"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s="5" t="str">
        <f t="shared" si="105"/>
        <v/>
      </c>
      <c r="AR82" s="5"/>
      <c r="AS82" s="5"/>
      <c r="AT82" s="29"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s="5" t="str">
        <f t="shared" si="106"/>
        <v/>
      </c>
      <c r="AV82" s="5"/>
      <c r="AW82" s="5"/>
      <c r="AX82" s="5"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AY82" s="5"/>
      <c r="AZ82" s="5"/>
      <c r="BA82" s="5"/>
      <c r="BB82" s="5"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s="5" t="str">
        <f t="shared" si="107"/>
        <v/>
      </c>
      <c r="BD82" s="5"/>
      <c r="BE82" s="5"/>
      <c r="BF82" s="5"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s="5" t="str">
        <f t="shared" si="108"/>
        <v/>
      </c>
      <c r="BH82" s="5"/>
      <c r="BI82" s="5"/>
      <c r="BJ82" s="5"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s="5" t="str">
        <f t="shared" si="109"/>
        <v/>
      </c>
      <c r="BL82" s="5"/>
      <c r="BM82" s="5"/>
      <c r="BN82" s="5"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s="5" t="str">
        <f t="shared" si="110"/>
        <v/>
      </c>
      <c r="BP82" s="5"/>
      <c r="BQ82" s="5"/>
      <c r="BR82" s="5"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S82" s="5"/>
      <c r="BT82" s="5"/>
      <c r="BU82" s="5"/>
      <c r="BV82" s="5"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W82" s="5"/>
      <c r="BX82" s="5"/>
      <c r="BY82" s="5"/>
      <c r="BZ82" s="5"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s="5"/>
      <c r="CB82" s="5"/>
      <c r="CC82" s="5"/>
      <c r="CD82" s="5"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E82" s="5"/>
      <c r="CF82" s="5"/>
      <c r="CG82" s="5"/>
      <c r="CH82" s="5"/>
      <c r="CI82" s="10"/>
    </row>
    <row r="83" spans="3:87" x14ac:dyDescent="0.2">
      <c r="E83" t="s">
        <v>1778</v>
      </c>
      <c r="G83" s="14" t="str">
        <f t="shared" si="96"/>
        <v/>
      </c>
      <c r="H83" s="5"/>
      <c r="I83" s="5"/>
      <c r="J83" s="5"/>
      <c r="K83" s="5" t="str">
        <f t="shared" si="97"/>
        <v/>
      </c>
      <c r="L83" s="5"/>
      <c r="M83" s="5"/>
      <c r="N83" s="5"/>
      <c r="O83" s="5" t="str">
        <f t="shared" si="98"/>
        <v/>
      </c>
      <c r="P83" s="5"/>
      <c r="Q83" s="5"/>
      <c r="R83" s="5"/>
      <c r="S83" s="5" t="str">
        <f t="shared" si="99"/>
        <v/>
      </c>
      <c r="T83" s="5"/>
      <c r="U83" s="5"/>
      <c r="V83" s="5"/>
      <c r="W83" s="5" t="str">
        <f t="shared" si="100"/>
        <v/>
      </c>
      <c r="X83" s="5"/>
      <c r="Y83" s="5"/>
      <c r="Z83" s="5"/>
      <c r="AA83" s="5" t="str">
        <f t="shared" si="101"/>
        <v/>
      </c>
      <c r="AB83" s="5"/>
      <c r="AC83" s="5"/>
      <c r="AD83" s="5"/>
      <c r="AE83" s="5" t="str">
        <f t="shared" si="102"/>
        <v/>
      </c>
      <c r="AF83" s="5"/>
      <c r="AG83" s="5"/>
      <c r="AH83" s="5"/>
      <c r="AI83" s="5" t="str">
        <f t="shared" si="103"/>
        <v/>
      </c>
      <c r="AJ83" s="5"/>
      <c r="AK83" s="5"/>
      <c r="AL83" s="5"/>
      <c r="AM83" s="5" t="str">
        <f t="shared" si="104"/>
        <v/>
      </c>
      <c r="AN83" s="5"/>
      <c r="AO83" s="5"/>
      <c r="AP83" s="5"/>
      <c r="AQ83" s="5" t="str">
        <f t="shared" si="105"/>
        <v/>
      </c>
      <c r="AR83" s="5"/>
      <c r="AS83" s="5"/>
      <c r="AT83" s="5"/>
      <c r="AU83" s="5" t="str">
        <f t="shared" si="106"/>
        <v/>
      </c>
      <c r="AV83" s="5"/>
      <c r="AW83" s="5"/>
      <c r="AX83" s="5"/>
      <c r="AY83" s="5"/>
      <c r="AZ83" s="5"/>
      <c r="BA83" s="5"/>
      <c r="BB83" s="5"/>
      <c r="BC83" s="5" t="str">
        <f t="shared" si="107"/>
        <v/>
      </c>
      <c r="BD83" s="5"/>
      <c r="BE83" s="5"/>
      <c r="BF83" s="5"/>
      <c r="BG83" s="5" t="str">
        <f t="shared" si="108"/>
        <v/>
      </c>
      <c r="BH83" s="5"/>
      <c r="BI83" s="5"/>
      <c r="BJ83" s="5"/>
      <c r="BK83" s="5" t="str">
        <f t="shared" si="109"/>
        <v/>
      </c>
      <c r="BL83" s="5"/>
      <c r="BM83" s="5"/>
      <c r="BN83" s="5"/>
      <c r="BO83" s="5" t="str">
        <f t="shared" si="110"/>
        <v/>
      </c>
      <c r="BP83" s="5"/>
      <c r="BQ83" s="5"/>
      <c r="BR83" s="5"/>
      <c r="BS83" s="5"/>
      <c r="BT83" s="5"/>
      <c r="BU83" s="5"/>
      <c r="BV83" s="5"/>
      <c r="BW83" s="5"/>
      <c r="BX83" s="5"/>
      <c r="BY83" s="5"/>
      <c r="BZ83" s="5"/>
      <c r="CA83" s="5"/>
      <c r="CB83" s="5"/>
      <c r="CC83" s="5"/>
      <c r="CD83" s="5"/>
      <c r="CE83" s="5"/>
      <c r="CF83" s="5"/>
      <c r="CG83" s="5"/>
      <c r="CH83" s="5"/>
      <c r="CI83" s="10"/>
    </row>
    <row r="84" spans="3:87" x14ac:dyDescent="0.2">
      <c r="G84" s="16" t="str">
        <f t="shared" si="96"/>
        <v/>
      </c>
      <c r="H84" s="11"/>
      <c r="I84" s="11"/>
      <c r="J84" s="11" t="s">
        <v>15</v>
      </c>
      <c r="K84" s="11" t="str">
        <f t="shared" si="97"/>
        <v/>
      </c>
      <c r="L84" s="11"/>
      <c r="M84" s="11"/>
      <c r="N84" s="11" t="s">
        <v>15</v>
      </c>
      <c r="O84" s="11" t="str">
        <f t="shared" si="98"/>
        <v/>
      </c>
      <c r="P84" s="11"/>
      <c r="Q84" s="11"/>
      <c r="R84" s="11" t="s">
        <v>15</v>
      </c>
      <c r="S84" s="11" t="str">
        <f t="shared" si="99"/>
        <v/>
      </c>
      <c r="T84" s="11"/>
      <c r="U84" s="11"/>
      <c r="V84" s="11" t="s">
        <v>15</v>
      </c>
      <c r="W84" s="11" t="str">
        <f t="shared" si="100"/>
        <v/>
      </c>
      <c r="X84" s="11"/>
      <c r="Y84" s="11"/>
      <c r="Z84" s="11" t="s">
        <v>15</v>
      </c>
      <c r="AA84" s="11" t="str">
        <f t="shared" si="101"/>
        <v/>
      </c>
      <c r="AB84" s="11"/>
      <c r="AC84" s="11"/>
      <c r="AD84" s="11" t="s">
        <v>15</v>
      </c>
      <c r="AE84" s="11" t="str">
        <f t="shared" si="102"/>
        <v/>
      </c>
      <c r="AF84" s="11"/>
      <c r="AG84" s="11"/>
      <c r="AH84" s="11" t="s">
        <v>15</v>
      </c>
      <c r="AI84" s="11" t="str">
        <f t="shared" si="103"/>
        <v/>
      </c>
      <c r="AJ84" s="11"/>
      <c r="AK84" s="11"/>
      <c r="AL84" s="11" t="s">
        <v>15</v>
      </c>
      <c r="AM84" s="11" t="str">
        <f t="shared" si="104"/>
        <v/>
      </c>
      <c r="AN84" s="11"/>
      <c r="AO84" s="11"/>
      <c r="AP84" s="11" t="s">
        <v>15</v>
      </c>
      <c r="AQ84" s="11" t="str">
        <f t="shared" si="105"/>
        <v/>
      </c>
      <c r="AR84" s="11"/>
      <c r="AS84" s="11"/>
      <c r="AT84" s="11" t="s">
        <v>15</v>
      </c>
      <c r="AU84" s="11" t="str">
        <f t="shared" si="106"/>
        <v/>
      </c>
      <c r="AV84" s="11"/>
      <c r="AW84" s="11"/>
      <c r="AX84" s="11" t="s">
        <v>15</v>
      </c>
      <c r="AY84" s="11"/>
      <c r="AZ84" s="11"/>
      <c r="BA84" s="11"/>
      <c r="BB84" s="11" t="s">
        <v>15</v>
      </c>
      <c r="BC84" s="11" t="str">
        <f t="shared" si="107"/>
        <v/>
      </c>
      <c r="BD84" s="11"/>
      <c r="BE84" s="11"/>
      <c r="BF84" s="11" t="s">
        <v>15</v>
      </c>
      <c r="BG84" s="11" t="str">
        <f t="shared" si="108"/>
        <v/>
      </c>
      <c r="BH84" s="11"/>
      <c r="BI84" s="11"/>
      <c r="BJ84" s="11" t="s">
        <v>15</v>
      </c>
      <c r="BK84" s="11" t="str">
        <f t="shared" si="109"/>
        <v/>
      </c>
      <c r="BL84" s="11"/>
      <c r="BM84" s="11"/>
      <c r="BN84" s="11" t="s">
        <v>15</v>
      </c>
      <c r="BO84" s="11" t="str">
        <f t="shared" si="110"/>
        <v/>
      </c>
      <c r="BP84" s="11"/>
      <c r="BQ84" s="11"/>
      <c r="BR84" s="11" t="s">
        <v>15</v>
      </c>
      <c r="BS84" s="11"/>
      <c r="BT84" s="11"/>
      <c r="BU84" s="11"/>
      <c r="BV84" s="11" t="s">
        <v>15</v>
      </c>
      <c r="BW84" s="11"/>
      <c r="BX84" s="11"/>
      <c r="BY84" s="11"/>
      <c r="BZ84" s="11" t="s">
        <v>15</v>
      </c>
      <c r="CA84" s="11"/>
      <c r="CB84" s="11"/>
      <c r="CC84" s="11"/>
      <c r="CD84" s="11" t="s">
        <v>15</v>
      </c>
      <c r="CE84" s="11"/>
      <c r="CF84" s="11"/>
      <c r="CG84" s="11"/>
      <c r="CH84" s="11"/>
      <c r="CI84" s="12"/>
    </row>
    <row r="90" spans="3:87" x14ac:dyDescent="0.2">
      <c r="E90" t="s">
        <v>1811</v>
      </c>
      <c r="J90">
        <f xml:space="preserve"> VALUE(TEXT( 13 * Star_5_2.OuterPoints_Default * SQRT(Star_5_2.Aspect), SVG.NumberFormatHeight))</f>
        <v>170</v>
      </c>
      <c r="V90">
        <f xml:space="preserve"> VALUE(TEXT( 13 * Star_5_2.OuterPoints_Default * SQRT(Star_5_2.Aspect), SVG.NumberFormatHeight))</f>
        <v>165</v>
      </c>
      <c r="AD90">
        <f xml:space="preserve"> VALUE(TEXT( 13 * Star_5_2.OuterPoints_Default * SQRT(Star_5_2.Aspect), SVG.NumberFormatHeight))</f>
        <v>164</v>
      </c>
      <c r="AX90">
        <f xml:space="preserve"> VALUE(TEXT( 13 * Star_5_2.OuterPoints_Default * SQRT(Star_5_2.Aspect), SVG.NumberFormatHeight))</f>
        <v>177</v>
      </c>
    </row>
    <row r="91" spans="3:87" x14ac:dyDescent="0.2">
      <c r="E91" t="s">
        <v>1810</v>
      </c>
      <c r="J91">
        <f xml:space="preserve"> ROUND(J$90 / _xlfn.SINGLE(Star_5_2.Aspect), svgSizeDecimalPlaces)</f>
        <v>161.68020000000001</v>
      </c>
      <c r="V91">
        <f xml:space="preserve"> ROUND(V$90 / _xlfn.SINGLE(Star_5_2.Aspect), svgSizeDecimalPlaces)</f>
        <v>165.79552000000001</v>
      </c>
      <c r="AD91">
        <f xml:space="preserve"> ROUND(AD$90 / _xlfn.SINGLE(Star_5_2.Aspect), svgSizeDecimalPlaces)</f>
        <v>167.08422999999999</v>
      </c>
      <c r="AX91">
        <f xml:space="preserve"> ROUND(AX$90 / _xlfn.SINGLE(Star_5_2.Aspect), svgSizeDecimalPlaces)</f>
        <v>154.98580999999999</v>
      </c>
    </row>
    <row r="94" spans="3:87" x14ac:dyDescent="0.2">
      <c r="E94" t="s">
        <v>1812</v>
      </c>
      <c r="J94" s="69"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width='161.6802' height='170' viewBox='-9.5106 -10 19.0212 20'  id='%thisID%' xmlns='http://www.w3.org/2000/svg'&gt;</v>
      </c>
      <c r="V94" s="69"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width='165.79552' height='165' viewBox='-9.8995 -9.852 19.799 19.704'  id='%thisID%' xmlns='http://www.w3.org/2000/svg'&gt;</v>
      </c>
      <c r="AD94" s="69"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width='167.08423' height='164' viewBox='-9.9517 -9.768 19.9034 19.536'  id='%thisID%' xmlns='http://www.w3.org/2000/svg'&gt;</v>
      </c>
      <c r="AX94" s="69"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width='154.98581' height='177' viewBox='-6 -6.85224 12 13.70448'  id='%thisID%' xmlns='http://www.w3.org/2000/svg'&gt;</v>
      </c>
    </row>
    <row r="95" spans="3:87" x14ac:dyDescent="0.2">
      <c r="C95" t="s">
        <v>1825</v>
      </c>
      <c r="E95" t="s">
        <v>1814</v>
      </c>
      <c r="J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74" t="str">
        <f xml:space="preserve"> ""</f>
        <v/>
      </c>
    </row>
    <row r="96" spans="3:87" x14ac:dyDescent="0.2">
      <c r="C96" t="s">
        <v>1824</v>
      </c>
      <c r="D96">
        <v>0.44</v>
      </c>
      <c r="E96" t="s">
        <v>1816</v>
      </c>
      <c r="J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74" t="str">
        <f xml:space="preserve"> ""</f>
        <v/>
      </c>
    </row>
    <row r="97" spans="3:50" x14ac:dyDescent="0.2">
      <c r="E97" t="s">
        <v>1813</v>
      </c>
      <c r="J97" s="70" t="str">
        <f t="shared" ref="J97:J106" si="111" xml:space="preserve"> IF(ISTEXT(J74), J74, "")</f>
        <v/>
      </c>
      <c r="V97" s="70" t="str">
        <f t="shared" ref="V97:V106" si="112" xml:space="preserve"> IF(ISTEXT(V74), V74, "")</f>
        <v/>
      </c>
      <c r="AD97" s="70" t="str">
        <f t="shared" ref="AD97:AD106" si="113" xml:space="preserve"> IF(ISTEXT(AD74), AD74, "")</f>
        <v/>
      </c>
      <c r="AX97" s="70" t="str">
        <f t="shared" ref="AX97:AX106" si="114" xml:space="preserve"> IF(ISTEXT(AX74), AX74, "")</f>
        <v>&lt;path fill='#006633' d='M6 6.85224H-6V-6.85224H6Z'/&gt;</v>
      </c>
    </row>
    <row r="98" spans="3:50" x14ac:dyDescent="0.2">
      <c r="E98" t="s">
        <v>1813</v>
      </c>
      <c r="J98" s="70" t="str">
        <f t="shared" si="111"/>
        <v/>
      </c>
      <c r="V98" s="70" t="str">
        <f t="shared" si="112"/>
        <v/>
      </c>
      <c r="AD98" s="70" t="str">
        <f t="shared" si="113"/>
        <v/>
      </c>
      <c r="AX98" s="70" t="str">
        <f t="shared" si="114"/>
        <v>&lt;path fill='#FFF' d='M4.8541 5.70634H-4.8541V-5.70634H4.8541Z'/&gt;</v>
      </c>
    </row>
    <row r="99" spans="3:50" x14ac:dyDescent="0.2">
      <c r="E99" t="s">
        <v>1813</v>
      </c>
      <c r="J99" s="70" t="str">
        <f t="shared" si="111"/>
        <v>&lt;defs&gt;&lt;path id='USD-s' d='M0 -10 l-2.2451 6.9098 H-9.5106 l5.8779 4.2705 L-5.8779 8.0902 L0 3.8197 L5.8779 8.0902 L3.6327 1.1803 L9.5106 -3.0902 H2.2451Z'/&gt;&lt;/defs&gt;</v>
      </c>
      <c r="V99" s="70" t="str">
        <f t="shared" si="112"/>
        <v>&lt;defs&gt;&lt;path id='CNY-s' d='M-9.8995 1.4142 l7.1579 1.2454 L-1.7141 9.852 L1.6822 3.4293 L8.8401 4.6747 L3.7813 -.5402 L7.1776 -6.9629 L.6547 -3.7631 L-4.4041 -8.978 l1.0275 7.1924Z'/&gt;&lt;/defs&gt;</v>
      </c>
      <c r="AD99" s="70" t="str">
        <f t="shared" si="113"/>
        <v>&lt;defs&gt;&lt;path id='PKR-s' d='M7.4741 -6.6436 L.818 -3.731 L-4.0089 -9.1613 l.7133 7.2304 L-9.9517 .9817 l7.0969 1.5559 l.7132 7.2304 L1.5312 3.4993 l7.0969 1.556 L3.8012 -.375Z'/&gt;&lt;/defs&gt;</v>
      </c>
      <c r="AX99" s="70" t="str">
        <f t="shared" si="114"/>
        <v/>
      </c>
    </row>
    <row r="100" spans="3:50" x14ac:dyDescent="0.2">
      <c r="E100" t="s">
        <v>1813</v>
      </c>
      <c r="J100" s="70" t="str">
        <f t="shared" si="111"/>
        <v>&lt;use href='#USD-s' fill='black'/&gt;</v>
      </c>
      <c r="V100" s="70" t="str">
        <f t="shared" si="112"/>
        <v>&lt;use href='#CNY-s' fill='#DE2910'/&gt;</v>
      </c>
      <c r="AD100" s="70" t="str">
        <f t="shared" si="113"/>
        <v>&lt;use href='#PKR-s' fill='#01411C'/&gt;</v>
      </c>
      <c r="AX100" s="70" t="str">
        <f t="shared" si="114"/>
        <v/>
      </c>
    </row>
    <row r="101" spans="3:50" x14ac:dyDescent="0.2">
      <c r="E101" t="s">
        <v>1813</v>
      </c>
      <c r="J101" s="70" t="str">
        <f t="shared" si="111"/>
        <v>&lt;use href='#USD-s' fill='#FFF' transform='scale(0.6)'/&gt;</v>
      </c>
      <c r="V101" s="70" t="str">
        <f t="shared" si="112"/>
        <v>&lt;use href='#CNY-s' fill='#FFDE00' transform='scale(0.7)'/&gt;</v>
      </c>
      <c r="AD101" s="70" t="str">
        <f t="shared" si="113"/>
        <v>&lt;use href='#PKR-s' fill='#FFF' transform='scale(0.7)'/&gt;</v>
      </c>
      <c r="AX101" s="70" t="str">
        <f t="shared" si="114"/>
        <v/>
      </c>
    </row>
    <row r="102" spans="3:50" x14ac:dyDescent="0.2">
      <c r="E102" t="s">
        <v>1813</v>
      </c>
      <c r="J102" s="70" t="str">
        <f t="shared" si="111"/>
        <v/>
      </c>
      <c r="V102" s="70" t="str">
        <f t="shared" si="112"/>
        <v/>
      </c>
      <c r="AD102" s="70" t="str">
        <f t="shared" si="113"/>
        <v/>
      </c>
      <c r="AX102" s="70" t="str">
        <f t="shared" si="114"/>
        <v/>
      </c>
    </row>
    <row r="103" spans="3:50" x14ac:dyDescent="0.2">
      <c r="E103" t="s">
        <v>1813</v>
      </c>
      <c r="J103" s="70" t="str">
        <f t="shared" si="111"/>
        <v/>
      </c>
      <c r="V103" s="70" t="str">
        <f t="shared" si="112"/>
        <v/>
      </c>
      <c r="AD103" s="70" t="str">
        <f t="shared" si="113"/>
        <v/>
      </c>
      <c r="AX103" s="70" t="str">
        <f t="shared" si="114"/>
        <v/>
      </c>
    </row>
    <row r="104" spans="3:50" x14ac:dyDescent="0.2">
      <c r="E104" t="s">
        <v>1813</v>
      </c>
      <c r="J104" s="70" t="str">
        <f t="shared" si="111"/>
        <v/>
      </c>
      <c r="V104" s="70" t="str">
        <f t="shared" si="112"/>
        <v/>
      </c>
      <c r="AD104" s="70" t="str">
        <f t="shared" si="113"/>
        <v/>
      </c>
      <c r="AX104" s="70" t="str">
        <f t="shared" si="114"/>
        <v/>
      </c>
    </row>
    <row r="105" spans="3:50" x14ac:dyDescent="0.2">
      <c r="E105" t="s">
        <v>1813</v>
      </c>
      <c r="J105" s="70" t="str">
        <f t="shared" si="111"/>
        <v/>
      </c>
      <c r="V105" s="70" t="str">
        <f t="shared" si="112"/>
        <v/>
      </c>
      <c r="AD105" s="70" t="str">
        <f t="shared" si="113"/>
        <v/>
      </c>
      <c r="AX105" s="70" t="str">
        <f t="shared" si="114"/>
        <v>&lt;path fill='#D21034' d='M6 0 L1.8541 -1.3471 V-5.7063 L-.7082 -2.1796 L-4.8541 -3.5267 L-2.2918 0 L-4.8541 3.5267 L-.7082 2.1796 L1.8541 5.7063 V1.3471Z'/&gt;</v>
      </c>
    </row>
    <row r="106" spans="3:50" x14ac:dyDescent="0.2">
      <c r="E106" t="s">
        <v>1813</v>
      </c>
      <c r="J106" s="70" t="str">
        <f t="shared" si="111"/>
        <v/>
      </c>
      <c r="V106" s="70" t="str">
        <f t="shared" si="112"/>
        <v/>
      </c>
      <c r="AD106" s="70" t="str">
        <f t="shared" si="113"/>
        <v/>
      </c>
      <c r="AX106" s="70" t="str">
        <f t="shared" si="114"/>
        <v/>
      </c>
    </row>
    <row r="107" spans="3:50" x14ac:dyDescent="0.2">
      <c r="C107" t="s">
        <v>1815</v>
      </c>
      <c r="D107">
        <f xml:space="preserve"> D$96 / 2</f>
        <v>0.22</v>
      </c>
      <c r="E107" t="s">
        <v>1817</v>
      </c>
      <c r="J107" s="71" t="str">
        <f xml:space="preserve"> "&lt;circle fill='none' " &amp; $C107 &amp; " stroke-width='" &amp; $D107 &amp; "' r='" &amp; ROUND(ABS(Star_5_2.SizeOuter),Star_5_2.DecimalPlaces) &amp; "'/&gt;"</f>
        <v>&lt;circle fill='none' opacity='60%' stroke='#00AACC' stroke-width='0.22' r='10'/&gt;</v>
      </c>
      <c r="V107" s="71" t="str">
        <f xml:space="preserve"> "&lt;circle fill='none' " &amp; $C107 &amp; " stroke-width='" &amp; $D107 &amp; "' r='" &amp; ROUND(ABS(Star_5_2.SizeOuter),Star_5_2.DecimalPlaces) &amp; "'/&gt;"</f>
        <v>&lt;circle fill='none' opacity='60%' stroke='#00AACC' stroke-width='0.22' r='10'/&gt;</v>
      </c>
      <c r="AD107" s="71" t="str">
        <f xml:space="preserve"> "&lt;circle fill='none' " &amp; $C107 &amp; " stroke-width='" &amp; $D107 &amp; "' r='" &amp; ROUND(ABS(Star_5_2.SizeOuter),Star_5_2.DecimalPlaces) &amp; "'/&gt;"</f>
        <v>&lt;circle fill='none' opacity='60%' stroke='#00AACC' stroke-width='0.22' r='10'/&gt;</v>
      </c>
      <c r="AX107" s="71" t="str">
        <f xml:space="preserve"> "&lt;circle fill='none' " &amp; $C107 &amp; " stroke-width='" &amp; $D107 &amp; "' r='" &amp; ROUND(ABS(Star_5_2.SizeOuter),Star_5_2.DecimalPlaces) &amp; "'/&gt;"</f>
        <v>&lt;circle fill='none' opacity='60%' stroke='#00AACC' stroke-width='0.22' r='6'/&gt;</v>
      </c>
    </row>
    <row r="108" spans="3:50" x14ac:dyDescent="0.2">
      <c r="C108" t="str">
        <f xml:space="preserve"> C$107</f>
        <v>opacity='60%' stroke='#00AACC'</v>
      </c>
      <c r="D108">
        <f xml:space="preserve"> D$107</f>
        <v>0.22</v>
      </c>
      <c r="E108" t="s">
        <v>1818</v>
      </c>
      <c r="J108" s="71" t="str">
        <f xml:space="preserve"> "&lt;circle fill='none' " &amp; $C107 &amp; " stroke-width='" &amp; $D107 &amp; "' r='" &amp; ROUND(ABS(Star_5_2.SizeMiddle),Star_5_2.DecimalPlaces) &amp; "'/&gt;"</f>
        <v>&lt;circle fill='none' opacity='60%' stroke='#00AACC' stroke-width='0.22' r='6'/&gt;</v>
      </c>
      <c r="V108" s="71" t="str">
        <f xml:space="preserve"> "&lt;circle fill='none' " &amp; $C107 &amp; " stroke-width='" &amp; $D107 &amp; "' r='" &amp; ROUND(ABS(Star_5_2.SizeMiddle),Star_5_2.DecimalPlaces) &amp; "'/&gt;"</f>
        <v>&lt;circle fill='none' opacity='60%' stroke='#00AACC' stroke-width='0.22' r='7'/&gt;</v>
      </c>
      <c r="AD108" s="71" t="str">
        <f xml:space="preserve"> "&lt;circle fill='none' " &amp; $C107 &amp; " stroke-width='" &amp; $D107 &amp; "' r='" &amp; ROUND(ABS(Star_5_2.SizeMiddle),Star_5_2.DecimalPlaces) &amp; "'/&gt;"</f>
        <v>&lt;circle fill='none' opacity='60%' stroke='#00AACC' stroke-width='0.22' r='7'/&gt;</v>
      </c>
      <c r="AX108" s="74" t="str">
        <f xml:space="preserve"> ""</f>
        <v/>
      </c>
    </row>
    <row r="109" spans="3:50" x14ac:dyDescent="0.2">
      <c r="C109" t="str">
        <f t="shared" ref="C109:D110" si="115" xml:space="preserve"> C$107</f>
        <v>opacity='60%' stroke='#00AACC'</v>
      </c>
      <c r="D109">
        <f t="shared" si="115"/>
        <v>0.22</v>
      </c>
      <c r="E109" t="s">
        <v>1819</v>
      </c>
      <c r="J109" s="71" t="str">
        <f xml:space="preserve"> "&lt;circle fill='none' " &amp; $C107 &amp; " stroke-width='" &amp; $D107 &amp; "' r='" &amp; ROUND(ABS(Star_5_2.SizeOuter * (3 - Sqrt5) / 2),Star_5_2.DecimalPlaces) &amp; "'/&gt;"</f>
        <v>&lt;circle fill='none' opacity='60%' stroke='#00AACC' stroke-width='0.22' r='3.8197'/&gt;</v>
      </c>
      <c r="V109" s="71" t="str">
        <f xml:space="preserve"> "&lt;circle fill='none' " &amp; $C107 &amp; " stroke-width='" &amp; $D107 &amp; "' r='" &amp; ROUND(ABS(Star_5_2.SizeOuter * (3 - Sqrt5) / 2),Star_5_2.DecimalPlaces) &amp; "'/&gt;"</f>
        <v>&lt;circle fill='none' opacity='60%' stroke='#00AACC' stroke-width='0.22' r='3.8197'/&gt;</v>
      </c>
      <c r="AD109" s="71" t="str">
        <f xml:space="preserve"> "&lt;circle fill='none' " &amp; $C107 &amp; " stroke-width='" &amp; $D107 &amp; "' r='" &amp; ROUND(ABS(Star_5_2.SizeOuter * (3 - Sqrt5) / 2),Star_5_2.DecimalPlaces) &amp; "'/&gt;"</f>
        <v>&lt;circle fill='none' opacity='60%' stroke='#00AACC' stroke-width='0.22' r='3.8197'/&gt;</v>
      </c>
      <c r="AX109" s="71" t="str">
        <f xml:space="preserve"> "&lt;circle fill='none' " &amp; $C107 &amp; " stroke-width='" &amp; $D107 &amp; "' r='" &amp; ROUND(ABS(Star_5_2.SizeOuter * (3 - Sqrt5) / 2),Star_5_2.DecimalPlaces) &amp; "'/&gt;"</f>
        <v>&lt;circle fill='none' opacity='60%' stroke='#00AACC' stroke-width='0.22' r='2.2918'/&gt;</v>
      </c>
    </row>
    <row r="110" spans="3:50" x14ac:dyDescent="0.2">
      <c r="C110" t="str">
        <f t="shared" si="115"/>
        <v>opacity='60%' stroke='#00AACC'</v>
      </c>
      <c r="D110">
        <f t="shared" si="115"/>
        <v>0.22</v>
      </c>
      <c r="E110" t="s">
        <v>1820</v>
      </c>
      <c r="J110" s="71" t="str">
        <f xml:space="preserve"> "&lt;circle fill='none' " &amp; $C107 &amp; " stroke-width='" &amp; $D107 &amp; "' r='" &amp; ROUND(ABS(Star_5_2.SizeMiddle * (3 - Sqrt5) / 2),Star_5_2.DecimalPlaces) &amp; "'/&gt;"</f>
        <v>&lt;circle fill='none' opacity='60%' stroke='#00AACC' stroke-width='0.22' r='2.2918'/&gt;</v>
      </c>
      <c r="V110" s="71" t="str">
        <f xml:space="preserve"> "&lt;circle fill='none' " &amp; $C107 &amp; " stroke-width='" &amp; $D107 &amp; "' r='" &amp; ROUND(ABS(Star_5_2.SizeMiddle * (3 - Sqrt5) / 2),Star_5_2.DecimalPlaces) &amp; "'/&gt;"</f>
        <v>&lt;circle fill='none' opacity='60%' stroke='#00AACC' stroke-width='0.22' r='2.6738'/&gt;</v>
      </c>
      <c r="AD110" s="71" t="str">
        <f xml:space="preserve"> "&lt;circle fill='none' " &amp; $C107 &amp; " stroke-width='" &amp; $D107 &amp; "' r='" &amp; ROUND(ABS(Star_5_2.SizeMiddle * (3 - Sqrt5) / 2),Star_5_2.DecimalPlaces) &amp; "'/&gt;"</f>
        <v>&lt;circle fill='none' opacity='60%' stroke='#00AACC' stroke-width='0.22' r='2.6738'/&gt;</v>
      </c>
      <c r="AX110" s="74" t="str">
        <f xml:space="preserve"> ""</f>
        <v/>
      </c>
    </row>
    <row r="111" spans="3:50" x14ac:dyDescent="0.2">
      <c r="C111" t="s">
        <v>1823</v>
      </c>
      <c r="D111">
        <f xml:space="preserve"> D$107</f>
        <v>0.22</v>
      </c>
      <c r="E111" t="s">
        <v>1822</v>
      </c>
      <c r="J111" s="71"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71"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71"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71"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x14ac:dyDescent="0.2">
      <c r="C112" t="str">
        <f xml:space="preserve"> C96</f>
        <v>fill='none' stroke='#0000FF'</v>
      </c>
      <c r="D112">
        <f xml:space="preserve"> D$107</f>
        <v>0.22</v>
      </c>
      <c r="E112" t="s">
        <v>1821</v>
      </c>
      <c r="J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x14ac:dyDescent="0.2">
      <c r="C113" t="s">
        <v>2091</v>
      </c>
      <c r="D113">
        <f xml:space="preserve"> D112 / 2</f>
        <v>0.11</v>
      </c>
      <c r="J113" s="71" t="str">
        <f xml:space="preserve"> "&lt;circle " &amp; $C113 &amp; " r='" &amp; $D113 &amp; "'/&gt;"</f>
        <v>&lt;circle fill='#FFF' r='0.11'/&gt;</v>
      </c>
      <c r="V113" s="71" t="str">
        <f xml:space="preserve"> "&lt;circle " &amp; $C113 &amp; " r='" &amp; $D113 &amp; "'/&gt;"</f>
        <v>&lt;circle fill='#FFF' r='0.11'/&gt;</v>
      </c>
      <c r="AD113" s="71" t="str">
        <f xml:space="preserve"> "&lt;circle " &amp; $C113 &amp; " r='" &amp; $D113 &amp; "'/&gt;"</f>
        <v>&lt;circle fill='#FFF' r='0.11'/&gt;</v>
      </c>
      <c r="AX113" s="71" t="str">
        <f xml:space="preserve"> "&lt;circle " &amp; $C113 &amp; " r='" &amp; $D113 &amp; "'/&gt;"</f>
        <v>&lt;circle fill='#FFF' r='0.11'/&gt;</v>
      </c>
    </row>
    <row r="114" spans="3:50" x14ac:dyDescent="0.2">
      <c r="J114" s="73"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font-size='1.6471' font-weight='800'&gt;USD&lt;/text&gt;</v>
      </c>
      <c r="V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font-size='1.6719' font-weight='800'&gt;CNY&lt;/text&gt;</v>
      </c>
      <c r="AD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font-size='1.6576' font-weight='800'&gt;PKR&lt;/text&gt;</v>
      </c>
      <c r="AX114" s="73"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font-size='1.08397' font-weight='800'&gt;DZD&lt;/text&gt;</v>
      </c>
    </row>
    <row r="115" spans="3:50" x14ac:dyDescent="0.2">
      <c r="J115" s="72" t="s">
        <v>15</v>
      </c>
      <c r="V115" s="72" t="s">
        <v>15</v>
      </c>
      <c r="AD115" s="72" t="s">
        <v>15</v>
      </c>
      <c r="AX115" s="72"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40" x14ac:dyDescent="0.2">
      <c r="B2" s="4" t="s">
        <v>91</v>
      </c>
      <c r="D2" t="s">
        <v>7</v>
      </c>
      <c r="F2" t="s">
        <v>132</v>
      </c>
      <c r="H2" t="s">
        <v>97</v>
      </c>
      <c r="J2" t="s">
        <v>394</v>
      </c>
      <c r="L2" t="s">
        <v>99</v>
      </c>
      <c r="N2" t="s">
        <v>98</v>
      </c>
      <c r="P2" t="s">
        <v>1639</v>
      </c>
      <c r="R2" t="s">
        <v>100</v>
      </c>
      <c r="T2" t="s">
        <v>101</v>
      </c>
      <c r="V2" t="s">
        <v>103</v>
      </c>
      <c r="X2" t="s">
        <v>2301</v>
      </c>
      <c r="Z2" t="s">
        <v>105</v>
      </c>
      <c r="AB2" t="s">
        <v>715</v>
      </c>
      <c r="AD2" t="s">
        <v>1672</v>
      </c>
      <c r="AF2" t="s">
        <v>2251</v>
      </c>
      <c r="AH2" t="s">
        <v>173</v>
      </c>
      <c r="AJ2" t="s">
        <v>106</v>
      </c>
      <c r="AL2" t="s">
        <v>2041</v>
      </c>
    </row>
    <row r="4" spans="2:40" x14ac:dyDescent="0.2">
      <c r="B4" s="4" t="s">
        <v>115</v>
      </c>
      <c r="D4" s="28">
        <v>1</v>
      </c>
      <c r="F4" s="28">
        <f xml:space="preserve"> $D4</f>
        <v>1</v>
      </c>
      <c r="H4" s="28">
        <f xml:space="preserve"> $D4</f>
        <v>1</v>
      </c>
      <c r="J4" s="28">
        <f xml:space="preserve"> $D4</f>
        <v>1</v>
      </c>
      <c r="L4" s="28">
        <f xml:space="preserve"> $D4</f>
        <v>1</v>
      </c>
      <c r="N4" s="28">
        <f xml:space="preserve"> $D4</f>
        <v>1</v>
      </c>
      <c r="P4" s="28">
        <f xml:space="preserve"> $D4</f>
        <v>1</v>
      </c>
      <c r="R4" s="28">
        <f xml:space="preserve"> $D4</f>
        <v>1</v>
      </c>
      <c r="T4" s="28">
        <f xml:space="preserve"> $D4</f>
        <v>1</v>
      </c>
      <c r="V4" s="28">
        <f xml:space="preserve"> $D4</f>
        <v>1</v>
      </c>
      <c r="X4" s="28">
        <f xml:space="preserve"> $V4</f>
        <v>1</v>
      </c>
      <c r="Z4" s="28">
        <f xml:space="preserve"> $D4</f>
        <v>1</v>
      </c>
      <c r="AB4" s="28">
        <f xml:space="preserve"> $D4</f>
        <v>1</v>
      </c>
      <c r="AD4" s="28">
        <f xml:space="preserve"> $D4</f>
        <v>1</v>
      </c>
      <c r="AF4" s="28">
        <f xml:space="preserve"> $D4</f>
        <v>1</v>
      </c>
      <c r="AH4" s="28">
        <f xml:space="preserve"> $D4</f>
        <v>1</v>
      </c>
      <c r="AJ4" s="28">
        <f xml:space="preserve"> $D4</f>
        <v>1</v>
      </c>
      <c r="AL4" s="28">
        <f xml:space="preserve"> $D4</f>
        <v>1</v>
      </c>
      <c r="AN4" s="28"/>
    </row>
    <row r="5" spans="2:40" x14ac:dyDescent="0.2">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x14ac:dyDescent="0.2">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t="shared" si="0"/>
        <v>10</v>
      </c>
      <c r="Z6">
        <f xml:space="preserve"> VALUE(TEXT(SQRT(_xlfn.SINGLE(Circles.AreaMultiplier) * BasicBBoxArea * _xlfn.SINGLE(Circles.Aspect)), SVG.NumberFormatHeight))</f>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row>
    <row r="7" spans="2:40" x14ac:dyDescent="0.2">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t="shared" si="0"/>
        <v>10</v>
      </c>
      <c r="Z7">
        <f xml:space="preserve"> _xlfn.SINGLE(Circles.Height) / _xlfn.SINGLE(Circles.Aspect)</f>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row>
    <row r="9" spans="2:40" x14ac:dyDescent="0.2">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x14ac:dyDescent="0.2">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x14ac:dyDescent="0.2">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x14ac:dyDescent="0.2">
      <c r="B12" s="4" t="s">
        <v>114</v>
      </c>
      <c r="J12">
        <f xml:space="preserve"> _xlfn.SINGLE(Circles.SVG_Radius_3) * 5 / 6</f>
        <v>5</v>
      </c>
      <c r="AD12">
        <v>1</v>
      </c>
      <c r="AH12">
        <f xml:space="preserve"> _xlfn.SINGLE(Circles.SVG_Radius_3) * SqrtHalf</f>
        <v>0.70710678118654757</v>
      </c>
    </row>
    <row r="14" spans="2:40" x14ac:dyDescent="0.2">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1673</v>
      </c>
      <c r="AF14" t="s">
        <v>2252</v>
      </c>
      <c r="AH14" t="s">
        <v>725</v>
      </c>
      <c r="AJ14" t="s">
        <v>726</v>
      </c>
      <c r="AL14" t="s">
        <v>2042</v>
      </c>
    </row>
    <row r="15" spans="2:40" x14ac:dyDescent="0.2">
      <c r="B15" s="4" t="s">
        <v>109</v>
      </c>
      <c r="D15" t="str">
        <f xml:space="preserve"> "fill='#FFF'"</f>
        <v>fill='#FFF'</v>
      </c>
      <c r="H15" t="s">
        <v>718</v>
      </c>
      <c r="L15" t="s">
        <v>722</v>
      </c>
      <c r="N15" t="s">
        <v>2091</v>
      </c>
      <c r="P15" t="s">
        <v>1640</v>
      </c>
      <c r="R15" t="s">
        <v>730</v>
      </c>
      <c r="T15" t="s">
        <v>2091</v>
      </c>
      <c r="V15" t="s">
        <v>732</v>
      </c>
      <c r="X15" s="31" t="s">
        <v>2304</v>
      </c>
      <c r="Z15" t="s">
        <v>2132</v>
      </c>
      <c r="AD15" t="s">
        <v>1675</v>
      </c>
      <c r="AF15" t="s">
        <v>2091</v>
      </c>
      <c r="AJ15" t="s">
        <v>2091</v>
      </c>
      <c r="AL15" t="s">
        <v>2091</v>
      </c>
    </row>
    <row r="16" spans="2:40" x14ac:dyDescent="0.2">
      <c r="B16" s="4" t="s">
        <v>110</v>
      </c>
      <c r="L16" t="s">
        <v>721</v>
      </c>
      <c r="N16" t="s">
        <v>727</v>
      </c>
      <c r="P16" t="s">
        <v>1641</v>
      </c>
      <c r="R16" t="s">
        <v>731</v>
      </c>
      <c r="T16" t="str">
        <f xml:space="preserve"> _xlfn.SINGLE(Circles.SVG_Painting_3)</f>
        <v>fill='#C8102E'</v>
      </c>
      <c r="Z16" t="s">
        <v>2091</v>
      </c>
      <c r="AF16" t="s">
        <v>2253</v>
      </c>
      <c r="AJ16" t="s">
        <v>737</v>
      </c>
      <c r="AL16" t="s">
        <v>2043</v>
      </c>
    </row>
    <row r="17" spans="2:40" x14ac:dyDescent="0.2">
      <c r="B17" s="4" t="s">
        <v>107</v>
      </c>
      <c r="F17" t="s">
        <v>2091</v>
      </c>
      <c r="J17" t="s">
        <v>720</v>
      </c>
      <c r="AB17" t="s">
        <v>736</v>
      </c>
      <c r="AD17" t="s">
        <v>1674</v>
      </c>
      <c r="AH17" t="s">
        <v>2091</v>
      </c>
    </row>
    <row r="20" spans="2:40" x14ac:dyDescent="0.2">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x14ac:dyDescent="0.2">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194</v>
      </c>
      <c r="T23" cm="1">
        <f t="array" ref="T23" xml:space="preserve"> SVG_length(T$25:T$31)</f>
        <v>198</v>
      </c>
      <c r="V23" cm="1">
        <f t="array" ref="V23" xml:space="preserve"> SVG_length(V$25:V$31)</f>
        <v>164</v>
      </c>
      <c r="X23" cm="1">
        <f t="array" ref="X23" xml:space="preserve"> SVG_length(X$25:X$31)</f>
        <v>161</v>
      </c>
      <c r="Z23" cm="1">
        <f t="array" ref="Z23" xml:space="preserve"> SVG_length(Z$25:Z$31)</f>
        <v>183</v>
      </c>
      <c r="AB23" cm="1">
        <f t="array" ref="AB23" xml:space="preserve"> SVG_length(AB$25:AB$31)</f>
        <v>217</v>
      </c>
      <c r="AD23" cm="1">
        <f t="array" ref="AD23" xml:space="preserve"> SVG_length(AD$25:AD$31)</f>
        <v>231</v>
      </c>
      <c r="AF23" cm="1">
        <f t="array" ref="AF23" xml:space="preserve"> SVG_length(AF$25:AF$31)</f>
        <v>196</v>
      </c>
      <c r="AH23" cm="1">
        <f t="array" ref="AH23" xml:space="preserve"> SVG_length(AH$25:AH$31)</f>
        <v>196</v>
      </c>
      <c r="AJ23" cm="1">
        <f t="array" ref="AJ23" xml:space="preserve"> SVG_length(AJ$25:AJ$31)</f>
        <v>183</v>
      </c>
      <c r="AL23" cm="1">
        <f t="array" ref="AL23" xml:space="preserve"> SVG_length(AL$25:AL$31)</f>
        <v>196</v>
      </c>
    </row>
    <row r="24" spans="2:40" ht="17" thickBot="1" x14ac:dyDescent="0.25">
      <c r="B24" s="7" t="s">
        <v>94</v>
      </c>
    </row>
    <row r="25" spans="2:40" x14ac:dyDescent="0.2">
      <c r="C25" s="19"/>
      <c r="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20" t="str">
        <f xml:space="preserve"> ""</f>
        <v/>
      </c>
      <c r="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20" t="str">
        <f xml:space="preserve"> ""</f>
        <v/>
      </c>
      <c r="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20" t="str">
        <f xml:space="preserve"> ""</f>
        <v/>
      </c>
      <c r="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20" t="str">
        <f xml:space="preserve"> ""</f>
        <v/>
      </c>
      <c r="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20" t="str">
        <f xml:space="preserve"> ""</f>
        <v/>
      </c>
      <c r="N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20" t="str">
        <f xml:space="preserve"> ""</f>
        <v/>
      </c>
      <c r="P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20" t="str">
        <f xml:space="preserve"> ""</f>
        <v/>
      </c>
      <c r="R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S25" s="20" t="str">
        <f xml:space="preserve"> ""</f>
        <v/>
      </c>
      <c r="T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U25" s="20" t="str">
        <f xml:space="preserve"> ""</f>
        <v/>
      </c>
      <c r="V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W25" s="20" t="str">
        <f xml:space="preserve"> ""</f>
        <v/>
      </c>
      <c r="X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20" t="str">
        <f xml:space="preserve"> ""</f>
        <v/>
      </c>
      <c r="Z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A25" s="20" t="str">
        <f xml:space="preserve"> ""</f>
        <v/>
      </c>
      <c r="AB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C25" s="20" t="str">
        <f xml:space="preserve"> ""</f>
        <v/>
      </c>
      <c r="A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20" t="str">
        <f xml:space="preserve"> ""</f>
        <v/>
      </c>
      <c r="A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G25" s="20" t="str">
        <f xml:space="preserve"> ""</f>
        <v/>
      </c>
      <c r="A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I25" s="20" t="str">
        <f xml:space="preserve"> ""</f>
        <v/>
      </c>
      <c r="A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K25" s="20" t="str">
        <f xml:space="preserve"> ""</f>
        <v/>
      </c>
      <c r="A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M25" s="20" t="str">
        <f t="shared" ref="AM25" si="7" xml:space="preserve"> ""</f>
        <v/>
      </c>
      <c r="AN25" s="21"/>
    </row>
    <row r="26" spans="2:40" x14ac:dyDescent="0.2">
      <c r="C26" s="22"/>
      <c r="D26" s="23" t="str">
        <f xml:space="preserve"> IF(_xlfn.SINGLE(Circles.SVG_Radius_3)&lt;&gt;0, "&lt;circle " &amp; _xlfn.SINGLE(Circles.SVG_Painting_3) &amp; " r='" &amp; ROUND(_xlfn.SINGLE(Circles.SVG_Radius_3), DecimalPlaces) &amp; "'/&gt;", "")</f>
        <v>&lt;circle fill='#EF3340' r='3'/&gt;</v>
      </c>
      <c r="E26" s="23" t="str">
        <f t="shared" ref="E26:AM31" si="8" xml:space="preserve"> ""</f>
        <v/>
      </c>
      <c r="F26" s="23" t="str">
        <f xml:space="preserve"> IF(_xlfn.SINGLE(Circles.SVG_Radius_3)&lt;&gt;0, "&lt;circle " &amp; _xlfn.SINGLE(Circles.SVG_Painting_3) &amp; " r='" &amp; ROUND(_xlfn.SINGLE(Circles.SVG_Radius_3), DecimalPlaces) &amp; "'/&gt;", "")</f>
        <v>&lt;circle fill='#DA291C' r='5'/&gt;</v>
      </c>
      <c r="G26" s="23" t="str">
        <f t="shared" si="8"/>
        <v/>
      </c>
      <c r="H26" s="23" t="str">
        <f xml:space="preserve"> IF(_xlfn.SINGLE(Circles.SVG_Radius_3)&lt;&gt;0, "&lt;circle " &amp; _xlfn.SINGLE(Circles.SVG_Painting_3) &amp; " r='" &amp; ROUND(_xlfn.SINGLE(Circles.SVG_Radius_3), DecimalPlaces) &amp; "'/&gt;", "")</f>
        <v>&lt;circle fill='#006A4E' r='3'/&gt;</v>
      </c>
      <c r="I26" s="23" t="str">
        <f t="shared" si="8"/>
        <v/>
      </c>
      <c r="J26" s="23" t="str">
        <f xml:space="preserve"> IF(_xlfn.SINGLE(Circles.SVG_Radius_3)&lt;&gt;0, "&lt;circle " &amp; _xlfn.SINGLE(Circles.SVG_Painting_3) &amp; " r='" &amp; ROUND(_xlfn.SINGLE(Circles.SVG_Radius_3), DecimalPlaces) &amp; "'/&gt;", "")</f>
        <v>&lt;circle fill='black' r='6'/&gt;</v>
      </c>
      <c r="K26" s="23" t="str">
        <f t="shared" si="8"/>
        <v/>
      </c>
      <c r="L26" s="23" t="str">
        <f xml:space="preserve"> IF(_xlfn.SINGLE(Circles.SVG_Radius_3)&lt;&gt;0, "&lt;circle " &amp; _xlfn.SINGLE(Circles.SVG_Painting_3) &amp; " r='" &amp; ROUND(_xlfn.SINGLE(Circles.SVG_Radius_3), DecimalPlaces) &amp; "'/&gt;", "")</f>
        <v>&lt;circle fill='#009639' r='27'/&gt;</v>
      </c>
      <c r="M26" s="23" t="str">
        <f t="shared" si="8"/>
        <v/>
      </c>
      <c r="N26" s="23" t="str">
        <f xml:space="preserve"> IF(_xlfn.SINGLE(Circles.SVG_Radius_3)&lt;&gt;0, "&lt;circle " &amp; _xlfn.SINGLE(Circles.SVG_Painting_3) &amp; " r='" &amp; ROUND(_xlfn.SINGLE(Circles.SVG_Radius_3), DecimalPlaces) &amp; "'/&gt;", "")</f>
        <v>&lt;circle fill='#009A44' r='27'/&gt;</v>
      </c>
      <c r="O26" s="23" t="str">
        <f t="shared" si="8"/>
        <v/>
      </c>
      <c r="P26" s="23" t="str">
        <f xml:space="preserve"> IF(_xlfn.SINGLE(Circles.SVG_Radius_3)&lt;&gt;0, "&lt;circle " &amp; _xlfn.SINGLE(Circles.SVG_Painting_3) &amp; " r='" &amp; ROUND(_xlfn.SINGLE(Circles.SVG_Radius_3), DecimalPlaces) &amp; "'/&gt;", "")</f>
        <v>&lt;circle fill='black' r='27'/&gt;</v>
      </c>
      <c r="Q26" s="23" t="str">
        <f t="shared" si="8"/>
        <v/>
      </c>
      <c r="R26" s="23" t="str">
        <f xml:space="preserve"> IF(_xlfn.SINGLE(Circles.SVG_Radius_3)&lt;&gt;0, "&lt;circle " &amp; _xlfn.SINGLE(Circles.SVG_Painting_3) &amp; " r='" &amp; ROUND(_xlfn.SINGLE(Circles.SVG_Radius_3), DecimalPlaces) &amp; "'/&gt;", "")</f>
        <v>&lt;circle fill='#C8102E' r='4'/&gt;</v>
      </c>
      <c r="S26" s="23" t="str">
        <f t="shared" si="8"/>
        <v/>
      </c>
      <c r="T26" s="23" t="str">
        <f xml:space="preserve"> IF(_xlfn.SINGLE(Circles.SVG_Radius_3)&lt;&gt;0, "&lt;circle " &amp; _xlfn.SINGLE(Circles.SVG_Painting_3) &amp; " r='" &amp; ROUND(_xlfn.SINGLE(Circles.SVG_Radius_3), DecimalPlaces) &amp; "'/&gt;", "")</f>
        <v>&lt;circle fill='#C8102E' r='27'/&gt;</v>
      </c>
      <c r="U26" s="23" t="str">
        <f t="shared" si="8"/>
        <v/>
      </c>
      <c r="V26" s="23" t="str">
        <f xml:space="preserve"> IF(_xlfn.SINGLE(Circles.SVG_Radius_3)&lt;&gt;0, "&lt;circle " &amp; _xlfn.SINGLE(Circles.SVG_Painting_3) &amp; " r='" &amp; ROUND(_xlfn.SINGLE(Circles.SVG_Radius_3), DecimalPlaces) &amp; "'/&gt;", "")</f>
        <v>&lt;circle fill='#DA291C' r='3'/&gt;</v>
      </c>
      <c r="W26" s="23" t="str">
        <f t="shared" si="8"/>
        <v/>
      </c>
      <c r="X26" s="23" t="str">
        <f xml:space="preserve"> IF(_xlfn.SINGLE(Circles.SVG_Radius_3)&lt;&gt;0, "&lt;circle " &amp; _xlfn.SINGLE(Circles.SVG_Painting_3) &amp; " r='" &amp; ROUND(_xlfn.SINGLE(Circles.SVG_Radius_3), DecimalPlaces) &amp; "'/&gt;", "")</f>
        <v>&lt;circle fill='#DA291C' r='3'/&gt;</v>
      </c>
      <c r="Y26" s="23" t="str">
        <f t="shared" si="8"/>
        <v/>
      </c>
      <c r="Z26" s="23" t="str">
        <f xml:space="preserve"> IF(_xlfn.SINGLE(Circles.SVG_Radius_3)&lt;&gt;0, "&lt;circle " &amp; _xlfn.SINGLE(Circles.SVG_Painting_3) &amp; " r='" &amp; ROUND(_xlfn.SINGLE(Circles.SVG_Radius_3), DecimalPlaces) &amp; "'/&gt;", "")</f>
        <v>&lt;circle fill='#0072CE' r='27'/&gt;</v>
      </c>
      <c r="AA26" s="23" t="str">
        <f t="shared" si="8"/>
        <v/>
      </c>
      <c r="AB26" s="23" t="str">
        <f xml:space="preserve"> IF(_xlfn.SINGLE(Circles.SVG_Radius_3)&lt;&gt;0, "&lt;circle " &amp; _xlfn.SINGLE(Circles.SVG_Painting_3) &amp; " r='" &amp; ROUND(_xlfn.SINGLE(Circles.SVG_Radius_3), DecimalPlaces) &amp; "'/&gt;", "")</f>
        <v>&lt;circle fill='#215F8F' r='5'/&gt;</v>
      </c>
      <c r="AC26" s="23" t="str">
        <f t="shared" si="8"/>
        <v/>
      </c>
      <c r="AD26" s="23" t="str">
        <f xml:space="preserve"> IF(_xlfn.SINGLE(Circles.SVG_Radius_3)&lt;&gt;0, "&lt;circle " &amp; _xlfn.SINGLE(Circles.SVG_Painting_3) &amp; " r='" &amp; ROUND(_xlfn.SINGLE(Circles.SVG_Radius_3), DecimalPlaces) &amp; "'/&gt;", "")</f>
        <v>&lt;circle fill='#0046AE' r='5'/&gt;</v>
      </c>
      <c r="AE26" s="23" t="str">
        <f t="shared" si="8"/>
        <v/>
      </c>
      <c r="AF26" s="23" t="str">
        <f xml:space="preserve"> IF(_xlfn.SINGLE(Circles.SVG_Radius_3)&lt;&gt;0, "&lt;circle " &amp; _xlfn.SINGLE(Circles.SVG_Painting_3) &amp; " r='" &amp; ROUND(_xlfn.SINGLE(Circles.SVG_Radius_3), DecimalPlaces) &amp; "'/&gt;", "")</f>
        <v>&lt;circle fill='#273375' r='10'/&gt;</v>
      </c>
      <c r="AG26" s="23" t="str">
        <f t="shared" si="8"/>
        <v/>
      </c>
      <c r="AH26" s="23" t="str">
        <f xml:space="preserve"> IF(_xlfn.SINGLE(Circles.SVG_Radius_3)&lt;&gt;0, "&lt;circle " &amp; _xlfn.SINGLE(Circles.SVG_Painting_3) &amp; " r='" &amp; ROUND(_xlfn.SINGLE(Circles.SVG_Radius_3), DecimalPlaces) &amp; "'/&gt;", "")</f>
        <v>&lt;circle fill='#1C3060' r='1'/&gt;</v>
      </c>
      <c r="AI26" s="23" t="str">
        <f t="shared" si="8"/>
        <v/>
      </c>
      <c r="AJ26" s="23" t="str">
        <f xml:space="preserve"> IF(_xlfn.SINGLE(Circles.SVG_Radius_3)&lt;&gt;0, "&lt;circle " &amp; _xlfn.SINGLE(Circles.SVG_Painting_3) &amp; " r='" &amp; ROUND(_xlfn.SINGLE(Circles.SVG_Radius_3), DecimalPlaces) &amp; "'/&gt;", "")</f>
        <v>&lt;circle fill='black' r='27'/&gt;</v>
      </c>
      <c r="AK26" s="23" t="str">
        <f t="shared" si="8"/>
        <v/>
      </c>
      <c r="AL26" s="23" t="str">
        <f xml:space="preserve"> IF(_xlfn.SINGLE(Circles.SVG_Radius_3)&lt;&gt;0, "&lt;circle " &amp; _xlfn.SINGLE(Circles.SVG_Painting_3) &amp; " r='" &amp; ROUND(_xlfn.SINGLE(Circles.SVG_Radius_3), DecimalPlaces) &amp; "'/&gt;", "")</f>
        <v>&lt;circle fill='#EFBE20' r='10'/&gt;</v>
      </c>
      <c r="AM26" s="23" t="str">
        <f t="shared" si="8"/>
        <v/>
      </c>
      <c r="AN26" s="24"/>
    </row>
    <row r="27" spans="2:40" x14ac:dyDescent="0.2">
      <c r="C27" s="22"/>
      <c r="D27" s="23" t="str">
        <f xml:space="preserve"> IF(_xlfn.SINGLE(Circles.SVG_Radius_2)&lt;&gt;0, "&lt;circle " &amp; _xlfn.SINGLE(Circles.SVG_Painting_2) &amp; " r='" &amp; ROUND(_xlfn.SINGLE(Circles.SVG_Radius_2), DecimalPlaces) &amp; "'/&gt;", "")</f>
        <v>&lt;circle fill='#FFF' r='2'/&gt;</v>
      </c>
      <c r="E27" s="23" t="str">
        <f t="shared" si="8"/>
        <v/>
      </c>
      <c r="F27" s="23" t="str">
        <f xml:space="preserve"> IF(_xlfn.SINGLE(Circles.SVG_Radius_2)&lt;&gt;0, "&lt;circle " &amp; _xlfn.SINGLE(Circles.SVG_Painting_2) &amp; " r='" &amp; ROUND(_xlfn.SINGLE(Circles.SVG_Radius_2), DecimalPlaces) &amp; "'/&gt;", "")</f>
        <v/>
      </c>
      <c r="G27" s="23" t="str">
        <f t="shared" si="8"/>
        <v/>
      </c>
      <c r="H27" s="23" t="str">
        <f xml:space="preserve"> IF(_xlfn.SINGLE(Circles.SVG_Radius_2)&lt;&gt;0, "&lt;circle " &amp; _xlfn.SINGLE(Circles.SVG_Painting_2) &amp; " r='" &amp; ROUND(_xlfn.SINGLE(Circles.SVG_Radius_2), DecimalPlaces) &amp; "'/&gt;", "")</f>
        <v>&lt;circle fill='#F42A41' r='2'/&gt;</v>
      </c>
      <c r="I27" s="23" t="str">
        <f t="shared" si="8"/>
        <v/>
      </c>
      <c r="J27" s="23" t="str">
        <f xml:space="preserve"> IF(_xlfn.SINGLE(Circles.SVG_Radius_2)&lt;&gt;0, "&lt;circle " &amp; _xlfn.SINGLE(Circles.SVG_Painting_2) &amp; " r='" &amp; ROUND(_xlfn.SINGLE(Circles.SVG_Radius_2), DecimalPlaces) &amp; "'/&gt;", "")</f>
        <v/>
      </c>
      <c r="K27" s="23" t="str">
        <f t="shared" si="8"/>
        <v/>
      </c>
      <c r="L27" s="23" t="str">
        <f xml:space="preserve"> IF(_xlfn.SINGLE(Circles.SVG_Radius_2)&lt;&gt;0, "&lt;circle " &amp; _xlfn.SINGLE(Circles.SVG_Painting_2) &amp; " r='" &amp; ROUND(_xlfn.SINGLE(Circles.SVG_Radius_2), DecimalPlaces) &amp; "'/&gt;", "")</f>
        <v>&lt;circle fill='#FFD100' r='19'/&gt;</v>
      </c>
      <c r="M27" s="23" t="str">
        <f t="shared" si="8"/>
        <v/>
      </c>
      <c r="N27" s="23" t="str">
        <f xml:space="preserve"> IF(_xlfn.SINGLE(Circles.SVG_Radius_2)&lt;&gt;0, "&lt;circle " &amp; _xlfn.SINGLE(Circles.SVG_Painting_2) &amp; " r='" &amp; ROUND(_xlfn.SINGLE(Circles.SVG_Radius_2), DecimalPlaces) &amp; "'/&gt;", "")</f>
        <v>&lt;circle fill='#FFF' r='19'/&gt;</v>
      </c>
      <c r="O27" s="23" t="str">
        <f t="shared" si="8"/>
        <v/>
      </c>
      <c r="P27" s="23" t="str">
        <f xml:space="preserve"> IF(_xlfn.SINGLE(Circles.SVG_Radius_2)&lt;&gt;0, "&lt;circle " &amp; _xlfn.SINGLE(Circles.SVG_Painting_2) &amp; " r='" &amp; ROUND(_xlfn.SINGLE(Circles.SVG_Radius_2), DecimalPlaces) &amp; "'/&gt;", "")</f>
        <v>&lt;circle fill='#FCDC04' r='19'/&gt;</v>
      </c>
      <c r="Q27" s="23" t="str">
        <f t="shared" si="8"/>
        <v/>
      </c>
      <c r="R27" s="23" t="str">
        <f xml:space="preserve"> IF(_xlfn.SINGLE(Circles.SVG_Radius_2)&lt;&gt;0, "&lt;circle " &amp; _xlfn.SINGLE(Circles.SVG_Painting_2) &amp; " r='" &amp; ROUND(_xlfn.SINGLE(Circles.SVG_Radius_2), DecimalPlaces) &amp; "'/&gt;", "")</f>
        <v>&lt;circle fill='#003087' r='3'/&gt;</v>
      </c>
      <c r="S27" s="23" t="str">
        <f t="shared" si="8"/>
        <v/>
      </c>
      <c r="T27" s="23" t="str">
        <f xml:space="preserve"> IF(_xlfn.SINGLE(Circles.SVG_Radius_2)&lt;&gt;0, "&lt;circle " &amp; _xlfn.SINGLE(Circles.SVG_Painting_2) &amp; " r='" &amp; ROUND(_xlfn.SINGLE(Circles.SVG_Radius_2), DecimalPlaces) &amp; "'/&gt;", "")</f>
        <v>&lt;circle fill='#FFF' r='19'/&gt;</v>
      </c>
      <c r="U27" s="23" t="str">
        <f t="shared" si="8"/>
        <v/>
      </c>
      <c r="V27" s="23" t="str">
        <f xml:space="preserve"> IF(_xlfn.SINGLE(Circles.SVG_Radius_2)&lt;&gt;0, "&lt;circle " &amp; _xlfn.SINGLE(Circles.SVG_Painting_2) &amp; " r='" &amp; ROUND(_xlfn.SINGLE(Circles.SVG_Radius_2), DecimalPlaces) &amp; "'/&gt;", "")</f>
        <v>&lt;circle fill='#046A38' r='2'/&gt;</v>
      </c>
      <c r="W27" s="23" t="str">
        <f t="shared" si="8"/>
        <v/>
      </c>
      <c r="X27" s="23" t="str">
        <f xml:space="preserve"> IF(_xlfn.SINGLE(Circles.SVG_Radius_2)&lt;&gt;0, "&lt;circle " &amp; _xlfn.SINGLE(Circles.SVG_Painting_2) &amp; " r='" &amp; ROUND(_xlfn.SINGLE(Circles.SVG_Radius_2), DecimalPlaces) &amp; "'/&gt;", "")</f>
        <v>&lt;circle fill='#0F0' r='2'/&gt;</v>
      </c>
      <c r="Y27" s="23" t="str">
        <f t="shared" si="8"/>
        <v/>
      </c>
      <c r="Z27" s="23" t="str">
        <f xml:space="preserve"> IF(_xlfn.SINGLE(Circles.SVG_Radius_2)&lt;&gt;0, "&lt;circle " &amp; _xlfn.SINGLE(Circles.SVG_Painting_2) &amp; " r='" &amp; ROUND(_xlfn.SINGLE(Circles.SVG_Radius_2), DecimalPlaces) &amp; "'/&gt;", "")</f>
        <v>&lt;circle fill='#000' r='19'/&gt;</v>
      </c>
      <c r="AA27" s="23" t="str">
        <f t="shared" si="8"/>
        <v/>
      </c>
      <c r="AB27" s="23" t="str">
        <f xml:space="preserve"> IF(_xlfn.SINGLE(Circles.SVG_Radius_2)&lt;&gt;0, "&lt;circle " &amp; _xlfn.SINGLE(Circles.SVG_Painting_2) &amp; " r='" &amp; ROUND(_xlfn.SINGLE(Circles.SVG_Radius_2), DecimalPlaces) &amp; "'/&gt;", "")</f>
        <v/>
      </c>
      <c r="AC27" s="23" t="str">
        <f t="shared" si="8"/>
        <v/>
      </c>
      <c r="AD27" s="23" t="str">
        <f xml:space="preserve"> IF(_xlfn.SINGLE(Circles.SVG_Radius_2)&lt;&gt;0, "&lt;circle " &amp; _xlfn.SINGLE(Circles.SVG_Painting_2) &amp; " r='" &amp; ROUND(_xlfn.SINGLE(Circles.SVG_Radius_2), DecimalPlaces) &amp; "'/&gt;", "")</f>
        <v>&lt;circle fill='#FFD200' r='4'/&gt;</v>
      </c>
      <c r="AE27" s="23" t="str">
        <f t="shared" si="8"/>
        <v/>
      </c>
      <c r="AF27" s="23" t="str">
        <f xml:space="preserve"> IF(_xlfn.SINGLE(Circles.SVG_Radius_2)&lt;&gt;0, "&lt;circle " &amp; _xlfn.SINGLE(Circles.SVG_Painting_2) &amp; " r='" &amp; ROUND(_xlfn.SINGLE(Circles.SVG_Radius_2), DecimalPlaces) &amp; "'/&gt;", "")</f>
        <v>&lt;circle fill='#FFF' r='7'/&gt;</v>
      </c>
      <c r="AG27" s="23" t="str">
        <f t="shared" si="8"/>
        <v/>
      </c>
      <c r="AH27" s="23" t="str">
        <f xml:space="preserve"> IF(_xlfn.SINGLE(Circles.SVG_Radius_2)&lt;&gt;0, "&lt;circle " &amp; _xlfn.SINGLE(Circles.SVG_Painting_2) &amp; " r='" &amp; ROUND(_xlfn.SINGLE(Circles.SVG_Radius_2), DecimalPlaces) &amp; "'/&gt;", "")</f>
        <v/>
      </c>
      <c r="AI27" s="23" t="str">
        <f t="shared" si="8"/>
        <v/>
      </c>
      <c r="AJ27" s="23" t="str">
        <f xml:space="preserve"> IF(_xlfn.SINGLE(Circles.SVG_Radius_2)&lt;&gt;0, "&lt;circle " &amp; _xlfn.SINGLE(Circles.SVG_Painting_2) &amp; " r='" &amp; ROUND(_xlfn.SINGLE(Circles.SVG_Radius_2), DecimalPlaces) &amp; "'/&gt;", "")</f>
        <v>&lt;circle fill='#FFF' r='19'/&gt;</v>
      </c>
      <c r="AK27" s="23" t="str">
        <f t="shared" si="8"/>
        <v/>
      </c>
      <c r="AL27" s="23" t="str">
        <f xml:space="preserve"> IF(_xlfn.SINGLE(Circles.SVG_Radius_2)&lt;&gt;0, "&lt;circle " &amp; _xlfn.SINGLE(Circles.SVG_Painting_2) &amp; " r='" &amp; ROUND(_xlfn.SINGLE(Circles.SVG_Radius_2), DecimalPlaces) &amp; "'/&gt;", "")</f>
        <v>&lt;circle fill='#FFF' r='7'/&gt;</v>
      </c>
      <c r="AM27" s="23" t="str">
        <f t="shared" si="8"/>
        <v/>
      </c>
      <c r="AN27" s="24"/>
    </row>
    <row r="28" spans="2:40" x14ac:dyDescent="0.2">
      <c r="C28" s="22"/>
      <c r="D28" s="23" t="str">
        <f xml:space="preserve"> IF(_xlfn.SINGLE(Circles.SVG_Radius_1)&lt;&gt;0, "&lt;circle " &amp; _xlfn.SINGLE(Circles.SVG_Painting_1) &amp; " r='" &amp; ROUND(_xlfn.SINGLE(Circles.SVG_Radius_1), DecimalPlaces) &amp; "'/&gt;", "")</f>
        <v/>
      </c>
      <c r="E28" s="23" t="str">
        <f t="shared" si="8"/>
        <v/>
      </c>
      <c r="F28" s="23" t="str">
        <f xml:space="preserve"> IF(_xlfn.SINGLE(Circles.SVG_Radius_1)&lt;&gt;0, "&lt;circle " &amp; _xlfn.SINGLE(Circles.SVG_Painting_1) &amp; " r='" &amp; ROUND(_xlfn.SINGLE(Circles.SVG_Radius_1), DecimalPlaces) &amp; "'/&gt;", "")</f>
        <v/>
      </c>
      <c r="G28" s="23" t="str">
        <f t="shared" si="8"/>
        <v/>
      </c>
      <c r="H28" s="23" t="str">
        <f xml:space="preserve"> IF(_xlfn.SINGLE(Circles.SVG_Radius_1)&lt;&gt;0, "&lt;circle " &amp; _xlfn.SINGLE(Circles.SVG_Painting_1) &amp; " r='" &amp; ROUND(_xlfn.SINGLE(Circles.SVG_Radius_1), DecimalPlaces) &amp; "'/&gt;", "")</f>
        <v/>
      </c>
      <c r="I28" s="23" t="str">
        <f t="shared" si="8"/>
        <v/>
      </c>
      <c r="J28" s="23" t="str">
        <f xml:space="preserve"> IF(_xlfn.SINGLE(Circles.SVG_Radius_1)&lt;&gt;0, "&lt;circle " &amp; _xlfn.SINGLE(Circles.SVG_Painting_1) &amp; " r='" &amp; ROUND(_xlfn.SINGLE(Circles.SVG_Radius_1), DecimalPlaces) &amp; "'/&gt;", "")</f>
        <v/>
      </c>
      <c r="K28" s="23" t="str">
        <f t="shared" si="8"/>
        <v/>
      </c>
      <c r="L28" s="23" t="str">
        <f xml:space="preserve"> IF(_xlfn.SINGLE(Circles.SVG_Radius_1)&lt;&gt;0, "&lt;circle " &amp; _xlfn.SINGLE(Circles.SVG_Painting_1) &amp; " r='" &amp; ROUND(_xlfn.SINGLE(Circles.SVG_Radius_1), DecimalPlaces) &amp; "'/&gt;", "")</f>
        <v>&lt;circle fill='#003DA5' r='10'/&gt;</v>
      </c>
      <c r="M28" s="23" t="str">
        <f t="shared" si="8"/>
        <v/>
      </c>
      <c r="N28" s="23" t="str">
        <f xml:space="preserve"> IF(_xlfn.SINGLE(Circles.SVG_Radius_1)&lt;&gt;0, "&lt;circle " &amp; _xlfn.SINGLE(Circles.SVG_Painting_1) &amp; " r='" &amp; ROUND(_xlfn.SINGLE(Circles.SVG_Radius_1), DecimalPlaces) &amp; "'/&gt;", "")</f>
        <v>&lt;circle fill='#EA7600' r='10'/&gt;</v>
      </c>
      <c r="O28" s="23" t="str">
        <f t="shared" si="8"/>
        <v/>
      </c>
      <c r="P28" s="23" t="str">
        <f xml:space="preserve"> IF(_xlfn.SINGLE(Circles.SVG_Radius_1)&lt;&gt;0, "&lt;circle " &amp; _xlfn.SINGLE(Circles.SVG_Painting_1) &amp; " r='" &amp; ROUND(_xlfn.SINGLE(Circles.SVG_Radius_1), DecimalPlaces) &amp; "'/&gt;", "")</f>
        <v>&lt;circle fill='#D90000' r='10'/&gt;</v>
      </c>
      <c r="Q28" s="23" t="str">
        <f t="shared" si="8"/>
        <v/>
      </c>
      <c r="R28" s="23" t="str">
        <f xml:space="preserve"> IF(_xlfn.SINGLE(Circles.SVG_Radius_1)&lt;&gt;0, "&lt;circle " &amp; _xlfn.SINGLE(Circles.SVG_Painting_1) &amp; " r='" &amp; ROUND(_xlfn.SINGLE(Circles.SVG_Radius_1), DecimalPlaces) &amp; "'/&gt;", "")</f>
        <v>&lt;circle fill='#FFCD00' r='2'/&gt;</v>
      </c>
      <c r="S28" s="23" t="str">
        <f t="shared" si="8"/>
        <v/>
      </c>
      <c r="T28" s="23" t="str">
        <f xml:space="preserve"> IF(_xlfn.SINGLE(Circles.SVG_Radius_1)&lt;&gt;0, "&lt;circle " &amp; _xlfn.SINGLE(Circles.SVG_Painting_1) &amp; " r='" &amp; ROUND(_xlfn.SINGLE(Circles.SVG_Radius_1), DecimalPlaces) &amp; "'/&gt;", "")</f>
        <v>&lt;circle fill='#C8102E' r='10'/&gt;</v>
      </c>
      <c r="U28" s="23" t="str">
        <f t="shared" si="8"/>
        <v/>
      </c>
      <c r="V28" s="23" t="str">
        <f xml:space="preserve"> IF(_xlfn.SINGLE(Circles.SVG_Radius_1)&lt;&gt;0, "&lt;circle " &amp; _xlfn.SINGLE(Circles.SVG_Painting_1) &amp; " r='" &amp; ROUND(_xlfn.SINGLE(Circles.SVG_Radius_1), DecimalPlaces) &amp; "'/&gt;", "")</f>
        <v/>
      </c>
      <c r="W28" s="23" t="str">
        <f t="shared" si="8"/>
        <v/>
      </c>
      <c r="X28" s="23" t="str">
        <f xml:space="preserve"> IF(_xlfn.SINGLE(Circles.SVG_Radius_1)&lt;&gt;0, "&lt;circle " &amp; _xlfn.SINGLE(Circles.SVG_Painting_1) &amp; " r='" &amp; ROUND(_xlfn.SINGLE(Circles.SVG_Radius_1), DecimalPlaces) &amp; "'/&gt;", "")</f>
        <v/>
      </c>
      <c r="Y28" s="23" t="str">
        <f t="shared" si="8"/>
        <v/>
      </c>
      <c r="Z28" s="23" t="str">
        <f xml:space="preserve"> IF(_xlfn.SINGLE(Circles.SVG_Radius_1)&lt;&gt;0, "&lt;circle " &amp; _xlfn.SINGLE(Circles.SVG_Painting_1) &amp; " r='" &amp; ROUND(_xlfn.SINGLE(Circles.SVG_Radius_1), DecimalPlaces) &amp; "'/&gt;", "")</f>
        <v>&lt;circle fill='#FFF' r='10'/&gt;</v>
      </c>
      <c r="AA28" s="23" t="str">
        <f t="shared" si="8"/>
        <v/>
      </c>
      <c r="AB28" s="23" t="str">
        <f xml:space="preserve"> IF(_xlfn.SINGLE(Circles.SVG_Radius_1)&lt;&gt;0, "&lt;circle " &amp; _xlfn.SINGLE(Circles.SVG_Painting_1) &amp; " r='" &amp; ROUND(_xlfn.SINGLE(Circles.SVG_Radius_1), DecimalPlaces) &amp; "'/&gt;", "")</f>
        <v/>
      </c>
      <c r="AC28" s="23" t="str">
        <f t="shared" si="8"/>
        <v/>
      </c>
      <c r="AD28" s="23" t="str">
        <f xml:space="preserve"> IF(_xlfn.SINGLE(Circles.SVG_Radius_1)&lt;&gt;0, "&lt;circle " &amp; _xlfn.SINGLE(Circles.SVG_Painting_1) &amp; " r='" &amp; ROUND(_xlfn.SINGLE(Circles.SVG_Radius_1), DecimalPlaces) &amp; "'/&gt;", "")</f>
        <v/>
      </c>
      <c r="AE28" s="23" t="str">
        <f t="shared" si="8"/>
        <v/>
      </c>
      <c r="AF28" s="23" t="str">
        <f xml:space="preserve"> IF(_xlfn.SINGLE(Circles.SVG_Radius_1)&lt;&gt;0, "&lt;circle " &amp; _xlfn.SINGLE(Circles.SVG_Painting_1) &amp; " r='" &amp; ROUND(_xlfn.SINGLE(Circles.SVG_Radius_1), DecimalPlaces) &amp; "'/&gt;", "")</f>
        <v>&lt;circle fill='#E20613' r='5'/&gt;</v>
      </c>
      <c r="AG28" s="23" t="str">
        <f t="shared" si="8"/>
        <v/>
      </c>
      <c r="AH28" s="23" t="str">
        <f xml:space="preserve"> IF(_xlfn.SINGLE(Circles.SVG_Radius_1)&lt;&gt;0, "&lt;circle " &amp; _xlfn.SINGLE(Circles.SVG_Painting_1) &amp; " r='" &amp; ROUND(_xlfn.SINGLE(Circles.SVG_Radius_1), DecimalPlaces) &amp; "'/&gt;", "")</f>
        <v/>
      </c>
      <c r="AI28" s="23" t="str">
        <f t="shared" si="8"/>
        <v/>
      </c>
      <c r="AJ28" s="23" t="str">
        <f xml:space="preserve"> IF(_xlfn.SINGLE(Circles.SVG_Radius_1)&lt;&gt;0, "&lt;circle " &amp; _xlfn.SINGLE(Circles.SVG_Painting_1) &amp; " r='" &amp; ROUND(_xlfn.SINGLE(Circles.SVG_Radius_1), DecimalPlaces) &amp; "'/&gt;", "")</f>
        <v>&lt;circle fill='#039355' r='10'/&gt;</v>
      </c>
      <c r="AK28" s="23" t="str">
        <f t="shared" si="8"/>
        <v/>
      </c>
      <c r="AL28" s="23" t="str">
        <f xml:space="preserve"> IF(_xlfn.SINGLE(Circles.SVG_Radius_1)&lt;&gt;0, "&lt;circle " &amp; _xlfn.SINGLE(Circles.SVG_Painting_1) &amp; " r='" &amp; ROUND(_xlfn.SINGLE(Circles.SVG_Radius_1), DecimalPlaces) &amp; "'/&gt;", "")</f>
        <v>&lt;circle fill='#0B5CAE' r='5'/&gt;</v>
      </c>
      <c r="AM28" s="23" t="str">
        <f t="shared" si="8"/>
        <v/>
      </c>
      <c r="AN28" s="24"/>
    </row>
    <row r="29" spans="2:40" x14ac:dyDescent="0.2">
      <c r="C29" s="22"/>
      <c r="D29" s="23" t="str">
        <f xml:space="preserve"> IF(_xlfn.SINGLE(Circles.SVG_Radius_0)&lt;&gt;0, "&lt;circle " &amp; _xlfn.SINGLE(Circles.SVG_Painting_0) &amp; " r='" &amp; ROUND(_xlfn.SINGLE(Circles.SVG_Radius_0), DecimalPlaces) &amp; "'/&gt;", "")</f>
        <v/>
      </c>
      <c r="E29" s="23" t="str">
        <f t="shared" si="8"/>
        <v/>
      </c>
      <c r="F29" s="23" t="str">
        <f xml:space="preserve"> IF(_xlfn.SINGLE(Circles.SVG_Radius_0)&lt;&gt;0, "&lt;circle " &amp; _xlfn.SINGLE(Circles.SVG_Painting_0) &amp; " r='" &amp; ROUND(_xlfn.SINGLE(Circles.SVG_Radius_0), DecimalPlaces) &amp; "'/&gt;", "")</f>
        <v/>
      </c>
      <c r="G29" s="23" t="str">
        <f t="shared" si="8"/>
        <v/>
      </c>
      <c r="H29" s="23" t="str">
        <f xml:space="preserve"> IF(_xlfn.SINGLE(Circles.SVG_Radius_0)&lt;&gt;0, "&lt;circle " &amp; _xlfn.SINGLE(Circles.SVG_Painting_0) &amp; " r='" &amp; ROUND(_xlfn.SINGLE(Circles.SVG_Radius_0), DecimalPlaces) &amp; "'/&gt;", "")</f>
        <v/>
      </c>
      <c r="I29" s="23" t="str">
        <f t="shared" si="8"/>
        <v/>
      </c>
      <c r="J29" s="34"/>
      <c r="K29" s="23" t="str">
        <f t="shared" si="8"/>
        <v/>
      </c>
      <c r="L29" s="23" t="str">
        <f xml:space="preserve"> IF(_xlfn.SINGLE(Circles.SVG_Radius_0)&lt;&gt;0, "&lt;circle " &amp; _xlfn.SINGLE(Circles.SVG_Painting_0) &amp; " r='" &amp; ROUND(_xlfn.SINGLE(Circles.SVG_Radius_0), DecimalPlaces) &amp; "'/&gt;", "")</f>
        <v/>
      </c>
      <c r="M29" s="23" t="str">
        <f t="shared" si="8"/>
        <v/>
      </c>
      <c r="N29" s="23" t="str">
        <f xml:space="preserve"> IF(_xlfn.SINGLE(Circles.SVG_Radius_0)&lt;&gt;0, "&lt;circle " &amp; _xlfn.SINGLE(Circles.SVG_Painting_0) &amp; " r='" &amp; ROUND(_xlfn.SINGLE(Circles.SVG_Radius_0), DecimalPlaces) &amp; "'/&gt;", "")</f>
        <v/>
      </c>
      <c r="O29" s="23" t="str">
        <f t="shared" si="8"/>
        <v/>
      </c>
      <c r="P29" s="23" t="str">
        <f xml:space="preserve"> IF(_xlfn.SINGLE(Circles.SVG_Radius_0)&lt;&gt;0, "&lt;circle " &amp; _xlfn.SINGLE(Circles.SVG_Painting_0) &amp; " r='" &amp; ROUND(_xlfn.SINGLE(Circles.SVG_Radius_0), DecimalPlaces) &amp; "'/&gt;", "")</f>
        <v/>
      </c>
      <c r="Q29" s="23" t="str">
        <f t="shared" si="8"/>
        <v/>
      </c>
      <c r="R29" s="23" t="str">
        <f xml:space="preserve"> IF(_xlfn.SINGLE(Circles.SVG_Radius_0)&lt;&gt;0, "&lt;circle " &amp; _xlfn.SINGLE(Circles.SVG_Painting_0) &amp; " r='" &amp; ROUND(_xlfn.SINGLE(Circles.SVG_Radius_0), DecimalPlaces) &amp; "'/&gt;", "")</f>
        <v/>
      </c>
      <c r="S29" s="23" t="str">
        <f t="shared" si="8"/>
        <v/>
      </c>
      <c r="T29" s="23" t="str">
        <f xml:space="preserve"> IF(_xlfn.SINGLE(Circles.SVG_Radius_0)&lt;&gt;0, "&lt;circle " &amp; _xlfn.SINGLE(Circles.SVG_Painting_0) &amp; " r='" &amp; ROUND(_xlfn.SINGLE(Circles.SVG_Radius_0), DecimalPlaces) &amp; "'/&gt;", "")</f>
        <v/>
      </c>
      <c r="U29" s="23" t="str">
        <f t="shared" si="8"/>
        <v/>
      </c>
      <c r="V29" s="23" t="str">
        <f xml:space="preserve"> IF(_xlfn.SINGLE(Circles.SVG_Radius_0)&lt;&gt;0, "&lt;circle " &amp; _xlfn.SINGLE(Circles.SVG_Painting_0) &amp; " r='" &amp; ROUND(_xlfn.SINGLE(Circles.SVG_Radius_0), DecimalPlaces) &amp; "'/&gt;", "")</f>
        <v/>
      </c>
      <c r="W29" s="23" t="str">
        <f t="shared" si="8"/>
        <v/>
      </c>
      <c r="X29" s="23" t="str">
        <f xml:space="preserve"> IF(_xlfn.SINGLE(Circles.SVG_Radius_0)&lt;&gt;0, "&lt;circle " &amp; _xlfn.SINGLE(Circles.SVG_Painting_0) &amp; " r='" &amp; ROUND(_xlfn.SINGLE(Circles.SVG_Radius_0), DecimalPlaces) &amp; "'/&gt;", "")</f>
        <v/>
      </c>
      <c r="Y29" s="23" t="str">
        <f t="shared" si="8"/>
        <v/>
      </c>
      <c r="Z29" s="23" t="str">
        <f xml:space="preserve"> IF(_xlfn.SINGLE(Circles.SVG_Radius_0)&lt;&gt;0, "&lt;circle " &amp; _xlfn.SINGLE(Circles.SVG_Painting_0) &amp; " r='" &amp; ROUND(_xlfn.SINGLE(Circles.SVG_Radius_0), DecimalPlaces) &amp; "'/&gt;", "")</f>
        <v/>
      </c>
      <c r="AA29" s="23" t="str">
        <f t="shared" si="8"/>
        <v/>
      </c>
      <c r="AB29" s="23" t="str">
        <f xml:space="preserve"> IF(_xlfn.SINGLE(Circles.SVG_Radius_0)&lt;&gt;0, "&lt;circle " &amp; _xlfn.SINGLE(Circles.SVG_Painting_0) &amp; " r='" &amp; ROUND(_xlfn.SINGLE(Circles.SVG_Radius_0), DecimalPlaces) &amp; "'/&gt;", "")</f>
        <v/>
      </c>
      <c r="AC29" s="23" t="str">
        <f t="shared" si="8"/>
        <v/>
      </c>
      <c r="AD29" s="34"/>
      <c r="AE29" s="23" t="str">
        <f t="shared" si="8"/>
        <v/>
      </c>
      <c r="AF29" s="23" t="str">
        <f xml:space="preserve"> IF(_xlfn.SINGLE(Circles.SVG_Radius_0)&lt;&gt;0, "&lt;circle " &amp; _xlfn.SINGLE(Circles.SVG_Painting_0) &amp; " r='" &amp; ROUND(_xlfn.SINGLE(Circles.SVG_Radius_0), DecimalPlaces) &amp; "'/&gt;", "")</f>
        <v/>
      </c>
      <c r="AG29" s="23" t="str">
        <f t="shared" si="8"/>
        <v/>
      </c>
      <c r="AH29" s="34"/>
      <c r="AI29" s="23" t="str">
        <f t="shared" si="8"/>
        <v/>
      </c>
      <c r="AJ29" s="23" t="str">
        <f xml:space="preserve"> IF(_xlfn.SINGLE(Circles.SVG_Radius_0)&lt;&gt;0, "&lt;circle " &amp; _xlfn.SINGLE(Circles.SVG_Painting_0) &amp; " r='" &amp; ROUND(_xlfn.SINGLE(Circles.SVG_Radius_0), DecimalPlaces) &amp; "'/&gt;", "")</f>
        <v/>
      </c>
      <c r="AK29" s="23" t="str">
        <f t="shared" si="8"/>
        <v/>
      </c>
      <c r="AL29" s="23" t="str">
        <f xml:space="preserve"> IF(_xlfn.SINGLE(Circles.SVG_Radius_0)&lt;&gt;0, "&lt;circle " &amp; _xlfn.SINGLE(Circles.SVG_Painting_0) &amp; " r='" &amp; ROUND(_xlfn.SINGLE(Circles.SVG_Radius_0), DecimalPlaces) &amp; "'/&gt;", "")</f>
        <v/>
      </c>
      <c r="AM29" s="23" t="str">
        <f t="shared" si="8"/>
        <v/>
      </c>
      <c r="AN29" s="24"/>
    </row>
    <row r="30" spans="2:40" x14ac:dyDescent="0.2">
      <c r="C30" s="22"/>
      <c r="D30" s="23"/>
      <c r="E30" s="23" t="str">
        <f t="shared" si="8"/>
        <v/>
      </c>
      <c r="F30" s="32" t="str">
        <f xml:space="preserve"> "&lt;path " &amp; _xlfn.SINGLE(Circles.SVG_Painting_0) &amp; " d='M4 1H1V4H-1V1H-4V-1h3V-4H1v3H4Z'/&gt;"</f>
        <v>&lt;path fill='#FFF' d='M4 1H1V4H-1V1H-4V-1h3V-4H1v3H4Z'/&gt;</v>
      </c>
      <c r="G30" s="23" t="str">
        <f t="shared" si="8"/>
        <v/>
      </c>
      <c r="H30" s="23"/>
      <c r="I30" s="23" t="str">
        <f t="shared" si="8"/>
        <v/>
      </c>
      <c r="J30" s="33"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3" t="str">
        <f t="shared" si="8"/>
        <v/>
      </c>
      <c r="L30" s="23"/>
      <c r="M30" s="23" t="str">
        <f t="shared" si="8"/>
        <v/>
      </c>
      <c r="N30" s="23"/>
      <c r="O30" s="23" t="str">
        <f t="shared" si="8"/>
        <v/>
      </c>
      <c r="P30" s="23"/>
      <c r="Q30" s="23" t="str">
        <f t="shared" si="8"/>
        <v/>
      </c>
      <c r="R30" s="23"/>
      <c r="S30" s="23" t="str">
        <f t="shared" si="8"/>
        <v/>
      </c>
      <c r="T30" s="23"/>
      <c r="U30" s="23" t="str">
        <f t="shared" si="8"/>
        <v/>
      </c>
      <c r="V30" s="23"/>
      <c r="W30" s="23" t="str">
        <f t="shared" si="8"/>
        <v/>
      </c>
      <c r="X30" s="23"/>
      <c r="Y30" s="23" t="str">
        <f t="shared" si="8"/>
        <v/>
      </c>
      <c r="Z30" s="23"/>
      <c r="AA30" s="23" t="str">
        <f t="shared" si="8"/>
        <v/>
      </c>
      <c r="AB30" s="32" t="str">
        <f xml:space="preserve"> "&lt;path " &amp; _xlfn.SINGLE(Circles.SVG_Painting_0) &amp; " transform='rotate(15)' d='M4 1H1V4H-1V1H-4V-1h3V-4H1v3H4Z'/&gt;"</f>
        <v>&lt;path fill='#D3AE45' transform='rotate(15)' d='M4 1H1V4H-1V1H-4V-1h3V-4H1v3H4Z'/&gt;</v>
      </c>
      <c r="AC30" s="23" t="str">
        <f t="shared" si="8"/>
        <v/>
      </c>
      <c r="AD30" s="32"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3" t="str">
        <f t="shared" si="8"/>
        <v/>
      </c>
      <c r="AF30" s="23"/>
      <c r="AG30" s="23" t="str">
        <f t="shared" si="8"/>
        <v/>
      </c>
      <c r="AH30" s="32" t="str" cm="1">
        <f t="array" ref="AH30" xml:space="preserve"> svgPathRect(DecimalPlaces, _xlfn.SINGLE(Circles.SVG_Painting_0), _xlfn.SINGLE(Circles.SVG_Radius_0), _xlfn.SINGLE(Circles.SVG_Radius_0))</f>
        <v>&lt;path fill='#FFF' d='M.70711 .70711V-.70711H-.70711V.70711Z'/&gt;</v>
      </c>
      <c r="AI30" s="23" t="str">
        <f t="shared" si="8"/>
        <v/>
      </c>
      <c r="AJ30" s="23"/>
      <c r="AK30" s="23" t="str">
        <f t="shared" si="8"/>
        <v/>
      </c>
      <c r="AL30" s="23"/>
      <c r="AM30" s="23" t="str">
        <f t="shared" si="8"/>
        <v/>
      </c>
      <c r="AN30" s="24"/>
    </row>
    <row r="31" spans="2:40" x14ac:dyDescent="0.2">
      <c r="C31" s="25"/>
      <c r="D31" s="26" t="s">
        <v>15</v>
      </c>
      <c r="E31" s="26" t="str">
        <f t="shared" si="8"/>
        <v/>
      </c>
      <c r="F31" s="26" t="s">
        <v>15</v>
      </c>
      <c r="G31" s="26" t="str">
        <f t="shared" si="8"/>
        <v/>
      </c>
      <c r="H31" s="26" t="s">
        <v>15</v>
      </c>
      <c r="I31" s="26" t="str">
        <f t="shared" si="8"/>
        <v/>
      </c>
      <c r="J31" s="26" t="s">
        <v>15</v>
      </c>
      <c r="K31" s="26" t="str">
        <f t="shared" si="8"/>
        <v/>
      </c>
      <c r="L31" s="26" t="s">
        <v>15</v>
      </c>
      <c r="M31" s="26" t="str">
        <f t="shared" si="8"/>
        <v/>
      </c>
      <c r="N31" s="26" t="s">
        <v>15</v>
      </c>
      <c r="O31" s="26" t="str">
        <f t="shared" si="8"/>
        <v/>
      </c>
      <c r="P31" s="26" t="s">
        <v>15</v>
      </c>
      <c r="Q31" s="26" t="str">
        <f t="shared" si="8"/>
        <v/>
      </c>
      <c r="R31" s="26" t="s">
        <v>15</v>
      </c>
      <c r="S31" s="26" t="str">
        <f t="shared" si="8"/>
        <v/>
      </c>
      <c r="T31" s="26" t="s">
        <v>15</v>
      </c>
      <c r="U31" s="26" t="str">
        <f t="shared" si="8"/>
        <v/>
      </c>
      <c r="V31" s="26" t="s">
        <v>15</v>
      </c>
      <c r="W31" s="26" t="str">
        <f t="shared" si="8"/>
        <v/>
      </c>
      <c r="X31" s="26" t="s">
        <v>15</v>
      </c>
      <c r="Y31" s="26" t="str">
        <f t="shared" si="8"/>
        <v/>
      </c>
      <c r="Z31" s="26" t="s">
        <v>15</v>
      </c>
      <c r="AA31" s="26" t="str">
        <f t="shared" si="8"/>
        <v/>
      </c>
      <c r="AB31" s="26" t="s">
        <v>15</v>
      </c>
      <c r="AC31" s="26" t="str">
        <f t="shared" si="8"/>
        <v/>
      </c>
      <c r="AD31" s="26" t="s">
        <v>15</v>
      </c>
      <c r="AE31" s="26" t="str">
        <f t="shared" si="8"/>
        <v/>
      </c>
      <c r="AF31" s="26" t="s">
        <v>15</v>
      </c>
      <c r="AG31" s="26" t="str">
        <f t="shared" si="8"/>
        <v/>
      </c>
      <c r="AH31" s="26" t="s">
        <v>15</v>
      </c>
      <c r="AI31" s="26" t="str">
        <f t="shared" si="8"/>
        <v/>
      </c>
      <c r="AJ31" s="26" t="s">
        <v>15</v>
      </c>
      <c r="AK31" s="26" t="str">
        <f t="shared" si="8"/>
        <v/>
      </c>
      <c r="AL31" s="26" t="s">
        <v>15</v>
      </c>
      <c r="AM31" s="26" t="str">
        <f t="shared" si="8"/>
        <v/>
      </c>
      <c r="AN31" s="27"/>
    </row>
    <row r="34" spans="3:38" x14ac:dyDescent="0.2">
      <c r="C34" s="6"/>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x14ac:dyDescent="0.2">
      <c r="C35" s="6"/>
    </row>
    <row r="36" spans="3:38" x14ac:dyDescent="0.2">
      <c r="C36" s="6"/>
    </row>
    <row r="37" spans="3:38" x14ac:dyDescent="0.2">
      <c r="AK37" s="36"/>
    </row>
    <row r="38" spans="3:38" x14ac:dyDescent="0.2">
      <c r="AK38" s="36"/>
    </row>
    <row r="39" spans="3:38" x14ac:dyDescent="0.2">
      <c r="AK39" s="36"/>
    </row>
    <row r="40" spans="3:38" x14ac:dyDescent="0.2">
      <c r="AK40" s="36"/>
    </row>
    <row r="41" spans="3:38" x14ac:dyDescent="0.2">
      <c r="AK41" s="36"/>
    </row>
    <row r="42" spans="3:38" x14ac:dyDescent="0.2">
      <c r="AK42" s="36"/>
    </row>
    <row r="43" spans="3:38" x14ac:dyDescent="0.2">
      <c r="AK43" s="36"/>
    </row>
    <row r="44" spans="3:38" x14ac:dyDescent="0.2">
      <c r="AK44" s="36"/>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37" x14ac:dyDescent="0.2">
      <c r="B2" s="4" t="s">
        <v>152</v>
      </c>
      <c r="D2" t="s">
        <v>203</v>
      </c>
      <c r="F2" t="s">
        <v>162</v>
      </c>
      <c r="H2" t="s">
        <v>163</v>
      </c>
      <c r="J2" t="s">
        <v>2361</v>
      </c>
      <c r="L2" t="s">
        <v>164</v>
      </c>
      <c r="N2" t="s">
        <v>165</v>
      </c>
      <c r="P2" t="s">
        <v>167</v>
      </c>
      <c r="R2" t="s">
        <v>102</v>
      </c>
      <c r="T2" t="s">
        <v>169</v>
      </c>
      <c r="V2" t="s">
        <v>2381</v>
      </c>
      <c r="X2" t="s">
        <v>170</v>
      </c>
      <c r="Z2" t="s">
        <v>2282</v>
      </c>
      <c r="AB2" t="s">
        <v>560</v>
      </c>
      <c r="AD2" t="s">
        <v>2383</v>
      </c>
      <c r="AF2" t="s">
        <v>2422</v>
      </c>
      <c r="AK2" t="e">
        <f xml:space="preserve"> NA()</f>
        <v>#N/A</v>
      </c>
    </row>
    <row r="4" spans="2:37" x14ac:dyDescent="0.2">
      <c r="B4" s="4" t="s">
        <v>153</v>
      </c>
      <c r="D4" s="28">
        <v>0.85</v>
      </c>
      <c r="F4" s="28">
        <f xml:space="preserve"> $D4</f>
        <v>0.85</v>
      </c>
      <c r="H4" s="28">
        <f xml:space="preserve"> $D4</f>
        <v>0.85</v>
      </c>
      <c r="J4" s="28">
        <f xml:space="preserve"> $D4</f>
        <v>0.85</v>
      </c>
      <c r="L4" s="28">
        <f xml:space="preserve"> $D4</f>
        <v>0.85</v>
      </c>
      <c r="N4" s="28">
        <f xml:space="preserve"> $D4</f>
        <v>0.85</v>
      </c>
      <c r="P4" s="28">
        <f xml:space="preserve"> $D4</f>
        <v>0.85</v>
      </c>
      <c r="R4" s="28">
        <f xml:space="preserve"> $D4</f>
        <v>0.85</v>
      </c>
      <c r="T4" s="28">
        <f xml:space="preserve"> $D4</f>
        <v>0.85</v>
      </c>
      <c r="V4" s="28">
        <f xml:space="preserve"> $D4</f>
        <v>0.85</v>
      </c>
      <c r="X4" s="28">
        <f xml:space="preserve"> $D4</f>
        <v>0.85</v>
      </c>
      <c r="Z4" s="28">
        <f xml:space="preserve"> $X4</f>
        <v>0.85</v>
      </c>
      <c r="AB4" s="28">
        <f xml:space="preserve"> $D4</f>
        <v>0.85</v>
      </c>
      <c r="AD4" s="28">
        <f xml:space="preserve"> $D4</f>
        <v>0.85</v>
      </c>
      <c r="AF4" s="28">
        <f xml:space="preserve"> $D4</f>
        <v>0.85</v>
      </c>
    </row>
    <row r="5" spans="2:37" x14ac:dyDescent="0.2">
      <c r="B5" s="4" t="s">
        <v>154</v>
      </c>
      <c r="D5">
        <v>1</v>
      </c>
      <c r="F5">
        <v>1</v>
      </c>
      <c r="H5">
        <v>1</v>
      </c>
      <c r="J5">
        <v>1</v>
      </c>
      <c r="L5">
        <v>1</v>
      </c>
      <c r="N5">
        <v>1</v>
      </c>
      <c r="P5">
        <v>1</v>
      </c>
      <c r="R5">
        <v>1</v>
      </c>
      <c r="T5">
        <v>1</v>
      </c>
      <c r="V5">
        <v>1</v>
      </c>
      <c r="X5">
        <v>1</v>
      </c>
      <c r="Z5">
        <f t="shared" ref="Z5:Z7" si="0" xml:space="preserve"> $X5</f>
        <v>1</v>
      </c>
      <c r="AB5">
        <v>1</v>
      </c>
      <c r="AD5">
        <v>1</v>
      </c>
      <c r="AF5">
        <v>1</v>
      </c>
    </row>
    <row r="6" spans="2:37" x14ac:dyDescent="0.2">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x14ac:dyDescent="0.2">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x14ac:dyDescent="0.2">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x14ac:dyDescent="0.2">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x14ac:dyDescent="0.2">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x14ac:dyDescent="0.2">
      <c r="B12" s="4" t="s">
        <v>177</v>
      </c>
      <c r="D12">
        <v>2</v>
      </c>
      <c r="P12">
        <f xml:space="preserve"> _xlfn.SINGLE(Squares.SVG_Half_2) - 1</f>
        <v>5</v>
      </c>
      <c r="R12">
        <f xml:space="preserve"> _xlfn.SINGLE(Squares.SVG_Half_2) - 2</f>
        <v>4</v>
      </c>
      <c r="AB12">
        <v>21</v>
      </c>
    </row>
    <row r="14" spans="2:37" x14ac:dyDescent="0.2">
      <c r="B14" s="4" t="s">
        <v>157</v>
      </c>
      <c r="D14" s="6" t="s">
        <v>1070</v>
      </c>
      <c r="F14" t="s">
        <v>738</v>
      </c>
      <c r="H14" t="s">
        <v>739</v>
      </c>
      <c r="J14" t="s">
        <v>1067</v>
      </c>
      <c r="L14" t="s">
        <v>740</v>
      </c>
      <c r="N14" t="s">
        <v>1063</v>
      </c>
      <c r="P14" t="s">
        <v>717</v>
      </c>
      <c r="R14" t="s">
        <v>729</v>
      </c>
      <c r="T14" t="s">
        <v>745</v>
      </c>
      <c r="V14" t="s">
        <v>2382</v>
      </c>
      <c r="X14" t="s">
        <v>2153</v>
      </c>
      <c r="Z14" t="str">
        <f xml:space="preserve"> $X14</f>
        <v>fill='#AD1519'</v>
      </c>
      <c r="AB14" t="s">
        <v>728</v>
      </c>
      <c r="AD14" t="s">
        <v>2384</v>
      </c>
      <c r="AF14" t="s">
        <v>2423</v>
      </c>
    </row>
    <row r="15" spans="2:37" x14ac:dyDescent="0.2">
      <c r="B15" s="4" t="s">
        <v>158</v>
      </c>
      <c r="F15" t="s">
        <v>2091</v>
      </c>
      <c r="H15" t="s">
        <v>2091</v>
      </c>
      <c r="J15" t="s">
        <v>2091</v>
      </c>
      <c r="L15" t="s">
        <v>741</v>
      </c>
      <c r="N15" t="s">
        <v>1964</v>
      </c>
      <c r="P15" t="s">
        <v>2091</v>
      </c>
      <c r="R15" t="s">
        <v>2091</v>
      </c>
      <c r="T15" t="s">
        <v>2091</v>
      </c>
      <c r="V15" t="s">
        <v>2091</v>
      </c>
      <c r="X15" t="s">
        <v>2154</v>
      </c>
      <c r="Z15" s="31" t="s">
        <v>2290</v>
      </c>
      <c r="AB15" t="s">
        <v>743</v>
      </c>
      <c r="AD15" t="s">
        <v>2385</v>
      </c>
      <c r="AF15" t="s">
        <v>756</v>
      </c>
    </row>
    <row r="16" spans="2:37" x14ac:dyDescent="0.2">
      <c r="B16" s="4" t="s">
        <v>159</v>
      </c>
      <c r="H16" t="s">
        <v>744</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2386</v>
      </c>
      <c r="AF16" t="s">
        <v>761</v>
      </c>
    </row>
    <row r="17" spans="2:37" x14ac:dyDescent="0.2">
      <c r="B17" s="4" t="s">
        <v>160</v>
      </c>
      <c r="D17" t="s">
        <v>2091</v>
      </c>
      <c r="P17" t="s">
        <v>723</v>
      </c>
      <c r="R17" t="s">
        <v>1690</v>
      </c>
      <c r="AB17" t="s">
        <v>2091</v>
      </c>
    </row>
    <row r="19" spans="2:37" x14ac:dyDescent="0.2">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30" customFormat="1" x14ac:dyDescent="0.2"/>
    <row r="22" spans="2:37" s="30" customFormat="1" x14ac:dyDescent="0.2"/>
    <row r="23" spans="2:37" s="30" customFormat="1" x14ac:dyDescent="0.2"/>
    <row r="25" spans="2:37" x14ac:dyDescent="0.2">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x14ac:dyDescent="0.25">
      <c r="B27" s="7" t="s">
        <v>161</v>
      </c>
    </row>
    <row r="28" spans="2:37" x14ac:dyDescent="0.2">
      <c r="C28" s="19"/>
      <c r="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20" t="str">
        <f xml:space="preserve"> ""</f>
        <v/>
      </c>
      <c r="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20" t="str">
        <f xml:space="preserve"> ""</f>
        <v/>
      </c>
      <c r="H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20" t="str">
        <f xml:space="preserve"> ""</f>
        <v/>
      </c>
      <c r="J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20" t="str">
        <f xml:space="preserve"> ""</f>
        <v/>
      </c>
      <c r="L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20" t="str">
        <f xml:space="preserve"> ""</f>
        <v/>
      </c>
      <c r="N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20" t="str">
        <f xml:space="preserve"> ""</f>
        <v/>
      </c>
      <c r="P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20" t="str">
        <f xml:space="preserve"> ""</f>
        <v/>
      </c>
      <c r="R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20" t="str">
        <f xml:space="preserve"> ""</f>
        <v/>
      </c>
      <c r="T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20" t="str">
        <f xml:space="preserve"> ""</f>
        <v/>
      </c>
      <c r="V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20" t="str">
        <f xml:space="preserve"> ""</f>
        <v/>
      </c>
      <c r="X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20" t="str">
        <f xml:space="preserve"> ""</f>
        <v/>
      </c>
      <c r="Z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20" t="str">
        <f xml:space="preserve"> ""</f>
        <v/>
      </c>
      <c r="AB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20" t="str">
        <f xml:space="preserve"> ""</f>
        <v/>
      </c>
      <c r="A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20" t="str">
        <f xml:space="preserve"> ""</f>
        <v/>
      </c>
      <c r="A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20"/>
      <c r="AH28" s="20"/>
      <c r="AI28" s="20"/>
      <c r="AJ28" s="20"/>
      <c r="AK28" s="21"/>
    </row>
    <row r="29" spans="2:37" x14ac:dyDescent="0.2">
      <c r="C29" s="22"/>
      <c r="D29" s="23"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3" t="str">
        <f t="shared" ref="E29:AE34" si="4" xml:space="preserve"> ""</f>
        <v/>
      </c>
      <c r="F29" s="23"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3" t="str">
        <f t="shared" si="4"/>
        <v/>
      </c>
      <c r="H29" s="23"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3" t="str">
        <f t="shared" si="4"/>
        <v/>
      </c>
      <c r="J29" s="23"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3" t="str">
        <f t="shared" si="4"/>
        <v/>
      </c>
      <c r="L29" s="23"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3" t="str">
        <f t="shared" si="4"/>
        <v/>
      </c>
      <c r="N29" s="23"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3" t="str">
        <f t="shared" si="4"/>
        <v/>
      </c>
      <c r="P29" s="23"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3" t="str">
        <f t="shared" si="4"/>
        <v/>
      </c>
      <c r="R29" s="23"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3" t="str">
        <f t="shared" si="4"/>
        <v/>
      </c>
      <c r="T29" s="23"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3" t="str">
        <f t="shared" si="4"/>
        <v/>
      </c>
      <c r="V29" s="23"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3" t="str">
        <f t="shared" si="4"/>
        <v/>
      </c>
      <c r="X29" s="23"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3" t="str">
        <f t="shared" si="4"/>
        <v/>
      </c>
      <c r="Z29" s="23"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3" t="str">
        <f t="shared" si="4"/>
        <v/>
      </c>
      <c r="AB29" s="23"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3" t="str">
        <f t="shared" si="4"/>
        <v/>
      </c>
      <c r="AD29" s="23"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3" t="str">
        <f t="shared" si="4"/>
        <v/>
      </c>
      <c r="AF29" s="23"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3"/>
      <c r="AH29" s="23"/>
      <c r="AI29" s="23"/>
      <c r="AJ29" s="23"/>
      <c r="AK29" s="24"/>
    </row>
    <row r="30" spans="2:37" x14ac:dyDescent="0.2">
      <c r="C30" s="22"/>
      <c r="D30" s="23" t="str" cm="1">
        <f t="array" ref="D30" xml:space="preserve"> IF(AND(_xlfn.SINGLE(Squares.SVG_Half_2)&lt;&gt;0, LEN(_xlfn.SINGLE(Squares.SVG_Painting_2))&gt;0), svgPathRect(DecimalPlaces, _xlfn.SINGLE(Squares.SVG_Painting_2), _xlfn.SINGLE(Squares.SVG_Half_2), _xlfn.SINGLE(Squares.SVG_Half_2)), "")</f>
        <v/>
      </c>
      <c r="E30" s="23" t="str">
        <f t="shared" si="4"/>
        <v/>
      </c>
      <c r="F30" s="23"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3" t="str">
        <f t="shared" si="4"/>
        <v/>
      </c>
      <c r="H30" s="23"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3" t="str">
        <f t="shared" si="4"/>
        <v/>
      </c>
      <c r="J30" s="23"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3" t="str">
        <f t="shared" si="4"/>
        <v/>
      </c>
      <c r="L30" s="23"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3" t="str">
        <f t="shared" si="4"/>
        <v/>
      </c>
      <c r="N30" s="23"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3" t="str">
        <f t="shared" si="4"/>
        <v/>
      </c>
      <c r="P30" s="23"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3" t="str">
        <f t="shared" si="4"/>
        <v/>
      </c>
      <c r="R30" s="23"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3" t="str">
        <f t="shared" si="4"/>
        <v/>
      </c>
      <c r="T30" s="23"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3" t="str">
        <f t="shared" si="4"/>
        <v/>
      </c>
      <c r="V30" s="23"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3" t="str">
        <f t="shared" si="4"/>
        <v/>
      </c>
      <c r="X30" s="23"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3" t="str">
        <f t="shared" si="4"/>
        <v/>
      </c>
      <c r="Z30" s="23"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3" t="str">
        <f t="shared" si="4"/>
        <v/>
      </c>
      <c r="AB30" s="23"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3" t="str">
        <f t="shared" si="4"/>
        <v/>
      </c>
      <c r="AD30" s="23"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3" t="str">
        <f t="shared" si="4"/>
        <v/>
      </c>
      <c r="AF30" s="23"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3"/>
      <c r="AH30" s="23"/>
      <c r="AI30" s="23"/>
      <c r="AJ30" s="23"/>
      <c r="AK30" s="24"/>
    </row>
    <row r="31" spans="2:37" x14ac:dyDescent="0.2">
      <c r="C31" s="22"/>
      <c r="D31" s="23" t="str" cm="1">
        <f t="array" ref="D31" xml:space="preserve"> IF(AND(_xlfn.SINGLE(Squares.SVG_Half_1)&lt;&gt;0, LEN(_xlfn.SINGLE(Squares.SVG_Painting_1))&gt;0), svgPathRect(DecimalPlaces, _xlfn.SINGLE(Squares.SVG_Painting_1), _xlfn.SINGLE(Squares.SVG_Half_1), _xlfn.SINGLE(Squares.SVG_Half_1)), "")</f>
        <v/>
      </c>
      <c r="E31" s="23" t="str">
        <f t="shared" si="4"/>
        <v/>
      </c>
      <c r="F31" s="23" t="str" cm="1">
        <f t="array" ref="F31" xml:space="preserve"> IF(AND(_xlfn.SINGLE(Squares.SVG_Half_1)&lt;&gt;0, LEN(_xlfn.SINGLE(Squares.SVG_Painting_1))&gt;0), svgPathRect(DecimalPlaces, _xlfn.SINGLE(Squares.SVG_Painting_1), _xlfn.SINGLE(Squares.SVG_Half_1), _xlfn.SINGLE(Squares.SVG_Half_1)), "")</f>
        <v/>
      </c>
      <c r="G31" s="23" t="str">
        <f t="shared" si="4"/>
        <v/>
      </c>
      <c r="H31" s="23"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3" t="str">
        <f t="shared" si="4"/>
        <v/>
      </c>
      <c r="J31" s="23"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3" t="str">
        <f t="shared" si="4"/>
        <v/>
      </c>
      <c r="L31" s="23" t="str" cm="1">
        <f t="array" ref="L31" xml:space="preserve"> IF(AND(_xlfn.SINGLE(Squares.SVG_Half_1)&lt;&gt;0, LEN(_xlfn.SINGLE(Squares.SVG_Painting_1))&gt;0), svgPathRect(DecimalPlaces, _xlfn.SINGLE(Squares.SVG_Painting_1), _xlfn.SINGLE(Squares.SVG_Half_1), _xlfn.SINGLE(Squares.SVG_Half_1)), "")</f>
        <v/>
      </c>
      <c r="M31" s="23" t="str">
        <f t="shared" si="4"/>
        <v/>
      </c>
      <c r="N31" s="23" t="str" cm="1">
        <f t="array" ref="N31" xml:space="preserve"> IF(AND(_xlfn.SINGLE(Squares.SVG_Half_1)&lt;&gt;0, LEN(_xlfn.SINGLE(Squares.SVG_Painting_1))&gt;0), svgPathRect(DecimalPlaces, _xlfn.SINGLE(Squares.SVG_Painting_1), _xlfn.SINGLE(Squares.SVG_Half_1), _xlfn.SINGLE(Squares.SVG_Half_1)), "")</f>
        <v/>
      </c>
      <c r="O31" s="23" t="str">
        <f t="shared" si="4"/>
        <v/>
      </c>
      <c r="P31" s="23" t="str" cm="1">
        <f t="array" ref="P31" xml:space="preserve"> IF(AND(_xlfn.SINGLE(Squares.SVG_Half_1)&lt;&gt;0, LEN(_xlfn.SINGLE(Squares.SVG_Painting_1))&gt;0), svgPathRect(DecimalPlaces, _xlfn.SINGLE(Squares.SVG_Painting_1), _xlfn.SINGLE(Squares.SVG_Half_1), _xlfn.SINGLE(Squares.SVG_Half_1)), "")</f>
        <v/>
      </c>
      <c r="Q31" s="23" t="str">
        <f t="shared" si="4"/>
        <v/>
      </c>
      <c r="R31" s="23" t="str" cm="1">
        <f t="array" ref="R31" xml:space="preserve"> IF(AND(_xlfn.SINGLE(Squares.SVG_Half_1)&lt;&gt;0, LEN(_xlfn.SINGLE(Squares.SVG_Painting_1))&gt;0), svgPathRect(DecimalPlaces, _xlfn.SINGLE(Squares.SVG_Painting_1), _xlfn.SINGLE(Squares.SVG_Half_1), _xlfn.SINGLE(Squares.SVG_Half_1)), "")</f>
        <v/>
      </c>
      <c r="S31" s="23" t="str">
        <f t="shared" si="4"/>
        <v/>
      </c>
      <c r="T31" s="23"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3" t="str">
        <f t="shared" si="4"/>
        <v/>
      </c>
      <c r="V31" s="23"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3" t="str">
        <f t="shared" si="4"/>
        <v/>
      </c>
      <c r="X31" s="23"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3" t="str">
        <f t="shared" si="4"/>
        <v/>
      </c>
      <c r="Z31" s="23"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3" t="str">
        <f t="shared" si="4"/>
        <v/>
      </c>
      <c r="AB31" s="23" t="str" cm="1">
        <f t="array" ref="AB31" xml:space="preserve"> IF(AND(_xlfn.SINGLE(Squares.SVG_Half_1)&lt;&gt;0, LEN(_xlfn.SINGLE(Squares.SVG_Painting_1))&gt;0), svgPathRect(DecimalPlaces, _xlfn.SINGLE(Squares.SVG_Painting_1), _xlfn.SINGLE(Squares.SVG_Half_1), _xlfn.SINGLE(Squares.SVG_Half_1)), "")</f>
        <v/>
      </c>
      <c r="AC31" s="23" t="str">
        <f t="shared" si="4"/>
        <v/>
      </c>
      <c r="AD31" s="23"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3" t="str">
        <f t="shared" si="4"/>
        <v/>
      </c>
      <c r="AF31" s="23"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3"/>
      <c r="AH31" s="23"/>
      <c r="AI31" s="23"/>
      <c r="AJ31" s="23"/>
      <c r="AK31" s="24"/>
    </row>
    <row r="32" spans="2:37" x14ac:dyDescent="0.2">
      <c r="C32" s="22"/>
      <c r="D32" s="34" t="str">
        <f xml:space="preserve"> ""</f>
        <v/>
      </c>
      <c r="E32" s="23" t="str">
        <f t="shared" si="4"/>
        <v/>
      </c>
      <c r="F32" s="23" t="str" cm="1">
        <f t="array" ref="F32" xml:space="preserve"> IF(AND(_xlfn.SINGLE(Squares.SVG_Half_0)&lt;&gt;0, LEN(_xlfn.SINGLE(Squares.SVG_Painting_0))&gt;0), svgPathRect(DecimalPlaces, _xlfn.SINGLE(Squares.SVG_Painting_0), _xlfn.SINGLE(Squares.SVG_Half_0), _xlfn.SINGLE(Squares.SVG_Half_0)), "")</f>
        <v/>
      </c>
      <c r="G32" s="23" t="str">
        <f t="shared" si="4"/>
        <v/>
      </c>
      <c r="H32" s="23" t="str" cm="1">
        <f t="array" ref="H32" xml:space="preserve"> IF(AND(_xlfn.SINGLE(Squares.SVG_Half_0)&lt;&gt;0, LEN(_xlfn.SINGLE(Squares.SVG_Painting_0))&gt;0), svgPathRect(DecimalPlaces, _xlfn.SINGLE(Squares.SVG_Painting_0), _xlfn.SINGLE(Squares.SVG_Half_0), _xlfn.SINGLE(Squares.SVG_Half_0)), "")</f>
        <v/>
      </c>
      <c r="I32" s="23" t="str">
        <f t="shared" si="4"/>
        <v/>
      </c>
      <c r="J32" s="23" t="str" cm="1">
        <f t="array" ref="J32" xml:space="preserve"> IF(AND(_xlfn.SINGLE(Squares.SVG_Half_0)&lt;&gt;0, LEN(_xlfn.SINGLE(Squares.SVG_Painting_0))&gt;0), svgPathRect(DecimalPlaces, _xlfn.SINGLE(Squares.SVG_Painting_0), _xlfn.SINGLE(Squares.SVG_Half_0), _xlfn.SINGLE(Squares.SVG_Half_0)), "")</f>
        <v/>
      </c>
      <c r="K32" s="23" t="str">
        <f t="shared" si="4"/>
        <v/>
      </c>
      <c r="L32" s="23" t="str" cm="1">
        <f t="array" ref="L32" xml:space="preserve"> IF(AND(_xlfn.SINGLE(Squares.SVG_Half_0)&lt;&gt;0, LEN(_xlfn.SINGLE(Squares.SVG_Painting_0))&gt;0), svgPathRect(DecimalPlaces, _xlfn.SINGLE(Squares.SVG_Painting_0), _xlfn.SINGLE(Squares.SVG_Half_0), _xlfn.SINGLE(Squares.SVG_Half_0)), "")</f>
        <v/>
      </c>
      <c r="M32" s="23" t="str">
        <f t="shared" si="4"/>
        <v/>
      </c>
      <c r="N32" s="23" t="str" cm="1">
        <f t="array" ref="N32" xml:space="preserve"> IF(AND(_xlfn.SINGLE(Squares.SVG_Half_0)&lt;&gt;0, LEN(_xlfn.SINGLE(Squares.SVG_Painting_0))&gt;0), svgPathRect(DecimalPlaces, _xlfn.SINGLE(Squares.SVG_Painting_0), _xlfn.SINGLE(Squares.SVG_Half_0), _xlfn.SINGLE(Squares.SVG_Half_0)), "")</f>
        <v/>
      </c>
      <c r="O32" s="23" t="str">
        <f t="shared" si="4"/>
        <v/>
      </c>
      <c r="P32" s="34" t="str">
        <f xml:space="preserve"> ""</f>
        <v/>
      </c>
      <c r="Q32" s="23" t="str">
        <f t="shared" si="4"/>
        <v/>
      </c>
      <c r="R32" s="34" t="str">
        <f xml:space="preserve"> ""</f>
        <v/>
      </c>
      <c r="S32" s="23" t="str">
        <f t="shared" si="4"/>
        <v/>
      </c>
      <c r="T32" s="23" t="str" cm="1">
        <f t="array" ref="T32" xml:space="preserve"> IF(AND(_xlfn.SINGLE(Squares.SVG_Half_0)&lt;&gt;0, LEN(_xlfn.SINGLE(Squares.SVG_Painting_0))&gt;0), svgPathRect(DecimalPlaces, _xlfn.SINGLE(Squares.SVG_Painting_0), _xlfn.SINGLE(Squares.SVG_Half_0), _xlfn.SINGLE(Squares.SVG_Half_0)), "")</f>
        <v/>
      </c>
      <c r="U32" s="23" t="str">
        <f t="shared" si="4"/>
        <v/>
      </c>
      <c r="V32" s="23" t="str" cm="1">
        <f t="array" ref="V32" xml:space="preserve"> IF(AND(_xlfn.SINGLE(Squares.SVG_Half_0)&lt;&gt;0, LEN(_xlfn.SINGLE(Squares.SVG_Painting_0))&gt;0), svgPathRect(DecimalPlaces, _xlfn.SINGLE(Squares.SVG_Painting_0), _xlfn.SINGLE(Squares.SVG_Half_0), _xlfn.SINGLE(Squares.SVG_Half_0)), "")</f>
        <v/>
      </c>
      <c r="W32" s="23" t="str">
        <f t="shared" si="4"/>
        <v/>
      </c>
      <c r="X32" s="23" t="str" cm="1">
        <f t="array" ref="X32" xml:space="preserve"> IF(AND(_xlfn.SINGLE(Squares.SVG_Half_0)&lt;&gt;0, LEN(_xlfn.SINGLE(Squares.SVG_Painting_0))&gt;0), svgPathRect(DecimalPlaces, _xlfn.SINGLE(Squares.SVG_Painting_0), _xlfn.SINGLE(Squares.SVG_Half_0), _xlfn.SINGLE(Squares.SVG_Half_0)), "")</f>
        <v/>
      </c>
      <c r="Y32" s="23" t="str">
        <f t="shared" si="4"/>
        <v/>
      </c>
      <c r="Z32" s="23" t="str" cm="1">
        <f t="array" ref="Z32" xml:space="preserve"> IF(AND(_xlfn.SINGLE(Squares.SVG_Half_0)&lt;&gt;0, LEN(_xlfn.SINGLE(Squares.SVG_Painting_0))&gt;0), svgPathRect(DecimalPlaces, _xlfn.SINGLE(Squares.SVG_Painting_0), _xlfn.SINGLE(Squares.SVG_Half_0), _xlfn.SINGLE(Squares.SVG_Half_0)), "")</f>
        <v/>
      </c>
      <c r="AA32" s="23" t="str">
        <f t="shared" si="4"/>
        <v/>
      </c>
      <c r="AB32" s="34" t="str">
        <f xml:space="preserve"> ""</f>
        <v/>
      </c>
      <c r="AC32" s="23" t="str">
        <f t="shared" si="4"/>
        <v/>
      </c>
      <c r="AD32" s="23" t="str" cm="1">
        <f t="array" ref="AD32" xml:space="preserve"> IF(AND(_xlfn.SINGLE(Squares.SVG_Half_0)&lt;&gt;0, LEN(_xlfn.SINGLE(Squares.SVG_Painting_0))&gt;0), svgPathRect(DecimalPlaces, _xlfn.SINGLE(Squares.SVG_Painting_0), _xlfn.SINGLE(Squares.SVG_Half_0), _xlfn.SINGLE(Squares.SVG_Half_0)), "")</f>
        <v/>
      </c>
      <c r="AE32" s="23" t="str">
        <f t="shared" si="4"/>
        <v/>
      </c>
      <c r="AF32" s="23" t="str" cm="1">
        <f t="array" ref="AF32" xml:space="preserve"> IF(AND(_xlfn.SINGLE(Squares.SVG_Half_0)&lt;&gt;0, LEN(_xlfn.SINGLE(Squares.SVG_Painting_0))&gt;0), svgPathRect(DecimalPlaces, _xlfn.SINGLE(Squares.SVG_Painting_0), _xlfn.SINGLE(Squares.SVG_Half_0), _xlfn.SINGLE(Squares.SVG_Half_0)), "")</f>
        <v/>
      </c>
      <c r="AG32" s="23"/>
      <c r="AH32" s="23"/>
      <c r="AI32" s="23"/>
      <c r="AJ32" s="23"/>
      <c r="AK32" s="24"/>
    </row>
    <row r="33" spans="3:37" x14ac:dyDescent="0.2">
      <c r="C33" s="22"/>
      <c r="D33" s="33" t="str">
        <f xml:space="preserve"> IF(_xlfn.SINGLE(Squares.SVG_Half_0)&lt;&gt;0, "&lt;circle " &amp; _xlfn.SINGLE(Squares.SVG_Painting_0) &amp; " r='" &amp; ROUND(_xlfn.SINGLE(Squares.SVG_Half_0), DecimalPlaces) &amp; "'/&gt;", "")</f>
        <v>&lt;circle fill='#FFF' r='2'/&gt;</v>
      </c>
      <c r="E33" s="23" t="str">
        <f t="shared" si="4"/>
        <v/>
      </c>
      <c r="F33" s="23"/>
      <c r="G33" s="23" t="str">
        <f t="shared" si="4"/>
        <v/>
      </c>
      <c r="H33" s="23"/>
      <c r="I33" s="23" t="str">
        <f t="shared" si="4"/>
        <v/>
      </c>
      <c r="J33" s="23"/>
      <c r="K33" s="23" t="str">
        <f t="shared" si="4"/>
        <v/>
      </c>
      <c r="L33" s="23"/>
      <c r="M33" s="23" t="str">
        <f t="shared" si="4"/>
        <v/>
      </c>
      <c r="N33" s="23"/>
      <c r="O33" s="23" t="str">
        <f t="shared" si="4"/>
        <v/>
      </c>
      <c r="P33" s="33"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3" t="str">
        <f t="shared" si="4"/>
        <v/>
      </c>
      <c r="R33" s="33" t="str">
        <f xml:space="preserve"> IF(_xlfn.SINGLE(Squares.SVG_Half_0)&lt;&gt;0, "&lt;circle " &amp; _xlfn.SINGLE(Squares.SVG_Painting_0) &amp; " r='" &amp; ROUND(_xlfn.SINGLE(Squares.SVG_Half_0), DecimalPlaces) &amp; "'/&gt;", "")</f>
        <v>&lt;circle fill='#F6B40E' r='4'/&gt;</v>
      </c>
      <c r="S33" s="23" t="str">
        <f t="shared" si="4"/>
        <v/>
      </c>
      <c r="T33" s="23"/>
      <c r="U33" s="23" t="str">
        <f t="shared" si="4"/>
        <v/>
      </c>
      <c r="V33" s="23"/>
      <c r="W33" s="23" t="str">
        <f t="shared" si="4"/>
        <v/>
      </c>
      <c r="X33" s="23"/>
      <c r="Y33" s="23" t="str">
        <f t="shared" si="4"/>
        <v/>
      </c>
      <c r="Z33" s="23"/>
      <c r="AA33" s="23" t="str">
        <f t="shared" si="4"/>
        <v/>
      </c>
      <c r="AB33" s="23" t="str">
        <f xml:space="preserve"> IF(_xlfn.SINGLE(Squares.SVG_Half_0)&lt;&gt;0, "&lt;circle " &amp; _xlfn.SINGLE(Squares.SVG_Painting_0) &amp; " r='" &amp; ROUND(_xlfn.SINGLE(Squares.SVG_Half_0), DecimalPlaces) &amp; "'/&gt;", "")</f>
        <v>&lt;circle fill='#FFF' r='21'/&gt;</v>
      </c>
      <c r="AC33" s="23" t="str">
        <f t="shared" si="4"/>
        <v/>
      </c>
      <c r="AD33" s="23"/>
      <c r="AE33" s="23" t="str">
        <f t="shared" si="4"/>
        <v/>
      </c>
      <c r="AF33" s="23"/>
      <c r="AG33" s="23"/>
      <c r="AH33" s="23"/>
      <c r="AI33" s="23"/>
      <c r="AJ33" s="23"/>
      <c r="AK33" s="24"/>
    </row>
    <row r="34" spans="3:37" x14ac:dyDescent="0.2">
      <c r="C34" s="25"/>
      <c r="D34" s="26" t="s">
        <v>15</v>
      </c>
      <c r="E34" s="26" t="str">
        <f t="shared" si="4"/>
        <v/>
      </c>
      <c r="F34" s="26" t="s">
        <v>15</v>
      </c>
      <c r="G34" s="26" t="str">
        <f t="shared" si="4"/>
        <v/>
      </c>
      <c r="H34" s="26" t="s">
        <v>15</v>
      </c>
      <c r="I34" s="26" t="str">
        <f t="shared" si="4"/>
        <v/>
      </c>
      <c r="J34" s="26" t="s">
        <v>15</v>
      </c>
      <c r="K34" s="26" t="str">
        <f t="shared" si="4"/>
        <v/>
      </c>
      <c r="L34" s="26" t="s">
        <v>15</v>
      </c>
      <c r="M34" s="26" t="str">
        <f t="shared" si="4"/>
        <v/>
      </c>
      <c r="N34" s="26" t="s">
        <v>15</v>
      </c>
      <c r="O34" s="26" t="str">
        <f t="shared" si="4"/>
        <v/>
      </c>
      <c r="P34" s="26" t="s">
        <v>15</v>
      </c>
      <c r="Q34" s="26" t="str">
        <f t="shared" si="4"/>
        <v/>
      </c>
      <c r="R34" s="26" t="s">
        <v>15</v>
      </c>
      <c r="S34" s="26" t="str">
        <f t="shared" si="4"/>
        <v/>
      </c>
      <c r="T34" s="26" t="s">
        <v>15</v>
      </c>
      <c r="U34" s="26" t="str">
        <f t="shared" si="4"/>
        <v/>
      </c>
      <c r="V34" s="26" t="s">
        <v>15</v>
      </c>
      <c r="W34" s="26" t="str">
        <f t="shared" si="4"/>
        <v/>
      </c>
      <c r="X34" s="26" t="s">
        <v>15</v>
      </c>
      <c r="Y34" s="26" t="str">
        <f t="shared" si="4"/>
        <v/>
      </c>
      <c r="Z34" s="26" t="s">
        <v>15</v>
      </c>
      <c r="AA34" s="26" t="str">
        <f t="shared" si="4"/>
        <v/>
      </c>
      <c r="AB34" s="26" t="s">
        <v>15</v>
      </c>
      <c r="AC34" s="26" t="str">
        <f t="shared" si="4"/>
        <v/>
      </c>
      <c r="AD34" s="26" t="s">
        <v>15</v>
      </c>
      <c r="AE34" s="26" t="str">
        <f t="shared" si="4"/>
        <v/>
      </c>
      <c r="AF34" s="26" t="s">
        <v>15</v>
      </c>
      <c r="AG34" s="26"/>
      <c r="AH34" s="26"/>
      <c r="AI34" s="26"/>
      <c r="AJ34" s="26"/>
      <c r="AK34" s="27"/>
    </row>
    <row r="37" spans="3:37" x14ac:dyDescent="0.2">
      <c r="C37" s="6"/>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x14ac:dyDescent="0.2">
      <c r="C38" s="6"/>
    </row>
    <row r="39" spans="3:37" x14ac:dyDescent="0.2">
      <c r="C39"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1:Z101"/>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x14ac:dyDescent="0.2"/>
  <sheetData>
    <row r="1" spans="2:26" x14ac:dyDescent="0.2">
      <c r="H1" s="5"/>
      <c r="I1" s="5"/>
    </row>
    <row r="2" spans="2:26" x14ac:dyDescent="0.2">
      <c r="C2" s="4" t="s">
        <v>1547</v>
      </c>
      <c r="D2">
        <v>10</v>
      </c>
      <c r="H2" s="4" t="s">
        <v>1546</v>
      </c>
      <c r="I2" s="5"/>
      <c r="J2" t="s">
        <v>1541</v>
      </c>
      <c r="L2" t="s">
        <v>2285</v>
      </c>
      <c r="N2" t="s">
        <v>126</v>
      </c>
      <c r="P2" t="s">
        <v>676</v>
      </c>
      <c r="R2" t="s">
        <v>128</v>
      </c>
      <c r="T2" t="s">
        <v>1542</v>
      </c>
      <c r="V2" t="s">
        <v>657</v>
      </c>
      <c r="X2" t="s">
        <v>2296</v>
      </c>
      <c r="Z2" t="e">
        <f xml:space="preserve"> NA()</f>
        <v>#N/A</v>
      </c>
    </row>
    <row r="3" spans="2:26" x14ac:dyDescent="0.2">
      <c r="C3" s="4" t="s">
        <v>1545</v>
      </c>
      <c r="D3">
        <f xml:space="preserve"> EquilateralCross.Size2 * 2.5</f>
        <v>25</v>
      </c>
      <c r="H3" s="4" t="s">
        <v>1548</v>
      </c>
      <c r="I3" s="5"/>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x14ac:dyDescent="0.2">
      <c r="C4" s="4" t="s">
        <v>1549</v>
      </c>
      <c r="D4" cm="1">
        <f t="array" ref="D4" xml:space="preserve"> EquilateralCross.Size2 / 2.5</f>
        <v>4</v>
      </c>
      <c r="H4" s="5"/>
      <c r="I4" s="5"/>
    </row>
    <row r="5" spans="2:26" x14ac:dyDescent="0.2">
      <c r="C5" s="4" t="s">
        <v>1550</v>
      </c>
      <c r="D5">
        <f xml:space="preserve"> 1 + EquilateralCross.SizeGap3</f>
        <v>5</v>
      </c>
      <c r="H5" s="5"/>
      <c r="I5" s="5"/>
    </row>
    <row r="6" spans="2:26" x14ac:dyDescent="0.2">
      <c r="H6" s="5"/>
      <c r="I6" s="5"/>
    </row>
    <row r="7" spans="2:26" x14ac:dyDescent="0.2">
      <c r="C7" s="4" t="s">
        <v>1563</v>
      </c>
      <c r="D7">
        <f xml:space="preserve"> MODE(Circles.AreaMultiplier) * (EquilateralCross.Size1 / 2) * SQRT( PI() / (2*EquilateralCross.Size1 - EquilateralCross.Size2) / EquilateralCross.Size2 )</f>
        <v>1.1077836568159476</v>
      </c>
      <c r="H7" s="5"/>
      <c r="I7" s="5"/>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8" spans="2:26" x14ac:dyDescent="0.2">
      <c r="H8" s="5"/>
      <c r="I8" s="5"/>
    </row>
    <row r="9" spans="2:26" x14ac:dyDescent="0.2">
      <c r="H9" s="5"/>
      <c r="I9" s="5"/>
    </row>
    <row r="10" spans="2:26" ht="17" thickBot="1" x14ac:dyDescent="0.25">
      <c r="B10" s="3" t="s">
        <v>1551</v>
      </c>
      <c r="C10" s="3" t="s">
        <v>1552</v>
      </c>
      <c r="D10" s="3" t="s">
        <v>1553</v>
      </c>
      <c r="E10" s="5"/>
      <c r="F10" s="5"/>
      <c r="G10" s="5"/>
    </row>
    <row r="11" spans="2:26" x14ac:dyDescent="0.2">
      <c r="B11" t="s">
        <v>1568</v>
      </c>
      <c r="C11" cm="1">
        <f t="array" ref="C11" xml:space="preserve"> EquilateralCross.Size2</f>
        <v>10</v>
      </c>
      <c r="D11" cm="1">
        <f t="array" ref="D11" xml:space="preserve"> EquilateralCross.Size2</f>
        <v>10</v>
      </c>
    </row>
    <row r="12" spans="2:26" x14ac:dyDescent="0.2">
      <c r="B12" t="s">
        <v>1568</v>
      </c>
      <c r="C12" cm="1">
        <f t="array" ref="C12" xml:space="preserve"> EquilateralCross.Size1</f>
        <v>25</v>
      </c>
      <c r="D12" cm="1">
        <f t="array" ref="D12" xml:space="preserve"> EquilateralCross.Size2</f>
        <v>10</v>
      </c>
    </row>
    <row r="13" spans="2:26" x14ac:dyDescent="0.2">
      <c r="B13" t="s">
        <v>1568</v>
      </c>
      <c r="C13" cm="1">
        <f t="array" ref="C13" xml:space="preserve"> EquilateralCross.Size1</f>
        <v>25</v>
      </c>
      <c r="D13" cm="1">
        <f t="array" ref="D13" xml:space="preserve"> - EquilateralCross.Size2</f>
        <v>-10</v>
      </c>
    </row>
    <row r="14" spans="2:26" x14ac:dyDescent="0.2">
      <c r="B14" t="s">
        <v>1568</v>
      </c>
      <c r="C14" cm="1">
        <f t="array" ref="C14" xml:space="preserve"> EquilateralCross.Size2</f>
        <v>10</v>
      </c>
      <c r="D14" cm="1">
        <f t="array" ref="D14" xml:space="preserve"> - EquilateralCross.Size2</f>
        <v>-10</v>
      </c>
    </row>
    <row r="15" spans="2:26" x14ac:dyDescent="0.2">
      <c r="B15" t="s">
        <v>1568</v>
      </c>
      <c r="C15" cm="1">
        <f t="array" ref="C15" xml:space="preserve"> EquilateralCross.Size2</f>
        <v>10</v>
      </c>
      <c r="D15" cm="1">
        <f t="array" ref="D15" xml:space="preserve"> - EquilateralCross.Size1</f>
        <v>-25</v>
      </c>
    </row>
    <row r="16" spans="2:26" x14ac:dyDescent="0.2">
      <c r="B16" t="s">
        <v>1568</v>
      </c>
      <c r="C16" cm="1">
        <f t="array" ref="C16" xml:space="preserve"> - EquilateralCross.Size2</f>
        <v>-10</v>
      </c>
      <c r="D16" cm="1">
        <f t="array" ref="D16" xml:space="preserve"> - EquilateralCross.Size1</f>
        <v>-25</v>
      </c>
    </row>
    <row r="17" spans="2:4" x14ac:dyDescent="0.2">
      <c r="B17" t="s">
        <v>1568</v>
      </c>
      <c r="C17" cm="1">
        <f t="array" ref="C17" xml:space="preserve"> - EquilateralCross.Size2</f>
        <v>-10</v>
      </c>
      <c r="D17" cm="1">
        <f t="array" ref="D17" xml:space="preserve"> - EquilateralCross.Size2</f>
        <v>-10</v>
      </c>
    </row>
    <row r="18" spans="2:4" x14ac:dyDescent="0.2">
      <c r="B18" t="s">
        <v>1568</v>
      </c>
      <c r="C18" cm="1">
        <f t="array" ref="C18" xml:space="preserve"> - EquilateralCross.Size1</f>
        <v>-25</v>
      </c>
      <c r="D18" cm="1">
        <f t="array" ref="D18" xml:space="preserve"> - EquilateralCross.Size2</f>
        <v>-10</v>
      </c>
    </row>
    <row r="19" spans="2:4" x14ac:dyDescent="0.2">
      <c r="B19" t="s">
        <v>1568</v>
      </c>
      <c r="C19" cm="1">
        <f t="array" ref="C19" xml:space="preserve"> - EquilateralCross.Size1</f>
        <v>-25</v>
      </c>
      <c r="D19" cm="1">
        <f t="array" ref="D19" xml:space="preserve"> EquilateralCross.Size2</f>
        <v>10</v>
      </c>
    </row>
    <row r="20" spans="2:4" x14ac:dyDescent="0.2">
      <c r="B20" t="s">
        <v>1568</v>
      </c>
      <c r="C20" cm="1">
        <f t="array" ref="C20" xml:space="preserve"> - EquilateralCross.Size2</f>
        <v>-10</v>
      </c>
      <c r="D20" cm="1">
        <f t="array" ref="D20" xml:space="preserve"> EquilateralCross.Size2</f>
        <v>10</v>
      </c>
    </row>
    <row r="21" spans="2:4" x14ac:dyDescent="0.2">
      <c r="B21" t="s">
        <v>1568</v>
      </c>
      <c r="C21" cm="1">
        <f t="array" ref="C21" xml:space="preserve"> - EquilateralCross.Size2</f>
        <v>-10</v>
      </c>
      <c r="D21" cm="1">
        <f t="array" ref="D21" xml:space="preserve"> EquilateralCross.Size1</f>
        <v>25</v>
      </c>
    </row>
    <row r="22" spans="2:4" x14ac:dyDescent="0.2">
      <c r="B22" t="s">
        <v>1568</v>
      </c>
      <c r="C22" cm="1">
        <f t="array" ref="C22" xml:space="preserve"> EquilateralCross.Size2</f>
        <v>10</v>
      </c>
      <c r="D22" cm="1">
        <f t="array" ref="D22" xml:space="preserve"> EquilateralCross.Size1</f>
        <v>25</v>
      </c>
    </row>
    <row r="24" spans="2:4" x14ac:dyDescent="0.2">
      <c r="B24" t="s">
        <v>1569</v>
      </c>
      <c r="C24" cm="1">
        <f t="array" ref="C24" xml:space="preserve"> (ABS(C11) - EquilateralCross.SizeGap3) * SIGN(C11)</f>
        <v>6</v>
      </c>
      <c r="D24" cm="1">
        <f t="array" ref="D24" xml:space="preserve"> (ABS(D11) - EquilateralCross.SizeGap3) * SIGN(D11)</f>
        <v>6</v>
      </c>
    </row>
    <row r="25" spans="2:4" x14ac:dyDescent="0.2">
      <c r="B25" t="s">
        <v>1569</v>
      </c>
      <c r="C25" cm="1">
        <f t="array" ref="C25" xml:space="preserve"> (ABS(C12) - EquilateralCross.SizeGap3) * SIGN(C12)</f>
        <v>21</v>
      </c>
      <c r="D25" cm="1">
        <f t="array" ref="D25" xml:space="preserve"> (ABS(D12) - EquilateralCross.SizeGap3) * SIGN(D12)</f>
        <v>6</v>
      </c>
    </row>
    <row r="26" spans="2:4" x14ac:dyDescent="0.2">
      <c r="B26" t="s">
        <v>1569</v>
      </c>
      <c r="C26" cm="1">
        <f t="array" ref="C26" xml:space="preserve"> (ABS(C13) - EquilateralCross.SizeGap3) * SIGN(C13)</f>
        <v>21</v>
      </c>
      <c r="D26" cm="1">
        <f t="array" ref="D26" xml:space="preserve"> (ABS(D13) - EquilateralCross.SizeGap3) * SIGN(D13)</f>
        <v>-6</v>
      </c>
    </row>
    <row r="27" spans="2:4" x14ac:dyDescent="0.2">
      <c r="B27" t="s">
        <v>1569</v>
      </c>
      <c r="C27" cm="1">
        <f t="array" ref="C27" xml:space="preserve"> (ABS(C14) - EquilateralCross.SizeGap3) * SIGN(C14)</f>
        <v>6</v>
      </c>
      <c r="D27" cm="1">
        <f t="array" ref="D27" xml:space="preserve"> (ABS(D14) - EquilateralCross.SizeGap3) * SIGN(D14)</f>
        <v>-6</v>
      </c>
    </row>
    <row r="28" spans="2:4" x14ac:dyDescent="0.2">
      <c r="B28" t="s">
        <v>1569</v>
      </c>
      <c r="C28" cm="1">
        <f t="array" ref="C28" xml:space="preserve"> (ABS(C15) - EquilateralCross.SizeGap3) * SIGN(C15)</f>
        <v>6</v>
      </c>
      <c r="D28" cm="1">
        <f t="array" ref="D28" xml:space="preserve"> (ABS(D15) - EquilateralCross.SizeGap3) * SIGN(D15)</f>
        <v>-21</v>
      </c>
    </row>
    <row r="29" spans="2:4" x14ac:dyDescent="0.2">
      <c r="B29" t="s">
        <v>1569</v>
      </c>
      <c r="C29" cm="1">
        <f t="array" ref="C29" xml:space="preserve"> (ABS(C16) - EquilateralCross.SizeGap3) * SIGN(C16)</f>
        <v>-6</v>
      </c>
      <c r="D29" cm="1">
        <f t="array" ref="D29" xml:space="preserve"> (ABS(D16) - EquilateralCross.SizeGap3) * SIGN(D16)</f>
        <v>-21</v>
      </c>
    </row>
    <row r="30" spans="2:4" x14ac:dyDescent="0.2">
      <c r="B30" t="s">
        <v>1569</v>
      </c>
      <c r="C30" cm="1">
        <f t="array" ref="C30" xml:space="preserve"> (ABS(C17) - EquilateralCross.SizeGap3) * SIGN(C17)</f>
        <v>-6</v>
      </c>
      <c r="D30" cm="1">
        <f t="array" ref="D30" xml:space="preserve"> (ABS(D17) - EquilateralCross.SizeGap3) * SIGN(D17)</f>
        <v>-6</v>
      </c>
    </row>
    <row r="31" spans="2:4" x14ac:dyDescent="0.2">
      <c r="B31" t="s">
        <v>1569</v>
      </c>
      <c r="C31" cm="1">
        <f t="array" ref="C31" xml:space="preserve"> (ABS(C18) - EquilateralCross.SizeGap3) * SIGN(C18)</f>
        <v>-21</v>
      </c>
      <c r="D31" cm="1">
        <f t="array" ref="D31" xml:space="preserve"> (ABS(D18) - EquilateralCross.SizeGap3) * SIGN(D18)</f>
        <v>-6</v>
      </c>
    </row>
    <row r="32" spans="2:4" x14ac:dyDescent="0.2">
      <c r="B32" t="s">
        <v>1569</v>
      </c>
      <c r="C32" cm="1">
        <f t="array" ref="C32" xml:space="preserve"> (ABS(C19) - EquilateralCross.SizeGap3) * SIGN(C19)</f>
        <v>-21</v>
      </c>
      <c r="D32" cm="1">
        <f t="array" ref="D32" xml:space="preserve"> (ABS(D19) - EquilateralCross.SizeGap3) * SIGN(D19)</f>
        <v>6</v>
      </c>
    </row>
    <row r="33" spans="2:4" x14ac:dyDescent="0.2">
      <c r="B33" t="s">
        <v>1569</v>
      </c>
      <c r="C33" cm="1">
        <f t="array" ref="C33" xml:space="preserve"> (ABS(C20) - EquilateralCross.SizeGap3) * SIGN(C20)</f>
        <v>-6</v>
      </c>
      <c r="D33" cm="1">
        <f t="array" ref="D33" xml:space="preserve"> (ABS(D20) - EquilateralCross.SizeGap3) * SIGN(D20)</f>
        <v>6</v>
      </c>
    </row>
    <row r="34" spans="2:4" x14ac:dyDescent="0.2">
      <c r="B34" t="s">
        <v>1569</v>
      </c>
      <c r="C34" cm="1">
        <f t="array" ref="C34" xml:space="preserve"> (ABS(C21) - EquilateralCross.SizeGap3) * SIGN(C21)</f>
        <v>-6</v>
      </c>
      <c r="D34" cm="1">
        <f t="array" ref="D34" xml:space="preserve"> (ABS(D21) - EquilateralCross.SizeGap3) * SIGN(D21)</f>
        <v>21</v>
      </c>
    </row>
    <row r="35" spans="2:4" x14ac:dyDescent="0.2">
      <c r="B35" t="s">
        <v>1569</v>
      </c>
      <c r="C35" cm="1">
        <f t="array" ref="C35" xml:space="preserve"> (ABS(C22) - EquilateralCross.SizeGap3) * SIGN(C22)</f>
        <v>6</v>
      </c>
      <c r="D35" cm="1">
        <f t="array" ref="D35" xml:space="preserve"> (ABS(D22) - EquilateralCross.SizeGap3) * SIGN(D22)</f>
        <v>21</v>
      </c>
    </row>
    <row r="37" spans="2:4" x14ac:dyDescent="0.2">
      <c r="B37" t="s">
        <v>1570</v>
      </c>
      <c r="C37" cm="1">
        <f t="array" ref="C37" xml:space="preserve"> (ABS(C24) - EquilateralCross.SizeGap3) * SIGN(C24)</f>
        <v>2</v>
      </c>
      <c r="D37" cm="1">
        <f t="array" ref="D37" xml:space="preserve"> (ABS(D24) - EquilateralCross.SizeGap3) * SIGN(D24)</f>
        <v>2</v>
      </c>
    </row>
    <row r="38" spans="2:4" x14ac:dyDescent="0.2">
      <c r="B38" t="s">
        <v>1570</v>
      </c>
      <c r="C38" cm="1">
        <f t="array" ref="C38" xml:space="preserve"> (ABS(C25) - EquilateralCross.SizeGap3) * SIGN(C25)</f>
        <v>17</v>
      </c>
      <c r="D38" cm="1">
        <f t="array" ref="D38" xml:space="preserve"> (ABS(D25) - EquilateralCross.SizeGap3) * SIGN(D25)</f>
        <v>2</v>
      </c>
    </row>
    <row r="39" spans="2:4" x14ac:dyDescent="0.2">
      <c r="B39" t="s">
        <v>1570</v>
      </c>
      <c r="C39" cm="1">
        <f t="array" ref="C39" xml:space="preserve"> (ABS(C26) - EquilateralCross.SizeGap3) * SIGN(C26)</f>
        <v>17</v>
      </c>
      <c r="D39" cm="1">
        <f t="array" ref="D39" xml:space="preserve"> (ABS(D26) - EquilateralCross.SizeGap3) * SIGN(D26)</f>
        <v>-2</v>
      </c>
    </row>
    <row r="40" spans="2:4" x14ac:dyDescent="0.2">
      <c r="B40" t="s">
        <v>1570</v>
      </c>
      <c r="C40" cm="1">
        <f t="array" ref="C40" xml:space="preserve"> (ABS(C27) - EquilateralCross.SizeGap3) * SIGN(C27)</f>
        <v>2</v>
      </c>
      <c r="D40" cm="1">
        <f t="array" ref="D40" xml:space="preserve"> (ABS(D27) - EquilateralCross.SizeGap3) * SIGN(D27)</f>
        <v>-2</v>
      </c>
    </row>
    <row r="41" spans="2:4" x14ac:dyDescent="0.2">
      <c r="B41" t="s">
        <v>1570</v>
      </c>
      <c r="C41" cm="1">
        <f t="array" ref="C41" xml:space="preserve"> (ABS(C28) - EquilateralCross.SizeGap3) * SIGN(C28)</f>
        <v>2</v>
      </c>
      <c r="D41" cm="1">
        <f t="array" ref="D41" xml:space="preserve"> (ABS(D28) - EquilateralCross.SizeGap3) * SIGN(D28)</f>
        <v>-17</v>
      </c>
    </row>
    <row r="42" spans="2:4" x14ac:dyDescent="0.2">
      <c r="B42" t="s">
        <v>1570</v>
      </c>
      <c r="C42" cm="1">
        <f t="array" ref="C42" xml:space="preserve"> (ABS(C29) - EquilateralCross.SizeGap3) * SIGN(C29)</f>
        <v>-2</v>
      </c>
      <c r="D42" cm="1">
        <f t="array" ref="D42" xml:space="preserve"> (ABS(D29) - EquilateralCross.SizeGap3) * SIGN(D29)</f>
        <v>-17</v>
      </c>
    </row>
    <row r="43" spans="2:4" x14ac:dyDescent="0.2">
      <c r="B43" t="s">
        <v>1570</v>
      </c>
      <c r="C43" cm="1">
        <f t="array" ref="C43" xml:space="preserve"> (ABS(C30) - EquilateralCross.SizeGap3) * SIGN(C30)</f>
        <v>-2</v>
      </c>
      <c r="D43" cm="1">
        <f t="array" ref="D43" xml:space="preserve"> (ABS(D30) - EquilateralCross.SizeGap3) * SIGN(D30)</f>
        <v>-2</v>
      </c>
    </row>
    <row r="44" spans="2:4" x14ac:dyDescent="0.2">
      <c r="B44" t="s">
        <v>1570</v>
      </c>
      <c r="C44" cm="1">
        <f t="array" ref="C44" xml:space="preserve"> (ABS(C31) - EquilateralCross.SizeGap3) * SIGN(C31)</f>
        <v>-17</v>
      </c>
      <c r="D44" cm="1">
        <f t="array" ref="D44" xml:space="preserve"> (ABS(D31) - EquilateralCross.SizeGap3) * SIGN(D31)</f>
        <v>-2</v>
      </c>
    </row>
    <row r="45" spans="2:4" x14ac:dyDescent="0.2">
      <c r="B45" t="s">
        <v>1570</v>
      </c>
      <c r="C45" cm="1">
        <f t="array" ref="C45" xml:space="preserve"> (ABS(C32) - EquilateralCross.SizeGap3) * SIGN(C32)</f>
        <v>-17</v>
      </c>
      <c r="D45" cm="1">
        <f t="array" ref="D45" xml:space="preserve"> (ABS(D32) - EquilateralCross.SizeGap3) * SIGN(D32)</f>
        <v>2</v>
      </c>
    </row>
    <row r="46" spans="2:4" x14ac:dyDescent="0.2">
      <c r="B46" t="s">
        <v>1570</v>
      </c>
      <c r="C46" cm="1">
        <f t="array" ref="C46" xml:space="preserve"> (ABS(C33) - EquilateralCross.SizeGap3) * SIGN(C33)</f>
        <v>-2</v>
      </c>
      <c r="D46" cm="1">
        <f t="array" ref="D46" xml:space="preserve"> (ABS(D33) - EquilateralCross.SizeGap3) * SIGN(D33)</f>
        <v>2</v>
      </c>
    </row>
    <row r="47" spans="2:4" x14ac:dyDescent="0.2">
      <c r="B47" t="s">
        <v>1570</v>
      </c>
      <c r="C47" cm="1">
        <f t="array" ref="C47" xml:space="preserve"> (ABS(C34) - EquilateralCross.SizeGap3) * SIGN(C34)</f>
        <v>-2</v>
      </c>
      <c r="D47" cm="1">
        <f t="array" ref="D47" xml:space="preserve"> (ABS(D34) - EquilateralCross.SizeGap3) * SIGN(D34)</f>
        <v>17</v>
      </c>
    </row>
    <row r="48" spans="2:4" x14ac:dyDescent="0.2">
      <c r="B48" t="s">
        <v>1570</v>
      </c>
      <c r="C48" cm="1">
        <f t="array" ref="C48" xml:space="preserve"> (ABS(C35) - EquilateralCross.SizeGap3) * SIGN(C35)</f>
        <v>2</v>
      </c>
      <c r="D48" cm="1">
        <f t="array" ref="D48" xml:space="preserve"> (ABS(D35) - EquilateralCross.SizeGap3) * SIGN(D35)</f>
        <v>17</v>
      </c>
    </row>
    <row r="50" spans="2:4" x14ac:dyDescent="0.2">
      <c r="B50" t="s">
        <v>1571</v>
      </c>
      <c r="C50">
        <f t="shared" ref="C50:D61" si="0" xml:space="preserve"> (ABS(C11) - EquilateralCross.SizeGap2) * SIGN(C11)</f>
        <v>5</v>
      </c>
      <c r="D50">
        <f t="shared" si="0"/>
        <v>5</v>
      </c>
    </row>
    <row r="51" spans="2:4" x14ac:dyDescent="0.2">
      <c r="B51" t="s">
        <v>1571</v>
      </c>
      <c r="C51">
        <f t="shared" si="0"/>
        <v>20</v>
      </c>
      <c r="D51">
        <f t="shared" si="0"/>
        <v>5</v>
      </c>
    </row>
    <row r="52" spans="2:4" x14ac:dyDescent="0.2">
      <c r="B52" t="s">
        <v>1571</v>
      </c>
      <c r="C52">
        <f t="shared" si="0"/>
        <v>20</v>
      </c>
      <c r="D52">
        <f t="shared" si="0"/>
        <v>-5</v>
      </c>
    </row>
    <row r="53" spans="2:4" x14ac:dyDescent="0.2">
      <c r="B53" t="s">
        <v>1571</v>
      </c>
      <c r="C53">
        <f t="shared" si="0"/>
        <v>5</v>
      </c>
      <c r="D53">
        <f t="shared" si="0"/>
        <v>-5</v>
      </c>
    </row>
    <row r="54" spans="2:4" x14ac:dyDescent="0.2">
      <c r="B54" t="s">
        <v>1571</v>
      </c>
      <c r="C54">
        <f t="shared" si="0"/>
        <v>5</v>
      </c>
      <c r="D54">
        <f t="shared" si="0"/>
        <v>-20</v>
      </c>
    </row>
    <row r="55" spans="2:4" x14ac:dyDescent="0.2">
      <c r="B55" t="s">
        <v>1571</v>
      </c>
      <c r="C55">
        <f t="shared" si="0"/>
        <v>-5</v>
      </c>
      <c r="D55">
        <f t="shared" si="0"/>
        <v>-20</v>
      </c>
    </row>
    <row r="56" spans="2:4" x14ac:dyDescent="0.2">
      <c r="B56" t="s">
        <v>1571</v>
      </c>
      <c r="C56">
        <f t="shared" si="0"/>
        <v>-5</v>
      </c>
      <c r="D56">
        <f t="shared" si="0"/>
        <v>-5</v>
      </c>
    </row>
    <row r="57" spans="2:4" x14ac:dyDescent="0.2">
      <c r="B57" t="s">
        <v>1571</v>
      </c>
      <c r="C57">
        <f t="shared" si="0"/>
        <v>-20</v>
      </c>
      <c r="D57">
        <f t="shared" si="0"/>
        <v>-5</v>
      </c>
    </row>
    <row r="58" spans="2:4" x14ac:dyDescent="0.2">
      <c r="B58" t="s">
        <v>1571</v>
      </c>
      <c r="C58">
        <f t="shared" si="0"/>
        <v>-20</v>
      </c>
      <c r="D58">
        <f t="shared" si="0"/>
        <v>5</v>
      </c>
    </row>
    <row r="59" spans="2:4" x14ac:dyDescent="0.2">
      <c r="B59" t="s">
        <v>1571</v>
      </c>
      <c r="C59">
        <f t="shared" si="0"/>
        <v>-5</v>
      </c>
      <c r="D59">
        <f t="shared" si="0"/>
        <v>5</v>
      </c>
    </row>
    <row r="60" spans="2:4" x14ac:dyDescent="0.2">
      <c r="B60" t="s">
        <v>1571</v>
      </c>
      <c r="C60">
        <f t="shared" si="0"/>
        <v>-5</v>
      </c>
      <c r="D60">
        <f t="shared" si="0"/>
        <v>20</v>
      </c>
    </row>
    <row r="61" spans="2:4" x14ac:dyDescent="0.2">
      <c r="B61" t="s">
        <v>1571</v>
      </c>
      <c r="C61">
        <f t="shared" si="0"/>
        <v>5</v>
      </c>
      <c r="D61">
        <f t="shared" si="0"/>
        <v>20</v>
      </c>
    </row>
    <row r="63" spans="2:4" x14ac:dyDescent="0.2">
      <c r="B63" t="s">
        <v>1576</v>
      </c>
      <c r="C63">
        <f xml:space="preserve"> AVERAGE(C37, C24)</f>
        <v>4</v>
      </c>
      <c r="D63">
        <f xml:space="preserve"> AVERAGE(D37, D24)</f>
        <v>4</v>
      </c>
    </row>
    <row r="64" spans="2:4" x14ac:dyDescent="0.2">
      <c r="B64" t="s">
        <v>1576</v>
      </c>
      <c r="C64">
        <f t="shared" ref="C64:D64" si="1" xml:space="preserve"> AVERAGE(C38, C25)</f>
        <v>19</v>
      </c>
      <c r="D64">
        <f t="shared" si="1"/>
        <v>4</v>
      </c>
    </row>
    <row r="65" spans="2:24" x14ac:dyDescent="0.2">
      <c r="B65" t="s">
        <v>1576</v>
      </c>
      <c r="C65">
        <f t="shared" ref="C65:D65" si="2" xml:space="preserve"> AVERAGE(C39, C26)</f>
        <v>19</v>
      </c>
      <c r="D65">
        <f t="shared" si="2"/>
        <v>-4</v>
      </c>
    </row>
    <row r="66" spans="2:24" x14ac:dyDescent="0.2">
      <c r="B66" t="s">
        <v>1576</v>
      </c>
      <c r="C66">
        <f t="shared" ref="C66:D66" si="3" xml:space="preserve"> AVERAGE(C40, C27)</f>
        <v>4</v>
      </c>
      <c r="D66">
        <f t="shared" si="3"/>
        <v>-4</v>
      </c>
    </row>
    <row r="67" spans="2:24" x14ac:dyDescent="0.2">
      <c r="B67" t="s">
        <v>1576</v>
      </c>
      <c r="C67">
        <f t="shared" ref="C67:D67" si="4" xml:space="preserve"> AVERAGE(C41, C28)</f>
        <v>4</v>
      </c>
      <c r="D67">
        <f t="shared" si="4"/>
        <v>-19</v>
      </c>
    </row>
    <row r="68" spans="2:24" x14ac:dyDescent="0.2">
      <c r="B68" t="s">
        <v>1576</v>
      </c>
      <c r="C68">
        <f t="shared" ref="C68:D68" si="5" xml:space="preserve"> AVERAGE(C42, C29)</f>
        <v>-4</v>
      </c>
      <c r="D68">
        <f t="shared" si="5"/>
        <v>-19</v>
      </c>
    </row>
    <row r="69" spans="2:24" x14ac:dyDescent="0.2">
      <c r="B69" t="s">
        <v>1576</v>
      </c>
      <c r="C69">
        <f t="shared" ref="C69:D69" si="6" xml:space="preserve"> AVERAGE(C43, C30)</f>
        <v>-4</v>
      </c>
      <c r="D69">
        <f t="shared" si="6"/>
        <v>-4</v>
      </c>
    </row>
    <row r="70" spans="2:24" x14ac:dyDescent="0.2">
      <c r="B70" t="s">
        <v>1576</v>
      </c>
      <c r="C70">
        <f t="shared" ref="C70:D70" si="7" xml:space="preserve"> AVERAGE(C44, C31)</f>
        <v>-19</v>
      </c>
      <c r="D70">
        <f t="shared" si="7"/>
        <v>-4</v>
      </c>
    </row>
    <row r="71" spans="2:24" x14ac:dyDescent="0.2">
      <c r="B71" t="s">
        <v>1576</v>
      </c>
      <c r="C71">
        <f t="shared" ref="C71:D71" si="8" xml:space="preserve"> AVERAGE(C45, C32)</f>
        <v>-19</v>
      </c>
      <c r="D71">
        <f t="shared" si="8"/>
        <v>4</v>
      </c>
    </row>
    <row r="72" spans="2:24" x14ac:dyDescent="0.2">
      <c r="B72" t="s">
        <v>1576</v>
      </c>
      <c r="C72">
        <f t="shared" ref="C72:D72" si="9" xml:space="preserve"> AVERAGE(C46, C33)</f>
        <v>-4</v>
      </c>
      <c r="D72">
        <f t="shared" si="9"/>
        <v>4</v>
      </c>
    </row>
    <row r="73" spans="2:24" x14ac:dyDescent="0.2">
      <c r="B73" t="s">
        <v>1576</v>
      </c>
      <c r="C73">
        <f t="shared" ref="C73:D73" si="10" xml:space="preserve"> AVERAGE(C47, C34)</f>
        <v>-4</v>
      </c>
      <c r="D73">
        <f t="shared" si="10"/>
        <v>19</v>
      </c>
    </row>
    <row r="74" spans="2:24" x14ac:dyDescent="0.2">
      <c r="B74" t="s">
        <v>1576</v>
      </c>
      <c r="C74">
        <f t="shared" ref="C74:D74" si="11" xml:space="preserve"> AVERAGE(C48, C35)</f>
        <v>4</v>
      </c>
      <c r="D74">
        <f t="shared" si="11"/>
        <v>19</v>
      </c>
    </row>
    <row r="77" spans="2:24" x14ac:dyDescent="0.2">
      <c r="H77" s="4" t="s">
        <v>1554</v>
      </c>
      <c r="I77" s="5"/>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x14ac:dyDescent="0.2">
      <c r="H78" s="4" t="s">
        <v>1555</v>
      </c>
      <c r="I78" s="5"/>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x14ac:dyDescent="0.2">
      <c r="H79" s="4" t="s">
        <v>1556</v>
      </c>
      <c r="I79" s="5"/>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x14ac:dyDescent="0.2">
      <c r="H80" s="4" t="s">
        <v>1557</v>
      </c>
      <c r="I80" s="5"/>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x14ac:dyDescent="0.2">
      <c r="H82" s="4" t="s">
        <v>1558</v>
      </c>
      <c r="I82" s="5"/>
      <c r="J82" s="28">
        <f xml:space="preserve"> CEILING(EquilateralCross.AreaMultiplier_Possible, 1/4)</f>
        <v>1.25</v>
      </c>
      <c r="L82" s="28">
        <f t="shared" si="13"/>
        <v>1.25</v>
      </c>
      <c r="N82" s="28">
        <f xml:space="preserve"> $J82</f>
        <v>1.25</v>
      </c>
      <c r="P82" s="28">
        <f xml:space="preserve"> $J82</f>
        <v>1.25</v>
      </c>
      <c r="R82" s="28">
        <f xml:space="preserve"> $J82</f>
        <v>1.25</v>
      </c>
      <c r="T82" s="28">
        <f xml:space="preserve"> $J82</f>
        <v>1.25</v>
      </c>
      <c r="V82" s="28">
        <f xml:space="preserve"> $J82</f>
        <v>1.25</v>
      </c>
      <c r="X82" s="28">
        <f t="shared" ref="X82:X85" si="14" xml:space="preserve"> $V82</f>
        <v>1.25</v>
      </c>
    </row>
    <row r="83" spans="6:26" x14ac:dyDescent="0.2">
      <c r="H83" s="4" t="s">
        <v>1559</v>
      </c>
      <c r="I83" s="5"/>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x14ac:dyDescent="0.2">
      <c r="H84" s="4" t="s">
        <v>1560</v>
      </c>
      <c r="I84" s="5"/>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x14ac:dyDescent="0.2">
      <c r="H85" s="4" t="s">
        <v>1561</v>
      </c>
      <c r="I85" s="5"/>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x14ac:dyDescent="0.2">
      <c r="H87" s="4" t="s">
        <v>1572</v>
      </c>
      <c r="I87" s="5"/>
      <c r="J87" t="s">
        <v>738</v>
      </c>
      <c r="L87" t="str">
        <f t="shared" si="13"/>
        <v>fill='red'</v>
      </c>
      <c r="N87" s="6" t="s">
        <v>758</v>
      </c>
      <c r="P87" s="6" t="s">
        <v>1509</v>
      </c>
      <c r="R87" t="s">
        <v>794</v>
      </c>
      <c r="T87" t="s">
        <v>1544</v>
      </c>
      <c r="V87" s="6" t="s">
        <v>1488</v>
      </c>
      <c r="X87" s="6" t="str">
        <f xml:space="preserve"> $V87</f>
        <v>fill='#002F6C'</v>
      </c>
    </row>
    <row r="88" spans="6:26" x14ac:dyDescent="0.2">
      <c r="H88" s="4" t="s">
        <v>1573</v>
      </c>
      <c r="I88" s="5"/>
      <c r="P88" s="6"/>
      <c r="R88" t="s">
        <v>2092</v>
      </c>
      <c r="T88" t="s">
        <v>2092</v>
      </c>
      <c r="V88" s="6"/>
      <c r="X88" s="6"/>
    </row>
    <row r="89" spans="6:26" x14ac:dyDescent="0.2">
      <c r="H89" s="4" t="s">
        <v>1574</v>
      </c>
      <c r="I89" s="5"/>
      <c r="R89" t="s">
        <v>793</v>
      </c>
      <c r="T89" t="s">
        <v>1543</v>
      </c>
      <c r="V89" s="6"/>
      <c r="X89" s="6"/>
    </row>
    <row r="90" spans="6:26" x14ac:dyDescent="0.2">
      <c r="H90" s="4" t="s">
        <v>1575</v>
      </c>
      <c r="I90" s="5"/>
      <c r="J90" t="s">
        <v>2091</v>
      </c>
      <c r="L90" t="s">
        <v>2132</v>
      </c>
      <c r="N90" s="6" t="s">
        <v>722</v>
      </c>
      <c r="P90" s="6" t="s">
        <v>2091</v>
      </c>
      <c r="V90" s="6"/>
      <c r="X90" s="6"/>
    </row>
    <row r="91" spans="6:26" x14ac:dyDescent="0.2">
      <c r="H91" s="4" t="s">
        <v>1577</v>
      </c>
      <c r="I91" s="5"/>
      <c r="N91" s="6"/>
      <c r="P91" s="6"/>
      <c r="V91" s="6" t="s">
        <v>2091</v>
      </c>
      <c r="X91" s="79" t="s">
        <v>2290</v>
      </c>
    </row>
    <row r="93" spans="6:26" ht="17" thickBot="1" x14ac:dyDescent="0.25">
      <c r="H93" s="7" t="s">
        <v>1562</v>
      </c>
      <c r="I93" s="5"/>
    </row>
    <row r="94" spans="6:26" x14ac:dyDescent="0.2">
      <c r="H94" s="5"/>
      <c r="I94" s="60" t="str">
        <f xml:space="preserve"> ""</f>
        <v/>
      </c>
      <c r="J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8" t="str">
        <f xml:space="preserve"> ""</f>
        <v/>
      </c>
      <c r="L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8" t="str">
        <f xml:space="preserve"> ""</f>
        <v/>
      </c>
      <c r="N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8" t="str">
        <f xml:space="preserve"> ""</f>
        <v/>
      </c>
      <c r="P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8" t="str">
        <f xml:space="preserve"> ""</f>
        <v/>
      </c>
      <c r="R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8" t="str">
        <f xml:space="preserve"> ""</f>
        <v/>
      </c>
      <c r="T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8" t="str">
        <f xml:space="preserve"> ""</f>
        <v/>
      </c>
      <c r="V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8" t="str">
        <f xml:space="preserve"> ""</f>
        <v/>
      </c>
      <c r="X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8"/>
      <c r="Z94" s="9"/>
    </row>
    <row r="95" spans="6:26" x14ac:dyDescent="0.2">
      <c r="F95" t="s">
        <v>1787</v>
      </c>
      <c r="H95" s="5"/>
      <c r="I95" s="61" t="str">
        <f t="shared" ref="I95:I100" si="15" xml:space="preserve"> ""</f>
        <v/>
      </c>
      <c r="J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s="5" t="str">
        <f t="shared" ref="K95:W100" si="16" xml:space="preserve"> ""</f>
        <v/>
      </c>
      <c r="L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s="5" t="str">
        <f t="shared" si="16"/>
        <v/>
      </c>
      <c r="N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s="5" t="str">
        <f t="shared" si="16"/>
        <v/>
      </c>
      <c r="P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s="5" t="str">
        <f t="shared" si="16"/>
        <v/>
      </c>
      <c r="R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s="5" t="str">
        <f t="shared" si="16"/>
        <v/>
      </c>
      <c r="T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s="5" t="str">
        <f t="shared" si="16"/>
        <v/>
      </c>
      <c r="V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s="5" t="str">
        <f t="shared" si="16"/>
        <v/>
      </c>
      <c r="X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Y95" s="5"/>
      <c r="Z95" s="10"/>
    </row>
    <row r="96" spans="6:26" x14ac:dyDescent="0.2">
      <c r="F96" t="s">
        <v>1788</v>
      </c>
      <c r="H96" s="5"/>
      <c r="I96" s="61" t="str">
        <f t="shared" si="15"/>
        <v/>
      </c>
      <c r="J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s="5" t="str">
        <f t="shared" si="16"/>
        <v/>
      </c>
      <c r="L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s="5" t="str">
        <f t="shared" si="16"/>
        <v/>
      </c>
      <c r="N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s="5" t="str">
        <f t="shared" si="16"/>
        <v/>
      </c>
      <c r="P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s="5" t="str">
        <f t="shared" si="16"/>
        <v/>
      </c>
      <c r="R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s="5" t="str">
        <f t="shared" si="16"/>
        <v/>
      </c>
      <c r="T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s="5" t="str">
        <f t="shared" si="16"/>
        <v/>
      </c>
      <c r="V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s="5" t="str">
        <f t="shared" si="16"/>
        <v/>
      </c>
      <c r="X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Y96" s="5"/>
      <c r="Z96" s="10"/>
    </row>
    <row r="97" spans="6:26" x14ac:dyDescent="0.2">
      <c r="F97" t="s">
        <v>1786</v>
      </c>
      <c r="H97" s="5"/>
      <c r="I97" s="61" t="str">
        <f t="shared" si="15"/>
        <v/>
      </c>
      <c r="J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s="5" t="str">
        <f t="shared" si="16"/>
        <v/>
      </c>
      <c r="L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s="5" t="str">
        <f t="shared" si="16"/>
        <v/>
      </c>
      <c r="N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s="5" t="str">
        <f t="shared" si="16"/>
        <v/>
      </c>
      <c r="P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s="5" t="str">
        <f t="shared" si="16"/>
        <v/>
      </c>
      <c r="R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s="5" t="str">
        <f t="shared" si="16"/>
        <v/>
      </c>
      <c r="T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s="5" t="str">
        <f t="shared" si="16"/>
        <v/>
      </c>
      <c r="V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s="5" t="str">
        <f t="shared" si="16"/>
        <v/>
      </c>
      <c r="X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Y97" s="5"/>
      <c r="Z97" s="10"/>
    </row>
    <row r="98" spans="6:26" x14ac:dyDescent="0.2">
      <c r="F98" t="s">
        <v>1789</v>
      </c>
      <c r="H98" s="5"/>
      <c r="I98" s="61" t="str">
        <f t="shared" si="15"/>
        <v/>
      </c>
      <c r="J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K98" s="5"/>
      <c r="L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M98" s="5"/>
      <c r="N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O98" s="5"/>
      <c r="P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Q98" s="5"/>
      <c r="R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S98" s="5"/>
      <c r="T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U98" s="5"/>
      <c r="V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W98" s="5"/>
      <c r="X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Y98" s="5"/>
      <c r="Z98" s="10"/>
    </row>
    <row r="99" spans="6:26" x14ac:dyDescent="0.2">
      <c r="F99" t="s">
        <v>1790</v>
      </c>
      <c r="H99" s="5"/>
      <c r="I99" s="61" t="str">
        <f t="shared" si="15"/>
        <v/>
      </c>
      <c r="J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s="5" t="str">
        <f t="shared" si="16"/>
        <v/>
      </c>
      <c r="L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M99" s="5"/>
      <c r="N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s="5" t="str">
        <f t="shared" si="16"/>
        <v/>
      </c>
      <c r="P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s="5" t="str">
        <f t="shared" si="16"/>
        <v/>
      </c>
      <c r="R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s="5" t="str">
        <f t="shared" si="16"/>
        <v/>
      </c>
      <c r="T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s="5" t="str">
        <f t="shared" si="16"/>
        <v/>
      </c>
      <c r="V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s="5" t="str">
        <f t="shared" si="16"/>
        <v/>
      </c>
      <c r="X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Y99" s="5"/>
      <c r="Z99" s="10"/>
    </row>
    <row r="100" spans="6:26" x14ac:dyDescent="0.2">
      <c r="H100" s="5"/>
      <c r="I100" s="62" t="str">
        <f t="shared" si="15"/>
        <v/>
      </c>
      <c r="J100" s="17" t="s">
        <v>15</v>
      </c>
      <c r="K100" s="11" t="str">
        <f t="shared" si="16"/>
        <v/>
      </c>
      <c r="L100" s="17" t="s">
        <v>15</v>
      </c>
      <c r="M100" s="11"/>
      <c r="N100" s="17" t="s">
        <v>15</v>
      </c>
      <c r="O100" s="11" t="str">
        <f t="shared" si="16"/>
        <v/>
      </c>
      <c r="P100" s="17" t="s">
        <v>15</v>
      </c>
      <c r="Q100" s="11" t="str">
        <f t="shared" si="16"/>
        <v/>
      </c>
      <c r="R100" s="17" t="s">
        <v>15</v>
      </c>
      <c r="S100" s="11" t="str">
        <f t="shared" si="16"/>
        <v/>
      </c>
      <c r="T100" s="17" t="s">
        <v>15</v>
      </c>
      <c r="U100" s="11" t="str">
        <f t="shared" si="16"/>
        <v/>
      </c>
      <c r="V100" s="17" t="s">
        <v>15</v>
      </c>
      <c r="W100" s="11" t="str">
        <f t="shared" si="16"/>
        <v/>
      </c>
      <c r="X100" s="17" t="s">
        <v>15</v>
      </c>
      <c r="Y100" s="11"/>
      <c r="Z100" s="12"/>
    </row>
    <row r="101" spans="6:26" x14ac:dyDescent="0.2">
      <c r="H101" s="5"/>
      <c r="I101" s="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topLeftCell="B1" workbookViewId="0">
      <selection activeCell="B2" sqref="B2"/>
    </sheetView>
  </sheetViews>
  <sheetFormatPr baseColWidth="10" defaultRowHeight="16" x14ac:dyDescent="0.2"/>
  <sheetData>
    <row r="2" spans="1:16" x14ac:dyDescent="0.2">
      <c r="F2" s="4" t="s">
        <v>341</v>
      </c>
      <c r="G2" s="5"/>
      <c r="H2" t="s">
        <v>357</v>
      </c>
      <c r="J2" t="s">
        <v>358</v>
      </c>
      <c r="L2" t="s">
        <v>2297</v>
      </c>
      <c r="N2" t="s">
        <v>359</v>
      </c>
      <c r="P2" t="e">
        <f xml:space="preserve"> NA()</f>
        <v>#N/A</v>
      </c>
    </row>
    <row r="3" spans="1:16" x14ac:dyDescent="0.2">
      <c r="F3" s="4" t="s">
        <v>342</v>
      </c>
      <c r="H3" s="28">
        <v>0.95</v>
      </c>
      <c r="J3" s="28">
        <f xml:space="preserve"> $H3</f>
        <v>0.95</v>
      </c>
      <c r="L3">
        <f xml:space="preserve"> $J3</f>
        <v>0.95</v>
      </c>
      <c r="N3" s="28">
        <f xml:space="preserve"> $H3</f>
        <v>0.95</v>
      </c>
    </row>
    <row r="4" spans="1:16" x14ac:dyDescent="0.2">
      <c r="C4" s="1"/>
      <c r="D4" s="1"/>
    </row>
    <row r="5" spans="1:16" x14ac:dyDescent="0.2">
      <c r="F5" s="4" t="s">
        <v>343</v>
      </c>
      <c r="H5" s="6" t="s">
        <v>1072</v>
      </c>
      <c r="J5" s="6" t="s">
        <v>747</v>
      </c>
      <c r="L5" s="30" t="str">
        <f xml:space="preserve"> $J6</f>
        <v xml:space="preserve">  fill='#034DA3' </v>
      </c>
      <c r="N5" s="6" t="s">
        <v>748</v>
      </c>
    </row>
    <row r="6" spans="1:16" x14ac:dyDescent="0.2">
      <c r="F6" s="4" t="s">
        <v>344</v>
      </c>
      <c r="H6" s="6" t="s">
        <v>1071</v>
      </c>
      <c r="J6" s="6" t="s">
        <v>1828</v>
      </c>
      <c r="L6" s="30" t="str">
        <f xml:space="preserve"> $J5</f>
        <v xml:space="preserve">  fill='#EF3340' </v>
      </c>
      <c r="N6" s="6" t="s">
        <v>749</v>
      </c>
    </row>
    <row r="7" spans="1:16" x14ac:dyDescent="0.2">
      <c r="F7" s="5"/>
      <c r="G7" s="5"/>
      <c r="H7" s="6"/>
    </row>
    <row r="8" spans="1:16" x14ac:dyDescent="0.2">
      <c r="A8" s="1">
        <v>1</v>
      </c>
      <c r="C8" s="4" t="s">
        <v>1682</v>
      </c>
      <c r="D8" s="1">
        <v>1</v>
      </c>
      <c r="F8" s="1"/>
      <c r="G8" s="5"/>
      <c r="H8" s="6"/>
    </row>
    <row r="9" spans="1:16" x14ac:dyDescent="0.2">
      <c r="A9" s="1">
        <v>3</v>
      </c>
      <c r="C9" s="4" t="s">
        <v>1677</v>
      </c>
      <c r="D9" s="1">
        <v>2</v>
      </c>
      <c r="F9" s="1"/>
      <c r="G9" s="5"/>
      <c r="H9" s="6"/>
    </row>
    <row r="10" spans="1:16" x14ac:dyDescent="0.2">
      <c r="A10" s="1">
        <v>8</v>
      </c>
      <c r="C10" s="4" t="s">
        <v>1679</v>
      </c>
      <c r="D10" s="1">
        <v>5</v>
      </c>
      <c r="F10" s="1"/>
      <c r="G10" s="5"/>
      <c r="H10" s="6"/>
    </row>
    <row r="11" spans="1:16" x14ac:dyDescent="0.2">
      <c r="A11" s="1">
        <v>1</v>
      </c>
      <c r="C11" s="4" t="s">
        <v>1678</v>
      </c>
      <c r="D11" s="1">
        <v>1</v>
      </c>
      <c r="F11" s="1"/>
      <c r="G11" s="5"/>
      <c r="H11" s="6"/>
    </row>
    <row r="12" spans="1:16" x14ac:dyDescent="0.2">
      <c r="A12" s="1">
        <v>7</v>
      </c>
      <c r="C12" s="4" t="s">
        <v>1680</v>
      </c>
      <c r="D12" s="1">
        <v>5</v>
      </c>
      <c r="F12" s="1"/>
      <c r="G12" s="5"/>
      <c r="H12" s="6"/>
    </row>
    <row r="13" spans="1:16" x14ac:dyDescent="0.2">
      <c r="A13" s="1">
        <v>11</v>
      </c>
      <c r="C13" s="4" t="s">
        <v>1681</v>
      </c>
      <c r="D13" s="1">
        <v>7</v>
      </c>
      <c r="F13" s="1"/>
      <c r="G13" s="5"/>
      <c r="H13" s="6"/>
    </row>
    <row r="14" spans="1:16" x14ac:dyDescent="0.2">
      <c r="D14" s="1"/>
      <c r="F14" s="5"/>
      <c r="G14" s="5"/>
      <c r="H14" s="6"/>
    </row>
    <row r="15" spans="1:16" ht="17" thickBot="1" x14ac:dyDescent="0.25">
      <c r="B15" s="2" t="s">
        <v>345</v>
      </c>
      <c r="C15" s="2" t="s">
        <v>346</v>
      </c>
      <c r="D15" s="2" t="s">
        <v>347</v>
      </c>
    </row>
    <row r="16" spans="1:16" x14ac:dyDescent="0.2">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x14ac:dyDescent="0.2">
      <c r="B17" t="s">
        <v>23</v>
      </c>
      <c r="C17" s="1">
        <f xml:space="preserve"> Slavic.RawX1</f>
        <v>2</v>
      </c>
      <c r="D17" s="1">
        <f xml:space="preserve"> Slavic.RawY2</f>
        <v>5</v>
      </c>
      <c r="H17" t="str">
        <v>V5</v>
      </c>
      <c r="J17" t="str">
        <v>V5</v>
      </c>
      <c r="L17" t="str">
        <f t="shared" si="0"/>
        <v>V5</v>
      </c>
      <c r="N17" t="str">
        <v>V5</v>
      </c>
    </row>
    <row r="18" spans="2:14" x14ac:dyDescent="0.2">
      <c r="B18" t="s">
        <v>23</v>
      </c>
      <c r="C18" s="1">
        <f xml:space="preserve"> Slavic.RawX2</f>
        <v>5</v>
      </c>
      <c r="D18" s="1">
        <f xml:space="preserve"> Slavic.RawY2</f>
        <v>5</v>
      </c>
      <c r="H18" t="str">
        <v>H5</v>
      </c>
      <c r="J18" t="str">
        <v>H5</v>
      </c>
      <c r="L18" t="str">
        <f t="shared" si="0"/>
        <v>H5</v>
      </c>
      <c r="N18" t="str">
        <v>H5</v>
      </c>
    </row>
    <row r="19" spans="2:14" x14ac:dyDescent="0.2">
      <c r="B19" t="s">
        <v>23</v>
      </c>
      <c r="C19" s="1">
        <f xml:space="preserve"> Slavic.RawX2</f>
        <v>5</v>
      </c>
      <c r="D19" s="1">
        <f xml:space="preserve"> Slavic.RawY1</f>
        <v>1</v>
      </c>
      <c r="H19" t="str">
        <v>V1</v>
      </c>
      <c r="J19" t="str">
        <v>V1</v>
      </c>
      <c r="L19" t="str">
        <f t="shared" si="0"/>
        <v>V1</v>
      </c>
      <c r="N19" t="str">
        <v>V1</v>
      </c>
    </row>
    <row r="20" spans="2:14" x14ac:dyDescent="0.2">
      <c r="B20" t="s">
        <v>23</v>
      </c>
      <c r="C20" s="1">
        <f xml:space="preserve"> Slavic.RawX1</f>
        <v>2</v>
      </c>
      <c r="D20" s="1">
        <f xml:space="preserve"> Slavic.RawY1</f>
        <v>1</v>
      </c>
      <c r="H20" t="str">
        <v>H2</v>
      </c>
      <c r="J20" t="str">
        <v>H2</v>
      </c>
      <c r="L20" t="str">
        <f t="shared" si="0"/>
        <v>H2</v>
      </c>
      <c r="N20" t="str">
        <v>H2</v>
      </c>
    </row>
    <row r="21" spans="2:14" x14ac:dyDescent="0.2">
      <c r="B21" t="s">
        <v>23</v>
      </c>
      <c r="C21" s="1">
        <f xml:space="preserve"> Slavic.RawX1</f>
        <v>2</v>
      </c>
      <c r="D21" s="1">
        <f xml:space="preserve"> - Slavic.RawY1</f>
        <v>-1</v>
      </c>
      <c r="H21" t="str">
        <v>V-1</v>
      </c>
      <c r="J21" t="str">
        <v>V-1</v>
      </c>
      <c r="L21" t="str">
        <f t="shared" si="0"/>
        <v>V-1</v>
      </c>
      <c r="N21" t="str">
        <v>V-1</v>
      </c>
    </row>
    <row r="22" spans="2:14" x14ac:dyDescent="0.2">
      <c r="B22" t="s">
        <v>23</v>
      </c>
      <c r="C22" s="1">
        <f xml:space="preserve"> Slavic.RawX2</f>
        <v>5</v>
      </c>
      <c r="D22" s="1">
        <f xml:space="preserve"> - Slavic.RawY1</f>
        <v>-1</v>
      </c>
      <c r="H22" t="str">
        <v>H5</v>
      </c>
      <c r="J22" t="str">
        <v>H5</v>
      </c>
      <c r="L22" t="str">
        <f t="shared" si="0"/>
        <v>H5</v>
      </c>
      <c r="N22" t="str">
        <v>H5</v>
      </c>
    </row>
    <row r="23" spans="2:14" x14ac:dyDescent="0.2">
      <c r="B23" t="s">
        <v>23</v>
      </c>
      <c r="C23" s="1">
        <f xml:space="preserve"> Slavic.RawX2</f>
        <v>5</v>
      </c>
      <c r="D23" s="1">
        <f xml:space="preserve"> - Slavic.RawY2</f>
        <v>-5</v>
      </c>
      <c r="H23" t="str">
        <v>V-5</v>
      </c>
      <c r="J23" t="str">
        <v>V-5</v>
      </c>
      <c r="L23" t="str">
        <f t="shared" si="0"/>
        <v>V-5</v>
      </c>
      <c r="N23" t="str">
        <v>V-5</v>
      </c>
    </row>
    <row r="24" spans="2:14" x14ac:dyDescent="0.2">
      <c r="B24" t="s">
        <v>23</v>
      </c>
      <c r="C24" s="1">
        <f xml:space="preserve"> Slavic.RawX1</f>
        <v>2</v>
      </c>
      <c r="D24" s="1">
        <f xml:space="preserve"> - Slavic.RawY2</f>
        <v>-5</v>
      </c>
      <c r="H24" t="str">
        <v>H2</v>
      </c>
      <c r="J24" t="str">
        <v>H2</v>
      </c>
      <c r="L24" t="str">
        <f t="shared" si="0"/>
        <v>H2</v>
      </c>
      <c r="N24" t="str">
        <v>H2</v>
      </c>
    </row>
    <row r="25" spans="2:14" x14ac:dyDescent="0.2">
      <c r="B25" t="s">
        <v>23</v>
      </c>
      <c r="C25" s="1">
        <f xml:space="preserve"> Slavic.RawX1</f>
        <v>2</v>
      </c>
      <c r="D25" s="1">
        <f xml:space="preserve"> - Slavic.RawY3</f>
        <v>-7</v>
      </c>
      <c r="H25" t="str">
        <v>V-7</v>
      </c>
      <c r="J25" t="str">
        <v>V-7</v>
      </c>
      <c r="L25" t="str">
        <f t="shared" si="0"/>
        <v>V-7</v>
      </c>
      <c r="N25" t="str">
        <v>V-7</v>
      </c>
    </row>
    <row r="26" spans="2:14" x14ac:dyDescent="0.2">
      <c r="B26" t="s">
        <v>23</v>
      </c>
      <c r="C26">
        <f xml:space="preserve"> - Slavic.RawX1</f>
        <v>-2</v>
      </c>
      <c r="D26">
        <f xml:space="preserve"> - Slavic.RawY3</f>
        <v>-7</v>
      </c>
      <c r="H26" t="str">
        <v>H-2</v>
      </c>
      <c r="J26" t="str">
        <v>H-2</v>
      </c>
      <c r="L26" t="str">
        <f t="shared" si="0"/>
        <v>H-2</v>
      </c>
      <c r="N26" t="str">
        <v>H-2</v>
      </c>
    </row>
    <row r="27" spans="2:14" x14ac:dyDescent="0.2">
      <c r="B27" t="s">
        <v>23</v>
      </c>
      <c r="C27">
        <f xml:space="preserve"> - Slavic.RawX1</f>
        <v>-2</v>
      </c>
      <c r="D27">
        <f xml:space="preserve"> - Slavic.RawY2</f>
        <v>-5</v>
      </c>
      <c r="H27" t="str">
        <v>v2</v>
      </c>
      <c r="J27" t="str">
        <v>v2</v>
      </c>
      <c r="L27" t="str">
        <f t="shared" si="0"/>
        <v>v2</v>
      </c>
      <c r="N27" t="str">
        <v>v2</v>
      </c>
    </row>
    <row r="28" spans="2:14" x14ac:dyDescent="0.2">
      <c r="B28" t="s">
        <v>23</v>
      </c>
      <c r="C28">
        <f xml:space="preserve"> - Slavic.RawX2</f>
        <v>-5</v>
      </c>
      <c r="D28">
        <f xml:space="preserve"> - Slavic.RawY2</f>
        <v>-5</v>
      </c>
      <c r="H28" t="str">
        <v>H-5</v>
      </c>
      <c r="J28" t="str">
        <v>H-5</v>
      </c>
      <c r="L28" t="str">
        <f t="shared" si="0"/>
        <v>H-5</v>
      </c>
      <c r="N28" t="str">
        <v>H-5</v>
      </c>
    </row>
    <row r="29" spans="2:14" x14ac:dyDescent="0.2">
      <c r="B29" t="s">
        <v>23</v>
      </c>
      <c r="C29">
        <f xml:space="preserve"> - Slavic.RawX2</f>
        <v>-5</v>
      </c>
      <c r="D29" s="1">
        <f xml:space="preserve"> - Slavic.RawY1</f>
        <v>-1</v>
      </c>
      <c r="H29" t="str">
        <v>v4</v>
      </c>
      <c r="J29" t="str">
        <v>v4</v>
      </c>
      <c r="L29" t="str">
        <f t="shared" si="0"/>
        <v>v4</v>
      </c>
      <c r="N29" t="str">
        <v>v4</v>
      </c>
    </row>
    <row r="30" spans="2:14" x14ac:dyDescent="0.2">
      <c r="B30" t="s">
        <v>23</v>
      </c>
      <c r="C30">
        <f xml:space="preserve"> - Slavic.RawX1</f>
        <v>-2</v>
      </c>
      <c r="D30" s="1">
        <f xml:space="preserve"> - Slavic.RawY1</f>
        <v>-1</v>
      </c>
      <c r="H30" t="str">
        <v>h3</v>
      </c>
      <c r="J30" t="str">
        <v>h3</v>
      </c>
      <c r="L30" t="str">
        <f t="shared" si="0"/>
        <v>h3</v>
      </c>
      <c r="N30" t="str">
        <v>h3</v>
      </c>
    </row>
    <row r="31" spans="2:14" x14ac:dyDescent="0.2">
      <c r="B31" t="s">
        <v>23</v>
      </c>
      <c r="C31">
        <f xml:space="preserve"> - Slavic.RawX1</f>
        <v>-2</v>
      </c>
      <c r="D31">
        <f xml:space="preserve"> Slavic.RawY1</f>
        <v>1</v>
      </c>
      <c r="H31" t="str">
        <v>V1</v>
      </c>
      <c r="J31" t="str">
        <v>V1</v>
      </c>
      <c r="L31" t="str">
        <f t="shared" si="0"/>
        <v>V1</v>
      </c>
      <c r="N31" t="str">
        <v>V1</v>
      </c>
    </row>
    <row r="32" spans="2:14" x14ac:dyDescent="0.2">
      <c r="B32" t="s">
        <v>23</v>
      </c>
      <c r="C32">
        <f xml:space="preserve"> - Slavic.RawX2</f>
        <v>-5</v>
      </c>
      <c r="D32">
        <f xml:space="preserve"> Slavic.RawY1</f>
        <v>1</v>
      </c>
      <c r="H32" t="str">
        <v>H-5</v>
      </c>
      <c r="J32" t="str">
        <v>H-5</v>
      </c>
      <c r="L32" t="str">
        <f t="shared" si="0"/>
        <v>H-5</v>
      </c>
      <c r="N32" t="str">
        <v>H-5</v>
      </c>
    </row>
    <row r="33" spans="2:14" x14ac:dyDescent="0.2">
      <c r="B33" t="s">
        <v>23</v>
      </c>
      <c r="C33">
        <f xml:space="preserve"> - Slavic.RawX2</f>
        <v>-5</v>
      </c>
      <c r="D33">
        <f xml:space="preserve"> Slavic.RawY2</f>
        <v>5</v>
      </c>
      <c r="H33" t="str">
        <v>V5</v>
      </c>
      <c r="J33" t="str">
        <v>V5</v>
      </c>
      <c r="L33" t="str">
        <f t="shared" si="0"/>
        <v>V5</v>
      </c>
      <c r="N33" t="str">
        <v>V5</v>
      </c>
    </row>
    <row r="34" spans="2:14" x14ac:dyDescent="0.2">
      <c r="B34" t="s">
        <v>23</v>
      </c>
      <c r="C34">
        <f xml:space="preserve"> - Slavic.RawX1</f>
        <v>-2</v>
      </c>
      <c r="D34">
        <f xml:space="preserve"> Slavic.RawY2</f>
        <v>5</v>
      </c>
      <c r="H34" t="str">
        <v>h3</v>
      </c>
      <c r="J34" t="str">
        <v>h3</v>
      </c>
      <c r="L34" t="str">
        <f t="shared" si="0"/>
        <v>h3</v>
      </c>
      <c r="N34" t="str">
        <v>h3</v>
      </c>
    </row>
    <row r="35" spans="2:14" x14ac:dyDescent="0.2">
      <c r="B35" t="s">
        <v>23</v>
      </c>
      <c r="C35">
        <f xml:space="preserve"> - Slavic.RawX1</f>
        <v>-2</v>
      </c>
      <c r="D35">
        <f xml:space="preserve"> Slavic.RawY3</f>
        <v>7</v>
      </c>
      <c r="H35" t="str">
        <v>V7Z</v>
      </c>
      <c r="J35" t="str">
        <v>V7Z</v>
      </c>
      <c r="L35" t="str">
        <f t="shared" si="0"/>
        <v>V7Z</v>
      </c>
      <c r="N35" t="str">
        <v>V7Z</v>
      </c>
    </row>
    <row r="36" spans="2:14" x14ac:dyDescent="0.2">
      <c r="C36" s="1"/>
      <c r="D36" s="1"/>
    </row>
    <row r="37" spans="2:14" x14ac:dyDescent="0.2">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x14ac:dyDescent="0.2">
      <c r="B38" t="s">
        <v>24</v>
      </c>
      <c r="C38" s="1">
        <f t="shared" si="1"/>
        <v>1</v>
      </c>
      <c r="D38" s="1">
        <f t="shared" si="2"/>
        <v>4</v>
      </c>
      <c r="H38" t="str">
        <v>V4</v>
      </c>
      <c r="J38" t="str">
        <v>V4</v>
      </c>
      <c r="L38" t="str">
        <f t="shared" si="3"/>
        <v>V4</v>
      </c>
      <c r="N38" t="str">
        <v>V4</v>
      </c>
    </row>
    <row r="39" spans="2:14" x14ac:dyDescent="0.2">
      <c r="B39" t="s">
        <v>24</v>
      </c>
      <c r="C39" s="1">
        <f t="shared" si="1"/>
        <v>4</v>
      </c>
      <c r="D39" s="1">
        <f t="shared" si="2"/>
        <v>4</v>
      </c>
      <c r="H39" t="str">
        <v>H4</v>
      </c>
      <c r="J39" t="str">
        <v>H4</v>
      </c>
      <c r="L39" t="str">
        <f t="shared" si="3"/>
        <v>H4</v>
      </c>
      <c r="N39" t="str">
        <v>H4</v>
      </c>
    </row>
    <row r="40" spans="2:14" x14ac:dyDescent="0.2">
      <c r="B40" t="s">
        <v>24</v>
      </c>
      <c r="C40" s="1">
        <f t="shared" si="1"/>
        <v>4</v>
      </c>
      <c r="D40" s="1">
        <f t="shared" si="2"/>
        <v>2</v>
      </c>
      <c r="H40" t="str">
        <v>V2</v>
      </c>
      <c r="J40" t="str">
        <v>V2</v>
      </c>
      <c r="L40" t="str">
        <f t="shared" si="3"/>
        <v>V2</v>
      </c>
      <c r="N40" t="str">
        <v>V2</v>
      </c>
    </row>
    <row r="41" spans="2:14" x14ac:dyDescent="0.2">
      <c r="B41" t="s">
        <v>24</v>
      </c>
      <c r="C41" s="1">
        <f t="shared" si="1"/>
        <v>1</v>
      </c>
      <c r="D41" s="1">
        <f t="shared" si="2"/>
        <v>2</v>
      </c>
      <c r="H41" t="str">
        <v>H1</v>
      </c>
      <c r="J41" t="str">
        <v>H1</v>
      </c>
      <c r="L41" t="str">
        <f t="shared" si="3"/>
        <v>H1</v>
      </c>
      <c r="N41" t="str">
        <v>H1</v>
      </c>
    </row>
    <row r="42" spans="2:14" x14ac:dyDescent="0.2">
      <c r="B42" t="s">
        <v>24</v>
      </c>
      <c r="C42" s="1">
        <f t="shared" si="1"/>
        <v>1</v>
      </c>
      <c r="D42" s="1">
        <f t="shared" si="2"/>
        <v>-2</v>
      </c>
      <c r="H42" t="str">
        <v>V-2</v>
      </c>
      <c r="J42" t="str">
        <v>V-2</v>
      </c>
      <c r="L42" t="str">
        <f t="shared" si="3"/>
        <v>V-2</v>
      </c>
      <c r="N42" t="str">
        <v>V-2</v>
      </c>
    </row>
    <row r="43" spans="2:14" x14ac:dyDescent="0.2">
      <c r="B43" t="s">
        <v>24</v>
      </c>
      <c r="C43" s="1">
        <f t="shared" si="1"/>
        <v>4</v>
      </c>
      <c r="D43" s="1">
        <f t="shared" si="2"/>
        <v>-2</v>
      </c>
      <c r="H43" t="str">
        <v>H4</v>
      </c>
      <c r="J43" t="str">
        <v>H4</v>
      </c>
      <c r="L43" t="str">
        <f t="shared" si="3"/>
        <v>H4</v>
      </c>
      <c r="N43" t="str">
        <v>H4</v>
      </c>
    </row>
    <row r="44" spans="2:14" x14ac:dyDescent="0.2">
      <c r="B44" t="s">
        <v>24</v>
      </c>
      <c r="C44" s="1">
        <f t="shared" si="1"/>
        <v>4</v>
      </c>
      <c r="D44" s="1">
        <f t="shared" si="2"/>
        <v>-4</v>
      </c>
      <c r="H44" t="str">
        <v>V-4</v>
      </c>
      <c r="J44" t="str">
        <v>V-4</v>
      </c>
      <c r="L44" t="str">
        <f t="shared" si="3"/>
        <v>V-4</v>
      </c>
      <c r="N44" t="str">
        <v>V-4</v>
      </c>
    </row>
    <row r="45" spans="2:14" x14ac:dyDescent="0.2">
      <c r="B45" t="s">
        <v>24</v>
      </c>
      <c r="C45" s="1">
        <f t="shared" si="1"/>
        <v>1</v>
      </c>
      <c r="D45" s="1">
        <f t="shared" si="2"/>
        <v>-4</v>
      </c>
      <c r="H45" t="str">
        <v>H1</v>
      </c>
      <c r="J45" t="str">
        <v>H1</v>
      </c>
      <c r="L45" t="str">
        <f t="shared" si="3"/>
        <v>H1</v>
      </c>
      <c r="N45" t="str">
        <v>H1</v>
      </c>
    </row>
    <row r="46" spans="2:14" x14ac:dyDescent="0.2">
      <c r="B46" t="s">
        <v>24</v>
      </c>
      <c r="C46" s="1">
        <f t="shared" si="1"/>
        <v>1</v>
      </c>
      <c r="D46" s="1">
        <f t="shared" si="2"/>
        <v>-6</v>
      </c>
      <c r="H46" t="str">
        <v>V-6</v>
      </c>
      <c r="J46" t="str">
        <v>V-6</v>
      </c>
      <c r="L46" t="str">
        <f t="shared" si="3"/>
        <v>V-6</v>
      </c>
      <c r="N46" t="str">
        <v>V-6</v>
      </c>
    </row>
    <row r="47" spans="2:14" x14ac:dyDescent="0.2">
      <c r="B47" t="s">
        <v>24</v>
      </c>
      <c r="C47" s="1">
        <f t="shared" si="1"/>
        <v>-1</v>
      </c>
      <c r="D47" s="1">
        <f t="shared" si="2"/>
        <v>-6</v>
      </c>
      <c r="H47" t="str">
        <v>H-1</v>
      </c>
      <c r="J47" t="str">
        <v>H-1</v>
      </c>
      <c r="L47" t="str">
        <f t="shared" si="3"/>
        <v>H-1</v>
      </c>
      <c r="N47" t="str">
        <v>H-1</v>
      </c>
    </row>
    <row r="48" spans="2:14" x14ac:dyDescent="0.2">
      <c r="B48" t="s">
        <v>24</v>
      </c>
      <c r="C48" s="1">
        <f t="shared" si="1"/>
        <v>-1</v>
      </c>
      <c r="D48" s="1">
        <f t="shared" si="2"/>
        <v>-4</v>
      </c>
      <c r="H48" t="str">
        <v>v2</v>
      </c>
      <c r="J48" t="str">
        <v>v2</v>
      </c>
      <c r="L48" t="str">
        <f t="shared" si="3"/>
        <v>v2</v>
      </c>
      <c r="N48" t="str">
        <v>v2</v>
      </c>
    </row>
    <row r="49" spans="2:14" x14ac:dyDescent="0.2">
      <c r="B49" t="s">
        <v>24</v>
      </c>
      <c r="C49" s="1">
        <f t="shared" si="1"/>
        <v>-4</v>
      </c>
      <c r="D49" s="1">
        <f t="shared" si="2"/>
        <v>-4</v>
      </c>
      <c r="H49" t="str">
        <v>H-4</v>
      </c>
      <c r="J49" t="str">
        <v>H-4</v>
      </c>
      <c r="L49" t="str">
        <f t="shared" si="3"/>
        <v>H-4</v>
      </c>
      <c r="N49" t="str">
        <v>H-4</v>
      </c>
    </row>
    <row r="50" spans="2:14" x14ac:dyDescent="0.2">
      <c r="B50" t="s">
        <v>24</v>
      </c>
      <c r="C50" s="1">
        <f t="shared" si="1"/>
        <v>-4</v>
      </c>
      <c r="D50" s="1">
        <f t="shared" si="2"/>
        <v>-2</v>
      </c>
      <c r="H50" t="str">
        <v>v2</v>
      </c>
      <c r="J50" t="str">
        <v>v2</v>
      </c>
      <c r="L50" t="str">
        <f t="shared" si="3"/>
        <v>v2</v>
      </c>
      <c r="N50" t="str">
        <v>v2</v>
      </c>
    </row>
    <row r="51" spans="2:14" x14ac:dyDescent="0.2">
      <c r="B51" t="s">
        <v>24</v>
      </c>
      <c r="C51" s="1">
        <f t="shared" si="1"/>
        <v>-1</v>
      </c>
      <c r="D51" s="1">
        <f t="shared" si="2"/>
        <v>-2</v>
      </c>
      <c r="H51" t="str">
        <v>h3</v>
      </c>
      <c r="J51" t="str">
        <v>h3</v>
      </c>
      <c r="L51" t="str">
        <f t="shared" si="3"/>
        <v>h3</v>
      </c>
      <c r="N51" t="str">
        <v>h3</v>
      </c>
    </row>
    <row r="52" spans="2:14" x14ac:dyDescent="0.2">
      <c r="B52" t="s">
        <v>24</v>
      </c>
      <c r="C52" s="1">
        <f t="shared" si="1"/>
        <v>-1</v>
      </c>
      <c r="D52" s="1">
        <f t="shared" si="2"/>
        <v>2</v>
      </c>
      <c r="H52" t="str">
        <v>V2</v>
      </c>
      <c r="J52" t="str">
        <v>V2</v>
      </c>
      <c r="L52" t="str">
        <f t="shared" si="3"/>
        <v>V2</v>
      </c>
      <c r="N52" t="str">
        <v>V2</v>
      </c>
    </row>
    <row r="53" spans="2:14" x14ac:dyDescent="0.2">
      <c r="B53" t="s">
        <v>24</v>
      </c>
      <c r="C53" s="1">
        <f t="shared" si="1"/>
        <v>-4</v>
      </c>
      <c r="D53" s="1">
        <f t="shared" si="2"/>
        <v>2</v>
      </c>
      <c r="H53" t="str">
        <v>H-4</v>
      </c>
      <c r="J53" t="str">
        <v>H-4</v>
      </c>
      <c r="L53" t="str">
        <f t="shared" si="3"/>
        <v>H-4</v>
      </c>
      <c r="N53" t="str">
        <v>H-4</v>
      </c>
    </row>
    <row r="54" spans="2:14" x14ac:dyDescent="0.2">
      <c r="B54" t="s">
        <v>24</v>
      </c>
      <c r="C54" s="1">
        <f t="shared" si="1"/>
        <v>-4</v>
      </c>
      <c r="D54" s="1">
        <f t="shared" si="2"/>
        <v>4</v>
      </c>
      <c r="H54" t="str">
        <v>V4</v>
      </c>
      <c r="J54" t="str">
        <v>V4</v>
      </c>
      <c r="L54" t="str">
        <f t="shared" si="3"/>
        <v>V4</v>
      </c>
      <c r="N54" t="str">
        <v>V4</v>
      </c>
    </row>
    <row r="55" spans="2:14" x14ac:dyDescent="0.2">
      <c r="B55" t="s">
        <v>24</v>
      </c>
      <c r="C55" s="1">
        <f t="shared" si="1"/>
        <v>-1</v>
      </c>
      <c r="D55" s="1">
        <f t="shared" si="2"/>
        <v>4</v>
      </c>
      <c r="H55" t="str">
        <v>h3</v>
      </c>
      <c r="J55" t="str">
        <v>h3</v>
      </c>
      <c r="L55" t="str">
        <f t="shared" si="3"/>
        <v>h3</v>
      </c>
      <c r="N55" t="str">
        <v>h3</v>
      </c>
    </row>
    <row r="56" spans="2:14" x14ac:dyDescent="0.2">
      <c r="B56" t="s">
        <v>24</v>
      </c>
      <c r="C56" s="1">
        <f t="shared" si="1"/>
        <v>-1</v>
      </c>
      <c r="D56" s="1">
        <f t="shared" si="2"/>
        <v>6</v>
      </c>
      <c r="H56" t="str">
        <v>V6Z</v>
      </c>
      <c r="J56" t="str">
        <v>V6Z</v>
      </c>
      <c r="L56" t="str">
        <f t="shared" si="3"/>
        <v>V6Z</v>
      </c>
      <c r="N56" t="str">
        <v>V6Z</v>
      </c>
    </row>
    <row r="57" spans="2:14" x14ac:dyDescent="0.2">
      <c r="C57" s="1"/>
    </row>
    <row r="58" spans="2:14" x14ac:dyDescent="0.2">
      <c r="C58" s="1"/>
      <c r="F58" s="4" t="s">
        <v>348</v>
      </c>
      <c r="G58" s="5"/>
      <c r="H58">
        <f xml:space="preserve"> MIN(Slavic.RawX)</f>
        <v>-5</v>
      </c>
      <c r="J58">
        <f xml:space="preserve"> MIN(Slavic.RawX)</f>
        <v>-5</v>
      </c>
      <c r="L58">
        <f t="shared" ref="L58:L61" si="4" xml:space="preserve"> $J58</f>
        <v>-5</v>
      </c>
      <c r="N58">
        <f xml:space="preserve"> MIN(Slavic.RawX)</f>
        <v>-5</v>
      </c>
    </row>
    <row r="59" spans="2:14" x14ac:dyDescent="0.2">
      <c r="C59" s="1"/>
      <c r="F59" s="4" t="s">
        <v>349</v>
      </c>
      <c r="G59" s="5"/>
      <c r="H59">
        <f xml:space="preserve"> MAX(Slavic.RawX)</f>
        <v>5</v>
      </c>
      <c r="J59">
        <f xml:space="preserve"> MAX(Slavic.RawX)</f>
        <v>5</v>
      </c>
      <c r="L59">
        <f t="shared" si="4"/>
        <v>5</v>
      </c>
      <c r="N59">
        <f xml:space="preserve"> MAX(Slavic.RawX)</f>
        <v>5</v>
      </c>
    </row>
    <row r="60" spans="2:14" x14ac:dyDescent="0.2">
      <c r="C60" s="1"/>
      <c r="F60" s="4" t="s">
        <v>350</v>
      </c>
      <c r="G60" s="5"/>
      <c r="H60">
        <f xml:space="preserve"> MIN(Slavic.RawY)</f>
        <v>-7</v>
      </c>
      <c r="J60">
        <f xml:space="preserve"> MIN(Slavic.RawY)</f>
        <v>-7</v>
      </c>
      <c r="L60">
        <f t="shared" si="4"/>
        <v>-7</v>
      </c>
      <c r="N60">
        <f xml:space="preserve"> MIN(Slavic.RawY)</f>
        <v>-7</v>
      </c>
    </row>
    <row r="61" spans="2:14" x14ac:dyDescent="0.2">
      <c r="F61" s="4" t="s">
        <v>351</v>
      </c>
      <c r="G61" s="5"/>
      <c r="H61">
        <f xml:space="preserve"> MAX(Slavic.RawY)</f>
        <v>7</v>
      </c>
      <c r="J61">
        <f xml:space="preserve"> MAX(Slavic.RawY)</f>
        <v>7</v>
      </c>
      <c r="L61">
        <f t="shared" si="4"/>
        <v>7</v>
      </c>
      <c r="N61">
        <f xml:space="preserve"> MAX(Slavic.RawY)</f>
        <v>7</v>
      </c>
    </row>
    <row r="63" spans="2:14" x14ac:dyDescent="0.2">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x14ac:dyDescent="0.2">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x14ac:dyDescent="0.2">
      <c r="F66" s="4" t="s">
        <v>353</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x14ac:dyDescent="0.2">
      <c r="F67" s="4" t="s">
        <v>354</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x14ac:dyDescent="0.2">
      <c r="F69" s="4" t="s">
        <v>355</v>
      </c>
    </row>
    <row r="70" spans="6:16" x14ac:dyDescent="0.2">
      <c r="G70" s="13"/>
      <c r="H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8" t="str">
        <f xml:space="preserve"> ""</f>
        <v/>
      </c>
      <c r="J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8" t="str">
        <f xml:space="preserve"> ""</f>
        <v/>
      </c>
      <c r="L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8" t="str">
        <f xml:space="preserve"> ""</f>
        <v/>
      </c>
      <c r="N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8" t="str">
        <f t="shared" ref="O70:O73" si="6" xml:space="preserve"> ""</f>
        <v/>
      </c>
      <c r="P70" s="9"/>
    </row>
    <row r="71" spans="6:16" x14ac:dyDescent="0.2">
      <c r="G71" s="14"/>
      <c r="H71" s="1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s="5" t="str">
        <f t="shared" ref="I71:M73" si="7" xml:space="preserve"> ""</f>
        <v/>
      </c>
      <c r="J71" s="1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s="5" t="str">
        <f t="shared" si="7"/>
        <v/>
      </c>
      <c r="L71" s="1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s="5" t="str">
        <f t="shared" si="7"/>
        <v/>
      </c>
      <c r="N71" s="1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s="5" t="str">
        <f t="shared" si="6"/>
        <v/>
      </c>
      <c r="P71" s="10"/>
    </row>
    <row r="72" spans="6:16" x14ac:dyDescent="0.2">
      <c r="G72" s="14"/>
      <c r="H72" s="1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s="5" t="str">
        <f t="shared" si="7"/>
        <v/>
      </c>
      <c r="J72" s="1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s="5" t="str">
        <f t="shared" si="7"/>
        <v/>
      </c>
      <c r="L72" s="1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s="5" t="str">
        <f t="shared" si="7"/>
        <v/>
      </c>
      <c r="N72" s="1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s="5" t="str">
        <f t="shared" si="6"/>
        <v/>
      </c>
      <c r="P72" s="10"/>
    </row>
    <row r="73" spans="6:16" x14ac:dyDescent="0.2">
      <c r="G73" s="16"/>
      <c r="H73" s="17" t="s">
        <v>15</v>
      </c>
      <c r="I73" s="11" t="str">
        <f t="shared" si="7"/>
        <v/>
      </c>
      <c r="J73" s="17" t="s">
        <v>15</v>
      </c>
      <c r="K73" s="11" t="str">
        <f t="shared" si="7"/>
        <v/>
      </c>
      <c r="L73" s="17" t="s">
        <v>15</v>
      </c>
      <c r="M73" s="11" t="str">
        <f t="shared" si="7"/>
        <v/>
      </c>
      <c r="N73" s="17" t="s">
        <v>15</v>
      </c>
      <c r="O73" s="11" t="str">
        <f t="shared" si="6"/>
        <v/>
      </c>
      <c r="P73" s="12"/>
    </row>
    <row r="76" spans="6:16" x14ac:dyDescent="0.2">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topLeftCell="B1" workbookViewId="0">
      <selection activeCell="B2" sqref="B2"/>
    </sheetView>
  </sheetViews>
  <sheetFormatPr baseColWidth="10" defaultRowHeight="16" x14ac:dyDescent="0.2"/>
  <cols>
    <col min="7" max="7" width="10.83203125" style="36"/>
  </cols>
  <sheetData>
    <row r="4" spans="1:7" x14ac:dyDescent="0.2">
      <c r="B4" s="4" t="s">
        <v>568</v>
      </c>
      <c r="C4">
        <f xml:space="preserve"> MAX(EC.RadiusX)</f>
        <v>378</v>
      </c>
      <c r="F4" s="4" t="s">
        <v>574</v>
      </c>
      <c r="G4" s="42">
        <f xml:space="preserve"> DecimalPlaces - INT(LOG(MIN(  EC.MaxX - EC.MinX,  EC.MaxY - EC.MinY  )/2, 10) + 0.2)</f>
        <v>3</v>
      </c>
    </row>
    <row r="5" spans="1:7" x14ac:dyDescent="0.2">
      <c r="B5" s="4" t="s">
        <v>569</v>
      </c>
      <c r="C5">
        <f xml:space="preserve"> MAX(EC.RadiusY)</f>
        <v>513</v>
      </c>
      <c r="F5" s="4" t="s">
        <v>570</v>
      </c>
      <c r="G5" s="28">
        <f xml:space="preserve"> MODE(Circles.AreaMultiplier)</f>
        <v>1</v>
      </c>
    </row>
    <row r="6" spans="1:7" x14ac:dyDescent="0.2">
      <c r="B6" s="4" t="s">
        <v>565</v>
      </c>
      <c r="C6">
        <f xml:space="preserve"> - EC.MaxX</f>
        <v>-378</v>
      </c>
      <c r="F6" s="4" t="s">
        <v>571</v>
      </c>
      <c r="G6">
        <f xml:space="preserve"> MAX(EC.MaxY, - EC.MinY) / MAX(EC.MaxX, - EC.MinX)</f>
        <v>1.3571428571428572</v>
      </c>
    </row>
    <row r="7" spans="1:7" x14ac:dyDescent="0.2">
      <c r="B7" s="4" t="s">
        <v>566</v>
      </c>
      <c r="C7">
        <f xml:space="preserve"> - EC.MaxY</f>
        <v>-513</v>
      </c>
      <c r="F7" s="4" t="s">
        <v>572</v>
      </c>
      <c r="G7">
        <f xml:space="preserve"> VALUE(TEXT(SQRT(EC.AreaMultiplier * BasicBBoxArea * EC.Aspect), SVG.NumberFormatHeight))</f>
        <v>11.6</v>
      </c>
    </row>
    <row r="8" spans="1:7" x14ac:dyDescent="0.2">
      <c r="F8" s="4" t="s">
        <v>573</v>
      </c>
      <c r="G8" cm="1">
        <f t="array" ref="G8" xml:space="preserve"> EC.Height / EC.Aspect</f>
        <v>8.5473684210526315</v>
      </c>
    </row>
    <row r="9" spans="1:7" x14ac:dyDescent="0.2">
      <c r="E9" cm="1">
        <f t="array" ref="E9" xml:space="preserve"> SVG_length(EC.svg)</f>
        <v>252</v>
      </c>
    </row>
    <row r="11" spans="1:7" ht="17" thickBot="1" x14ac:dyDescent="0.25">
      <c r="B11" s="3" t="s">
        <v>561</v>
      </c>
      <c r="C11" s="3" t="s">
        <v>562</v>
      </c>
      <c r="E11" s="3" t="s">
        <v>564</v>
      </c>
      <c r="G11" s="40" t="s">
        <v>567</v>
      </c>
    </row>
    <row r="12" spans="1:7" x14ac:dyDescent="0.2">
      <c r="G12" s="18"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1:7" x14ac:dyDescent="0.2">
      <c r="A13">
        <f xml:space="preserve"> GCD(B13:C15)</f>
        <v>1</v>
      </c>
      <c r="B13">
        <f xml:space="preserve"> Thirds_O * 14</f>
        <v>378</v>
      </c>
      <c r="C13">
        <f xml:space="preserve"> _xlfn.SINGLE(EC.RadiusX) * 19 / 14</f>
        <v>513</v>
      </c>
      <c r="E13" t="s">
        <v>717</v>
      </c>
      <c r="G13" s="36" t="str">
        <f xml:space="preserve"> "&lt;ellipse " &amp; _xlfn.SINGLE(EC.SVG_painting) &amp; " rx='" &amp; ROUND(_xlfn.SINGLE(EC.RadiusX),EC.DecimalPlaces) &amp; "' ry='" &amp; ROUND(_xlfn.SINGLE(EC.RadiusY),EC.DecimalPlaces) &amp; "' /&gt;"</f>
        <v>&lt;ellipse fill='#EF3340' rx='378' ry='513' /&gt;</v>
      </c>
    </row>
    <row r="14" spans="1:7" x14ac:dyDescent="0.2">
      <c r="B14">
        <f xml:space="preserve"> ROUND(B$13 * Thirds_M / Thirds_O, 1)</f>
        <v>266</v>
      </c>
      <c r="C14">
        <f xml:space="preserve"> C$13 + B14 - B$13</f>
        <v>401</v>
      </c>
      <c r="E14" t="s">
        <v>734</v>
      </c>
      <c r="G14" s="36" t="str">
        <f xml:space="preserve"> "&lt;ellipse " &amp; _xlfn.SINGLE(EC.SVG_painting) &amp; " rx='" &amp; ROUND(_xlfn.SINGLE(EC.RadiusX),EC.DecimalPlaces) &amp; "' ry='" &amp; ROUND(_xlfn.SINGLE(EC.RadiusY),EC.DecimalPlaces) &amp; "' /&gt;"</f>
        <v>&lt;ellipse fill='#0072CE' rx='266' ry='401' /&gt;</v>
      </c>
    </row>
    <row r="15" spans="1:7" x14ac:dyDescent="0.2">
      <c r="B15">
        <f xml:space="preserve"> ROUND(B$13 * Thirds_I / Thirds_O, 1)</f>
        <v>140</v>
      </c>
      <c r="C15">
        <f xml:space="preserve"> C$13 + B15 - B$13</f>
        <v>275</v>
      </c>
      <c r="E15" t="s">
        <v>722</v>
      </c>
      <c r="G15" s="36" t="str">
        <f xml:space="preserve"> "&lt;ellipse " &amp; _xlfn.SINGLE(EC.SVG_painting) &amp; " rx='" &amp; ROUND(_xlfn.SINGLE(EC.RadiusX),EC.DecimalPlaces) &amp; "' ry='" &amp; ROUND(_xlfn.SINGLE(EC.RadiusY),EC.DecimalPlaces) &amp; "' /&gt;"</f>
        <v>&lt;ellipse fill='#FFD100' rx='140' ry='275' /&gt;</v>
      </c>
    </row>
    <row r="16" spans="1:7" x14ac:dyDescent="0.2">
      <c r="G16" s="36" t="s">
        <v>15</v>
      </c>
    </row>
    <row r="20" spans="2:7" s="44" customFormat="1" x14ac:dyDescent="0.2">
      <c r="G20" s="45"/>
    </row>
    <row r="24" spans="2:7" x14ac:dyDescent="0.2">
      <c r="B24" s="4" t="s">
        <v>256</v>
      </c>
      <c r="C24">
        <f xml:space="preserve"> MAX(VND.RadiusX)</f>
        <v>36</v>
      </c>
      <c r="F24" s="4" t="s">
        <v>250</v>
      </c>
      <c r="G24" s="42">
        <f xml:space="preserve"> DecimalPlaces - INT(LOG(MIN(  VND.MaxX - VND.MinX,  VND.MaxY - VND.MinY  )/2, 10) + 0.2)</f>
        <v>4</v>
      </c>
    </row>
    <row r="25" spans="2:7" x14ac:dyDescent="0.2">
      <c r="B25" s="4" t="s">
        <v>258</v>
      </c>
      <c r="C25">
        <f xml:space="preserve"> MAX(VND.RadiusY)</f>
        <v>25</v>
      </c>
      <c r="F25" s="4" t="s">
        <v>251</v>
      </c>
      <c r="G25" s="28">
        <f xml:space="preserve"> MODE(Circles.AreaMultiplier)</f>
        <v>1</v>
      </c>
    </row>
    <row r="26" spans="2:7" x14ac:dyDescent="0.2">
      <c r="B26" s="4" t="s">
        <v>255</v>
      </c>
      <c r="C26">
        <f xml:space="preserve"> - VND.MaxX</f>
        <v>-36</v>
      </c>
      <c r="F26" s="4" t="s">
        <v>252</v>
      </c>
      <c r="G26">
        <f xml:space="preserve"> MAX(VND.MaxY, - VND.MinY)  /  MAX(VND.MaxX, - VND.MinX)</f>
        <v>0.69444444444444442</v>
      </c>
    </row>
    <row r="27" spans="2:7" x14ac:dyDescent="0.2">
      <c r="B27" s="4" t="s">
        <v>257</v>
      </c>
      <c r="C27">
        <f xml:space="preserve"> - VND.MaxY</f>
        <v>-25</v>
      </c>
      <c r="F27" s="4" t="s">
        <v>253</v>
      </c>
      <c r="G27">
        <f xml:space="preserve"> VALUE(TEXT(SQRT(VND.AreaMultiplier * BasicBBoxArea * VND.Aspect), SVG.NumberFormatHeight))</f>
        <v>8.3000000000000007</v>
      </c>
    </row>
    <row r="28" spans="2:7" x14ac:dyDescent="0.2">
      <c r="F28" s="4" t="s">
        <v>254</v>
      </c>
      <c r="G28">
        <f xml:space="preserve"> VND.Height / VND.Aspect</f>
        <v>11.952000000000002</v>
      </c>
    </row>
    <row r="31" spans="2:7" ht="17" thickBot="1" x14ac:dyDescent="0.25">
      <c r="B31" s="3" t="s">
        <v>576</v>
      </c>
      <c r="C31" s="3" t="s">
        <v>577</v>
      </c>
      <c r="E31" s="3" t="s">
        <v>260</v>
      </c>
      <c r="G31" s="40" t="s">
        <v>259</v>
      </c>
    </row>
    <row r="32" spans="2:7" x14ac:dyDescent="0.2">
      <c r="G32" s="18"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3" spans="2:7" x14ac:dyDescent="0.2">
      <c r="B33">
        <v>36</v>
      </c>
      <c r="C33">
        <v>25</v>
      </c>
      <c r="E33" t="s">
        <v>750</v>
      </c>
      <c r="G33" s="36" t="str">
        <f xml:space="preserve"> "&lt;ellipse " &amp; _xlfn.SINGLE(VND.SVG_painting) &amp; " rx='" &amp; ROUND(_xlfn.SINGLE(VND.RadiusX),VND.DecimalPlaces) &amp; "' ry='" &amp; ROUND(_xlfn.SINGLE(VND.RadiusY),VND.DecimalPlaces) &amp; "'/&gt;"</f>
        <v>&lt;ellipse fill='#DA251D' rx='36' ry='25'/&gt;</v>
      </c>
    </row>
    <row r="34" spans="2:7" x14ac:dyDescent="0.2">
      <c r="B34">
        <v>28</v>
      </c>
      <c r="C34">
        <f xml:space="preserve"> C33 + B34 - B33</f>
        <v>17</v>
      </c>
      <c r="E34" t="s">
        <v>751</v>
      </c>
      <c r="G34" s="36" t="str">
        <f xml:space="preserve"> "&lt;ellipse " &amp; _xlfn.SINGLE(VND.SVG_painting) &amp; " rx='" &amp; ROUND(_xlfn.SINGLE(VND.RadiusX),VND.DecimalPlaces) &amp; "' ry='" &amp; ROUND(_xlfn.SINGLE(VND.RadiusY),VND.DecimalPlaces) &amp; "'/&gt;"</f>
        <v>&lt;ellipse fill='#FFFF00' rx='28' ry='17'/&gt;</v>
      </c>
    </row>
    <row r="35" spans="2:7" x14ac:dyDescent="0.2">
      <c r="G35" s="36" t="s">
        <v>15</v>
      </c>
    </row>
    <row r="39" spans="2:7" s="44" customFormat="1" x14ac:dyDescent="0.2">
      <c r="G39" s="45"/>
    </row>
    <row r="43" spans="2:7" x14ac:dyDescent="0.2">
      <c r="B43" s="4" t="s">
        <v>632</v>
      </c>
      <c r="C43">
        <f xml:space="preserve"> MAX(IT.RadiusX)</f>
        <v>82</v>
      </c>
      <c r="F43" s="4" t="s">
        <v>625</v>
      </c>
      <c r="G43" s="42" cm="1">
        <f t="array" ref="G43" xml:space="preserve"> DecimalPlaces - INT(LOG(MIN(  IT.MaxX - IT.MinX,  IT.MaxY - IT.MinY  )/2, 10) + 0.2)</f>
        <v>3</v>
      </c>
    </row>
    <row r="44" spans="2:7" x14ac:dyDescent="0.2">
      <c r="B44" s="4" t="s">
        <v>634</v>
      </c>
      <c r="C44">
        <f xml:space="preserve"> MAX(IT.RadiusY)</f>
        <v>68</v>
      </c>
      <c r="F44" s="4" t="s">
        <v>627</v>
      </c>
      <c r="G44" s="28">
        <f xml:space="preserve"> MODE(Circles.AreaMultiplier)</f>
        <v>1</v>
      </c>
    </row>
    <row r="45" spans="2:7" x14ac:dyDescent="0.2">
      <c r="B45" s="4" t="s">
        <v>631</v>
      </c>
      <c r="C45" cm="1">
        <f t="array" ref="C45" xml:space="preserve"> - IT.MaxX</f>
        <v>-82</v>
      </c>
      <c r="F45" s="4" t="s">
        <v>628</v>
      </c>
      <c r="G45" cm="1">
        <f t="array" ref="G45" xml:space="preserve"> MAX(IT.MaxY, - IT.MinY)  /  MAX(IT.MaxX, - IT.MinX)</f>
        <v>0.82926829268292679</v>
      </c>
    </row>
    <row r="46" spans="2:7" x14ac:dyDescent="0.2">
      <c r="B46" s="4" t="s">
        <v>633</v>
      </c>
      <c r="C46" cm="1">
        <f t="array" ref="C46" xml:space="preserve"> - IT.MaxY</f>
        <v>-68</v>
      </c>
      <c r="F46" s="4" t="s">
        <v>629</v>
      </c>
      <c r="G46" cm="1">
        <f t="array" ref="G46" xml:space="preserve"> VALUE(TEXT(SQRT(IT.AreaMultiplier * BasicBBoxArea * IT.Aspect), SVG.NumberFormatHeight))</f>
        <v>9.1</v>
      </c>
    </row>
    <row r="47" spans="2:7" x14ac:dyDescent="0.2">
      <c r="F47" s="4" t="s">
        <v>630</v>
      </c>
      <c r="G47" cm="1">
        <f t="array" ref="G47" xml:space="preserve"> IT.Height / IT.Aspect</f>
        <v>10.973529411764707</v>
      </c>
    </row>
    <row r="48" spans="2:7" x14ac:dyDescent="0.2">
      <c r="B48" s="4" t="s">
        <v>1694</v>
      </c>
      <c r="C48">
        <f xml:space="preserve"> 2 / 15</f>
        <v>0.13333333333333333</v>
      </c>
    </row>
    <row r="50" spans="2:7" ht="17" thickBot="1" x14ac:dyDescent="0.25">
      <c r="B50" s="3" t="s">
        <v>1691</v>
      </c>
      <c r="C50" s="3" t="s">
        <v>1692</v>
      </c>
      <c r="E50" s="3" t="s">
        <v>1693</v>
      </c>
      <c r="G50" s="40" t="s">
        <v>626</v>
      </c>
    </row>
    <row r="51" spans="2:7" x14ac:dyDescent="0.2">
      <c r="G5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2" spans="2:7" x14ac:dyDescent="0.2">
      <c r="B52" s="36">
        <f xml:space="preserve"> IT.Multiplier * 615</f>
        <v>82</v>
      </c>
      <c r="C52" s="36">
        <f xml:space="preserve"> IT.Multiplier * 510</f>
        <v>68</v>
      </c>
      <c r="E52" t="s">
        <v>781</v>
      </c>
      <c r="G52" s="36" t="str" cm="1">
        <f t="array" ref="G52" xml:space="preserve"> "&lt;ellipse " &amp; _xlfn.SINGLE(IT.SVG_painting) &amp; " rx='" &amp; ROUND(_xlfn.SINGLE(IT.RadiusX),IT.DecimalPlaces) &amp; "' ry='" &amp; ROUND(_xlfn.SINGLE(IT.RadiusY),IT.DecimalPlaces) &amp; "' /&gt;"</f>
        <v>&lt;ellipse fill='#008C45' rx='82' ry='68' /&gt;</v>
      </c>
    </row>
    <row r="53" spans="2:7" x14ac:dyDescent="0.2">
      <c r="B53" s="36">
        <f xml:space="preserve"> B52 - $C$52 / 4</f>
        <v>65</v>
      </c>
      <c r="C53" s="36">
        <f xml:space="preserve"> C52 - $C$52 / 4</f>
        <v>51</v>
      </c>
      <c r="E53" t="s">
        <v>780</v>
      </c>
      <c r="G53" s="36" t="str" cm="1">
        <f t="array" ref="G53" xml:space="preserve"> "&lt;ellipse " &amp; _xlfn.SINGLE(IT.SVG_painting) &amp; " rx='" &amp; ROUND(_xlfn.SINGLE(IT.RadiusX),IT.DecimalPlaces) &amp; "' ry='" &amp; ROUND(_xlfn.SINGLE(IT.RadiusY),IT.DecimalPlaces) &amp; "' /&gt;"</f>
        <v>&lt;ellipse fill='#F4F5F0' rx='65' ry='51' /&gt;</v>
      </c>
    </row>
    <row r="54" spans="2:7" x14ac:dyDescent="0.2">
      <c r="B54" s="36">
        <f t="shared" ref="B54:B55" si="0" xml:space="preserve"> B53 - $C$52 / 4</f>
        <v>48</v>
      </c>
      <c r="C54" s="36">
        <f t="shared" ref="C54:C55" si="1" xml:space="preserve"> C53 - $C$52 / 4</f>
        <v>34</v>
      </c>
      <c r="E54" t="s">
        <v>782</v>
      </c>
      <c r="G54" s="36" t="str" cm="1">
        <f t="array" ref="G54" xml:space="preserve"> "&lt;ellipse " &amp; _xlfn.SINGLE(IT.SVG_painting) &amp; " rx='" &amp; ROUND(_xlfn.SINGLE(IT.RadiusX),IT.DecimalPlaces) &amp; "' ry='" &amp; ROUND(_xlfn.SINGLE(IT.RadiusY),IT.DecimalPlaces) &amp; "' /&gt;"</f>
        <v>&lt;ellipse fill='#CD212A' rx='48' ry='34' /&gt;</v>
      </c>
    </row>
    <row r="55" spans="2:7" x14ac:dyDescent="0.2">
      <c r="B55" s="36">
        <f t="shared" si="0"/>
        <v>31</v>
      </c>
      <c r="C55" s="36">
        <f t="shared" si="1"/>
        <v>17</v>
      </c>
      <c r="E55" t="str">
        <f xml:space="preserve"> E$53</f>
        <v>fill='#F4F5F0'</v>
      </c>
      <c r="G55" s="36" t="str" cm="1">
        <f t="array" ref="G55" xml:space="preserve"> "&lt;ellipse " &amp; _xlfn.SINGLE(IT.SVG_painting) &amp; " rx='" &amp; ROUND(_xlfn.SINGLE(IT.RadiusX),IT.DecimalPlaces) &amp; "' ry='" &amp; ROUND(_xlfn.SINGLE(IT.RadiusY),IT.DecimalPlaces) &amp; "' /&gt;"</f>
        <v>&lt;ellipse fill='#F4F5F0' rx='31' ry='17' /&gt;</v>
      </c>
    </row>
    <row r="56" spans="2:7" x14ac:dyDescent="0.2">
      <c r="G56" s="36" t="s">
        <v>15</v>
      </c>
    </row>
    <row r="60" spans="2:7" ht="17" thickBot="1" x14ac:dyDescent="0.25">
      <c r="B60" s="3" t="s">
        <v>2275</v>
      </c>
      <c r="C60" s="3" t="s">
        <v>2276</v>
      </c>
      <c r="E60" s="3" t="s">
        <v>2277</v>
      </c>
      <c r="G60" s="40" t="s">
        <v>2274</v>
      </c>
    </row>
    <row r="61" spans="2:7" x14ac:dyDescent="0.2">
      <c r="B61" cm="1">
        <f t="array" ref="B61:B66" xml:space="preserve"> IT.RadiusX</f>
        <v>0</v>
      </c>
      <c r="C61" cm="1">
        <f t="array" ref="C61:C66" xml:space="preserve"> IT.RadiusY</f>
        <v>0</v>
      </c>
      <c r="G6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62" spans="2:7" x14ac:dyDescent="0.2">
      <c r="B62" s="36">
        <v>82</v>
      </c>
      <c r="C62" s="36">
        <v>68</v>
      </c>
      <c r="E62" t="str">
        <f xml:space="preserve"> E52</f>
        <v>fill='#008C45'</v>
      </c>
      <c r="G62" s="36" t="str">
        <f xml:space="preserve"> "&lt;ellipse " &amp; _xlfn.SINGLE(IT.SVG_painting_2) &amp; " rx='" &amp; ROUND(_xlfn.SINGLE(IT.RadiusX_2),IT.DecimalPlaces) &amp; "' ry='" &amp; ROUND(_xlfn.SINGLE(IT.RadiusY_2),IT.DecimalPlaces) &amp; "' /&gt;"</f>
        <v>&lt;ellipse fill='#008C45' rx='82' ry='68' /&gt;</v>
      </c>
    </row>
    <row r="63" spans="2:7" x14ac:dyDescent="0.2">
      <c r="B63" s="36">
        <v>65</v>
      </c>
      <c r="C63" s="36">
        <v>51</v>
      </c>
      <c r="E63" t="s">
        <v>2132</v>
      </c>
      <c r="G63" s="36" t="str">
        <f xml:space="preserve"> "&lt;ellipse " &amp; _xlfn.SINGLE(IT.SVG_painting_2) &amp; " rx='" &amp; ROUND(_xlfn.SINGLE(IT.RadiusX_2),IT.DecimalPlaces) &amp; "' ry='" &amp; ROUND(_xlfn.SINGLE(IT.RadiusY_2),IT.DecimalPlaces) &amp; "' /&gt;"</f>
        <v>&lt;ellipse fill='#000' rx='65' ry='51' /&gt;</v>
      </c>
    </row>
    <row r="64" spans="2:7" x14ac:dyDescent="0.2">
      <c r="B64" s="36">
        <v>48</v>
      </c>
      <c r="C64" s="36">
        <v>34</v>
      </c>
      <c r="E64" t="str">
        <f t="shared" ref="E64:E65" si="2" xml:space="preserve"> E54</f>
        <v>fill='#CD212A'</v>
      </c>
      <c r="G64" s="36" t="str">
        <f xml:space="preserve"> "&lt;ellipse " &amp; _xlfn.SINGLE(IT.SVG_painting_2) &amp; " rx='" &amp; ROUND(_xlfn.SINGLE(IT.RadiusX_2),IT.DecimalPlaces) &amp; "' ry='" &amp; ROUND(_xlfn.SINGLE(IT.RadiusY_2),IT.DecimalPlaces) &amp; "' /&gt;"</f>
        <v>&lt;ellipse fill='#CD212A' rx='48' ry='34' /&gt;</v>
      </c>
    </row>
    <row r="65" spans="2:7" x14ac:dyDescent="0.2">
      <c r="B65" s="36">
        <v>31</v>
      </c>
      <c r="C65" s="36">
        <v>17</v>
      </c>
      <c r="E65" t="str">
        <f t="shared" si="2"/>
        <v>fill='#F4F5F0'</v>
      </c>
      <c r="G65" s="36" t="str">
        <f xml:space="preserve"> "&lt;ellipse " &amp; _xlfn.SINGLE(IT.SVG_painting_2) &amp; " rx='" &amp; ROUND(_xlfn.SINGLE(IT.RadiusX_2),IT.DecimalPlaces) &amp; "' ry='" &amp; ROUND(_xlfn.SINGLE(IT.RadiusY_2),IT.DecimalPlaces) &amp; "' /&gt;"</f>
        <v>&lt;ellipse fill='#F4F5F0' rx='31' ry='17' /&gt;</v>
      </c>
    </row>
    <row r="66" spans="2:7" x14ac:dyDescent="0.2">
      <c r="B66">
        <v>0</v>
      </c>
      <c r="C66">
        <v>0</v>
      </c>
      <c r="G66" s="36"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77" x14ac:dyDescent="0.2">
      <c r="B2" s="4" t="s">
        <v>361</v>
      </c>
      <c r="C2" s="5"/>
      <c r="D2" s="5" t="s">
        <v>405</v>
      </c>
      <c r="E2" s="5"/>
      <c r="F2" s="5" t="s">
        <v>798</v>
      </c>
      <c r="G2" s="5"/>
      <c r="H2" t="s">
        <v>393</v>
      </c>
      <c r="I2" s="5"/>
      <c r="J2" s="5" t="s">
        <v>1616</v>
      </c>
      <c r="K2" s="5"/>
      <c r="L2" t="s">
        <v>881</v>
      </c>
      <c r="M2" s="5"/>
      <c r="N2" t="s">
        <v>2158</v>
      </c>
      <c r="P2" t="s">
        <v>166</v>
      </c>
      <c r="R2" t="s">
        <v>492</v>
      </c>
      <c r="T2" t="s">
        <v>2155</v>
      </c>
      <c r="V2" t="s">
        <v>528</v>
      </c>
      <c r="X2" t="s">
        <v>1779</v>
      </c>
      <c r="Z2" t="s">
        <v>168</v>
      </c>
      <c r="AB2" t="s">
        <v>578</v>
      </c>
      <c r="AD2" t="s">
        <v>579</v>
      </c>
      <c r="AF2" t="s">
        <v>580</v>
      </c>
      <c r="AH2" t="s">
        <v>1629</v>
      </c>
      <c r="AJ2" t="s">
        <v>1625</v>
      </c>
      <c r="AL2" t="s">
        <v>1622</v>
      </c>
      <c r="AN2" t="s">
        <v>581</v>
      </c>
      <c r="AP2" t="s">
        <v>2278</v>
      </c>
      <c r="AR2" t="s">
        <v>656</v>
      </c>
      <c r="AT2" t="s">
        <v>2284</v>
      </c>
      <c r="AV2" t="s">
        <v>104</v>
      </c>
      <c r="AX2" t="s">
        <v>1668</v>
      </c>
      <c r="AZ2" t="s">
        <v>372</v>
      </c>
      <c r="BB2" t="s">
        <v>2310</v>
      </c>
      <c r="BD2" t="s">
        <v>797</v>
      </c>
      <c r="BF2" t="s">
        <v>2135</v>
      </c>
      <c r="BH2" t="s">
        <v>800</v>
      </c>
      <c r="BJ2" t="s">
        <v>2036</v>
      </c>
      <c r="BL2" t="s">
        <v>1707</v>
      </c>
      <c r="BN2" t="s">
        <v>931</v>
      </c>
      <c r="BP2" t="s">
        <v>172</v>
      </c>
      <c r="BR2" t="s">
        <v>2046</v>
      </c>
      <c r="BT2" t="s">
        <v>2318</v>
      </c>
      <c r="BY2" t="e">
        <f xml:space="preserve"> NA()</f>
        <v>#N/A</v>
      </c>
    </row>
    <row r="3" spans="2:77" x14ac:dyDescent="0.2">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v>0.7</v>
      </c>
      <c r="BR3">
        <f xml:space="preserve"> MODE(Circles.AreaMultiplier)</f>
        <v>1</v>
      </c>
      <c r="BT3">
        <f xml:space="preserve"> MODE(Circles.AreaMultiplier)</f>
        <v>1</v>
      </c>
    </row>
    <row r="5" spans="2:77" x14ac:dyDescent="0.2">
      <c r="B5" s="4" t="s">
        <v>363</v>
      </c>
      <c r="BH5">
        <v>44</v>
      </c>
      <c r="BJ5">
        <v>44</v>
      </c>
    </row>
    <row r="6" spans="2:77" x14ac:dyDescent="0.2">
      <c r="B6" s="4" t="s">
        <v>2309</v>
      </c>
      <c r="BB6" s="6" t="s">
        <v>2312</v>
      </c>
    </row>
    <row r="7" spans="2:77" x14ac:dyDescent="0.2">
      <c r="B7" s="4" t="s">
        <v>373</v>
      </c>
      <c r="C7" s="6"/>
      <c r="D7" s="6" t="s">
        <v>716</v>
      </c>
      <c r="E7" s="6"/>
      <c r="F7" s="6" t="s">
        <v>1827</v>
      </c>
      <c r="G7" s="6"/>
      <c r="H7" s="6" t="s">
        <v>1069</v>
      </c>
      <c r="I7" s="6"/>
      <c r="J7" s="6" t="s">
        <v>1618</v>
      </c>
      <c r="K7" s="6"/>
      <c r="L7" s="6" t="s">
        <v>1506</v>
      </c>
      <c r="M7" s="6"/>
      <c r="N7" s="6" t="s">
        <v>754</v>
      </c>
      <c r="O7" s="6"/>
      <c r="P7" s="6" t="s">
        <v>723</v>
      </c>
      <c r="Q7" s="6"/>
      <c r="R7" s="6" t="s">
        <v>757</v>
      </c>
      <c r="S7" s="6"/>
      <c r="T7" s="6" t="s">
        <v>2156</v>
      </c>
      <c r="U7" s="6"/>
      <c r="V7" s="6" t="s">
        <v>723</v>
      </c>
      <c r="W7" s="6"/>
      <c r="X7" s="6" t="s">
        <v>1780</v>
      </c>
      <c r="Y7" s="6"/>
      <c r="Z7" s="6" t="s">
        <v>723</v>
      </c>
      <c r="AA7" s="6"/>
      <c r="AB7" s="6"/>
      <c r="AC7" s="6"/>
      <c r="AD7" s="6"/>
      <c r="AE7" s="6"/>
      <c r="AF7" s="6"/>
      <c r="AG7" s="6"/>
      <c r="AH7" s="6" t="s">
        <v>1630</v>
      </c>
      <c r="AI7" s="6"/>
      <c r="AJ7" s="6"/>
      <c r="AK7" s="6"/>
      <c r="AL7" s="6"/>
      <c r="AM7" s="6"/>
      <c r="AN7" s="6" t="s">
        <v>726</v>
      </c>
      <c r="AO7" s="6"/>
      <c r="AP7" s="6" t="s">
        <v>726</v>
      </c>
      <c r="AQ7" s="6"/>
      <c r="AR7" s="6" t="s">
        <v>728</v>
      </c>
      <c r="AS7" s="6"/>
      <c r="AT7" s="6" t="s">
        <v>728</v>
      </c>
      <c r="AU7" s="6"/>
      <c r="AV7" s="6" t="s">
        <v>717</v>
      </c>
      <c r="AW7" s="6"/>
      <c r="AX7" s="6" t="s">
        <v>2091</v>
      </c>
      <c r="AY7" s="6"/>
      <c r="AZ7" s="6" t="s">
        <v>1073</v>
      </c>
      <c r="BA7" s="6"/>
      <c r="BB7" s="6" t="s">
        <v>2091</v>
      </c>
      <c r="BC7" s="6"/>
      <c r="BD7" s="6" t="s">
        <v>1045</v>
      </c>
      <c r="BE7" s="6"/>
      <c r="BF7" s="6" t="str">
        <f xml:space="preserve"> $AV$9</f>
        <v>fill='#00A3E0'</v>
      </c>
      <c r="BG7" s="6"/>
      <c r="BH7" s="6" t="s">
        <v>2091</v>
      </c>
      <c r="BI7" s="6"/>
      <c r="BJ7" s="6" t="s">
        <v>2037</v>
      </c>
      <c r="BK7" s="6"/>
      <c r="BL7" s="6" t="s">
        <v>1708</v>
      </c>
      <c r="BM7" s="6"/>
      <c r="BN7" s="6" t="s">
        <v>932</v>
      </c>
      <c r="BO7" s="6"/>
      <c r="BP7" s="6" t="s">
        <v>746</v>
      </c>
      <c r="BQ7" s="6"/>
      <c r="BR7" s="6" t="s">
        <v>2049</v>
      </c>
      <c r="BS7" s="6"/>
      <c r="BT7" s="6" t="s">
        <v>2319</v>
      </c>
      <c r="BU7" s="6"/>
      <c r="BV7" s="6"/>
      <c r="BW7" s="6"/>
      <c r="BX7" s="6"/>
      <c r="BY7" s="6"/>
    </row>
    <row r="8" spans="2:77" x14ac:dyDescent="0.2">
      <c r="B8" s="4" t="s">
        <v>374</v>
      </c>
      <c r="C8" s="6"/>
      <c r="D8" s="6" t="s">
        <v>2093</v>
      </c>
      <c r="E8" s="6"/>
      <c r="F8" s="6" t="s">
        <v>2093</v>
      </c>
      <c r="G8" s="6"/>
      <c r="H8" s="6" t="s">
        <v>2091</v>
      </c>
      <c r="I8" s="6"/>
      <c r="J8" s="6" t="s">
        <v>1617</v>
      </c>
      <c r="K8" s="6"/>
      <c r="L8" s="6" t="s">
        <v>1505</v>
      </c>
      <c r="M8" s="6"/>
      <c r="N8" s="6" t="s">
        <v>2091</v>
      </c>
      <c r="O8" s="6"/>
      <c r="P8" s="6" t="s">
        <v>2091</v>
      </c>
      <c r="Q8" s="6"/>
      <c r="R8" s="6" t="s">
        <v>2091</v>
      </c>
      <c r="S8" s="6"/>
      <c r="T8" s="6" t="s">
        <v>2157</v>
      </c>
      <c r="U8" s="6"/>
      <c r="V8" s="6" t="s">
        <v>752</v>
      </c>
      <c r="W8" s="6"/>
      <c r="X8" s="6" t="s">
        <v>1781</v>
      </c>
      <c r="Y8" s="6"/>
      <c r="Z8" s="6" t="s">
        <v>2091</v>
      </c>
      <c r="AA8" s="6"/>
      <c r="AB8" s="6" t="s">
        <v>753</v>
      </c>
      <c r="AC8" s="6"/>
      <c r="AD8" s="6" t="s">
        <v>728</v>
      </c>
      <c r="AE8" s="6"/>
      <c r="AF8" s="6" t="s">
        <v>723</v>
      </c>
      <c r="AG8" s="6"/>
      <c r="AH8" s="6" t="s">
        <v>726</v>
      </c>
      <c r="AI8" s="6"/>
      <c r="AJ8" s="6" t="s">
        <v>761</v>
      </c>
      <c r="AK8" s="6"/>
      <c r="AL8" s="6" t="s">
        <v>1623</v>
      </c>
      <c r="AM8" s="6"/>
      <c r="AN8" s="6" t="s">
        <v>2091</v>
      </c>
      <c r="AO8" s="6"/>
      <c r="AP8" s="6" t="s">
        <v>2279</v>
      </c>
      <c r="AQ8" s="6"/>
      <c r="AR8" s="6" t="s">
        <v>2091</v>
      </c>
      <c r="AS8" s="6"/>
      <c r="AT8" s="6" t="s">
        <v>2132</v>
      </c>
      <c r="AU8" s="6"/>
      <c r="AV8" s="6" t="s">
        <v>2091</v>
      </c>
      <c r="AW8" s="6"/>
      <c r="AX8" s="6" t="s">
        <v>738</v>
      </c>
      <c r="AY8" s="6"/>
      <c r="AZ8" s="6" t="s">
        <v>1074</v>
      </c>
      <c r="BA8" s="6"/>
      <c r="BB8" s="6" t="s">
        <v>2132</v>
      </c>
      <c r="BC8" s="6"/>
      <c r="BD8" s="6" t="s">
        <v>2091</v>
      </c>
      <c r="BE8" s="6"/>
      <c r="BF8" s="6" t="s">
        <v>2091</v>
      </c>
      <c r="BG8" s="6"/>
      <c r="BH8" s="6" t="str">
        <f xml:space="preserve"> "stroke-width='" &amp; _xlfn.SINGLE(Simple.SVG_borderWidth) &amp; "' stroke-linejoin='round' stroke='#1B618C' fill='none' "</f>
        <v xml:space="preserve">stroke-width='44' stroke-linejoin='round' stroke='#1B618C' fill='none' </v>
      </c>
      <c r="BI8" s="6"/>
      <c r="BJ8" s="6" t="s">
        <v>2091</v>
      </c>
      <c r="BK8" s="6"/>
      <c r="BL8" s="6" t="s">
        <v>1709</v>
      </c>
      <c r="BM8" s="6"/>
      <c r="BN8" s="6" t="s">
        <v>933</v>
      </c>
      <c r="BO8" s="6"/>
      <c r="BP8" s="6" t="s">
        <v>742</v>
      </c>
      <c r="BQ8" s="6"/>
      <c r="BR8" s="6" t="s">
        <v>2050</v>
      </c>
      <c r="BS8" s="6"/>
      <c r="BT8" s="6" t="s">
        <v>2320</v>
      </c>
      <c r="BU8" s="6"/>
      <c r="BV8" s="6"/>
      <c r="BW8" s="6"/>
      <c r="BX8" s="6"/>
      <c r="BY8" s="6"/>
    </row>
    <row r="9" spans="2:77" x14ac:dyDescent="0.2">
      <c r="B9" s="4" t="s">
        <v>375</v>
      </c>
      <c r="C9" s="6"/>
      <c r="D9" s="6"/>
      <c r="E9" s="6"/>
      <c r="F9" s="6"/>
      <c r="G9" s="6"/>
      <c r="H9" s="6"/>
      <c r="I9" s="6"/>
      <c r="J9" s="6"/>
      <c r="K9" s="6"/>
      <c r="L9" s="6"/>
      <c r="M9" s="6"/>
      <c r="N9" s="6" t="s">
        <v>754</v>
      </c>
      <c r="O9" s="6"/>
      <c r="P9" s="6"/>
      <c r="Q9" s="6"/>
      <c r="R9" s="6" t="s">
        <v>755</v>
      </c>
      <c r="S9" s="6"/>
      <c r="T9" s="6" t="s">
        <v>726</v>
      </c>
      <c r="U9" s="6"/>
      <c r="V9" s="6"/>
      <c r="W9" s="6"/>
      <c r="X9" s="6" t="s">
        <v>726</v>
      </c>
      <c r="Y9" s="6"/>
      <c r="Z9" s="6"/>
      <c r="AA9" s="6"/>
      <c r="AB9" s="6" t="s">
        <v>756</v>
      </c>
      <c r="AC9" s="6"/>
      <c r="AD9" s="6" t="s">
        <v>726</v>
      </c>
      <c r="AE9" s="6"/>
      <c r="AF9" s="6" t="s">
        <v>726</v>
      </c>
      <c r="AG9" s="6"/>
      <c r="AH9" s="6" t="s">
        <v>2091</v>
      </c>
      <c r="AI9" s="6"/>
      <c r="AJ9" s="6" t="s">
        <v>726</v>
      </c>
      <c r="AK9" s="6"/>
      <c r="AL9" s="6" t="s">
        <v>1624</v>
      </c>
      <c r="AM9" s="6"/>
      <c r="AN9" s="6"/>
      <c r="AO9" s="6"/>
      <c r="AP9" s="6"/>
      <c r="AQ9" s="6"/>
      <c r="AR9" s="6"/>
      <c r="AS9" s="6"/>
      <c r="AT9" s="6"/>
      <c r="AU9" s="6"/>
      <c r="AV9" s="6" t="s">
        <v>733</v>
      </c>
      <c r="AW9" s="6"/>
      <c r="AX9" s="6"/>
      <c r="AY9" s="6"/>
      <c r="AZ9" s="6" t="s">
        <v>2091</v>
      </c>
      <c r="BA9" s="6"/>
      <c r="BB9" s="6" t="s">
        <v>2311</v>
      </c>
      <c r="BC9" s="6"/>
      <c r="BD9" s="6" t="s">
        <v>799</v>
      </c>
      <c r="BE9" s="6"/>
      <c r="BF9" s="6" t="str">
        <f xml:space="preserve"> $AV$7</f>
        <v>fill='#EF3340'</v>
      </c>
      <c r="BG9" s="6"/>
      <c r="BH9" s="6"/>
      <c r="BI9" s="6"/>
      <c r="BJ9" s="6" t="s">
        <v>2038</v>
      </c>
      <c r="BK9" s="6"/>
      <c r="BL9" s="6"/>
      <c r="BM9" s="6"/>
      <c r="BN9" s="6"/>
      <c r="BO9" s="6"/>
      <c r="BP9" s="6"/>
      <c r="BQ9" s="6"/>
      <c r="BR9" s="6" t="s">
        <v>2091</v>
      </c>
      <c r="BS9" s="6"/>
      <c r="BT9" s="6" t="s">
        <v>2321</v>
      </c>
      <c r="BU9" s="6"/>
      <c r="BV9" s="6"/>
      <c r="BW9" s="6"/>
      <c r="BX9" s="6"/>
      <c r="BY9" s="6"/>
    </row>
    <row r="10" spans="2:77" x14ac:dyDescent="0.2">
      <c r="B10" s="5"/>
      <c r="C10" s="5"/>
      <c r="D10" s="5"/>
      <c r="E10" s="5"/>
      <c r="G10" s="5"/>
      <c r="I10" s="5"/>
      <c r="J10" s="5"/>
      <c r="K10" s="5"/>
      <c r="M10" s="5"/>
      <c r="U10" s="6"/>
      <c r="X10" s="6"/>
      <c r="AB10" s="6"/>
      <c r="AD10" s="6"/>
    </row>
    <row r="11" spans="2:77" x14ac:dyDescent="0.2">
      <c r="B11" s="4" t="s">
        <v>365</v>
      </c>
      <c r="C11" s="5"/>
      <c r="D11">
        <v>10</v>
      </c>
      <c r="E11" s="5"/>
      <c r="F11">
        <f xml:space="preserve"> $D11</f>
        <v>10</v>
      </c>
      <c r="G11" s="5"/>
      <c r="H11">
        <f xml:space="preserve"> 2 * 4</f>
        <v>8</v>
      </c>
      <c r="I11" s="5"/>
      <c r="J11" s="5">
        <v>11</v>
      </c>
      <c r="K11" s="5"/>
      <c r="L11">
        <f xml:space="preserve"> 2 * 4</f>
        <v>8</v>
      </c>
      <c r="M11" s="5"/>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9</v>
      </c>
      <c r="BR11">
        <v>4</v>
      </c>
      <c r="BT11">
        <v>2</v>
      </c>
    </row>
    <row r="12" spans="2:77" x14ac:dyDescent="0.2">
      <c r="B12" s="4" t="s">
        <v>367</v>
      </c>
      <c r="C12" s="5"/>
      <c r="D12">
        <f xml:space="preserve"> _xlfn.SINGLE(Simple.MaxX)</f>
        <v>10</v>
      </c>
      <c r="E12" s="5"/>
      <c r="F12">
        <f xml:space="preserve"> _xlfn.SINGLE(Simple.MaxX)</f>
        <v>10</v>
      </c>
      <c r="G12" s="5"/>
      <c r="H12">
        <f xml:space="preserve"> _xlfn.SINGLE(Simple.MaxX)</f>
        <v>8</v>
      </c>
      <c r="I12" s="5"/>
      <c r="J12" s="5">
        <v>14</v>
      </c>
      <c r="K12" s="5"/>
      <c r="L12">
        <f xml:space="preserve"> _xlfn.SINGLE(Simple.MaxX)</f>
        <v>8</v>
      </c>
      <c r="M12" s="5"/>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15</v>
      </c>
      <c r="BR12">
        <f xml:space="preserve"> _xlfn.SINGLE(Simple.MaxX)</f>
        <v>4</v>
      </c>
      <c r="BT12">
        <v>1</v>
      </c>
    </row>
    <row r="13" spans="2:77" x14ac:dyDescent="0.2">
      <c r="B13" s="4" t="s">
        <v>364</v>
      </c>
      <c r="C13" s="5"/>
      <c r="D13">
        <f xml:space="preserve"> - _xlfn.SINGLE(Simple.MaxX)</f>
        <v>-10</v>
      </c>
      <c r="E13" s="5"/>
      <c r="F13">
        <f xml:space="preserve"> - _xlfn.SINGLE(Simple.MaxX)</f>
        <v>-10</v>
      </c>
      <c r="G13" s="5"/>
      <c r="H13">
        <f xml:space="preserve"> - _xlfn.SINGLE(Simple.MaxX)</f>
        <v>-8</v>
      </c>
      <c r="I13" s="5"/>
      <c r="J13">
        <f xml:space="preserve"> - _xlfn.SINGLE(Simple.MaxX)</f>
        <v>-11</v>
      </c>
      <c r="K13" s="5"/>
      <c r="L13">
        <f xml:space="preserve"> - _xlfn.SINGLE(Simple.MaxX)</f>
        <v>-8</v>
      </c>
      <c r="M13" s="5"/>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-9</v>
      </c>
      <c r="BR13">
        <f xml:space="preserve"> - _xlfn.SINGLE(Simple.MaxX)</f>
        <v>-4</v>
      </c>
      <c r="BT13">
        <f xml:space="preserve"> - _xlfn.SINGLE(Simple.MaxX)</f>
        <v>-2</v>
      </c>
    </row>
    <row r="14" spans="2:77" x14ac:dyDescent="0.2">
      <c r="B14" s="4" t="s">
        <v>366</v>
      </c>
      <c r="C14" s="5"/>
      <c r="D14">
        <f xml:space="preserve"> - _xlfn.SINGLE(Simple.MaxY)</f>
        <v>-10</v>
      </c>
      <c r="E14" s="5"/>
      <c r="F14">
        <f xml:space="preserve"> - _xlfn.SINGLE(Simple.MaxY)</f>
        <v>-10</v>
      </c>
      <c r="G14" s="5"/>
      <c r="H14">
        <f xml:space="preserve"> - _xlfn.SINGLE(Simple.MaxY)</f>
        <v>-8</v>
      </c>
      <c r="I14" s="5"/>
      <c r="J14">
        <f xml:space="preserve"> - _xlfn.SINGLE(Simple.MaxY)</f>
        <v>-14</v>
      </c>
      <c r="K14" s="5"/>
      <c r="L14">
        <f xml:space="preserve"> - _xlfn.SINGLE(Simple.MaxY)</f>
        <v>-8</v>
      </c>
      <c r="M14" s="5"/>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-15</v>
      </c>
      <c r="BR14">
        <f xml:space="preserve"> - _xlfn.SINGLE(Simple.MaxY)</f>
        <v>-4</v>
      </c>
      <c r="BT14">
        <f xml:space="preserve"> - _xlfn.SINGLE(Simple.MaxY)</f>
        <v>-1</v>
      </c>
    </row>
    <row r="17" spans="2:77" x14ac:dyDescent="0.2">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1.6666666666666667</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x14ac:dyDescent="0.2">
      <c r="B18" s="4" t="s">
        <v>369</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11.2</v>
      </c>
      <c r="J18">
        <f xml:space="preserve"> VALUE(TEXT(SQRT(_xlfn.SINGLE(Simple.AreaMultiplier) * BasicBBoxArea * _xlfn.SINGLE(Simple.Aspect)), SVG.NumberFormatHeight))</f>
        <v>11.3</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14.7</v>
      </c>
      <c r="P18">
        <f xml:space="preserve"> VALUE(TEXT(SQRT(_xlfn.SINGLE(Simple.AreaMultiplier) * BasicBBoxArea * _xlfn.SINGLE(Simple.Aspect)), SVG.NumberFormatHeight))</f>
        <v>8.4</v>
      </c>
      <c r="R18">
        <f xml:space="preserve"> VALUE(TEXT(SQRT(_xlfn.SINGLE(Simple.AreaMultiplier) * BasicBBoxArea * _xlfn.SINGLE(Simple.Aspect)), SVG.NumberFormatHeight))</f>
        <v>12</v>
      </c>
      <c r="T18">
        <f xml:space="preserve"> VALUE(TEXT(SQRT(_xlfn.SINGLE(Simple.AreaMultiplier) * BasicBBoxArea * _xlfn.SINGLE(Simple.Aspect)), SVG.NumberFormatHeight))</f>
        <v>10</v>
      </c>
      <c r="V18">
        <f xml:space="preserve"> VALUE(TEXT(SQRT(_xlfn.SINGLE(Simple.AreaMultiplier) * BasicBBoxArea * _xlfn.SINGLE(Simple.Aspect)), SVG.NumberFormatHeight))</f>
        <v>9.4</v>
      </c>
      <c r="X18">
        <f xml:space="preserve"> VALUE(TEXT(SQRT(_xlfn.SINGLE(Simple.AreaMultiplier) * BasicBBoxArea * _xlfn.SINGLE(Simple.Aspect)), SVG.NumberFormatHeight))</f>
        <v>8.9</v>
      </c>
      <c r="Z18">
        <f xml:space="preserve"> VALUE(TEXT(SQRT(_xlfn.SINGLE(Simple.AreaMultiplier) * BasicBBoxArea * _xlfn.SINGLE(Simple.Aspect)), SVG.NumberFormatHeight))</f>
        <v>9.1999999999999993</v>
      </c>
      <c r="AB18">
        <f xml:space="preserve"> VALUE(TEXT(SQRT(_xlfn.SINGLE(Simple.AreaMultiplier) * BasicBBoxArea * _xlfn.SINGLE(Simple.Aspect)), SVG.NumberFormatHeight))</f>
        <v>9.1999999999999993</v>
      </c>
      <c r="AD18">
        <f xml:space="preserve"> VALUE(TEXT(SQRT(_xlfn.SINGLE(Simple.AreaMultiplier) * BasicBBoxArea * _xlfn.SINGLE(Simple.Aspect)), SVG.NumberFormatHeight))</f>
        <v>9.1999999999999993</v>
      </c>
      <c r="AF18">
        <f xml:space="preserve"> VALUE(TEXT(SQRT(_xlfn.SINGLE(Simple.AreaMultiplier) * BasicBBoxArea * _xlfn.SINGLE(Simple.Aspect)), SVG.NumberFormatHeight))</f>
        <v>9.1999999999999993</v>
      </c>
      <c r="AH18">
        <f xml:space="preserve"> VALUE(TEXT(SQRT(_xlfn.SINGLE(Simple.AreaMultiplier) * BasicBBoxArea * _xlfn.SINGLE(Simple.Aspect)), SVG.NumberFormatHeight))</f>
        <v>14.1</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8.5</v>
      </c>
      <c r="AP18">
        <f xml:space="preserve"> VALUE(TEXT(SQRT(_xlfn.SINGLE(Simple.AreaMultiplier) * BasicBBoxArea * _xlfn.SINGLE(Simple.Aspect)), SVG.NumberFormatHeight))</f>
        <v>8.5</v>
      </c>
      <c r="AR18">
        <f xml:space="preserve"> VALUE(TEXT(SQRT(_xlfn.SINGLE(Simple.AreaMultiplier) * BasicBBoxArea * _xlfn.SINGLE(Simple.Aspect)), SVG.NumberFormatHeight))</f>
        <v>7.6</v>
      </c>
      <c r="AT18">
        <f xml:space="preserve"> VALUE(TEXT(SQRT(_xlfn.SINGLE(Simple.AreaMultiplier) * BasicBBoxArea * _xlfn.SINGLE(Simple.Aspect)), SVG.NumberFormatHeight))</f>
        <v>7.6</v>
      </c>
      <c r="AV18">
        <f xml:space="preserve"> VALUE(TEXT(SQRT(_xlfn.SINGLE(Simple.AreaMultiplier) * BasicBBoxArea * _xlfn.SINGLE(Simple.Aspect)), SVG.NumberFormatHeight))</f>
        <v>8.3000000000000007</v>
      </c>
      <c r="AX18">
        <f xml:space="preserve"> VALUE(TEXT(SQRT(_xlfn.SINGLE(Simple.AreaMultiplier) * BasicBBoxArea * _xlfn.SINGLE(Simple.Aspect)), SVG.NumberFormatHeight))</f>
        <v>9.1999999999999993</v>
      </c>
      <c r="AZ18">
        <f xml:space="preserve"> VALUE(TEXT(SQRT(_xlfn.SINGLE(Simple.AreaMultiplier) * BasicBBoxArea * _xlfn.SINGLE(Simple.Aspect)), SVG.NumberFormatHeight))</f>
        <v>9.6</v>
      </c>
      <c r="BB18">
        <f xml:space="preserve"> VALUE(TEXT(SQRT(_xlfn.SINGLE(Simple.AreaMultiplier) * BasicBBoxArea * _xlfn.SINGLE(Simple.Aspect)), SVG.NumberFormatHeight))</f>
        <v>10.199999999999999</v>
      </c>
      <c r="BD18">
        <f xml:space="preserve"> VALUE(TEXT(SQRT(_xlfn.SINGLE(Simple.AreaMultiplier) * BasicBBoxArea * _xlfn.SINGLE(Simple.Aspect)), SVG.NumberFormatHeight))</f>
        <v>9.1999999999999993</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13.5</v>
      </c>
      <c r="BJ18">
        <f xml:space="preserve"> VALUE(TEXT(SQRT(_xlfn.SINGLE(Simple.AreaMultiplier) * BasicBBoxArea * _xlfn.SINGLE(Simple.Aspect)), SVG.NumberFormatHeight))</f>
        <v>9.1999999999999993</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13</v>
      </c>
      <c r="BP18">
        <f xml:space="preserve"> VALUE(TEXT(SQRT(_xlfn.SINGLE(Simple.AreaMultiplier) * BasicBBoxArea * _xlfn.SINGLE(Simple.Aspect)), SVG.NumberFormatHeight))</f>
        <v>10.8</v>
      </c>
      <c r="BR18">
        <f xml:space="preserve"> VALUE(TEXT(SQRT(_xlfn.SINGLE(Simple.AreaMultiplier) * BasicBBoxArea * _xlfn.SINGLE(Simple.Aspect)), SVG.NumberFormatHeight))</f>
        <v>10</v>
      </c>
      <c r="BT18">
        <f xml:space="preserve"> VALUE(TEXT(SQRT(_xlfn.SINGLE(Simple.AreaMultiplier) * BasicBBoxArea * _xlfn.SINGLE(Simple.Aspect)), SVG.NumberFormatHeight))</f>
        <v>7.1</v>
      </c>
    </row>
    <row r="19" spans="2:77" x14ac:dyDescent="0.2">
      <c r="B19" s="4" t="s">
        <v>370</v>
      </c>
      <c r="D19">
        <f xml:space="preserve"> _xlfn.SINGLE(Simple.Height) / _xlfn.SINGLE(Simple.Aspect)</f>
        <v>10</v>
      </c>
      <c r="F19">
        <f xml:space="preserve"> _xlfn.SINGLE(Simple.Height) / _xlfn.SINGLE(Simple.Aspect)</f>
        <v>10</v>
      </c>
      <c r="H19">
        <f xml:space="preserve"> _xlfn.SINGLE(Simple.Height) / _xlfn.SINGLE(Simple.Aspect)</f>
        <v>11.2</v>
      </c>
      <c r="J19">
        <f xml:space="preserve"> _xlfn.SINGLE(Simple.Height) / _xlfn.SINGLE(Simple.Aspect)</f>
        <v>8.8785714285714299</v>
      </c>
      <c r="L19">
        <f xml:space="preserve"> _xlfn.SINGLE(Simple.Height) / _xlfn.SINGLE(Simple.Aspect)</f>
        <v>11.2</v>
      </c>
      <c r="N19">
        <f xml:space="preserve"> _xlfn.SINGLE(Simple.Height) / _xlfn.SINGLE(Simple.Aspect)</f>
        <v>8.8199999999999985</v>
      </c>
      <c r="P19">
        <f xml:space="preserve"> _xlfn.SINGLE(Simple.Height) / _xlfn.SINGLE(Simple.Aspect)</f>
        <v>10.08</v>
      </c>
      <c r="R19">
        <f xml:space="preserve"> _xlfn.SINGLE(Simple.Height) / _xlfn.SINGLE(Simple.Aspect)</f>
        <v>10.050000000000001</v>
      </c>
      <c r="T19">
        <f xml:space="preserve"> _xlfn.SINGLE(Simple.Height) / _xlfn.SINGLE(Simple.Aspect)</f>
        <v>10</v>
      </c>
      <c r="V19">
        <f xml:space="preserve"> _xlfn.SINGLE(Simple.Height) / _xlfn.SINGLE(Simple.Aspect)</f>
        <v>14.720754716981133</v>
      </c>
      <c r="X19">
        <f xml:space="preserve"> _xlfn.SINGLE(Simple.Height) / _xlfn.SINGLE(Simple.Aspect)</f>
        <v>15.416071428571431</v>
      </c>
      <c r="Z19">
        <f xml:space="preserve"> _xlfn.SINGLE(Simple.Height) / _xlfn.SINGLE(Simple.Aspect)</f>
        <v>9.1999999999999993</v>
      </c>
      <c r="AB19">
        <f xml:space="preserve"> _xlfn.SINGLE(Simple.Height) / _xlfn.SINGLE(Simple.Aspect)</f>
        <v>9.1999999999999993</v>
      </c>
      <c r="AD19">
        <f xml:space="preserve"> _xlfn.SINGLE(Simple.Height) / _xlfn.SINGLE(Simple.Aspect)</f>
        <v>9.1999999999999993</v>
      </c>
      <c r="AF19">
        <f xml:space="preserve"> _xlfn.SINGLE(Simple.Height) / _xlfn.SINGLE(Simple.Aspect)</f>
        <v>9.1999999999999993</v>
      </c>
      <c r="AH19">
        <f xml:space="preserve"> _xlfn.SINGLE(Simple.Height) / _xlfn.SINGLE(Simple.Aspect)</f>
        <v>7.05</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11.6875</v>
      </c>
      <c r="AP19">
        <f xml:space="preserve"> _xlfn.SINGLE(Simple.Height) / _xlfn.SINGLE(Simple.Aspect)</f>
        <v>11.6875</v>
      </c>
      <c r="AR19">
        <f xml:space="preserve"> _xlfn.SINGLE(Simple.Height) / _xlfn.SINGLE(Simple.Aspect)</f>
        <v>11.4</v>
      </c>
      <c r="AT19">
        <f xml:space="preserve"> _xlfn.SINGLE(Simple.Height) / _xlfn.SINGLE(Simple.Aspect)</f>
        <v>11.4</v>
      </c>
      <c r="AV19">
        <f xml:space="preserve"> _xlfn.SINGLE(Simple.Height) / _xlfn.SINGLE(Simple.Aspect)</f>
        <v>16.600000000000001</v>
      </c>
      <c r="AX19">
        <f xml:space="preserve"> _xlfn.SINGLE(Simple.Height) / _xlfn.SINGLE(Simple.Aspect)</f>
        <v>9.1999999999999993</v>
      </c>
      <c r="AZ19">
        <f xml:space="preserve"> _xlfn.SINGLE(Simple.Height) / _xlfn.SINGLE(Simple.Aspect)</f>
        <v>14.4</v>
      </c>
      <c r="BB19">
        <f xml:space="preserve"> _xlfn.SINGLE(Simple.Height) / _xlfn.SINGLE(Simple.Aspect)</f>
        <v>13.6</v>
      </c>
      <c r="BD19">
        <f xml:space="preserve"> _xlfn.SINGLE(Simple.Height) / _xlfn.SINGLE(Simple.Aspect)</f>
        <v>9.1999999999999993</v>
      </c>
      <c r="BF19">
        <f xml:space="preserve"> _xlfn.SINGLE(Simple.Height) / _xlfn.SINGLE(Simple.Aspect)</f>
        <v>9.1999999999999993</v>
      </c>
      <c r="BH19">
        <f xml:space="preserve"> _xlfn.SINGLE(Simple.Height) / _xlfn.SINGLE(Simple.Aspect)</f>
        <v>10.205741626794259</v>
      </c>
      <c r="BJ19">
        <f xml:space="preserve"> _xlfn.SINGLE(Simple.Height) / _xlfn.SINGLE(Simple.Aspect)</f>
        <v>9.1999999999999993</v>
      </c>
      <c r="BL19">
        <f xml:space="preserve"> _xlfn.SINGLE(Simple.Height) / _xlfn.SINGLE(Simple.Aspect)</f>
        <v>9.1999999999999993</v>
      </c>
      <c r="BN19">
        <f xml:space="preserve"> _xlfn.SINGLE(Simple.Height) / _xlfn.SINGLE(Simple.Aspect)</f>
        <v>6.5822784810126578</v>
      </c>
      <c r="BP19">
        <f xml:space="preserve"> _xlfn.SINGLE(Simple.Height) / _xlfn.SINGLE(Simple.Aspect)</f>
        <v>6.48</v>
      </c>
      <c r="BR19">
        <f xml:space="preserve"> _xlfn.SINGLE(Simple.Height) / _xlfn.SINGLE(Simple.Aspect)</f>
        <v>10</v>
      </c>
      <c r="BT19">
        <f xml:space="preserve"> _xlfn.SINGLE(Simple.Height) / _xlfn.SINGLE(Simple.Aspect)</f>
        <v>14.2</v>
      </c>
    </row>
    <row r="22" spans="2:77" x14ac:dyDescent="0.2">
      <c r="D22" cm="1">
        <f t="array" ref="D22" xml:space="preserve"> SVG_length(D$24:D$29)</f>
        <v>200</v>
      </c>
      <c r="F22" cm="1">
        <f t="array" ref="F22" xml:space="preserve"> SVG_length(F$24:F$29)</f>
        <v>215</v>
      </c>
      <c r="H22" cm="1">
        <f t="array" ref="H22" xml:space="preserve"> SVG_length(H$24:H$29)</f>
        <v>230</v>
      </c>
      <c r="J22" cm="1">
        <f t="array" ref="J22" xml:space="preserve"> SVG_length(J$24:J$29)</f>
        <v>216</v>
      </c>
      <c r="L22" cm="1">
        <f t="array" ref="L22" xml:space="preserve"> SVG_length(L$24:L$29)</f>
        <v>233</v>
      </c>
      <c r="N22" cm="1">
        <f t="array" ref="N22" xml:space="preserve"> SVG_length(N$24:N$29)</f>
        <v>399</v>
      </c>
      <c r="P22" cm="1">
        <f t="array" ref="P22" xml:space="preserve"> SVG_length(P$24:P$29)</f>
        <v>202</v>
      </c>
      <c r="R22" cm="1">
        <f t="array" ref="R22" xml:space="preserve"> SVG_length(R$24:R$29)</f>
        <v>325</v>
      </c>
      <c r="T22" cm="1">
        <f t="array" ref="T22" xml:space="preserve"> SVG_length(T$24:T$29)</f>
        <v>281</v>
      </c>
      <c r="V22" cm="1">
        <f t="array" ref="V22" xml:space="preserve"> SVG_length(V$24:V$29)</f>
        <v>229</v>
      </c>
      <c r="X22" cm="1">
        <f t="array" ref="X22" xml:space="preserve"> SVG_length(X$24:X$29)</f>
        <v>311</v>
      </c>
      <c r="Z22" cm="1">
        <f t="array" ref="Z22" xml:space="preserve"> SVG_length(Z$24:Z$29)</f>
        <v>185</v>
      </c>
      <c r="AB22" cm="1">
        <f t="array" ref="AB22" xml:space="preserve"> SVG_length(AB$24:AB$29)</f>
        <v>196</v>
      </c>
      <c r="AD22" cm="1">
        <f t="array" ref="AD22" xml:space="preserve"> SVG_length(AD$24:AD$29)</f>
        <v>185</v>
      </c>
      <c r="AF22" cm="1">
        <f t="array" ref="AF22" xml:space="preserve"> SVG_length(AF$24:AF$29)</f>
        <v>188</v>
      </c>
      <c r="AH22" cm="1">
        <f t="array" ref="AH22" xml:space="preserve"> SVG_length(AH$24:AH$29)</f>
        <v>433</v>
      </c>
      <c r="AJ22" cm="1">
        <f t="array" ref="AJ22" xml:space="preserve"> SVG_length(AJ$24:AJ$29)</f>
        <v>179</v>
      </c>
      <c r="AL22" cm="1">
        <f t="array" ref="AL22" xml:space="preserve"> SVG_length(AL$24:AL$29)</f>
        <v>189</v>
      </c>
      <c r="AN22" cm="1">
        <f t="array" ref="AN22" xml:space="preserve"> SVG_length(AN$24:AN$29)</f>
        <v>210</v>
      </c>
      <c r="AP22" cm="1">
        <f t="array" ref="AP22" xml:space="preserve"> SVG_length(AP$24:AP$29)</f>
        <v>210</v>
      </c>
      <c r="AR22" cm="1">
        <f t="array" ref="AR22" xml:space="preserve"> SVG_length(AR$24:AR$29)</f>
        <v>186</v>
      </c>
      <c r="AT22" cm="1">
        <f t="array" ref="AT22" xml:space="preserve"> SVG_length(AT$24:AT$29)</f>
        <v>174</v>
      </c>
      <c r="AV22" cm="1">
        <f t="array" ref="AV22" xml:space="preserve"> SVG_length(AV$24:AV$29)</f>
        <v>259</v>
      </c>
      <c r="AX22" cm="1">
        <f t="array" ref="AX22" xml:space="preserve"> SVG_length(AX$24:AX$29)</f>
        <v>215</v>
      </c>
      <c r="AZ22" cm="1">
        <f t="array" ref="AZ22" xml:space="preserve"> SVG_length(AZ$24:AZ$29)</f>
        <v>260</v>
      </c>
      <c r="BB22" cm="1">
        <f t="array" ref="BB22" xml:space="preserve"> SVG_length(BB$24:BB$29)</f>
        <v>310</v>
      </c>
      <c r="BD22" cm="1">
        <f t="array" ref="BD22" xml:space="preserve"> SVG_length(BD$24:BD$29)</f>
        <v>263</v>
      </c>
      <c r="BF22" cm="1">
        <f t="array" ref="BF22" xml:space="preserve"> SVG_length(BF$24:BF$29)</f>
        <v>263</v>
      </c>
      <c r="BH22" cm="1">
        <f t="array" ref="BH22" xml:space="preserve"> SVG_length(BH$24:BH$29)</f>
        <v>291</v>
      </c>
      <c r="BJ22" cm="1">
        <f t="array" ref="BJ22" xml:space="preserve"> SVG_length(BJ$24:BJ$29)</f>
        <v>285</v>
      </c>
      <c r="BL22" cm="1">
        <f t="array" ref="BL22" xml:space="preserve"> SVG_length(BL$24:BL$29)</f>
        <v>196</v>
      </c>
      <c r="BN22" cm="1">
        <f t="array" ref="BN22" xml:space="preserve"> SVG_length(BN$24:BN$29)</f>
        <v>255</v>
      </c>
      <c r="BP22" cm="1">
        <f t="array" ref="BP22" xml:space="preserve"> SVG_length(BP$24:BP$29)</f>
        <v>211</v>
      </c>
      <c r="BR22" cm="1">
        <f t="array" ref="BR22" xml:space="preserve"> SVG_length(BR$24:BR$29)</f>
        <v>236</v>
      </c>
      <c r="BT22" cm="1">
        <f t="array" ref="BT22" xml:space="preserve"> SVG_length(BT$24:BT$29)</f>
        <v>238</v>
      </c>
    </row>
    <row r="23" spans="2:77" x14ac:dyDescent="0.2">
      <c r="B23" s="4" t="s">
        <v>371</v>
      </c>
    </row>
    <row r="24" spans="2:77" x14ac:dyDescent="0.2">
      <c r="C24" s="8" t="str">
        <f xml:space="preserve"> ""</f>
        <v/>
      </c>
      <c r="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8" t="str">
        <f xml:space="preserve"> ""</f>
        <v/>
      </c>
      <c r="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8" t="str">
        <f xml:space="preserve"> ""</f>
        <v/>
      </c>
      <c r="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I24" s="8" t="str">
        <f xml:space="preserve"> ""</f>
        <v/>
      </c>
      <c r="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K24" s="8" t="str">
        <f xml:space="preserve"> ""</f>
        <v/>
      </c>
      <c r="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M24" s="8" t="str">
        <f xml:space="preserve"> ""</f>
        <v/>
      </c>
      <c r="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O24" s="8" t="str">
        <f xml:space="preserve"> ""</f>
        <v/>
      </c>
      <c r="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Q24" s="8" t="str">
        <f xml:space="preserve"> ""</f>
        <v/>
      </c>
      <c r="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S24" s="8" t="str">
        <f xml:space="preserve"> ""</f>
        <v/>
      </c>
      <c r="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U24" s="8" t="str">
        <f xml:space="preserve"> ""</f>
        <v/>
      </c>
      <c r="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W24" s="8" t="str">
        <f xml:space="preserve"> ""</f>
        <v/>
      </c>
      <c r="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Y24" s="8" t="str">
        <f xml:space="preserve"> ""</f>
        <v/>
      </c>
      <c r="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A24" s="8" t="str">
        <f xml:space="preserve"> ""</f>
        <v/>
      </c>
      <c r="A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C24" s="8" t="str">
        <f xml:space="preserve"> ""</f>
        <v/>
      </c>
      <c r="A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E24" s="8" t="str">
        <f xml:space="preserve"> ""</f>
        <v/>
      </c>
      <c r="A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AG24" s="8" t="str">
        <f xml:space="preserve"> ""</f>
        <v/>
      </c>
      <c r="A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I24" s="8" t="str">
        <f xml:space="preserve"> ""</f>
        <v/>
      </c>
      <c r="A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K24" s="8" t="str">
        <f xml:space="preserve"> ""</f>
        <v/>
      </c>
      <c r="A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M24" s="8" t="str">
        <f xml:space="preserve"> ""</f>
        <v/>
      </c>
      <c r="A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O24" s="8" t="str">
        <f xml:space="preserve"> ""</f>
        <v/>
      </c>
      <c r="A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Q24" s="8" t="str">
        <f xml:space="preserve"> ""</f>
        <v/>
      </c>
      <c r="A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S24" s="8" t="str">
        <f xml:space="preserve"> ""</f>
        <v/>
      </c>
      <c r="A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U24" s="8" t="str">
        <f xml:space="preserve"> ""</f>
        <v/>
      </c>
      <c r="A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AW24" s="8" t="str">
        <f xml:space="preserve"> ""</f>
        <v/>
      </c>
      <c r="A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AY24" s="8" t="str">
        <f xml:space="preserve"> ""</f>
        <v/>
      </c>
      <c r="A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A24" s="8" t="str">
        <f xml:space="preserve"> ""</f>
        <v/>
      </c>
      <c r="B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C24" s="8" t="str">
        <f xml:space="preserve"> ""</f>
        <v/>
      </c>
      <c r="B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E24" s="8" t="str">
        <f xml:space="preserve"> ""</f>
        <v/>
      </c>
      <c r="B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G24" s="8" t="str">
        <f xml:space="preserve"> ""</f>
        <v/>
      </c>
      <c r="B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I24" s="8" t="str">
        <f xml:space="preserve"> ""</f>
        <v/>
      </c>
      <c r="B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K24" s="8" t="str">
        <f xml:space="preserve"> ""</f>
        <v/>
      </c>
      <c r="B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8" t="str">
        <f xml:space="preserve"> ""</f>
        <v/>
      </c>
      <c r="B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O24" s="8" t="str">
        <f xml:space="preserve"> ""</f>
        <v/>
      </c>
      <c r="B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width='6.48' height='10.8' viewBox='-9 -15 18 30'  id='%thisID%' xmlns='http://www.w3.org/2000/svg'&gt;</v>
      </c>
      <c r="BQ24" s="8" t="str">
        <f xml:space="preserve"> ""</f>
        <v/>
      </c>
      <c r="B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BS24" s="8" t="str">
        <f xml:space="preserve"> ""</f>
        <v/>
      </c>
      <c r="B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BU24" s="8" t="str">
        <f xml:space="preserve"> ""</f>
        <v/>
      </c>
      <c r="BV24" s="8" t="str">
        <f xml:space="preserve"> ""</f>
        <v/>
      </c>
      <c r="BW24" s="18"/>
      <c r="BX24" s="18"/>
      <c r="BY24" s="9"/>
    </row>
    <row r="25" spans="2:77" x14ac:dyDescent="0.2">
      <c r="C25" s="5" t="str">
        <f t="shared" ref="C25:BV29" si="0" xml:space="preserve"> ""</f>
        <v/>
      </c>
      <c r="D25" s="23" t="str">
        <f xml:space="preserve"> IF(_xlfn.SINGLE(Simple.MaxX)&lt;&gt;0, "&lt;circle " &amp; _xlfn.SINGLE(Simple.SVG_painting_2) &amp; " r='" &amp; ROUND(_xlfn.SINGLE(Simple.MaxY), DecimalPlaces) &amp; "'/&gt;", "")</f>
        <v>&lt;circle  fill='#FF33FF'  r='10'/&gt;</v>
      </c>
      <c r="E25" s="5" t="str">
        <f t="shared" si="0"/>
        <v/>
      </c>
      <c r="F25" s="23" t="str">
        <f xml:space="preserve"> IF(_xlfn.SINGLE(Simple.MaxX)&lt;&gt;0, "&lt;circle " &amp; _xlfn.SINGLE(Simple.SVG_painting_2) &amp; " r='" &amp; ROUND(_xlfn.SINGLE(Simple.MaxY), DecimalPlaces) &amp; "'/&gt;", "")</f>
        <v>&lt;circle  fill='#FF33FF' r='10'/&gt;</v>
      </c>
      <c r="G25" s="5" t="str">
        <f t="shared" si="0"/>
        <v/>
      </c>
      <c r="H25" s="15" t="str">
        <f xml:space="preserve"> "&lt;path " &amp; _xlfn.SINGLE(Simple.SVG_painting_2) &amp; " d='M 4 -4  A 4 4 0 0 1 4 4   A 4 4 0 0 1 -4 4  A 4 4 0 0 1 -4 -4  A 4 4 0 0 1 4 -4 Z'/&gt;"</f>
        <v>&lt;path fill='#00AF66' d='M 4 -4  A 4 4 0 0 1 4 4   A 4 4 0 0 1 -4 4  A 4 4 0 0 1 -4 -4  A 4 4 0 0 1 4 -4 Z'/&gt;</v>
      </c>
      <c r="I25" s="5" t="str">
        <f t="shared" si="0"/>
        <v/>
      </c>
      <c r="J25" s="15" t="str">
        <f xml:space="preserve"> "&lt;ellipse " &amp; _xlfn.SINGLE(Simple.SVG_painting_1) &amp; " ry='14' rx='11'/&gt;"</f>
        <v>&lt;ellipse fill='#C4272F' ry='14' rx='11'/&gt;</v>
      </c>
      <c r="K25" s="5" t="str">
        <f t="shared" si="0"/>
        <v/>
      </c>
      <c r="L25" s="15" t="str">
        <f xml:space="preserve"> "&lt;path " &amp; _xlfn.SINGLE(Simple.SVG_painting_2) &amp; " d='M 4 -4  A 4 4 0 0 1 4 4   A 4 4 0 0 1 -4 4  A 4 4 0 0 1 -4 -4  A 4 4 0 0 1 4 -4 Z'/&gt;"</f>
        <v>&lt;path fill='#C7363D' d='M 4 -4  A 4 4 0 0 1 4 4   A 4 4 0 0 1 -4 4  A 4 4 0 0 1 -4 -4  A 4 4 0 0 1 4 -4 Z'/&gt;</v>
      </c>
      <c r="M25" s="5" t="str">
        <f t="shared" si="0"/>
        <v/>
      </c>
      <c r="N25" s="1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s="5" t="str">
        <f t="shared" si="0"/>
        <v/>
      </c>
      <c r="P25" s="23" t="str" cm="1">
        <f t="array" ref="P25" xml:space="preserve"> svgPathRect(DecimalPlaces, _xlfn.SINGLE(Simple.SVG_painting_2), _xlfn.SINGLE(Simple.MaxX), _xlfn.SINGLE(Simple.MaxY))</f>
        <v>&lt;path fill='#009639' d='M6 5V-5H-6V5Z'/&gt;</v>
      </c>
      <c r="Q25" s="5" t="str">
        <f t="shared" si="0"/>
        <v/>
      </c>
      <c r="R25" s="36" t="str">
        <f xml:space="preserve"> "&lt;defs&gt;&lt;path id='" &amp; _xlfn.SINGLE(Simple.ID) &amp; "-m' d='M56 -47L-67 -80 -56 47 67 80Z'/&gt;&lt;/defs&gt;"</f>
        <v>&lt;defs&gt;&lt;path id='IRR-m' d='M56 -47L-67 -80 -56 47 67 80Z'/&gt;&lt;/defs&gt;</v>
      </c>
      <c r="S25" s="5" t="str">
        <f t="shared" si="0"/>
        <v/>
      </c>
      <c r="T25" s="36" t="str">
        <f xml:space="preserve"> "&lt;circle " &amp; _xlfn.SINGLE(Simple.SVG_painting_2) &amp; " r='7'/&gt;"</f>
        <v>&lt;circle fill='#C8102E'  r='7'/&gt;</v>
      </c>
      <c r="U25" s="5" t="str">
        <f t="shared" si="0"/>
        <v/>
      </c>
      <c r="V25" s="15" t="str">
        <f xml:space="preserve"> "&lt;path " &amp; _xlfn.SINGLE(Simple.SVG_painting_2) &amp; " d='M" &amp; _xlfn.SINGLE(Simple.MaxX) &amp; " 0L0 " &amp; _xlfn.SINGLE(Simple.MaxY) &amp; "L" &amp; _xlfn.SINGLE(Simple.MinX) &amp; " 0L0 " &amp; _xlfn.SINGLE(Simple.MinY) &amp; "Z'/&gt;"</f>
        <v>&lt;path fill='#009639' d='M830 0L0 530L-830 0L0 -530Z'/&gt;</v>
      </c>
      <c r="W25" s="5" t="str">
        <f t="shared" si="0"/>
        <v/>
      </c>
      <c r="X25" s="1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s="5" t="str">
        <f t="shared" si="0"/>
        <v/>
      </c>
      <c r="Z25" s="23" t="str" cm="1">
        <f t="array" ref="Z25" xml:space="preserve"> svgPathRect(DecimalPlaces, _xlfn.SINGLE(Simple.SVG_painting_2), _xlfn.SINGLE(Simple.MaxX), _xlfn.SINGLE(Simple.MaxY))</f>
        <v>&lt;path fill='#009639' d='M6 6V-6H-6V6Z'/&gt;</v>
      </c>
      <c r="AA25" s="5" t="str">
        <f t="shared" si="0"/>
        <v/>
      </c>
      <c r="AB25" s="23"/>
      <c r="AC25" s="5" t="str">
        <f t="shared" si="0"/>
        <v/>
      </c>
      <c r="AD25" s="23"/>
      <c r="AE25" s="5" t="str">
        <f t="shared" si="0"/>
        <v/>
      </c>
      <c r="AF25" s="23"/>
      <c r="AG25" s="5" t="str">
        <f t="shared" si="0"/>
        <v/>
      </c>
      <c r="AH25" s="1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s="5" t="str">
        <f t="shared" si="0"/>
        <v/>
      </c>
      <c r="AJ25" s="23"/>
      <c r="AK25" s="5" t="str">
        <f t="shared" si="0"/>
        <v/>
      </c>
      <c r="AL25" s="23"/>
      <c r="AM25" s="5" t="str">
        <f t="shared" si="0"/>
        <v/>
      </c>
      <c r="AN25" s="23" t="str" cm="1">
        <f t="array" ref="AN25" xml:space="preserve"> svgPathRect(DecimalPlaces, _xlfn.SINGLE(Simple.SVG_painting_2), _xlfn.SINGLE(Simple.MaxX), _xlfn.SINGLE(Simple.MaxY))</f>
        <v>&lt;path fill='black' d='M11 8V-8H-11V8Z'/&gt;</v>
      </c>
      <c r="AO25" s="5" t="str">
        <f t="shared" si="0"/>
        <v/>
      </c>
      <c r="AP25" s="23" t="str" cm="1">
        <f t="array" ref="AP25" xml:space="preserve"> svgPathRect(DecimalPlaces, _xlfn.SINGLE(Simple.SVG_painting_2), _xlfn.SINGLE(Simple.MaxX), _xlfn.SINGLE(Simple.MaxY))</f>
        <v>&lt;path fill='black' d='M11 8V-8H-11V8Z'/&gt;</v>
      </c>
      <c r="AQ25" s="5" t="str">
        <f t="shared" si="0"/>
        <v/>
      </c>
      <c r="AR25" s="23" t="str" cm="1">
        <f t="array" ref="AR25" xml:space="preserve"> svgPathRect(DecimalPlaces, _xlfn.SINGLE(Simple.SVG_painting_2), _xlfn.SINGLE(Simple.MaxX), _xlfn.SINGLE(Simple.MaxY))</f>
        <v>&lt;path fill='#C8102E' d='M9 6V-6H-9V6Z'/&gt;</v>
      </c>
      <c r="AS25" s="5" t="str">
        <f t="shared" si="0"/>
        <v/>
      </c>
      <c r="AT25" s="23" t="str" cm="1">
        <f t="array" ref="AT25" xml:space="preserve"> svgPathRect(DecimalPlaces, _xlfn.SINGLE(Simple.SVG_painting_2), _xlfn.SINGLE(Simple.MaxX), _xlfn.SINGLE(Simple.MaxY))</f>
        <v>&lt;path fill='#C8102E' d='M9 6V-6H-9V6Z'/&gt;</v>
      </c>
      <c r="AU25" s="5" t="str">
        <f t="shared" si="0"/>
        <v/>
      </c>
      <c r="AV25" s="15" t="str">
        <f xml:space="preserve"> "&lt;path " &amp; _xlfn.SINGLE(Simple.SVG_painting_2) &amp; " d='M" &amp; (2*Thirds_O) &amp; " 0L0 " &amp; (Thirds_O) &amp; "L" &amp; (-2*Thirds_O) &amp; " 0L0 " &amp; (-Thirds_O) &amp; "Z'/&gt;"</f>
        <v>&lt;path fill='#EF3340' d='M54 0L0 27L-54 0L0 -27Z'/&gt;</v>
      </c>
      <c r="AW25" s="5" t="str">
        <f t="shared" si="0"/>
        <v/>
      </c>
      <c r="AX25" s="15" t="str">
        <f xml:space="preserve"> "&lt;path " &amp; _xlfn.SINGLE(Simple.SVG_painting_2) &amp; " d='M1 3H-1L-3 1V-1L-1 -3H1L3 -1V1Z'/&gt;"</f>
        <v>&lt;path fill='#FFF' d='M1 3H-1L-3 1V-1L-1 -3H1L3 -1V1Z'/&gt;</v>
      </c>
      <c r="AY25" s="5" t="str">
        <f t="shared" si="0"/>
        <v/>
      </c>
      <c r="AZ25" s="15" t="str">
        <f xml:space="preserve"> "&lt;path " &amp; _xlfn.SINGLE(Simple.SVG_painting_2) &amp; " d='M" &amp; (3*Thirds_O) &amp; " 0L0 " &amp; (2*Thirds_O) &amp; "L" &amp; (-3*Thirds_O) &amp; " 0L0 " &amp; (-2*Thirds_O) &amp; "Z'/&gt;"</f>
        <v>&lt;path fill='#11457E' d='M81 0L0 54L-81 0L0 -54Z'/&gt;</v>
      </c>
      <c r="BA25" s="5" t="str">
        <f t="shared" si="0"/>
        <v/>
      </c>
      <c r="BB25" s="15" t="str">
        <f xml:space="preserve"> _xlfn.LET(_xlpm.f,90,   "&lt;path " &amp; _xlfn.SINGLE(Simple.SVG_painting_3) &amp; " d='M" &amp; (4*_xlpm.f) &amp; " 0L0 " &amp; (3*_xlpm.f) &amp; "L" &amp; (-4*_xlpm.f) &amp; " 0L0 " &amp; (-3*_xlpm.f) &amp; "Z'/&gt;")</f>
        <v>&lt;path fill='#009736' d='M360 0L0 270L-360 0L0 -270Z'/&gt;</v>
      </c>
      <c r="BC25" s="5" t="str">
        <f t="shared" si="0"/>
        <v/>
      </c>
      <c r="BD25" s="1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s="5" t="str">
        <f t="shared" si="0"/>
        <v/>
      </c>
      <c r="BF25" s="1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s="5" t="str">
        <f t="shared" si="0"/>
        <v/>
      </c>
      <c r="BH25" s="15" t="str">
        <f xml:space="preserve"> "&lt;path " &amp; _xlfn.SINGLE(Simple.SVG_painting_2) &amp; " d='M0 -187L136 0 0 187 -136 0Z'/&gt;"</f>
        <v>&lt;path fill='#FFF' d='M0 -187L136 0 0 187 -136 0Z'/&gt;</v>
      </c>
      <c r="BI25" s="5" t="str">
        <f t="shared" si="0"/>
        <v/>
      </c>
      <c r="BJ25" s="23" t="str" cm="1">
        <f t="array" ref="BJ25" xml:space="preserve"> svgPathRect(DecimalPlaces, _xlfn.SINGLE(Simple.SVG_painting_2), _xlfn.SINGLE(Simple.MaxX), _xlfn.SINGLE(Simple.MaxY))</f>
        <v>&lt;path fill='#2BCE75' d='M8 8V-8H-8V8Z'/&gt;</v>
      </c>
      <c r="BK25" s="5" t="str">
        <f t="shared" si="0"/>
        <v/>
      </c>
      <c r="BL25" s="23" t="str" cm="1">
        <f t="array" ref="BL25" xml:space="preserve"> svgPathRect(DecimalPlaces, _xlfn.SINGLE(Simple.SVG_painting_2), _xlfn.SINGLE(Simple.MaxX), _xlfn.SINGLE(Simple.MaxY))</f>
        <v>&lt;path fill='#244AA5' d='M5 5V-5H-5V5Z'/&gt;</v>
      </c>
      <c r="BM25" s="5" t="str">
        <f t="shared" si="0"/>
        <v/>
      </c>
      <c r="BN25" s="15" t="str">
        <f xml:space="preserve"> "&lt;rect " &amp; _xlfn.SINGLE(Simple.SVG_painting_2) &amp; " x='-20' y='-39.5' width='40' height='79' rx='6'/&gt;"</f>
        <v>&lt;rect fill='#D95B14' x='-20' y='-39.5' width='40' height='79' rx='6'/&gt;</v>
      </c>
      <c r="BO25" s="5" t="str">
        <f t="shared" si="0"/>
        <v/>
      </c>
      <c r="BP25" s="23" t="str" cm="1">
        <f t="array" ref="BP25" xml:space="preserve"> svgPathRect(DecimalPlaces, _xlfn.SINGLE(Simple.SVG_painting_2), _xlfn.SINGLE(Simple.MaxX), _xlfn.SINGLE(Simple.MaxY))</f>
        <v>&lt;path fill='#08528C' d='M9 15H-9V-15H9Z'/&gt;</v>
      </c>
      <c r="BQ25" s="5" t="str">
        <f t="shared" si="0"/>
        <v/>
      </c>
      <c r="BR25" s="23" t="str">
        <f xml:space="preserve"> "&lt;path " &amp; _xlfn.SINGLE(Simple.SVG_painting_2) &amp; " d='M-4 0A4 4 0 0 1 0 -4L4 0A4 4 0 0 1 0 4Z'/&gt;"</f>
        <v>&lt;path fill='#198D66' d='M-4 0A4 4 0 0 1 0 -4L4 0A4 4 0 0 1 0 4Z'/&gt;</v>
      </c>
      <c r="BS25" s="5" t="str">
        <f t="shared" si="0"/>
        <v/>
      </c>
      <c r="BT25" s="23" t="str">
        <f xml:space="preserve"> "&lt;ellipse rx='" &amp; _xlfn.SINGLE(Simple.MaxX) &amp; "' ry='" &amp; _xlfn.SINGLE(Simple.MaxY) &amp; "' " &amp; _xlfn.SINGLE(Simple.SVG_painting_2) &amp; "/&gt;"</f>
        <v>&lt;ellipse rx='2' ry='1' fill='#2A936A'/&gt;</v>
      </c>
      <c r="BU25" s="5" t="str">
        <f t="shared" si="0"/>
        <v/>
      </c>
      <c r="BV25" s="5" t="str">
        <f t="shared" si="0"/>
        <v/>
      </c>
      <c r="BW25" s="23"/>
      <c r="BX25" s="23"/>
      <c r="BY25" s="10"/>
    </row>
    <row r="26" spans="2:77" x14ac:dyDescent="0.2">
      <c r="C26" s="5" t="str">
        <f t="shared" si="0"/>
        <v/>
      </c>
      <c r="D26" s="23" t="str">
        <f xml:space="preserve"> IF(_xlfn.SINGLE(Simple.MaxX)&lt;&gt;0, "&lt;circle " &amp; _xlfn.SINGLE(Simple.SVG_painting_1) &amp; " r='" &amp; ROUND(_xlfn.SINGLE(Simple.MaxY) - 2, DecimalPlaces) &amp; "'/&gt;", "")</f>
        <v>&lt;circle  fill='#FFF'  r='8'/&gt;</v>
      </c>
      <c r="E26" s="5" t="str">
        <f t="shared" si="0"/>
        <v/>
      </c>
      <c r="F26" s="23" t="str">
        <f xml:space="preserve"> IF(_xlfn.SINGLE(Simple.MaxX)&lt;&gt;0, "&lt;circle " &amp; _xlfn.SINGLE(Simple.SVG_painting_1) &amp; " r='" &amp; ROUND(_xlfn.SINGLE(Simple.MaxY) - 2, DecimalPlaces) &amp; "'/&gt;", "")</f>
        <v>&lt;circle  fill='#FFF'  r='8'/&gt;</v>
      </c>
      <c r="G26" s="5" t="str">
        <f t="shared" si="0"/>
        <v/>
      </c>
      <c r="H26" s="15" t="str">
        <f xml:space="preserve"> "&lt;circle " &amp; _xlfn.SINGLE(Simple.SVG_painting_1) &amp; " r='4'/&gt;"</f>
        <v>&lt;circle fill='#FFF' r='4'/&gt;</v>
      </c>
      <c r="I26" s="5" t="str">
        <f t="shared" si="0"/>
        <v/>
      </c>
      <c r="J26" s="15" t="str">
        <f xml:space="preserve"> "&lt;circle " &amp; _xlfn.SINGLE(Simple.SVG_painting_2) &amp; " r='8'/&gt;"</f>
        <v>&lt;circle fill='#F9CF02' r='8'/&gt;</v>
      </c>
      <c r="K26" s="5" t="str">
        <f t="shared" si="0"/>
        <v/>
      </c>
      <c r="L26" s="15" t="str">
        <f xml:space="preserve"> "&lt;circle " &amp; _xlfn.SINGLE(Simple.SVG_painting_1) &amp; " r='4'/&gt;"</f>
        <v>&lt;circle fill='#0C4077' r='4'/&gt;</v>
      </c>
      <c r="M26" s="5" t="str">
        <f t="shared" si="0"/>
        <v/>
      </c>
      <c r="N26" s="1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s="5" t="str">
        <f t="shared" si="0"/>
        <v/>
      </c>
      <c r="P26" s="23" t="str">
        <f xml:space="preserve"> "&lt;path " &amp; _xlfn.SINGLE(Simple.SVG_painting_1) &amp; " d='M -4 -3 H4 v2 H-4 Z   M -4 1 H4 v2 H-4 Z'/&gt;"</f>
        <v>&lt;path fill='#FFF' d='M -4 -3 H4 v2 H-4 Z   M -4 1 H4 v2 H-4 Z'/&gt;</v>
      </c>
      <c r="Q26" s="5" t="str">
        <f t="shared" si="0"/>
        <v/>
      </c>
      <c r="R26" s="36" t="str">
        <f xml:space="preserve"> "&lt;use href='#" &amp; _xlfn.SINGLE(Simple.ID) &amp; "-m' " &amp; _xlfn.SINGLE(Simple.SVG_painting_2) &amp; "/&gt;"</f>
        <v>&lt;use href='#IRR-m' fill='#239F40'/&gt;</v>
      </c>
      <c r="S26" s="5" t="str">
        <f t="shared" si="0"/>
        <v/>
      </c>
      <c r="T26" s="36" t="str">
        <f xml:space="preserve"> "&lt;path " &amp; _xlfn.SINGLE(Simple.SVG_painting_1) &amp; " transform='rotate(36)' d='M7 1V-1H-7V1Z'/&gt;"</f>
        <v>&lt;path fill='#FFCD00'  transform='rotate(36)' d='M7 1V-1H-7V1Z'/&gt;</v>
      </c>
      <c r="U26" s="5" t="str">
        <f t="shared" si="0"/>
        <v/>
      </c>
      <c r="V26" s="1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s="5" t="str">
        <f t="shared" si="0"/>
        <v/>
      </c>
      <c r="X26" s="15" t="str">
        <f xml:space="preserve"> "&lt;use href='#" &amp; _xlfn.SINGLE(Star_5_2.ID) &amp; "-h' " &amp; _xlfn.SINGLE(Simple.SVG_painting_2) &amp; "/&gt;"</f>
        <v>&lt;use href='#SGD-h' fill='#00778B'/&gt;</v>
      </c>
      <c r="Y26" s="5" t="str">
        <f t="shared" si="0"/>
        <v/>
      </c>
      <c r="Z26" s="23" t="str" cm="1">
        <f t="array" ref="Z26" xml:space="preserve"> svgPathRect(DecimalPlaces, _xlfn.SINGLE(Simple.SVG_painting_1), _xlfn.SINGLE(Simple.MaxX) / 3, _xlfn.SINGLE(Simple.MaxY) - 1)</f>
        <v>&lt;path fill='#FFF' d='M2 5V-5H-2V5Z'/&gt;</v>
      </c>
      <c r="AA26" s="5" t="str">
        <f t="shared" si="0"/>
        <v/>
      </c>
      <c r="AB26" s="15" t="str">
        <f xml:space="preserve"> "&lt;path " &amp; _xlfn.SINGLE(Simple.SVG_painting_1) &amp; " d='M1 0V1H0L-1 0V-1H0Z'/&gt;"</f>
        <v>&lt;path fill='#002D62' d='M1 0V1H0L-1 0V-1H0Z'/&gt;</v>
      </c>
      <c r="AC26" s="5" t="str">
        <f t="shared" si="0"/>
        <v/>
      </c>
      <c r="AD26" s="15" t="str">
        <f xml:space="preserve"> "&lt;path " &amp; _xlfn.SINGLE(Simple.SVG_painting_1) &amp; " d='M1 2H-2V-2L2 2V-2H-1 -2Z'/&gt;"</f>
        <v>&lt;path fill='#C8102E' d='M1 2H-2V-2L2 2V-2H-1 -2Z'/&gt;</v>
      </c>
      <c r="AE26" s="5" t="str">
        <f t="shared" si="0"/>
        <v/>
      </c>
      <c r="AF26" s="15" t="str">
        <f xml:space="preserve"> "&lt;path " &amp; _xlfn.SINGLE(Simple.SVG_painting_1) &amp; " d='M1 0L8 8H-8L-1 0L-8 -8H8Z'/&gt;"</f>
        <v>&lt;path fill='#009639' d='M1 0L8 8H-8L-1 0L-8 -8H8Z'/&gt;</v>
      </c>
      <c r="AG26" s="5" t="str">
        <f t="shared" si="0"/>
        <v/>
      </c>
      <c r="AH26" s="1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s="5" t="str">
        <f t="shared" si="0"/>
        <v/>
      </c>
      <c r="AJ26" s="15" t="str" cm="1">
        <f t="array" ref="AJ26" xml:space="preserve"> svgPathRect(DecimalPlaces, _xlfn.SINGLE(Simple.SVG_painting_1), _xlfn.SINGLE(Simple.MaxX), _xlfn.SINGLE(Simple.MaxY))</f>
        <v>&lt;path fill='#FCD116' d='M4 4V-4H-4V4Z'/&gt;</v>
      </c>
      <c r="AK26" s="5" t="str">
        <f t="shared" si="0"/>
        <v/>
      </c>
      <c r="AL26" s="15" t="str" cm="1">
        <f t="array" ref="AL26" xml:space="preserve"> svgPathRect(DecimalPlaces, _xlfn.SINGLE(Simple.SVG_painting_1), _xlfn.SINGLE(Simple.MaxX), _xlfn.SINGLE(Simple.MaxY))</f>
        <v>&lt;path fill='#007FFF' d='M4 4V-4H-4V4Z'/&gt;</v>
      </c>
      <c r="AM26" s="5" t="str">
        <f t="shared" si="0"/>
        <v/>
      </c>
      <c r="AN26" s="23" t="str">
        <f xml:space="preserve"> "&lt;path " &amp; _xlfn.SINGLE(Simple.SVG_painting_1) &amp; " d='M -9 -7 h 4 v 14 h -4 Z   M 5 -7 h 4 v 14 h -4 Z   M -3 -7 h 6 v 14 h -6 Z'/&gt;"</f>
        <v>&lt;path fill='#FFF' d='M -9 -7 h 4 v 14 h -4 Z   M 5 -7 h 4 v 14 h -4 Z   M -3 -7 h 6 v 14 h -6 Z'/&gt;</v>
      </c>
      <c r="AO26" s="5" t="str">
        <f t="shared" si="0"/>
        <v/>
      </c>
      <c r="AP26" s="23" t="str">
        <f xml:space="preserve"> "&lt;path " &amp; _xlfn.SINGLE(Simple.SVG_painting_1) &amp; " d='M -9 -7 h 4 v 14 h -4 Z   M 5 -7 h 4 v 14 h -4 Z   M -3 -7 h 6 v 14 h -6 Z'/&gt;"</f>
        <v>&lt;path fill='#FF0000' d='M -9 -7 h 4 v 14 h -4 Z   M 5 -7 h 4 v 14 h -4 Z   M -3 -7 h 6 v 14 h -6 Z'/&gt;</v>
      </c>
      <c r="AQ26" s="5" t="str">
        <f t="shared" si="0"/>
        <v/>
      </c>
      <c r="AR26" s="23" t="str" cm="1">
        <f t="array" ref="AR26" xml:space="preserve"> svgPathRect(DecimalPlaces, _xlfn.SINGLE(Simple.SVG_painting_1), 7, 2)</f>
        <v>&lt;path fill='#FFF' d='M7 2V-2H-7V2Z'/&gt;</v>
      </c>
      <c r="AS26" s="5" t="str">
        <f t="shared" si="0"/>
        <v/>
      </c>
      <c r="AT26" s="23" t="str" cm="1">
        <f t="array" ref="AT26" xml:space="preserve"> svgPathRect(DecimalPlaces, _xlfn.SINGLE(Simple.SVG_painting_1), 7, 2)</f>
        <v>&lt;path fill='#000' d='M7 2V-2H-7V2Z'/&gt;</v>
      </c>
      <c r="AU26" s="5" t="str">
        <f t="shared" si="0"/>
        <v/>
      </c>
      <c r="AV26" s="15" t="str">
        <f xml:space="preserve"> "&lt;path " &amp; _xlfn.SINGLE(Simple.SVG_painting_1) &amp; " d='M" &amp; (2*Thirds_M) &amp; " 0L0 " &amp; (Thirds_M) &amp; "L" &amp; (-2*Thirds_M) &amp; " 0L0 " &amp; (-Thirds_M) &amp; "Z'/&gt;"</f>
        <v>&lt;path fill='#FFF' d='M38 0L0 19L-38 0L0 -19Z'/&gt;</v>
      </c>
      <c r="AW26" s="5" t="str">
        <f t="shared" si="0"/>
        <v/>
      </c>
      <c r="AX26" s="15" t="str">
        <f xml:space="preserve"> "&lt;path " &amp; _xlfn.SINGLE(Simple.SVG_painting_1) &amp; " d='M3 1V3H1V-3H3v2H-3V-3h2V3H-3V1Z'/&gt;"</f>
        <v>&lt;path fill='red' d='M3 1V3H1V-3H3v2H-3V-3h2V3H-3V1Z'/&gt;</v>
      </c>
      <c r="AY26" s="5" t="str">
        <f t="shared" si="0"/>
        <v/>
      </c>
      <c r="AZ26" s="15" t="str">
        <f xml:space="preserve"> "&lt;path " &amp; _xlfn.SINGLE(Simple.SVG_painting_1) &amp; " d='M" &amp; (3*Thirds_M) &amp; " 0L0 " &amp; (2*Thirds_M) &amp; "L" &amp; (-3*Thirds_M) &amp; " 0L0 " &amp; (-2*Thirds_M) &amp; "Z'/&gt;"</f>
        <v>&lt;path fill='#D7141A' d='M57 0L0 38L-57 0L0 -38Z'/&gt;</v>
      </c>
      <c r="BA26" s="5" t="str">
        <f t="shared" si="0"/>
        <v/>
      </c>
      <c r="BB26" s="15" t="str">
        <f xml:space="preserve"> _xlfn.LET(_xlpm.f,69,   "&lt;path " &amp; _xlfn.SINGLE(Simple.SVG_painting_2) &amp; " d='M" &amp; (4*_xlpm.f) &amp; " 0L0 " &amp; (3*_xlpm.f) &amp; "L" &amp; (-4*_xlpm.f) &amp; " 0L0 " &amp; (-3*_xlpm.f) &amp; "Z'/&gt;")</f>
        <v>&lt;path fill='#FFF' d='M276 0L0 207L-276 0L0 -207Z'/&gt;</v>
      </c>
      <c r="BC26" s="5" t="str">
        <f t="shared" si="0"/>
        <v/>
      </c>
      <c r="BD26" s="15" t="str">
        <f xml:space="preserve"> "&lt;path " &amp; _xlfn.SINGLE(Simple.SVG_painting_1) &amp; " d='M3 1V3H-3V1L3 -1V-3H-3v2Z'/&gt;"</f>
        <v>&lt;path fill='#FFF' d='M3 1V3H-3V1L3 -1V-3H-3v2Z'/&gt;</v>
      </c>
      <c r="BE26" s="5" t="str">
        <f t="shared" si="0"/>
        <v/>
      </c>
      <c r="BF26" s="15" t="str">
        <f xml:space="preserve"> "&lt;path " &amp; _xlfn.SINGLE(Simple.SVG_painting_1) &amp; " d='M3 1V3H-3V1L3 -1V-3H-3v2Z'/&gt;"</f>
        <v>&lt;path fill='#FFF' d='M3 1V3H-3V1L3 -1V-3H-3v2Z'/&gt;</v>
      </c>
      <c r="BG26" s="5" t="str">
        <f t="shared" si="0"/>
        <v/>
      </c>
      <c r="BH26" s="15" t="str">
        <f xml:space="preserve"> "&lt;path " &amp; _xlfn.SINGLE(Simple.SVG_painting_1) &amp; " d='M0 -187L136 0L0 187L-136 0L0 -187V187'/&gt;"</f>
        <v>&lt;path stroke-width='44' stroke-linejoin='round' stroke='#1B618C' fill='none'  d='M0 -187L136 0L0 187L-136 0L0 -187V187'/&gt;</v>
      </c>
      <c r="BI26" s="5" t="str">
        <f t="shared" si="0"/>
        <v/>
      </c>
      <c r="BJ26" s="15" t="str">
        <f xml:space="preserve"> "&lt;circle " &amp; _xlfn.SINGLE(Simple.SVG_painting_1) &amp; " r='" &amp; (_xlfn.SINGLE(Simple.MaxX) - 1) &amp; "'/&gt;"</f>
        <v>&lt;circle fill='#FFF' r='7'/&gt;</v>
      </c>
      <c r="BK26" s="5" t="str">
        <f t="shared" si="0"/>
        <v/>
      </c>
      <c r="BL26" s="15" t="str">
        <f xml:space="preserve"> "&lt;path " &amp; _xlfn.SINGLE(Simple.SVG_painting_1) &amp; " d='M4 1L-1 4L-4 -1L1 -4Z'/&gt;"</f>
        <v>&lt;path fill='#D0A650' d='M4 1L-1 4L-4 -1L1 -4Z'/&gt;</v>
      </c>
      <c r="BM26" s="5" t="str">
        <f t="shared" si="0"/>
        <v/>
      </c>
      <c r="BN26" s="15" t="str">
        <f xml:space="preserve"> "&lt;rect " &amp; _xlfn.SINGLE(Simple.SVG_painting_1) &amp; " x='-16' y='-35.5' width='32' height='71' rx='2'/&gt;"</f>
        <v>&lt;rect fill='#C7C7C7' x='-16' y='-35.5' width='32' height='71' rx='2'/&gt;</v>
      </c>
      <c r="BO26" s="5" t="str">
        <f t="shared" si="0"/>
        <v/>
      </c>
      <c r="BP26" s="15" t="str">
        <f xml:space="preserve"> "&lt;path " &amp; _xlfn.SINGLE(Simple.SVG_painting_1) &amp; " d='M 1 -13 h 6 v 26 H 1 Z M -7 -13 h 6 v 26 H -7 Z'/&gt;"</f>
        <v>&lt;path fill='#949494' d='M 1 -13 h 6 v 26 H 1 Z M -7 -13 h 6 v 26 H -7 Z'/&gt;</v>
      </c>
      <c r="BQ26" s="5" t="str">
        <f t="shared" si="0"/>
        <v/>
      </c>
      <c r="BR26" s="23" t="str">
        <f xml:space="preserve"> "&lt;path " &amp; _xlfn.SINGLE(Simple.SVG_painting_1) &amp; " d='M0 -4A4 4 0 0 1 4 0L-4 0A4 4 0 0 0 0 4Z'/&gt;"</f>
        <v>&lt;path fill='#FCB90E' d='M0 -4A4 4 0 0 1 4 0L-4 0A4 4 0 0 0 0 4Z'/&gt;</v>
      </c>
      <c r="BS26" s="5" t="str">
        <f t="shared" si="0"/>
        <v/>
      </c>
      <c r="BT26" s="23"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s="5" t="str">
        <f t="shared" si="0"/>
        <v/>
      </c>
      <c r="BV26" s="5" t="str">
        <f t="shared" si="0"/>
        <v/>
      </c>
      <c r="BW26" s="23"/>
      <c r="BX26" s="23"/>
      <c r="BY26" s="10"/>
    </row>
    <row r="27" spans="2:77" x14ac:dyDescent="0.2">
      <c r="C27" s="5" t="str">
        <f t="shared" si="0"/>
        <v/>
      </c>
      <c r="D27" s="23" t="str" cm="1">
        <f t="array" ref="D27" xml:space="preserve"> svgPathRect(DecimalPlaces, _xlfn.SINGLE(Simple.SVG_painting_2), D$36, 1)</f>
        <v>&lt;path fill='#FF33FF' d='M9 1V-1H-9V1Z'/&gt;</v>
      </c>
      <c r="E27" s="5" t="str">
        <f t="shared" si="0"/>
        <v/>
      </c>
      <c r="F27" s="23" t="str">
        <f xml:space="preserve"> "&lt;path " &amp; _xlfn.SINGLE(Simple.SVG_painting_2) &amp; " d='M" &amp; F$39 &amp; " 1V3H" &amp; (-F$39) &amp; "V1Z M" &amp; F$39 &amp; " -1V-3H" &amp; (-F$39) &amp; "V-1Z'/&gt;"</f>
        <v>&lt;path  fill='#FF33FF' d='M9 1V3H-9V1Z M9 -1V-3H-9V-1Z'/&gt;</v>
      </c>
      <c r="G27" s="5" t="str">
        <f t="shared" si="0"/>
        <v/>
      </c>
      <c r="H27" s="15"/>
      <c r="I27" s="5" t="str">
        <f t="shared" si="0"/>
        <v/>
      </c>
      <c r="J27" s="15" t="str">
        <f xml:space="preserve"> "&lt;circle " &amp; _xlfn.SINGLE(Simple.SVG_painting_1) &amp; " r='5'/&gt;"</f>
        <v>&lt;circle fill='#C4272F' r='5'/&gt;</v>
      </c>
      <c r="K27" s="5" t="str">
        <f t="shared" si="0"/>
        <v/>
      </c>
      <c r="L27" s="15"/>
      <c r="M27" s="5" t="str">
        <f t="shared" si="0"/>
        <v/>
      </c>
      <c r="N27" s="23" t="str" cm="1">
        <f t="array" ref="N27" xml:space="preserve"> svgPathRect(DecimalPlaces, _xlfn.SINGLE(Simple.SVG_painting_0), 3, 5)</f>
        <v>&lt;path fill='#CF101A' d='M3 5V-5H-3V5Z'/&gt;</v>
      </c>
      <c r="O27" s="5" t="str">
        <f t="shared" si="0"/>
        <v/>
      </c>
      <c r="P27" s="23"/>
      <c r="Q27" s="5" t="str">
        <f t="shared" si="0"/>
        <v/>
      </c>
      <c r="R27" s="36" t="str">
        <f xml:space="preserve"> "&lt;use href='#" &amp; _xlfn.SINGLE(Simple.ID) &amp; "-m' " &amp; _xlfn.SINGLE(Simple.SVG_painting_1) &amp; " transform='scale(" &amp; ROUND(Thirds_M/Thirds_O,2) &amp; ")'/&gt;"</f>
        <v>&lt;use href='#IRR-m' fill='#FFF' transform='scale(0.7)'/&gt;</v>
      </c>
      <c r="S27" s="5" t="str">
        <f t="shared" si="0"/>
        <v/>
      </c>
      <c r="T27" s="36" t="str">
        <f xml:space="preserve"> "&lt;path " &amp; _xlfn.SINGLE(Simple.SVG_painting_0) &amp; " d='M0 -8A8 8 0 0 0 0 8 8 8 0 0 0 0 -8ZM0 -6A6 6 0 0 1 0 6 6 6 0 0 1 0 -6Z'/&gt;"</f>
        <v>&lt;path fill='black' d='M0 -8A8 8 0 0 0 0 8 8 8 0 0 0 0 -8ZM0 -6A6 6 0 0 1 0 6 6 6 0 0 1 0 -6Z'/&gt;</v>
      </c>
      <c r="U27" s="5" t="str">
        <f t="shared" si="0"/>
        <v/>
      </c>
      <c r="V27" s="15"/>
      <c r="W27" s="5" t="str">
        <f t="shared" si="0"/>
        <v/>
      </c>
      <c r="X27" s="15" t="str">
        <f xml:space="preserve"> "&lt;use href='#" &amp; _xlfn.SINGLE(Star_5_2.ID) &amp; "-h' " &amp; _xlfn.SINGLE(Simple.SVG_painting_1) &amp; " transform='scale(" &amp; ROUND(Thirds_M / Thirds_O, 2) &amp; ")'/&gt;"</f>
        <v>&lt;use href='#SGD-h' fill='#FFC72C' transform='scale(0.7)'/&gt;</v>
      </c>
      <c r="Y27" s="5" t="str">
        <f t="shared" si="0"/>
        <v/>
      </c>
      <c r="Z27" s="5"/>
      <c r="AA27" s="5" t="str">
        <f t="shared" si="0"/>
        <v/>
      </c>
      <c r="AB27" s="15" t="str">
        <f xml:space="preserve"> "&lt;path " &amp; _xlfn.SINGLE(Simple.SVG_painting_0) &amp; " d='M1 0V-1H0V1H-1V0Z'/&gt;"</f>
        <v>&lt;path fill='#CE1126' d='M1 0V-1H0V1H-1V0Z'/&gt;</v>
      </c>
      <c r="AC27" s="5" t="str">
        <f t="shared" si="0"/>
        <v/>
      </c>
      <c r="AD27" s="15" t="str">
        <f xml:space="preserve"> "&lt;path " &amp; _xlfn.SINGLE(Simple.SVG_painting_0) &amp; " d='M-2 -2H-1L2 2H1Z'/&gt;"</f>
        <v>&lt;path fill='black' d='M-2 -2H-1L2 2H1Z'/&gt;</v>
      </c>
      <c r="AE27" s="5" t="str">
        <f t="shared" si="0"/>
        <v/>
      </c>
      <c r="AF27" s="15" t="str">
        <f xml:space="preserve"> "&lt;path " &amp; _xlfn.SINGLE(Simple.SVG_painting_0) &amp; " d='M8 8V-8L-8 8V-8Z'/&gt;"</f>
        <v>&lt;path fill='black' d='M8 8V-8L-8 8V-8Z'/&gt;</v>
      </c>
      <c r="AG27" s="5" t="str">
        <f t="shared" si="0"/>
        <v/>
      </c>
      <c r="AH27" s="15" t="str">
        <f xml:space="preserve"> "&lt;use href='#" &amp; _xlfn.SINGLE(Simple.ID) &amp; "-m' transform='translate(-288,0)'/&gt;"</f>
        <v>&lt;use href='#KYS-m' transform='translate(-288,0)'/&gt;</v>
      </c>
      <c r="AI27" s="5" t="str">
        <f t="shared" si="0"/>
        <v/>
      </c>
      <c r="AJ27" s="1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s="5" t="str">
        <f t="shared" si="0"/>
        <v/>
      </c>
      <c r="AL27" s="1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s="5" t="str">
        <f t="shared" si="0"/>
        <v/>
      </c>
      <c r="AN27" s="23"/>
      <c r="AO27" s="5" t="str">
        <f t="shared" si="0"/>
        <v/>
      </c>
      <c r="AP27" s="23"/>
      <c r="AQ27" s="5" t="str">
        <f t="shared" si="0"/>
        <v/>
      </c>
      <c r="AR27" s="5"/>
      <c r="AS27" s="5" t="str">
        <f t="shared" si="0"/>
        <v/>
      </c>
      <c r="AT27" s="5"/>
      <c r="AU27" s="5" t="str">
        <f t="shared" si="0"/>
        <v/>
      </c>
      <c r="AV27" s="15" t="str">
        <f xml:space="preserve"> "&lt;path " &amp; _xlfn.SINGLE(Simple.SVG_painting_0) &amp; " d='M" &amp; (2*Thirds_I) &amp; " 0L0 " &amp; (Thirds_I) &amp; "L" &amp; (-2*Thirds_I) &amp; " 0L0 " &amp; (-Thirds_I) &amp; "Z'/&gt;"</f>
        <v>&lt;path fill='#00A3E0' d='M20 0L0 10L-20 0L0 -10Z'/&gt;</v>
      </c>
      <c r="AW27" s="5" t="str">
        <f t="shared" si="0"/>
        <v/>
      </c>
      <c r="AX27" s="15"/>
      <c r="AY27" s="5" t="str">
        <f t="shared" si="0"/>
        <v/>
      </c>
      <c r="AZ27" s="15" t="str">
        <f xml:space="preserve"> "&lt;path " &amp; _xlfn.SINGLE(Simple.SVG_painting_0) &amp; " d='M" &amp; (3*Thirds_I) &amp; " 0L0 " &amp; (2*Thirds_I) &amp; "L" &amp; (-3*Thirds_I) &amp; " 0L0 " &amp; (-2*Thirds_I) &amp; "Z'/&gt;"</f>
        <v>&lt;path fill='#FFF' d='M30 0L0 20L-30 0L0 -20Z'/&gt;</v>
      </c>
      <c r="BA27" s="5" t="str">
        <f t="shared" si="0"/>
        <v/>
      </c>
      <c r="BB27" s="15" t="str">
        <f xml:space="preserve"> _xlfn.LET(_xlpm.f,47,   "&lt;path " &amp; _xlfn.SINGLE(Simple.SVG_painting_1) &amp; " d='M" &amp; (4*_xlpm.f) &amp; " 0L0 " &amp; (3*_xlpm.f) &amp; "L" &amp; (-4*_xlpm.f) &amp; " 0L0 " &amp; (-3*_xlpm.f) &amp; "Z'/&gt;")</f>
        <v>&lt;path fill='#000' d='M188 0L0 141L-188 0L0 -141Z'/&gt;</v>
      </c>
      <c r="BC27" s="5" t="str">
        <f t="shared" si="0"/>
        <v/>
      </c>
      <c r="BD27" s="23" t="str" cm="1">
        <f t="array" ref="BD27" xml:space="preserve"> svgPathRect(DecimalPlaces, _xlfn.SINGLE(Simple.SVG_painting_0), 3, 1)</f>
        <v>&lt;path fill='#FFD500' d='M3 1V-1H-3V1Z'/&gt;</v>
      </c>
      <c r="BE27" s="5" t="str">
        <f t="shared" si="0"/>
        <v/>
      </c>
      <c r="BF27" s="23" t="str" cm="1">
        <f t="array" ref="BF27" xml:space="preserve"> svgPathRect(DecimalPlaces, _xlfn.SINGLE(Simple.SVG_painting_0), 3, 1)</f>
        <v>&lt;path fill='#EF3340' d='M3 1V-1H-3V1Z'/&gt;</v>
      </c>
      <c r="BG27" s="5" t="str">
        <f t="shared" si="0"/>
        <v/>
      </c>
      <c r="BH27" s="15"/>
      <c r="BI27" s="5" t="str">
        <f t="shared" si="0"/>
        <v/>
      </c>
      <c r="BJ27" s="15" t="str">
        <f xml:space="preserve"> "&lt;circle " &amp; _xlfn.SINGLE(Simple.SVG_painting_0) &amp; " r='" &amp; (_xlfn.SINGLE(Simple.MaxX) - 3) &amp; "'/&gt;"</f>
        <v>&lt;circle fill='#0046C2' r='5'/&gt;</v>
      </c>
      <c r="BK27" s="5" t="str">
        <f t="shared" si="0"/>
        <v/>
      </c>
      <c r="BL27" s="15"/>
      <c r="BM27" s="5" t="str">
        <f t="shared" si="0"/>
        <v/>
      </c>
      <c r="BN27" s="5"/>
      <c r="BO27" s="5" t="str">
        <f t="shared" si="0"/>
        <v/>
      </c>
      <c r="BP27" s="15"/>
      <c r="BQ27" s="5" t="str">
        <f t="shared" si="0"/>
        <v/>
      </c>
      <c r="BR27" s="75" t="str" cm="1">
        <f t="array" ref="BR27" xml:space="preserve"> IF(FALSE, svgPathRect(DecimalPlaces, _xlfn.SINGLE(Simple.SVG_painting_0),  2,  1), "")</f>
        <v/>
      </c>
      <c r="BS27" s="5" t="str">
        <f t="shared" si="0"/>
        <v/>
      </c>
      <c r="BT27" s="23"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s="5" t="str">
        <f t="shared" si="0"/>
        <v/>
      </c>
      <c r="BV27" s="5" t="str">
        <f t="shared" si="0"/>
        <v/>
      </c>
      <c r="BW27" s="15"/>
      <c r="BX27" s="15"/>
      <c r="BY27" s="10"/>
    </row>
    <row r="28" spans="2:77" x14ac:dyDescent="0.2">
      <c r="C28" s="5" t="str">
        <f t="shared" si="0"/>
        <v/>
      </c>
      <c r="D28" s="23"/>
      <c r="E28" s="5" t="str">
        <f t="shared" si="0"/>
        <v/>
      </c>
      <c r="F28" s="23"/>
      <c r="G28" s="5" t="str">
        <f t="shared" si="0"/>
        <v/>
      </c>
      <c r="H28" s="15"/>
      <c r="I28" s="5" t="str">
        <f t="shared" si="0"/>
        <v/>
      </c>
      <c r="J28" s="15"/>
      <c r="K28" s="5" t="str">
        <f t="shared" si="0"/>
        <v/>
      </c>
      <c r="L28" s="15"/>
      <c r="M28" s="5" t="str">
        <f t="shared" si="0"/>
        <v/>
      </c>
      <c r="N28" s="23"/>
      <c r="O28" s="5" t="str">
        <f t="shared" si="0"/>
        <v/>
      </c>
      <c r="P28" s="23"/>
      <c r="Q28" s="5" t="str">
        <f t="shared" si="0"/>
        <v/>
      </c>
      <c r="R28" s="36" t="str">
        <f xml:space="preserve"> "&lt;use href='#" &amp; _xlfn.SINGLE(Simple.ID) &amp; "-m' " &amp; _xlfn.SINGLE(Simple.SVG_painting_0) &amp; " transform='scale(" &amp; ROUND(Thirds_I/Thirds_O,2) &amp; ")'/&gt;"</f>
        <v>&lt;use href='#IRR-m' fill='#DA0000' transform='scale(0.37)'/&gt;</v>
      </c>
      <c r="S28" s="5" t="str">
        <f t="shared" si="0"/>
        <v/>
      </c>
      <c r="T28" s="36"/>
      <c r="U28" s="5" t="str">
        <f t="shared" si="0"/>
        <v/>
      </c>
      <c r="V28" s="15"/>
      <c r="W28" s="5" t="str">
        <f t="shared" si="0"/>
        <v/>
      </c>
      <c r="X28" s="15" t="str">
        <f xml:space="preserve"> "&lt;use href='#" &amp; _xlfn.SINGLE(Star_5_2.ID) &amp; "-h' " &amp; _xlfn.SINGLE(Simple.SVG_painting_0) &amp; " transform='scale(" &amp; ROUND(Thirds_I / Thirds_O, 2) &amp; ")'/&gt;"</f>
        <v>&lt;use href='#SGD-h' fill='black' transform='scale(0.37)'/&gt;</v>
      </c>
      <c r="Y28" s="5" t="str">
        <f t="shared" si="0"/>
        <v/>
      </c>
      <c r="Z28" s="5"/>
      <c r="AA28" s="5" t="str">
        <f t="shared" si="0"/>
        <v/>
      </c>
      <c r="AB28" s="15"/>
      <c r="AC28" s="5" t="str">
        <f t="shared" si="0"/>
        <v/>
      </c>
      <c r="AD28" s="15"/>
      <c r="AE28" s="5" t="str">
        <f t="shared" si="0"/>
        <v/>
      </c>
      <c r="AF28" s="15"/>
      <c r="AG28" s="5" t="str">
        <f t="shared" si="0"/>
        <v/>
      </c>
      <c r="AH28" s="6" t="str">
        <f xml:space="preserve"> "&lt;ellipse " &amp; _xlfn.SINGLE(Simple.SVG_painting_0) &amp; " rx='48' ry='72'/&gt;"</f>
        <v>&lt;ellipse fill='#FFF' rx='48' ry='72'/&gt;</v>
      </c>
      <c r="AI28" s="5" t="str">
        <f t="shared" si="0"/>
        <v/>
      </c>
      <c r="AJ28" s="15"/>
      <c r="AK28" s="5" t="str">
        <f t="shared" si="0"/>
        <v/>
      </c>
      <c r="AL28" s="15"/>
      <c r="AM28" s="5" t="str">
        <f t="shared" si="0"/>
        <v/>
      </c>
      <c r="AN28" s="23"/>
      <c r="AO28" s="5" t="str">
        <f t="shared" si="0"/>
        <v/>
      </c>
      <c r="AP28" s="23"/>
      <c r="AQ28" s="5" t="str">
        <f t="shared" si="0"/>
        <v/>
      </c>
      <c r="AR28" s="5"/>
      <c r="AS28" s="5" t="str">
        <f t="shared" si="0"/>
        <v/>
      </c>
      <c r="AT28" s="5"/>
      <c r="AU28" s="5" t="str">
        <f t="shared" si="0"/>
        <v/>
      </c>
      <c r="AV28" s="15"/>
      <c r="AW28" s="5" t="str">
        <f t="shared" si="0"/>
        <v/>
      </c>
      <c r="AX28" s="15"/>
      <c r="AY28" s="5" t="str">
        <f t="shared" si="0"/>
        <v/>
      </c>
      <c r="AZ28" s="15"/>
      <c r="BA28" s="5" t="str">
        <f t="shared" si="0"/>
        <v/>
      </c>
      <c r="BB28" s="15" t="str">
        <f xml:space="preserve"> _xlfn.LET(_xlpm.f,24,   "&lt;path " &amp; _xlfn.SINGLE(Simple.SVG_painting_0) &amp; " d='M" &amp; (4*_xlpm.f) &amp; " 0L0 " &amp; (3*_xlpm.f) &amp; "L" &amp; (-4*_xlpm.f) &amp; " 0L0 " &amp; (-3*_xlpm.f) &amp; "Z'/&gt;")</f>
        <v>&lt;path fill='#EE2A35' d='M96 0L0 72L-96 0L0 -72Z'/&gt;</v>
      </c>
      <c r="BC28" s="5" t="str">
        <f t="shared" si="0"/>
        <v/>
      </c>
      <c r="BD28" s="23"/>
      <c r="BE28" s="5" t="str">
        <f t="shared" si="0"/>
        <v/>
      </c>
      <c r="BF28" s="23"/>
      <c r="BG28" s="5" t="str">
        <f t="shared" si="0"/>
        <v/>
      </c>
      <c r="BH28" s="15"/>
      <c r="BI28" s="5" t="str">
        <f t="shared" si="0"/>
        <v/>
      </c>
      <c r="BJ28" s="15" t="str">
        <f xml:space="preserve"> "&lt;path transform='rotate(45)' " &amp; _xlfn.SINGLE(Simple.SVG_painting_1) &amp; " d='M1 6V-6L3 -5V5Z M-1 -6V6L-3 5V-5Z'/&gt;"</f>
        <v>&lt;path transform='rotate(45)' fill='#FFF' d='M1 6V-6L3 -5V5Z M-1 -6V6L-3 5V-5Z'/&gt;</v>
      </c>
      <c r="BK28" s="5" t="str">
        <f t="shared" si="0"/>
        <v/>
      </c>
      <c r="BL28" s="15"/>
      <c r="BM28" s="5" t="str">
        <f t="shared" si="0"/>
        <v/>
      </c>
      <c r="BN28" s="5"/>
      <c r="BO28" s="5" t="str">
        <f t="shared" si="0"/>
        <v/>
      </c>
      <c r="BP28" s="15"/>
      <c r="BQ28" s="5" t="str">
        <f t="shared" si="0"/>
        <v/>
      </c>
      <c r="BR28" s="15"/>
      <c r="BS28" s="5" t="str">
        <f t="shared" si="0"/>
        <v/>
      </c>
      <c r="BT28" s="15"/>
      <c r="BU28" s="5" t="str">
        <f t="shared" si="0"/>
        <v/>
      </c>
      <c r="BV28" s="5" t="str">
        <f t="shared" si="0"/>
        <v/>
      </c>
      <c r="BW28" s="15"/>
      <c r="BX28" s="15"/>
      <c r="BY28" s="10"/>
    </row>
    <row r="29" spans="2:77" x14ac:dyDescent="0.2">
      <c r="C29" s="11" t="str">
        <f t="shared" si="0"/>
        <v/>
      </c>
      <c r="D29" s="17" t="s">
        <v>15</v>
      </c>
      <c r="E29" s="11" t="str">
        <f t="shared" si="0"/>
        <v/>
      </c>
      <c r="F29" s="17" t="s">
        <v>15</v>
      </c>
      <c r="G29" s="11" t="str">
        <f t="shared" si="0"/>
        <v/>
      </c>
      <c r="H29" s="17" t="s">
        <v>15</v>
      </c>
      <c r="I29" s="11" t="str">
        <f t="shared" si="0"/>
        <v/>
      </c>
      <c r="J29" s="17" t="s">
        <v>15</v>
      </c>
      <c r="K29" s="11" t="str">
        <f t="shared" si="0"/>
        <v/>
      </c>
      <c r="L29" s="17" t="s">
        <v>15</v>
      </c>
      <c r="M29" s="11" t="str">
        <f t="shared" si="0"/>
        <v/>
      </c>
      <c r="N29" s="17" t="s">
        <v>15</v>
      </c>
      <c r="O29" s="11" t="str">
        <f t="shared" si="0"/>
        <v/>
      </c>
      <c r="P29" s="17" t="s">
        <v>15</v>
      </c>
      <c r="Q29" s="11" t="str">
        <f t="shared" si="0"/>
        <v/>
      </c>
      <c r="R29" s="26" t="s">
        <v>15</v>
      </c>
      <c r="S29" s="11" t="str">
        <f t="shared" si="0"/>
        <v/>
      </c>
      <c r="T29" s="26" t="s">
        <v>15</v>
      </c>
      <c r="U29" s="11" t="str">
        <f t="shared" si="0"/>
        <v/>
      </c>
      <c r="V29" s="17" t="s">
        <v>15</v>
      </c>
      <c r="W29" s="11" t="str">
        <f t="shared" si="0"/>
        <v/>
      </c>
      <c r="X29" s="17" t="s">
        <v>15</v>
      </c>
      <c r="Y29" s="11" t="str">
        <f t="shared" si="0"/>
        <v/>
      </c>
      <c r="Z29" s="17" t="s">
        <v>15</v>
      </c>
      <c r="AA29" s="11" t="str">
        <f t="shared" si="0"/>
        <v/>
      </c>
      <c r="AB29" s="17" t="s">
        <v>15</v>
      </c>
      <c r="AC29" s="11" t="str">
        <f t="shared" si="0"/>
        <v/>
      </c>
      <c r="AD29" s="17" t="s">
        <v>15</v>
      </c>
      <c r="AE29" s="11" t="str">
        <f t="shared" si="0"/>
        <v/>
      </c>
      <c r="AF29" s="17" t="s">
        <v>15</v>
      </c>
      <c r="AG29" s="11" t="str">
        <f t="shared" si="0"/>
        <v/>
      </c>
      <c r="AH29" s="17" t="s">
        <v>15</v>
      </c>
      <c r="AI29" s="11" t="str">
        <f t="shared" si="0"/>
        <v/>
      </c>
      <c r="AJ29" s="17" t="s">
        <v>15</v>
      </c>
      <c r="AK29" s="11" t="str">
        <f t="shared" si="0"/>
        <v/>
      </c>
      <c r="AL29" s="17" t="s">
        <v>15</v>
      </c>
      <c r="AM29" s="11" t="str">
        <f t="shared" si="0"/>
        <v/>
      </c>
      <c r="AN29" s="17" t="s">
        <v>15</v>
      </c>
      <c r="AO29" s="11" t="str">
        <f t="shared" si="0"/>
        <v/>
      </c>
      <c r="AP29" s="17" t="s">
        <v>15</v>
      </c>
      <c r="AQ29" s="11" t="str">
        <f t="shared" si="0"/>
        <v/>
      </c>
      <c r="AR29" s="17" t="s">
        <v>15</v>
      </c>
      <c r="AS29" s="11" t="str">
        <f t="shared" si="0"/>
        <v/>
      </c>
      <c r="AT29" s="17" t="s">
        <v>15</v>
      </c>
      <c r="AU29" s="11" t="str">
        <f t="shared" si="0"/>
        <v/>
      </c>
      <c r="AV29" s="17" t="s">
        <v>15</v>
      </c>
      <c r="AW29" s="11" t="str">
        <f t="shared" si="0"/>
        <v/>
      </c>
      <c r="AX29" s="17" t="s">
        <v>15</v>
      </c>
      <c r="AY29" s="11" t="str">
        <f t="shared" si="0"/>
        <v/>
      </c>
      <c r="AZ29" s="17" t="s">
        <v>15</v>
      </c>
      <c r="BA29" s="11" t="str">
        <f t="shared" si="0"/>
        <v/>
      </c>
      <c r="BB29" s="17" t="s">
        <v>15</v>
      </c>
      <c r="BC29" s="11" t="str">
        <f t="shared" si="0"/>
        <v/>
      </c>
      <c r="BD29" s="17" t="s">
        <v>15</v>
      </c>
      <c r="BE29" s="11" t="str">
        <f t="shared" si="0"/>
        <v/>
      </c>
      <c r="BF29" s="17" t="s">
        <v>15</v>
      </c>
      <c r="BG29" s="11" t="str">
        <f t="shared" si="0"/>
        <v/>
      </c>
      <c r="BH29" s="17" t="s">
        <v>15</v>
      </c>
      <c r="BI29" s="11" t="str">
        <f t="shared" si="0"/>
        <v/>
      </c>
      <c r="BJ29" s="17" t="s">
        <v>15</v>
      </c>
      <c r="BK29" s="11" t="str">
        <f t="shared" si="0"/>
        <v/>
      </c>
      <c r="BL29" s="17" t="s">
        <v>15</v>
      </c>
      <c r="BM29" s="11" t="str">
        <f t="shared" si="0"/>
        <v/>
      </c>
      <c r="BN29" s="17" t="s">
        <v>15</v>
      </c>
      <c r="BO29" s="11" t="str">
        <f t="shared" si="0"/>
        <v/>
      </c>
      <c r="BP29" s="17" t="s">
        <v>15</v>
      </c>
      <c r="BQ29" s="11" t="str">
        <f t="shared" si="0"/>
        <v/>
      </c>
      <c r="BR29" s="17" t="s">
        <v>15</v>
      </c>
      <c r="BS29" s="11" t="str">
        <f t="shared" si="0"/>
        <v/>
      </c>
      <c r="BT29" s="17" t="s">
        <v>15</v>
      </c>
      <c r="BU29" s="11" t="str">
        <f t="shared" si="0"/>
        <v/>
      </c>
      <c r="BV29" s="11" t="str">
        <f t="shared" si="0"/>
        <v/>
      </c>
      <c r="BW29" s="17"/>
      <c r="BX29" s="17"/>
      <c r="BY29" s="12"/>
    </row>
    <row r="32" spans="2:77" x14ac:dyDescent="0.2">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x14ac:dyDescent="0.2">
      <c r="D34">
        <f xml:space="preserve"> SQRT((Simple.MaxX - 2)^2 - 1^2)</f>
        <v>7.9372539331937721</v>
      </c>
      <c r="F34">
        <f xml:space="preserve"> D34</f>
        <v>7.9372539331937721</v>
      </c>
    </row>
    <row r="35" spans="4:55" x14ac:dyDescent="0.2">
      <c r="D35">
        <f xml:space="preserve"> SQRT((Simple.MaxX - 0)^2 - 1^2)</f>
        <v>9.9498743710661994</v>
      </c>
      <c r="F35">
        <f xml:space="preserve"> D35</f>
        <v>9.9498743710661994</v>
      </c>
      <c r="AN35" s="59"/>
      <c r="AP35" s="59"/>
    </row>
    <row r="36" spans="4:55" x14ac:dyDescent="0.2">
      <c r="D36">
        <f xml:space="preserve"> MROUND(AVERAGE(D34:D35), 0.2)</f>
        <v>9</v>
      </c>
      <c r="AJ36" s="57"/>
      <c r="AL36" s="57"/>
      <c r="AN36" s="57"/>
      <c r="AP36" s="57"/>
    </row>
    <row r="37" spans="4:55" x14ac:dyDescent="0.2">
      <c r="F37">
        <f xml:space="preserve"> SQRT((Simple.MaxX - 2)^2 - 3^2)</f>
        <v>7.416198487095663</v>
      </c>
      <c r="AJ37" s="57"/>
      <c r="AL37" s="57"/>
      <c r="BB37">
        <f xml:space="preserve"> 2 * BB38 - BB39 - 1</f>
        <v>66</v>
      </c>
      <c r="BC37">
        <f xml:space="preserve"> ($BB37 - $BB38) / $BB37</f>
        <v>0.22727272727272727</v>
      </c>
    </row>
    <row r="38" spans="4:55" x14ac:dyDescent="0.2">
      <c r="F38">
        <f xml:space="preserve"> SQRT((Simple.MaxX - 0)^2 - 3^2)</f>
        <v>9.5393920141694561</v>
      </c>
      <c r="AJ38" s="57"/>
      <c r="AL38" s="57"/>
      <c r="BB38">
        <f xml:space="preserve"> 2 * BB39 - BB40 - 1</f>
        <v>51</v>
      </c>
      <c r="BC38">
        <f xml:space="preserve"> ($BB38 - $BB39) / $BB37</f>
        <v>0.24242424242424243</v>
      </c>
    </row>
    <row r="39" spans="4:55" x14ac:dyDescent="0.2">
      <c r="F39">
        <f xml:space="preserve"> MROUND(AVERAGE(MAX(F$34, F$37), MIN(F$35, F$38)), 1)</f>
        <v>9</v>
      </c>
      <c r="AJ39" s="59"/>
      <c r="AL39" s="59"/>
      <c r="BB39">
        <f xml:space="preserve"> 2 * BB40 - BB41 - 1</f>
        <v>35</v>
      </c>
      <c r="BC39">
        <f xml:space="preserve"> ($BB39 - $BB40) / $BB37</f>
        <v>0.25757575757575757</v>
      </c>
    </row>
    <row r="40" spans="4:55" x14ac:dyDescent="0.2">
      <c r="AX40" s="15"/>
      <c r="BB40">
        <v>18</v>
      </c>
      <c r="BC40">
        <f xml:space="preserve"> ($BB40 - $BB41) / $BB37</f>
        <v>0.27272727272727271</v>
      </c>
    </row>
    <row r="41" spans="4:55" x14ac:dyDescent="0.2">
      <c r="AX41" s="15"/>
    </row>
    <row r="43" spans="4:55" x14ac:dyDescent="0.2">
      <c r="BB43">
        <f xml:space="preserve"> 2 * BB44 - BB45 - 1</f>
        <v>90</v>
      </c>
      <c r="BC43">
        <f xml:space="preserve"> ($BB43 - $BB44) / $BB43</f>
        <v>0.23333333333333334</v>
      </c>
    </row>
    <row r="44" spans="4:55" x14ac:dyDescent="0.2">
      <c r="BB44">
        <f xml:space="preserve"> 2 * BB45 - BB46 - 1</f>
        <v>69</v>
      </c>
      <c r="BC44">
        <f xml:space="preserve"> ($BB44 - $BB45) / $BB43</f>
        <v>0.24444444444444444</v>
      </c>
    </row>
    <row r="45" spans="4:55" x14ac:dyDescent="0.2">
      <c r="BB45">
        <f xml:space="preserve"> 2 * BB46 - BB47 - 1</f>
        <v>47</v>
      </c>
      <c r="BC45">
        <f xml:space="preserve"> ($BB45 - $BB46) / $BB43</f>
        <v>0.25555555555555554</v>
      </c>
    </row>
    <row r="46" spans="4:55" x14ac:dyDescent="0.2">
      <c r="BB46">
        <v>24</v>
      </c>
      <c r="BC46">
        <f xml:space="preserve"> ($BB46 - $BB47) / $BB43</f>
        <v>0.26666666666666666</v>
      </c>
    </row>
    <row r="48" spans="4:55" x14ac:dyDescent="0.2">
      <c r="AX48" s="15"/>
    </row>
    <row r="49" spans="50:50" x14ac:dyDescent="0.2">
      <c r="AX49" s="1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T43"/>
  <sheetViews>
    <sheetView topLeftCell="B1" workbookViewId="0">
      <selection activeCell="B2" sqref="B2"/>
    </sheetView>
  </sheetViews>
  <sheetFormatPr baseColWidth="10" defaultRowHeight="16" x14ac:dyDescent="0.2"/>
  <sheetData>
    <row r="2" spans="2:19" ht="17" thickBot="1" x14ac:dyDescent="0.25">
      <c r="F2" t="s">
        <v>1683</v>
      </c>
      <c r="G2" t="s">
        <v>1684</v>
      </c>
      <c r="I2" t="s">
        <v>327</v>
      </c>
      <c r="P2" t="s">
        <v>1685</v>
      </c>
      <c r="Q2" t="s">
        <v>1686</v>
      </c>
      <c r="S2" t="s">
        <v>624</v>
      </c>
    </row>
    <row r="3" spans="2:19" x14ac:dyDescent="0.2">
      <c r="E3">
        <f xml:space="preserve"> I$35</f>
        <v>441</v>
      </c>
      <c r="F3" s="38">
        <v>1</v>
      </c>
      <c r="G3" s="38">
        <f xml:space="preserve"> AUD.SizeOuter * 0.65</f>
        <v>0.65</v>
      </c>
      <c r="H3" s="5"/>
      <c r="I3" s="38">
        <f xml:space="preserve"> DecimalPlaces - INT(LOG(MIN(  MAX(AUD.RawX) - MIN(AUD.RawX),  MAX(AUD.RawY) - MIN(AUD.RawY)  )/2, 10) + 0.2)</f>
        <v>5</v>
      </c>
      <c r="O3">
        <f xml:space="preserve"> S$35</f>
        <v>435</v>
      </c>
      <c r="P3" s="38">
        <v>1</v>
      </c>
      <c r="Q3" s="38">
        <f xml:space="preserve"> JOD.SizeOuter * 0.65</f>
        <v>0.65</v>
      </c>
      <c r="R3" s="5"/>
      <c r="S3" s="38">
        <f xml:space="preserve"> DecimalPlaces - INT(LOG(MIN(  MAX(JOD.RawX) - MIN(JOD.RawX),  MAX(JOD.RawY) - MIN(JOD.RawY)  )/2, 10) + 0.2)</f>
        <v>5</v>
      </c>
    </row>
    <row r="4" spans="2:19" x14ac:dyDescent="0.2">
      <c r="H4" s="5"/>
    </row>
    <row r="5" spans="2:19" ht="17" thickBot="1" x14ac:dyDescent="0.25">
      <c r="B5" s="3" t="s">
        <v>623</v>
      </c>
      <c r="C5" s="3" t="s">
        <v>622</v>
      </c>
      <c r="F5" s="3" t="s">
        <v>328</v>
      </c>
      <c r="G5" s="3" t="s">
        <v>329</v>
      </c>
      <c r="I5" s="3" t="s">
        <v>1766</v>
      </c>
      <c r="P5" s="3" t="s">
        <v>478</v>
      </c>
      <c r="Q5" s="3" t="s">
        <v>479</v>
      </c>
      <c r="S5" s="3" t="s">
        <v>1767</v>
      </c>
    </row>
    <row r="6" spans="2:19" x14ac:dyDescent="0.2">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x14ac:dyDescent="0.2">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x14ac:dyDescent="0.2">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x14ac:dyDescent="0.2">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x14ac:dyDescent="0.2">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x14ac:dyDescent="0.2">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x14ac:dyDescent="0.2">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x14ac:dyDescent="0.2">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x14ac:dyDescent="0.2">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x14ac:dyDescent="0.2">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x14ac:dyDescent="0.2">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20" x14ac:dyDescent="0.2">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20" x14ac:dyDescent="0.2">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20" x14ac:dyDescent="0.2">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20" x14ac:dyDescent="0.2">
      <c r="H22" s="4" t="s">
        <v>336</v>
      </c>
      <c r="I22">
        <f xml:space="preserve"> ROUND( MIN(AUD.RawX), AUD.DecimalPlaces)</f>
        <v>-0.97492999999999996</v>
      </c>
      <c r="R22" s="4" t="s">
        <v>486</v>
      </c>
      <c r="S22">
        <f xml:space="preserve"> ROUND( MIN(JOD.RawX), JOD.DecimalPlaces)</f>
        <v>-0.97492999999999996</v>
      </c>
    </row>
    <row r="23" spans="2:20" x14ac:dyDescent="0.2">
      <c r="H23" s="4" t="s">
        <v>337</v>
      </c>
      <c r="I23">
        <f xml:space="preserve"> ROUND(MAX(AUD.RawX), AUD.DecimalPlaces)</f>
        <v>0.97492999999999996</v>
      </c>
      <c r="R23" s="4" t="s">
        <v>487</v>
      </c>
      <c r="S23">
        <f xml:space="preserve"> ROUND(MAX(JOD.RawX), JOD.DecimalPlaces)</f>
        <v>0.97492999999999996</v>
      </c>
    </row>
    <row r="24" spans="2:20" x14ac:dyDescent="0.2">
      <c r="H24" s="4" t="s">
        <v>338</v>
      </c>
      <c r="I24">
        <f xml:space="preserve"> ROUND( MIN(AUD.RawY), AUD.DecimalPlaces)</f>
        <v>-1</v>
      </c>
      <c r="R24" s="4" t="s">
        <v>488</v>
      </c>
      <c r="S24">
        <f xml:space="preserve"> ROUND( MIN(JOD.RawY), JOD.DecimalPlaces)</f>
        <v>-1</v>
      </c>
    </row>
    <row r="25" spans="2:20" x14ac:dyDescent="0.2">
      <c r="H25" s="4" t="s">
        <v>339</v>
      </c>
      <c r="I25">
        <f xml:space="preserve"> ROUND(MAX(AUD.RawY), AUD.DecimalPlaces)</f>
        <v>0.90097000000000005</v>
      </c>
      <c r="R25" s="4" t="s">
        <v>489</v>
      </c>
      <c r="S25">
        <f xml:space="preserve"> ROUND(MAX(JOD.RawY), JOD.DecimalPlaces)</f>
        <v>0.90097000000000005</v>
      </c>
    </row>
    <row r="27" spans="2:20" x14ac:dyDescent="0.2">
      <c r="H27" s="4" t="s">
        <v>330</v>
      </c>
      <c r="I27" s="28">
        <v>1.75</v>
      </c>
      <c r="R27" s="4" t="s">
        <v>480</v>
      </c>
      <c r="S27" s="28">
        <f xml:space="preserve"> AUD.AreaMultiplier</f>
        <v>1.75</v>
      </c>
    </row>
    <row r="28" spans="2:20" x14ac:dyDescent="0.2">
      <c r="H28" s="4" t="s">
        <v>331</v>
      </c>
      <c r="I28">
        <f xml:space="preserve">  MAX(AUD.MaxY, - AUD.MinY)   /   MAX(AUD.MaxX, - AUD.MinX)</f>
        <v>1.0257146666940191</v>
      </c>
      <c r="R28" s="4" t="s">
        <v>481</v>
      </c>
      <c r="S28">
        <f xml:space="preserve">  MAX(JOD.MaxY, - JOD.MinY)   /   MAX(JOD.MaxX, - JOD.MinX)</f>
        <v>1.0257146666940191</v>
      </c>
    </row>
    <row r="29" spans="2:20" x14ac:dyDescent="0.2">
      <c r="H29" s="4" t="s">
        <v>332</v>
      </c>
      <c r="I29">
        <f xml:space="preserve"> VALUE(TEXT(SQRT(AUD.AreaMultiplier * BasicBBoxArea * AUD.Aspect), SVG.NumberFormatHeight))</f>
        <v>13.4</v>
      </c>
      <c r="R29" s="4" t="s">
        <v>482</v>
      </c>
      <c r="S29">
        <f xml:space="preserve"> VALUE(TEXT(SQRT(JOD.AreaMultiplier * BasicBBoxArea * JOD.Aspect), SVG.NumberFormatHeight))</f>
        <v>13.4</v>
      </c>
    </row>
    <row r="30" spans="2:20" x14ac:dyDescent="0.2">
      <c r="H30" s="4" t="s">
        <v>333</v>
      </c>
      <c r="I30">
        <f xml:space="preserve"> AUD.Height / AUD.Aspect</f>
        <v>13.064062</v>
      </c>
      <c r="J30" s="5"/>
      <c r="R30" s="4" t="s">
        <v>483</v>
      </c>
      <c r="S30" cm="1">
        <f t="array" ref="S30" xml:space="preserve"> JOD.Height / JOD.Aspect</f>
        <v>13.064062</v>
      </c>
      <c r="T30" s="5"/>
    </row>
    <row r="31" spans="2:20" x14ac:dyDescent="0.2">
      <c r="J31" s="5"/>
      <c r="T31" s="5"/>
    </row>
    <row r="32" spans="2:20" x14ac:dyDescent="0.2">
      <c r="H32" s="4" t="s">
        <v>334</v>
      </c>
      <c r="I32" t="s">
        <v>1072</v>
      </c>
      <c r="J32" s="5"/>
      <c r="R32" s="4" t="s">
        <v>484</v>
      </c>
      <c r="S32" t="s">
        <v>756</v>
      </c>
      <c r="T32" s="5"/>
    </row>
    <row r="33" spans="7:20" x14ac:dyDescent="0.2">
      <c r="H33" s="4" t="s">
        <v>335</v>
      </c>
      <c r="I33" t="s">
        <v>731</v>
      </c>
      <c r="J33" s="5"/>
      <c r="R33" s="4" t="s">
        <v>485</v>
      </c>
      <c r="S33" t="s">
        <v>2091</v>
      </c>
      <c r="T33" s="5"/>
    </row>
    <row r="34" spans="7:20" x14ac:dyDescent="0.2">
      <c r="H34" s="5"/>
      <c r="J34" s="5"/>
      <c r="R34" s="5"/>
      <c r="T34" s="5"/>
    </row>
    <row r="35" spans="7:20" x14ac:dyDescent="0.2">
      <c r="H35" s="5"/>
      <c r="I35" cm="1">
        <f t="array" ref="I35" xml:space="preserve"> SVG_length(AUD.svg)</f>
        <v>441</v>
      </c>
      <c r="J35" s="5"/>
      <c r="R35" s="5"/>
      <c r="S35" cm="1">
        <f t="array" ref="S35" xml:space="preserve"> SVG_length(JOD.svg)</f>
        <v>435</v>
      </c>
      <c r="T35" s="5"/>
    </row>
    <row r="36" spans="7:20" x14ac:dyDescent="0.2">
      <c r="H36" s="5"/>
      <c r="J36" s="5"/>
      <c r="R36" s="5"/>
      <c r="T36" s="5"/>
    </row>
    <row r="37" spans="7:20" ht="17" thickBot="1" x14ac:dyDescent="0.25">
      <c r="H37" s="5"/>
      <c r="I37" s="3" t="s">
        <v>340</v>
      </c>
      <c r="J37" s="5"/>
      <c r="R37" s="5"/>
      <c r="S37" s="3" t="s">
        <v>490</v>
      </c>
      <c r="T37" s="5"/>
    </row>
    <row r="38" spans="7:20" x14ac:dyDescent="0.2">
      <c r="G38" s="6"/>
      <c r="H38" s="5"/>
      <c r="I38" s="18"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R38" s="5"/>
      <c r="S38" s="18"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39" spans="7:20" x14ac:dyDescent="0.2">
      <c r="G39" s="6"/>
      <c r="H39" s="5"/>
      <c r="I39" s="6"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R39" s="5"/>
      <c r="S39" s="6"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20" x14ac:dyDescent="0.2">
      <c r="G40" s="6"/>
      <c r="H40" s="5"/>
      <c r="I40" s="6" t="str">
        <f xml:space="preserve"> "&lt;use href='#AUD-s' " &amp; IF(LEN(_xlfn.SINGLE(AUD.SVG_painting_Outer))&gt;0, TRIM(_xlfn.SINGLE(AUD.SVG_painting_Outer)), "") &amp; "/&gt;"</f>
        <v>&lt;use href='#AUD-s' fill='#00843D'/&gt;</v>
      </c>
      <c r="R40" s="5"/>
      <c r="S40" s="6" t="str">
        <f xml:space="preserve"> "&lt;use href='#JOD-s' " &amp; IF(LEN(_xlfn.SINGLE(JOD.SVG_painting_Outer))&gt;0, TRIM(_xlfn.SINGLE(JOD.SVG_painting_Outer)), "") &amp; "/&gt;"</f>
        <v>&lt;use href='#JOD-s' fill='#CE1126'/&gt;</v>
      </c>
    </row>
    <row r="41" spans="7:20" x14ac:dyDescent="0.2">
      <c r="G41" s="6"/>
      <c r="H41" s="5"/>
      <c r="I41" s="6" t="str">
        <f xml:space="preserve"> "&lt;use href='#AUD-s' " &amp; IF(LEN(_xlfn.SINGLE(AUD.SVG_painting_Inner))&gt;0, TRIM(_xlfn.SINGLE(AUD.SVG_painting_Inner)), "") &amp; " transform='scale(" &amp; ROUND(AUD.SizeInner/AUD.SizeOuter, DecimalPlaces) &amp; ")'/&gt;"</f>
        <v>&lt;use href='#AUD-s' fill='#FFCD00' transform='scale(0.65)'/&gt;</v>
      </c>
      <c r="R41" s="5"/>
      <c r="S41" s="6" t="str">
        <f xml:space="preserve"> "&lt;use href='#JOD-s' " &amp; IF(LEN(_xlfn.SINGLE(JOD.SVG_painting_Inner))&gt;0, TRIM(_xlfn.SINGLE(JOD.SVG_painting_Inner)), "") &amp; " transform='scale(" &amp; ROUND(JOD.SizeInner/JOD.SizeOuter, DecimalPlaces) &amp; ")'/&gt;"</f>
        <v>&lt;use href='#JOD-s' fill='#FFF' transform='scale(0.65)'/&gt;</v>
      </c>
    </row>
    <row r="42" spans="7:20" x14ac:dyDescent="0.2">
      <c r="G42" s="6"/>
      <c r="H42" s="5"/>
      <c r="I42" s="6" t="s">
        <v>15</v>
      </c>
      <c r="R42" s="5"/>
      <c r="S42" s="6" t="s">
        <v>15</v>
      </c>
    </row>
    <row r="43" spans="7:20" x14ac:dyDescent="0.2">
      <c r="G43" s="6"/>
      <c r="H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64"/>
  <sheetViews>
    <sheetView topLeftCell="B1" workbookViewId="0">
      <selection activeCell="B2" sqref="B2"/>
    </sheetView>
  </sheetViews>
  <sheetFormatPr baseColWidth="10" defaultRowHeight="16" x14ac:dyDescent="0.2"/>
  <sheetData>
    <row r="2" spans="2:16" ht="17" thickBot="1" x14ac:dyDescent="0.25">
      <c r="B2" s="3" t="s">
        <v>1462</v>
      </c>
      <c r="F2" s="3" t="s">
        <v>119</v>
      </c>
    </row>
    <row r="3" spans="2:16" x14ac:dyDescent="0.2">
      <c r="B3">
        <v>5</v>
      </c>
      <c r="C3" s="6" t="s">
        <v>1475</v>
      </c>
      <c r="F3">
        <f xml:space="preserve"> DecimalPlaces - INT(LOG(MIN(  MAX(GBP.RawX) - MIN(GBP.RawX),  MAX(GBP.RawY) - MIN(GBP.RawY)  )/2, 10) + 0.2)</f>
        <v>4</v>
      </c>
    </row>
    <row r="5" spans="2:16" ht="17" thickBot="1" x14ac:dyDescent="0.25">
      <c r="B5" s="3" t="s">
        <v>1463</v>
      </c>
      <c r="C5" s="3" t="s">
        <v>5</v>
      </c>
      <c r="D5" s="3" t="s">
        <v>6</v>
      </c>
      <c r="F5" s="3" t="s">
        <v>22</v>
      </c>
      <c r="K5" s="3" t="s">
        <v>1464</v>
      </c>
      <c r="L5" s="3" t="s">
        <v>1465</v>
      </c>
      <c r="M5" s="3" t="s">
        <v>1466</v>
      </c>
      <c r="N5" s="3" t="s">
        <v>1467</v>
      </c>
      <c r="O5" s="3" t="s">
        <v>1468</v>
      </c>
      <c r="P5" s="3" t="s">
        <v>1469</v>
      </c>
    </row>
    <row r="6" spans="2:16" x14ac:dyDescent="0.2">
      <c r="B6" t="s">
        <v>23</v>
      </c>
      <c r="C6">
        <v>30</v>
      </c>
      <c r="D6">
        <v>15</v>
      </c>
      <c r="F6" t="str">
        <f t="array" ref="F6:F21" xml:space="preserve"> svgpath($C6:$C21, $D6:$D21, GBP.DecimalPlaces)</f>
        <v>M30 15</v>
      </c>
    </row>
    <row r="7" spans="2:16" x14ac:dyDescent="0.2">
      <c r="B7" t="s">
        <v>23</v>
      </c>
      <c r="C7">
        <v>30</v>
      </c>
      <c r="D7" cm="1">
        <f t="array" ref="D7" xml:space="preserve"> 15 - GBP.ArmHalfWidthOuter * Sqrt5 / 2</f>
        <v>9.4098300562505255</v>
      </c>
      <c r="F7" t="str">
        <v>V9.4098</v>
      </c>
    </row>
    <row r="8" spans="2:16" x14ac:dyDescent="0.2">
      <c r="B8" t="s">
        <v>23</v>
      </c>
      <c r="C8" cm="1">
        <f t="array" ref="C8" xml:space="preserve"> GBP.ArmHalfWidthOuter * Sqrt5</f>
        <v>11.180339887498949</v>
      </c>
      <c r="D8">
        <v>0</v>
      </c>
      <c r="F8" t="str">
        <v>L11.1803 0</v>
      </c>
    </row>
    <row r="9" spans="2:16" x14ac:dyDescent="0.2">
      <c r="B9" t="s">
        <v>23</v>
      </c>
      <c r="C9">
        <v>30</v>
      </c>
      <c r="D9" cm="1">
        <f t="array" ref="D9" xml:space="preserve"> GBP.ArmHalfWidthOuter * Sqrt5 / 2 - 15</f>
        <v>-9.4098300562505255</v>
      </c>
      <c r="F9" t="str">
        <v>L30 -9.4098</v>
      </c>
    </row>
    <row r="10" spans="2:16" x14ac:dyDescent="0.2">
      <c r="B10" t="s">
        <v>23</v>
      </c>
      <c r="C10">
        <v>30</v>
      </c>
      <c r="D10">
        <v>-15</v>
      </c>
      <c r="F10" t="str">
        <v>V-15</v>
      </c>
    </row>
    <row r="11" spans="2:16" x14ac:dyDescent="0.2">
      <c r="B11" t="s">
        <v>23</v>
      </c>
      <c r="C11" cm="1">
        <f t="array" ref="C11" xml:space="preserve"> 30 - GBP.ArmHalfWidthOuter * Sqrt5</f>
        <v>18.819660112501051</v>
      </c>
      <c r="D11">
        <v>-15</v>
      </c>
      <c r="F11" t="str">
        <v>H18.8197</v>
      </c>
    </row>
    <row r="12" spans="2:16" x14ac:dyDescent="0.2">
      <c r="B12" t="s">
        <v>23</v>
      </c>
      <c r="C12">
        <v>0</v>
      </c>
      <c r="D12" cm="1">
        <f t="array" ref="D12" xml:space="preserve"> - GBP.ArmHalfWidthOuter * Sqrt5 / 2</f>
        <v>-5.5901699437494745</v>
      </c>
      <c r="F12" t="str">
        <v>L0 -5.5902</v>
      </c>
    </row>
    <row r="13" spans="2:16" x14ac:dyDescent="0.2">
      <c r="B13" t="s">
        <v>23</v>
      </c>
      <c r="C13" cm="1">
        <f t="array" ref="C13" xml:space="preserve"> GBP.ArmHalfWidthOuter * Sqrt5 - 30</f>
        <v>-18.819660112501051</v>
      </c>
      <c r="D13">
        <v>-15</v>
      </c>
      <c r="F13" t="str">
        <v>L-18.8197 -15</v>
      </c>
    </row>
    <row r="14" spans="2:16" x14ac:dyDescent="0.2">
      <c r="B14" t="s">
        <v>23</v>
      </c>
      <c r="C14">
        <v>-30</v>
      </c>
      <c r="D14">
        <v>-15</v>
      </c>
      <c r="F14" t="str">
        <v>H-30</v>
      </c>
    </row>
    <row r="15" spans="2:16" x14ac:dyDescent="0.2">
      <c r="B15" t="s">
        <v>23</v>
      </c>
      <c r="C15">
        <v>-30</v>
      </c>
      <c r="D15" cm="1">
        <f t="array" ref="D15" xml:space="preserve"> GBP.ArmHalfWidthOuter * Sqrt5 / 2 - 15</f>
        <v>-9.4098300562505255</v>
      </c>
      <c r="F15" t="str">
        <v>v5.5902</v>
      </c>
    </row>
    <row r="16" spans="2:16" x14ac:dyDescent="0.2">
      <c r="B16" t="s">
        <v>23</v>
      </c>
      <c r="C16" cm="1">
        <f t="array" ref="C16" xml:space="preserve"> - GBP.ArmHalfWidthOuter * Sqrt5</f>
        <v>-11.180339887498949</v>
      </c>
      <c r="D16">
        <v>0</v>
      </c>
      <c r="F16" t="str">
        <v>L-11.1803 0</v>
      </c>
    </row>
    <row r="17" spans="2:16" x14ac:dyDescent="0.2">
      <c r="B17" t="s">
        <v>23</v>
      </c>
      <c r="C17">
        <v>-30</v>
      </c>
      <c r="D17" cm="1">
        <f t="array" ref="D17" xml:space="preserve"> 15 - GBP.ArmHalfWidthOuter * Sqrt5 / 2</f>
        <v>9.4098300562505255</v>
      </c>
      <c r="F17" t="str">
        <v>L-30 9.4098</v>
      </c>
    </row>
    <row r="18" spans="2:16" x14ac:dyDescent="0.2">
      <c r="B18" t="s">
        <v>23</v>
      </c>
      <c r="C18">
        <v>-30</v>
      </c>
      <c r="D18">
        <v>15</v>
      </c>
      <c r="F18" t="str">
        <v>V15</v>
      </c>
    </row>
    <row r="19" spans="2:16" x14ac:dyDescent="0.2">
      <c r="B19" t="s">
        <v>23</v>
      </c>
      <c r="C19" cm="1">
        <f t="array" ref="C19" xml:space="preserve"> GBP.ArmHalfWidthOuter * Sqrt5 - 30</f>
        <v>-18.819660112501051</v>
      </c>
      <c r="D19">
        <v>15</v>
      </c>
      <c r="F19" t="str">
        <v>h11.1803</v>
      </c>
      <c r="H19" s="4" t="s">
        <v>1470</v>
      </c>
      <c r="I19">
        <f xml:space="preserve"> GBP.ArmHalfWidthOuter / -2.5</f>
        <v>-2</v>
      </c>
    </row>
    <row r="20" spans="2:16" x14ac:dyDescent="0.2">
      <c r="B20" t="s">
        <v>23</v>
      </c>
      <c r="C20">
        <v>0</v>
      </c>
      <c r="D20" cm="1">
        <f t="array" ref="D20" xml:space="preserve"> GBP.ArmHalfWidthOuter * Sqrt5 / 2</f>
        <v>5.5901699437494745</v>
      </c>
      <c r="F20" t="str">
        <v>L0 5.5902</v>
      </c>
      <c r="H20" s="4" t="s">
        <v>1471</v>
      </c>
      <c r="I20">
        <f xml:space="preserve"> COUNTIFS(GBP.Part, "Outer")</f>
        <v>16</v>
      </c>
    </row>
    <row r="21" spans="2:16" x14ac:dyDescent="0.2">
      <c r="B21" t="s">
        <v>23</v>
      </c>
      <c r="C21" cm="1">
        <f t="array" ref="C21" xml:space="preserve"> 30 - GBP.ArmHalfWidthOuter * Sqrt5</f>
        <v>18.819660112501051</v>
      </c>
      <c r="D21">
        <v>15</v>
      </c>
      <c r="F21" t="str">
        <v>L18.8197 15Z</v>
      </c>
    </row>
    <row r="23" spans="2:16" x14ac:dyDescent="0.2">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x14ac:dyDescent="0.2">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x14ac:dyDescent="0.2">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x14ac:dyDescent="0.2">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x14ac:dyDescent="0.2">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x14ac:dyDescent="0.2">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x14ac:dyDescent="0.2">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x14ac:dyDescent="0.2">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x14ac:dyDescent="0.2">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x14ac:dyDescent="0.2">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x14ac:dyDescent="0.2">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x14ac:dyDescent="0.2">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x14ac:dyDescent="0.2">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x14ac:dyDescent="0.2">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x14ac:dyDescent="0.2">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x14ac:dyDescent="0.2">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x14ac:dyDescent="0.2">
      <c r="E41" s="4" t="s">
        <v>18</v>
      </c>
      <c r="F41">
        <f xml:space="preserve"> ROUND( MIN(GBP.RawX), GBP.DecimalPlaces)</f>
        <v>-30</v>
      </c>
      <c r="J41" s="4" t="s">
        <v>2255</v>
      </c>
      <c r="K41" t="s">
        <v>0</v>
      </c>
      <c r="L41" t="s">
        <v>2258</v>
      </c>
      <c r="M41" t="s">
        <v>2259</v>
      </c>
      <c r="N41" t="s">
        <v>2260</v>
      </c>
      <c r="O41" t="s">
        <v>2261</v>
      </c>
      <c r="P41" t="s">
        <v>2262</v>
      </c>
    </row>
    <row r="42" spans="2:16" x14ac:dyDescent="0.2">
      <c r="E42" s="4" t="s">
        <v>19</v>
      </c>
      <c r="F42">
        <f xml:space="preserve"> ROUND(MAX(GBP.RawX), GBP.DecimalPlaces)</f>
        <v>30</v>
      </c>
    </row>
    <row r="43" spans="2:16" x14ac:dyDescent="0.2">
      <c r="E43" s="4" t="s">
        <v>20</v>
      </c>
      <c r="F43">
        <f xml:space="preserve"> ROUND( MIN(GBP.RawY), GBP.DecimalPlaces)</f>
        <v>-15</v>
      </c>
      <c r="J43" s="4" t="s">
        <v>1472</v>
      </c>
      <c r="K43" s="57" t="s">
        <v>1474</v>
      </c>
      <c r="L43" s="57" t="s">
        <v>1474</v>
      </c>
      <c r="M43" s="57" t="s">
        <v>720</v>
      </c>
      <c r="N43" s="57" t="s">
        <v>728</v>
      </c>
      <c r="O43" s="57" t="s">
        <v>2256</v>
      </c>
      <c r="P43" s="57" t="s">
        <v>728</v>
      </c>
    </row>
    <row r="44" spans="2:16" x14ac:dyDescent="0.2">
      <c r="E44" s="4" t="s">
        <v>21</v>
      </c>
      <c r="F44">
        <f xml:space="preserve"> ROUND(MAX(GBP.RawY), GBP.DecimalPlaces)</f>
        <v>15</v>
      </c>
      <c r="J44" s="4" t="s">
        <v>1473</v>
      </c>
      <c r="K44" s="57" t="s">
        <v>728</v>
      </c>
      <c r="L44" s="57" t="s">
        <v>2091</v>
      </c>
      <c r="M44" s="57" t="s">
        <v>1781</v>
      </c>
      <c r="N44" s="57" t="s">
        <v>2091</v>
      </c>
      <c r="O44" s="57" t="s">
        <v>728</v>
      </c>
      <c r="P44" s="57" t="s">
        <v>2256</v>
      </c>
    </row>
    <row r="47" spans="2:16" x14ac:dyDescent="0.2">
      <c r="E47" s="4" t="s">
        <v>82</v>
      </c>
      <c r="F47">
        <f xml:space="preserve">  MAX(GBP.MaxY, - GBP.MinY)   /   MAX(GBP.MaxX, - GBP.MinX)</f>
        <v>0.5</v>
      </c>
      <c r="J47" s="4" t="s">
        <v>116</v>
      </c>
      <c r="K47" s="28">
        <v>1.04</v>
      </c>
      <c r="L47">
        <f xml:space="preserve"> $K47</f>
        <v>1.04</v>
      </c>
      <c r="M47">
        <f xml:space="preserve"> $K47</f>
        <v>1.04</v>
      </c>
      <c r="N47">
        <f xml:space="preserve"> $K47</f>
        <v>1.04</v>
      </c>
      <c r="O47">
        <f xml:space="preserve"> $K47</f>
        <v>1.04</v>
      </c>
      <c r="P47">
        <f xml:space="preserve"> $K47</f>
        <v>1.04</v>
      </c>
    </row>
    <row r="48" spans="2:16" x14ac:dyDescent="0.2">
      <c r="J48" s="4" t="s">
        <v>84</v>
      </c>
      <c r="K48" cm="1">
        <f t="array" ref="K48:P48" xml:space="preserve"> VALUE(TEXT(SQRT(GBP.AreaMultiplier * BasicBBoxArea * GBP.Aspect), SVG.NumberFormatHeight))</f>
        <v>7.2</v>
      </c>
      <c r="L48">
        <v>7.2</v>
      </c>
      <c r="M48">
        <v>7.2</v>
      </c>
      <c r="N48">
        <v>7.2</v>
      </c>
      <c r="O48">
        <v>7.2</v>
      </c>
      <c r="P48">
        <v>7.2</v>
      </c>
    </row>
    <row r="49" spans="5:16" x14ac:dyDescent="0.2">
      <c r="G49" s="5"/>
      <c r="J49" s="4" t="s">
        <v>83</v>
      </c>
      <c r="K49" cm="1">
        <f t="array" ref="K49:P49" xml:space="preserve"> GBP.Height / GBP.Aspect</f>
        <v>14.4</v>
      </c>
      <c r="L49">
        <v>14.4</v>
      </c>
      <c r="M49">
        <v>14.4</v>
      </c>
      <c r="N49">
        <v>14.4</v>
      </c>
      <c r="O49">
        <v>14.4</v>
      </c>
      <c r="P49">
        <v>14.4</v>
      </c>
    </row>
    <row r="50" spans="5:16" x14ac:dyDescent="0.2">
      <c r="E50" s="5"/>
      <c r="G50" s="5"/>
    </row>
    <row r="51" spans="5:16" x14ac:dyDescent="0.2">
      <c r="E51" s="5"/>
      <c r="G51" s="5"/>
    </row>
    <row r="52" spans="5:16" ht="17" thickBot="1" x14ac:dyDescent="0.25">
      <c r="G52" s="5"/>
      <c r="J52" s="7" t="s">
        <v>93</v>
      </c>
      <c r="K52" s="37"/>
      <c r="L52" s="5"/>
      <c r="M52" s="5"/>
      <c r="N52" s="5"/>
      <c r="O52" s="5"/>
      <c r="P52" s="5"/>
    </row>
    <row r="53" spans="5:16" x14ac:dyDescent="0.2">
      <c r="G53" s="5"/>
      <c r="K53" s="1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6" t="str">
        <f xml:space="preserve"> $K53</f>
        <v>&lt;svg width='14.4' height='7.2' viewBox='-30 -15 60 30'  id='%thisID%' xmlns='http://www.w3.org/2000/svg'&gt;</v>
      </c>
      <c r="M53" s="6" t="str">
        <f t="shared" ref="M53:P53" si="2" xml:space="preserve"> $K53</f>
        <v>&lt;svg width='14.4' height='7.2' viewBox='-30 -15 60 30'  id='%thisID%' xmlns='http://www.w3.org/2000/svg'&gt;</v>
      </c>
      <c r="N53" s="6" t="str">
        <f t="shared" si="2"/>
        <v>&lt;svg width='14.4' height='7.2' viewBox='-30 -15 60 30'  id='%thisID%' xmlns='http://www.w3.org/2000/svg'&gt;</v>
      </c>
      <c r="O53" s="6" t="str">
        <f t="shared" si="2"/>
        <v>&lt;svg width='14.4' height='7.2' viewBox='-30 -15 60 30'  id='%thisID%' xmlns='http://www.w3.org/2000/svg'&gt;</v>
      </c>
      <c r="P53" s="6" t="str">
        <f t="shared" si="2"/>
        <v>&lt;svg width='14.4' height='7.2' viewBox='-30 -15 60 30'  id='%thisID%' xmlns='http://www.w3.org/2000/svg'&gt;</v>
      </c>
    </row>
    <row r="54" spans="5:16" x14ac:dyDescent="0.2">
      <c r="G54" s="5"/>
      <c r="K54" s="6"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6"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6"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6"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6"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6"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5:16" x14ac:dyDescent="0.2">
      <c r="E55" s="5"/>
      <c r="F55" s="5"/>
      <c r="G55" s="5"/>
      <c r="K55" s="6"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6"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6"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6"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6"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6"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5:16" x14ac:dyDescent="0.2">
      <c r="E56" s="5"/>
      <c r="F56" s="5"/>
      <c r="G56" s="5"/>
      <c r="K56" s="6" t="s">
        <v>15</v>
      </c>
      <c r="L56" s="6" t="str">
        <f xml:space="preserve"> $K56</f>
        <v>&lt;/svg&gt;</v>
      </c>
      <c r="M56" s="6" t="str">
        <f t="shared" ref="M56:P56" si="3" xml:space="preserve"> $K56</f>
        <v>&lt;/svg&gt;</v>
      </c>
      <c r="N56" s="6" t="str">
        <f t="shared" si="3"/>
        <v>&lt;/svg&gt;</v>
      </c>
      <c r="O56" s="6" t="str">
        <f t="shared" si="3"/>
        <v>&lt;/svg&gt;</v>
      </c>
      <c r="P56" s="6" t="str">
        <f t="shared" si="3"/>
        <v>&lt;/svg&gt;</v>
      </c>
    </row>
    <row r="57" spans="5:16" x14ac:dyDescent="0.2">
      <c r="E57" s="5"/>
      <c r="G57" s="5"/>
    </row>
    <row r="58" spans="5:16" x14ac:dyDescent="0.2">
      <c r="E58" s="5"/>
    </row>
    <row r="59" spans="5:16" x14ac:dyDescent="0.2">
      <c r="E59" s="5"/>
    </row>
    <row r="60" spans="5:16" x14ac:dyDescent="0.2">
      <c r="E60" s="5"/>
    </row>
    <row r="61" spans="5:16" x14ac:dyDescent="0.2">
      <c r="E61" s="5"/>
    </row>
    <row r="62" spans="5:16" x14ac:dyDescent="0.2">
      <c r="E62" s="5"/>
    </row>
    <row r="63" spans="5:16" x14ac:dyDescent="0.2">
      <c r="E63" s="5"/>
    </row>
    <row r="64" spans="5:16" x14ac:dyDescent="0.2">
      <c r="E64" s="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5"/>
  <sheetViews>
    <sheetView topLeftCell="B1" workbookViewId="0">
      <selection activeCell="B2" sqref="B2"/>
    </sheetView>
  </sheetViews>
  <sheetFormatPr baseColWidth="10" defaultRowHeight="16" x14ac:dyDescent="0.2"/>
  <sheetData>
    <row r="2" spans="2:16" ht="17" thickBot="1" x14ac:dyDescent="0.25">
      <c r="C2" s="3" t="s">
        <v>1783</v>
      </c>
      <c r="D2" s="3" t="s">
        <v>1782</v>
      </c>
      <c r="F2" s="3" t="s">
        <v>120</v>
      </c>
    </row>
    <row r="3" spans="2:16" x14ac:dyDescent="0.2">
      <c r="C3" t="b">
        <v>0</v>
      </c>
      <c r="D3" t="b">
        <v>1</v>
      </c>
      <c r="F3">
        <f xml:space="preserve"> DecimalPlaces - INT(LOG(MIN(  MAX(CAD.RawX) - MIN(CAD.RawX),  MAX(CAD.RawY) - MIN(CAD.RawY)  )/2, 10) + 0.2)</f>
        <v>5</v>
      </c>
    </row>
    <row r="4" spans="2:16" x14ac:dyDescent="0.2">
      <c r="E4" s="5"/>
    </row>
    <row r="5" spans="2:16" ht="17" thickBot="1" x14ac:dyDescent="0.25">
      <c r="B5" s="3" t="s">
        <v>68</v>
      </c>
      <c r="C5" s="3" t="s">
        <v>8</v>
      </c>
      <c r="D5" s="3" t="s">
        <v>9</v>
      </c>
      <c r="F5" s="3" t="s">
        <v>1754</v>
      </c>
      <c r="K5" s="3" t="s">
        <v>70</v>
      </c>
      <c r="L5" s="3" t="s">
        <v>72</v>
      </c>
      <c r="M5" s="3" t="s">
        <v>71</v>
      </c>
      <c r="N5" s="3" t="s">
        <v>73</v>
      </c>
      <c r="O5" s="3" t="s">
        <v>74</v>
      </c>
      <c r="P5" s="3" t="s">
        <v>75</v>
      </c>
    </row>
    <row r="6" spans="2:16" x14ac:dyDescent="0.2">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x14ac:dyDescent="0.2">
      <c r="B7" t="s">
        <v>23</v>
      </c>
      <c r="C7" cm="1">
        <f t="array" ref="C7" xml:space="preserve"> Sqrt3 / 2 - 1 / 6</f>
        <v>0.69935873711777197</v>
      </c>
      <c r="D7" cm="1">
        <f t="array" ref="D7" xml:space="preserve"> 0.5 - Sqrt3 / 18</f>
        <v>0.4037749551350624</v>
      </c>
      <c r="F7" t="str">
        <v>L.69936 -.40377</v>
      </c>
    </row>
    <row r="8" spans="2:16" x14ac:dyDescent="0.2">
      <c r="B8" t="s">
        <v>23</v>
      </c>
      <c r="C8" cm="1">
        <f t="array" ref="C8" xml:space="preserve"> Sqrt3 / 2 - 1 / 6</f>
        <v>0.69935873711777197</v>
      </c>
      <c r="D8" cm="1">
        <f t="array" ref="D8" xml:space="preserve"> 0.5 + Sqrt3 / 6</f>
        <v>0.78867513459481287</v>
      </c>
      <c r="F8" t="str">
        <v>V-.78868</v>
      </c>
    </row>
    <row r="9" spans="2:16" x14ac:dyDescent="0.2">
      <c r="B9" t="s">
        <v>23</v>
      </c>
      <c r="C9">
        <v>0</v>
      </c>
      <c r="D9" cm="1">
        <f t="array" ref="D9" xml:space="preserve"> Sqrt3 * 2 / 9</f>
        <v>0.38490017945975047</v>
      </c>
      <c r="F9" t="str">
        <v>L0 -.3849</v>
      </c>
    </row>
    <row r="10" spans="2:16" x14ac:dyDescent="0.2">
      <c r="B10" t="s">
        <v>23</v>
      </c>
      <c r="C10" cm="1">
        <f t="array" ref="C10" xml:space="preserve"> 1/6 - Sqrt3/2</f>
        <v>-0.69935873711777197</v>
      </c>
      <c r="D10" cm="1">
        <f t="array" ref="D10" xml:space="preserve"> 0.5 + Sqrt3 / 6</f>
        <v>0.78867513459481287</v>
      </c>
      <c r="F10" t="str">
        <v>L-.69936 -.78868</v>
      </c>
    </row>
    <row r="11" spans="2:16" x14ac:dyDescent="0.2">
      <c r="B11" t="s">
        <v>23</v>
      </c>
      <c r="C11" cm="1">
        <f t="array" ref="C11" xml:space="preserve"> 1/6 - Sqrt3/2</f>
        <v>-0.69935873711777197</v>
      </c>
      <c r="D11" cm="1">
        <f t="array" ref="D11" xml:space="preserve"> 0.5 - Sqrt3 / 18</f>
        <v>0.4037749551350624</v>
      </c>
      <c r="F11" t="str">
        <v>v.38491</v>
      </c>
    </row>
    <row r="12" spans="2:16" x14ac:dyDescent="0.2">
      <c r="B12" t="s">
        <v>23</v>
      </c>
      <c r="C12" cm="1">
        <f t="array" ref="C12" xml:space="preserve"> - Sqrt3 / 2 - 1 / 6</f>
        <v>-1.0326920704511053</v>
      </c>
      <c r="D12" cm="1">
        <f t="array" ref="D12" xml:space="preserve"> 0.5 - Sqrt3 / 6</f>
        <v>0.21132486540518713</v>
      </c>
      <c r="F12" t="str">
        <v>l-.33333 .19245</v>
      </c>
    </row>
    <row r="13" spans="2:16" x14ac:dyDescent="0.2">
      <c r="B13" t="s">
        <v>23</v>
      </c>
      <c r="C13">
        <f xml:space="preserve"> -1 / 3</f>
        <v>-0.33333333333333331</v>
      </c>
      <c r="D13" cm="1">
        <f t="array" ref="D13" xml:space="preserve"> - Sqrt3 / 9</f>
        <v>-0.19245008972987523</v>
      </c>
      <c r="F13" t="str">
        <v>l.69936 .40377</v>
      </c>
    </row>
    <row r="14" spans="2:16" x14ac:dyDescent="0.2">
      <c r="B14" t="s">
        <v>23</v>
      </c>
      <c r="C14">
        <f xml:space="preserve"> -1 / 3</f>
        <v>-0.33333333333333331</v>
      </c>
      <c r="D14">
        <v>-1</v>
      </c>
      <c r="F14" t="str">
        <v>V1</v>
      </c>
    </row>
    <row r="15" spans="2:16" x14ac:dyDescent="0.2">
      <c r="B15" t="s">
        <v>23</v>
      </c>
      <c r="C15">
        <v>0</v>
      </c>
      <c r="D15" cm="1">
        <f t="array" ref="D15" xml:space="preserve"> Sqrt3 / 9 - 1</f>
        <v>-0.80754991027012479</v>
      </c>
      <c r="F15" t="str">
        <v>L0 .80755</v>
      </c>
    </row>
    <row r="16" spans="2:16" x14ac:dyDescent="0.2">
      <c r="B16" t="s">
        <v>23</v>
      </c>
      <c r="C16">
        <f xml:space="preserve"> 1 / 3</f>
        <v>0.33333333333333331</v>
      </c>
      <c r="D16">
        <v>-1</v>
      </c>
      <c r="F16" t="str">
        <v>L.33333 1</v>
      </c>
    </row>
    <row r="17" spans="2:16" x14ac:dyDescent="0.2">
      <c r="B17" t="s">
        <v>23</v>
      </c>
      <c r="C17">
        <f xml:space="preserve"> 1 / 3</f>
        <v>0.33333333333333331</v>
      </c>
      <c r="D17" cm="1">
        <f t="array" ref="D17" xml:space="preserve"> - Sqrt3 / 9</f>
        <v>-0.19245008972987523</v>
      </c>
      <c r="F17" t="str">
        <v>V.19245Z</v>
      </c>
    </row>
    <row r="19" spans="2:16" x14ac:dyDescent="0.2">
      <c r="H19" s="4" t="s">
        <v>69</v>
      </c>
      <c r="I19">
        <v>0.14973600000000001</v>
      </c>
    </row>
    <row r="20" spans="2:16" x14ac:dyDescent="0.2">
      <c r="H20" s="4" t="s">
        <v>76</v>
      </c>
      <c r="I20">
        <f xml:space="preserve"> COUNTIFS(CAD.Part, "Outer")</f>
        <v>12</v>
      </c>
    </row>
    <row r="22" spans="2:16" x14ac:dyDescent="0.2">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x14ac:dyDescent="0.2">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x14ac:dyDescent="0.2">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x14ac:dyDescent="0.2">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x14ac:dyDescent="0.2">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x14ac:dyDescent="0.2">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x14ac:dyDescent="0.2">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x14ac:dyDescent="0.2">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x14ac:dyDescent="0.2">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x14ac:dyDescent="0.2">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x14ac:dyDescent="0.2">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x14ac:dyDescent="0.2">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x14ac:dyDescent="0.2">
      <c r="E36" s="4" t="s">
        <v>64</v>
      </c>
      <c r="F36">
        <f xml:space="preserve"> ROUND( MIN(CAD.RawX), CAD.DecimalPlaces)</f>
        <v>-1.0326900000000001</v>
      </c>
    </row>
    <row r="37" spans="2:16" x14ac:dyDescent="0.2">
      <c r="E37" s="4" t="s">
        <v>65</v>
      </c>
      <c r="F37">
        <f xml:space="preserve"> ROUND(MAX(CAD.RawX), CAD.DecimalPlaces)</f>
        <v>1.0326900000000001</v>
      </c>
    </row>
    <row r="38" spans="2:16" x14ac:dyDescent="0.2">
      <c r="E38" s="4" t="s">
        <v>66</v>
      </c>
      <c r="F38">
        <f xml:space="preserve"> ROUND( MIN(CAD.RawY), CAD.DecimalPlaces)</f>
        <v>-1</v>
      </c>
    </row>
    <row r="39" spans="2:16" x14ac:dyDescent="0.2">
      <c r="E39" s="4" t="s">
        <v>67</v>
      </c>
      <c r="F39">
        <f xml:space="preserve"> ROUND(MAX(CAD.RawY), CAD.DecimalPlaces)</f>
        <v>0.78868000000000005</v>
      </c>
    </row>
    <row r="41" spans="2:16" x14ac:dyDescent="0.2">
      <c r="E41" s="4" t="s">
        <v>117</v>
      </c>
      <c r="F41" s="28">
        <v>1.75</v>
      </c>
    </row>
    <row r="42" spans="2:16" x14ac:dyDescent="0.2">
      <c r="E42" s="4" t="s">
        <v>85</v>
      </c>
      <c r="F42">
        <f xml:space="preserve">  MAX(CAD.MaxY, - CAD.MinY)   /   MAX(CAD.MaxX, - CAD.MinX)</f>
        <v>0.96834480821931068</v>
      </c>
    </row>
    <row r="43" spans="2:16" x14ac:dyDescent="0.2">
      <c r="E43" s="4" t="s">
        <v>86</v>
      </c>
      <c r="F43">
        <f xml:space="preserve"> VALUE(TEXT(SQRT(CAD.AreaMultiplier* BasicBBoxArea * CAD.Aspect), SVG.NumberFormatHeight))</f>
        <v>13</v>
      </c>
    </row>
    <row r="44" spans="2:16" x14ac:dyDescent="0.2">
      <c r="E44" s="4" t="s">
        <v>87</v>
      </c>
      <c r="F44" cm="1">
        <f t="array" ref="F44" xml:space="preserve"> CAD.Height / CAD.Aspect</f>
        <v>13.42497</v>
      </c>
    </row>
    <row r="46" spans="2:16" x14ac:dyDescent="0.2">
      <c r="E46" s="4" t="s">
        <v>77</v>
      </c>
      <c r="F46" t="s">
        <v>738</v>
      </c>
    </row>
    <row r="47" spans="2:16" x14ac:dyDescent="0.2">
      <c r="E47" s="4" t="s">
        <v>78</v>
      </c>
      <c r="F47" t="s">
        <v>2091</v>
      </c>
    </row>
    <row r="49" spans="4:7" x14ac:dyDescent="0.2">
      <c r="E49" s="5"/>
      <c r="F49" s="5"/>
    </row>
    <row r="50" spans="4:7" ht="17" thickBot="1" x14ac:dyDescent="0.25">
      <c r="E50" s="5"/>
      <c r="F50" s="3" t="s">
        <v>92</v>
      </c>
      <c r="G50" s="3" t="s">
        <v>2283</v>
      </c>
    </row>
    <row r="51" spans="4:7" x14ac:dyDescent="0.2">
      <c r="D51" cm="1">
        <f t="array" ref="D51" xml:space="preserve"> SVG_length(CAD.svg)</f>
        <v>417</v>
      </c>
      <c r="E51" s="5"/>
      <c r="F51" s="18"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1" s="18" t="str" cm="1">
        <f t="array" ref="G51:G54" xml:space="preserve"> SUBSTITUTE(CAD.svg, "fill='#FFF'", "fill='#666'")</f>
        <v>&lt;svg width='13.42497' height='13' viewBox='-1.03269 -1 2.06538 2'  id='%thisID%' xmlns='http://www.w3.org/2000/svg'&gt;</v>
      </c>
    </row>
    <row r="52" spans="4:7" x14ac:dyDescent="0.2">
      <c r="E52" s="5"/>
      <c r="F52" s="6"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6" t="str">
        <v>&lt;path fill='red' d='M1.03269 -.21132 L.69936 -.40377 V-.78868 L0 -.3849 L-.69936 -.78868 v.38491 l-.33333 .19245 l.69936 .40377 V1 L0 .80755 L.33333 1 V.19245Z'/&gt;</v>
      </c>
    </row>
    <row r="53" spans="4:7" x14ac:dyDescent="0.2">
      <c r="E53" s="5"/>
      <c r="F53" s="6"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6" t="str">
        <v>&lt;path fill='#666' d='M.73322 -.21132 l-.1836 -.106 v-.212 L0 -.212 L-.54962 -.52932 v.212 l-.1836 .106 L-.1836 .106 V.74065 L0 .63465 l.1836 .106 V.106Z'/&gt;</v>
      </c>
    </row>
    <row r="54" spans="4:7" x14ac:dyDescent="0.2">
      <c r="E54" s="5"/>
      <c r="F54" s="6" t="s">
        <v>15</v>
      </c>
      <c r="G54" s="6" t="str">
        <v>&lt;/svg&gt;</v>
      </c>
    </row>
    <row r="55" spans="4:7" x14ac:dyDescent="0.2">
      <c r="E55" s="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F33"/>
  <sheetViews>
    <sheetView topLeftCell="B1" workbookViewId="0">
      <selection activeCell="B2" sqref="B2"/>
    </sheetView>
  </sheetViews>
  <sheetFormatPr baseColWidth="10" defaultRowHeight="16" x14ac:dyDescent="0.2"/>
  <sheetData>
    <row r="2" spans="2:5" ht="17" thickBot="1" x14ac:dyDescent="0.25">
      <c r="B2" s="3" t="s">
        <v>1784</v>
      </c>
      <c r="C2" s="3" t="s">
        <v>1785</v>
      </c>
      <c r="D2" s="3" t="s">
        <v>1689</v>
      </c>
      <c r="E2" s="3" t="s">
        <v>189</v>
      </c>
    </row>
    <row r="3" spans="2:5" x14ac:dyDescent="0.2">
      <c r="B3" t="b">
        <v>0</v>
      </c>
      <c r="C3" t="b">
        <v>1</v>
      </c>
      <c r="D3">
        <v>1</v>
      </c>
      <c r="E3">
        <f xml:space="preserve"> DecimalPlaces - INT(LOG(HKD.Size, 10) + 0.2)</f>
        <v>5</v>
      </c>
    </row>
    <row r="4" spans="2:5" x14ac:dyDescent="0.2">
      <c r="D4" s="5"/>
    </row>
    <row r="5" spans="2:5" ht="17" thickBot="1" x14ac:dyDescent="0.25">
      <c r="B5" s="3" t="s">
        <v>190</v>
      </c>
      <c r="C5" s="3" t="s">
        <v>191</v>
      </c>
      <c r="E5" s="3" t="s">
        <v>1753</v>
      </c>
    </row>
    <row r="6" spans="2:5" x14ac:dyDescent="0.2">
      <c r="B6" s="1">
        <f xml:space="preserve"> 0</f>
        <v>0</v>
      </c>
      <c r="C6" s="1">
        <f xml:space="preserve"> 1</f>
        <v>1</v>
      </c>
      <c r="E6" t="str">
        <f t="array" ref="E6:E10" xml:space="preserve"> svgpath(HKD.RawX, HKD.RawY, HKD.DecimalPlaces, IF(HKD.ReflectX,-1,1), IF(HKD.ReflectY,-1,1))</f>
        <v>M0 -1</v>
      </c>
    </row>
    <row r="7" spans="2:5" x14ac:dyDescent="0.2">
      <c r="B7" s="1" cm="1">
        <f t="array" ref="B7" xml:space="preserve"> SQRT( (5+Sqrt5) / 8 )</f>
        <v>0.95105651629515353</v>
      </c>
      <c r="C7" s="1" cm="1">
        <f t="array" ref="C7" xml:space="preserve"> (Sqrt5 - 1) / 4</f>
        <v>0.30901699437494745</v>
      </c>
      <c r="E7" t="str">
        <v>l.95106 .69098</v>
      </c>
    </row>
    <row r="8" spans="2:5" x14ac:dyDescent="0.2">
      <c r="B8" s="1" cm="1">
        <f t="array" ref="B8" xml:space="preserve"> SQRT( (5-Sqrt5) / 8 )</f>
        <v>0.58778525229247314</v>
      </c>
      <c r="C8" s="1" cm="1">
        <f t="array" ref="C8" xml:space="preserve"> -(1 + Sqrt5) / 4</f>
        <v>-0.80901699437494745</v>
      </c>
      <c r="E8" t="str">
        <v>L.58779 .80902</v>
      </c>
    </row>
    <row r="9" spans="2:5" x14ac:dyDescent="0.2">
      <c r="B9" s="1" cm="1">
        <f t="array" ref="B9" xml:space="preserve"> -SQRT( (5-Sqrt5) / 8 )</f>
        <v>-0.58778525229247314</v>
      </c>
      <c r="C9" s="1" cm="1">
        <f t="array" ref="C9" xml:space="preserve"> -(1 + Sqrt5) / 4</f>
        <v>-0.80901699437494745</v>
      </c>
      <c r="E9" t="str">
        <v>H-.58779</v>
      </c>
    </row>
    <row r="10" spans="2:5" x14ac:dyDescent="0.2">
      <c r="B10" s="1" cm="1">
        <f t="array" ref="B10" xml:space="preserve"> -SQRT( (5+Sqrt5) / 8 )</f>
        <v>-0.95105651629515353</v>
      </c>
      <c r="C10" s="1" cm="1">
        <f t="array" ref="C10" xml:space="preserve"> (Sqrt5 - 1) / 4</f>
        <v>0.30901699437494745</v>
      </c>
      <c r="E10" t="str">
        <v>L-.95106 -.30902</v>
      </c>
    </row>
    <row r="11" spans="2:5" x14ac:dyDescent="0.2">
      <c r="B11" s="1"/>
      <c r="C11" s="1"/>
    </row>
    <row r="14" spans="2:5" x14ac:dyDescent="0.2">
      <c r="D14" s="4" t="s">
        <v>196</v>
      </c>
      <c r="E14">
        <f xml:space="preserve"> ROUND( MIN(HKD.RawX), HKD.DecimalPlaces)</f>
        <v>-0.95106000000000002</v>
      </c>
    </row>
    <row r="15" spans="2:5" x14ac:dyDescent="0.2">
      <c r="D15" s="4" t="s">
        <v>197</v>
      </c>
      <c r="E15">
        <f xml:space="preserve"> ROUND(MAX(HKD.RawX), HKD.DecimalPlaces)</f>
        <v>0.95106000000000002</v>
      </c>
    </row>
    <row r="16" spans="2:5" x14ac:dyDescent="0.2">
      <c r="D16" s="4" t="s">
        <v>198</v>
      </c>
      <c r="E16">
        <f xml:space="preserve"> ROUND( MIN(HKD.RawY), HKD.DecimalPlaces)</f>
        <v>-0.80901999999999996</v>
      </c>
    </row>
    <row r="17" spans="4:6" x14ac:dyDescent="0.2">
      <c r="D17" s="4" t="s">
        <v>199</v>
      </c>
      <c r="E17">
        <f xml:space="preserve"> ROUND(MAX(HKD.RawY), HKD.DecimalPlaces)</f>
        <v>1</v>
      </c>
    </row>
    <row r="19" spans="4:6" x14ac:dyDescent="0.2">
      <c r="D19" s="4" t="s">
        <v>192</v>
      </c>
      <c r="E19" s="28">
        <v>1.25</v>
      </c>
    </row>
    <row r="20" spans="4:6" x14ac:dyDescent="0.2">
      <c r="D20" s="4" t="s">
        <v>193</v>
      </c>
      <c r="E20">
        <f xml:space="preserve">  MAX(HKD.MaxY, - HKD.MinY)   /   MAX(HKD.MaxX, - HKD.MinX)</f>
        <v>1.0514583727630222</v>
      </c>
    </row>
    <row r="21" spans="4:6" x14ac:dyDescent="0.2">
      <c r="D21" s="4" t="s">
        <v>194</v>
      </c>
      <c r="E21">
        <f xml:space="preserve"> VALUE(TEXT(SQRT(HKD.AreaMultiplier * BasicBBoxArea * HKD.Aspect), SVG.NumberFormatHeight))</f>
        <v>11.5</v>
      </c>
    </row>
    <row r="22" spans="4:6" x14ac:dyDescent="0.2">
      <c r="D22" s="4" t="s">
        <v>195</v>
      </c>
      <c r="E22" cm="1">
        <f t="array" ref="E22" xml:space="preserve"> HKD.Height / HKD.Aspect</f>
        <v>10.937190000000001</v>
      </c>
      <c r="F22" s="5"/>
    </row>
    <row r="23" spans="4:6" x14ac:dyDescent="0.2">
      <c r="D23" s="4"/>
      <c r="E23" s="6"/>
      <c r="F23" s="5"/>
    </row>
    <row r="24" spans="4:6" x14ac:dyDescent="0.2">
      <c r="D24" s="4" t="s">
        <v>201</v>
      </c>
      <c r="E24" s="6" t="s">
        <v>738</v>
      </c>
      <c r="F24" s="5"/>
    </row>
    <row r="25" spans="4:6" x14ac:dyDescent="0.2">
      <c r="D25" s="4" t="s">
        <v>202</v>
      </c>
      <c r="E25" s="6" t="s">
        <v>2091</v>
      </c>
      <c r="F25" s="5"/>
    </row>
    <row r="26" spans="4:6" x14ac:dyDescent="0.2">
      <c r="D26" s="5"/>
      <c r="F26" s="5"/>
    </row>
    <row r="27" spans="4:6" x14ac:dyDescent="0.2">
      <c r="D27" s="5"/>
      <c r="E27" cm="1">
        <f t="array" ref="E27" xml:space="preserve"> SVG_length(HKD.svg)</f>
        <v>411</v>
      </c>
      <c r="F27" s="5"/>
    </row>
    <row r="28" spans="4:6" x14ac:dyDescent="0.2">
      <c r="D28" s="5"/>
      <c r="F28" s="5"/>
    </row>
    <row r="29" spans="4:6" ht="17" thickBot="1" x14ac:dyDescent="0.25">
      <c r="D29" s="5"/>
      <c r="E29" s="3" t="s">
        <v>200</v>
      </c>
      <c r="F29" s="5"/>
    </row>
    <row r="30" spans="4:6" x14ac:dyDescent="0.2">
      <c r="D30" s="5"/>
      <c r="E30" s="18"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1" spans="4:6" x14ac:dyDescent="0.2">
      <c r="D31" s="5"/>
      <c r="E31" s="6" t="str">
        <f xml:space="preserve"> "&lt;defs&gt;&lt;path id='HKD-p' d='" &amp; _xlfn.TEXTJOIN(" ", TRUE, HKD.svgWorking) &amp; "'/&gt;&lt;/defs&gt;"</f>
        <v>&lt;defs&gt;&lt;path id='HKD-p' d='M0 -1 l.95106 .69098 L.58779 .80902 H-.58779 L-.95106 -.30902'/&gt;&lt;/defs&gt;</v>
      </c>
    </row>
    <row r="32" spans="4:6" x14ac:dyDescent="0.2">
      <c r="E32" s="6"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x14ac:dyDescent="0.2">
      <c r="E33" s="6"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topLeftCell="B1" workbookViewId="0">
      <selection activeCell="B2" sqref="B2"/>
    </sheetView>
  </sheetViews>
  <sheetFormatPr baseColWidth="10" defaultRowHeight="16" x14ac:dyDescent="0.2"/>
  <sheetData>
    <row r="2" spans="5:6" x14ac:dyDescent="0.2">
      <c r="E2" s="4" t="s">
        <v>204</v>
      </c>
      <c r="F2">
        <f xml:space="preserve"> DecimalPlaces + 1</f>
        <v>6</v>
      </c>
    </row>
    <row r="4" spans="5:6" x14ac:dyDescent="0.2">
      <c r="E4" s="4" t="s">
        <v>209</v>
      </c>
      <c r="F4">
        <f xml:space="preserve"> - KRW.Radius</f>
        <v>-1</v>
      </c>
    </row>
    <row r="5" spans="5:6" x14ac:dyDescent="0.2">
      <c r="E5" s="4" t="s">
        <v>210</v>
      </c>
      <c r="F5">
        <f xml:space="preserve"> KRW.Radius</f>
        <v>1</v>
      </c>
    </row>
    <row r="6" spans="5:6" x14ac:dyDescent="0.2">
      <c r="E6" s="4" t="s">
        <v>211</v>
      </c>
      <c r="F6">
        <f xml:space="preserve"> - KRW.Radius</f>
        <v>-1</v>
      </c>
    </row>
    <row r="7" spans="5:6" x14ac:dyDescent="0.2">
      <c r="E7" s="4" t="s">
        <v>212</v>
      </c>
      <c r="F7">
        <f xml:space="preserve"> KRW.Radius</f>
        <v>1</v>
      </c>
    </row>
    <row r="9" spans="5:6" x14ac:dyDescent="0.2">
      <c r="E9" s="4" t="s">
        <v>205</v>
      </c>
      <c r="F9" s="28">
        <f xml:space="preserve"> MODE(Circles.AreaMultiplier) * KRW.Radius^2</f>
        <v>1</v>
      </c>
    </row>
    <row r="10" spans="5:6" x14ac:dyDescent="0.2">
      <c r="E10" s="4" t="s">
        <v>206</v>
      </c>
      <c r="F10" cm="1">
        <f t="array" ref="F10" xml:space="preserve">  MAX(KRW.MaxY, - KRW.MinY)   /   MAX(KRW.MaxX, - KRW.MinX)</f>
        <v>1</v>
      </c>
    </row>
    <row r="11" spans="5:6" x14ac:dyDescent="0.2">
      <c r="E11" s="4" t="s">
        <v>207</v>
      </c>
      <c r="F11">
        <f xml:space="preserve"> VALUE(TEXT(SQRT(KRW.AreaMultiplier * BasicBBoxArea * KRW.Aspect), SVG.NumberFormatHeight))</f>
        <v>10</v>
      </c>
    </row>
    <row r="12" spans="5:6" x14ac:dyDescent="0.2">
      <c r="E12" s="4" t="s">
        <v>208</v>
      </c>
      <c r="F12" cm="1">
        <f t="array" ref="F12" xml:space="preserve"> KRW.Height / KRW.Aspect</f>
        <v>10</v>
      </c>
    </row>
    <row r="14" spans="5:6" x14ac:dyDescent="0.2">
      <c r="E14" s="4" t="s">
        <v>216</v>
      </c>
      <c r="F14">
        <v>1</v>
      </c>
    </row>
    <row r="15" spans="5:6" x14ac:dyDescent="0.2">
      <c r="E15" s="4" t="s">
        <v>217</v>
      </c>
      <c r="F15" s="6" t="s">
        <v>759</v>
      </c>
    </row>
    <row r="16" spans="5:6" x14ac:dyDescent="0.2">
      <c r="E16" s="4" t="s">
        <v>218</v>
      </c>
      <c r="F16" s="6" t="s">
        <v>760</v>
      </c>
    </row>
    <row r="17" spans="2:6" x14ac:dyDescent="0.2">
      <c r="E17" s="5"/>
      <c r="F17" s="5"/>
    </row>
    <row r="18" spans="2:6" x14ac:dyDescent="0.2">
      <c r="E18" s="5"/>
      <c r="F18" s="5"/>
    </row>
    <row r="19" spans="2:6" ht="17" thickBot="1" x14ac:dyDescent="0.25">
      <c r="B19" s="3" t="s">
        <v>214</v>
      </c>
      <c r="C19" s="3" t="s">
        <v>215</v>
      </c>
      <c r="D19" s="3" t="s">
        <v>219</v>
      </c>
      <c r="E19" s="5"/>
      <c r="F19" s="3" t="s">
        <v>213</v>
      </c>
    </row>
    <row r="20" spans="2:6" x14ac:dyDescent="0.2">
      <c r="D20">
        <f t="shared" ref="D20:D24" si="0" xml:space="preserve"> SQRT(_xlfn.SINGLE(KRW.X)^2 + _xlfn.SINGLE(KRW.Y)^2)</f>
        <v>0</v>
      </c>
      <c r="E20" s="5"/>
      <c r="F20" s="18"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x14ac:dyDescent="0.2">
      <c r="B21">
        <f xml:space="preserve"> ROUND(- _xlfn.SINGLE(KRW.Radius) * 3 / SQRT(13), KRW.DecimalPlaces )</f>
        <v>-0.83204999999999996</v>
      </c>
      <c r="C21">
        <f xml:space="preserve"> ROUND(- _xlfn.SINGLE(KRW.Radius) * 2 / SQRT(13), KRW.DecimalPlaces )</f>
        <v>-0.55469999999999997</v>
      </c>
      <c r="D21">
        <f t="shared" si="0"/>
        <v>0.99999964624993731</v>
      </c>
      <c r="E21" s="5"/>
      <c r="F21" s="36" t="str">
        <f xml:space="preserve"> "&lt;path " &amp; KRW.SVG_painting_R &amp; " d='M " &amp; _xlfn.SINGLE(KRW.X) &amp; " " &amp; _xlfn.SINGLE(KRW.Y) &amp; " A 1 1 0 0 1 " &amp; (- _xlfn.SINGLE(KRW.X)) &amp; " " &amp; (- _xlfn.SINGLE(KRW.Y)) &amp; " Z'/&gt;"</f>
        <v>&lt;path fill='#CD2E3A' d='M -0.83205 -0.5547 A 1 1 0 0 1 0.83205 0.5547 Z'/&gt;</v>
      </c>
    </row>
    <row r="22" spans="2:6" x14ac:dyDescent="0.2">
      <c r="B22">
        <f xml:space="preserve"> ROUND(  _xlfn.SINGLE(KRW.Radius) * 3 / SQRT(13), KRW.DecimalPlaces )</f>
        <v>0.83204999999999996</v>
      </c>
      <c r="C22">
        <f xml:space="preserve"> ROUND(  _xlfn.SINGLE(KRW.Radius) * 2 / SQRT(13), KRW.DecimalPlaces )</f>
        <v>0.55469999999999997</v>
      </c>
      <c r="D22">
        <f t="shared" si="0"/>
        <v>0.99999964624993731</v>
      </c>
      <c r="E22" s="5"/>
      <c r="F22" s="36" t="str">
        <f xml:space="preserve"> "&lt;path " &amp; KRW.SVG_painting_B &amp; " d='M " &amp; _xlfn.SINGLE(KRW.X) &amp; " " &amp; _xlfn.SINGLE(KRW.Y) &amp; " A 1 1 0 0 1 " &amp; (- _xlfn.SINGLE(KRW.X)) &amp; " " &amp; (- _xlfn.SINGLE(KRW.Y)) &amp; " Z'/&gt;"</f>
        <v>&lt;path fill='#0047A0' d='M 0.83205 0.5547 A 1 1 0 0 1 -0.83205 -0.5547 Z'/&gt;</v>
      </c>
    </row>
    <row r="23" spans="2:6" x14ac:dyDescent="0.2">
      <c r="B23">
        <f xml:space="preserve"> ROUND(-_xlfn.SINGLE(KRW.Radius)/2 * 3 / SQRT(13), KRW.DecimalPlaces )</f>
        <v>-0.41602499999999998</v>
      </c>
      <c r="C23">
        <f xml:space="preserve"> ROUND(- _xlfn.SINGLE(KRW.Radius)/2 * 2 / SQRT(13), KRW.DecimalPlaces )</f>
        <v>-0.27734999999999999</v>
      </c>
      <c r="D23">
        <f t="shared" si="0"/>
        <v>0.49999982312496866</v>
      </c>
      <c r="E23" s="5"/>
      <c r="F23" s="36" t="str">
        <f xml:space="preserve"> "&lt;circle " &amp; KRW.SVG_painting_R &amp; " cx='" &amp; _xlfn.SINGLE(KRW.X) &amp; "' cy='" &amp; _xlfn.SINGLE(KRW.Y)&amp; "' r='" &amp; (_xlfn.SINGLE(KRW.Radius) / 2) &amp; "'/&gt;"</f>
        <v>&lt;circle fill='#CD2E3A' cx='-0.416025' cy='-0.27735' r='0.5'/&gt;</v>
      </c>
    </row>
    <row r="24" spans="2:6" x14ac:dyDescent="0.2">
      <c r="B24">
        <f xml:space="preserve"> ROUND( _xlfn.SINGLE(KRW.Radius)/2 * 3 / SQRT(13), KRW.DecimalPlaces )</f>
        <v>0.41602499999999998</v>
      </c>
      <c r="C24">
        <f xml:space="preserve"> ROUND(  _xlfn.SINGLE(KRW.Radius)/2 * 2 / SQRT(13), KRW.DecimalPlaces )</f>
        <v>0.27734999999999999</v>
      </c>
      <c r="D24">
        <f t="shared" si="0"/>
        <v>0.49999982312496866</v>
      </c>
      <c r="E24" s="5"/>
      <c r="F24" s="36" t="str">
        <f xml:space="preserve"> "&lt;circle " &amp; KRW.SVG_painting_B &amp; " cx='" &amp; _xlfn.SINGLE(KRW.X) &amp; "' cy='" &amp; _xlfn.SINGLE(KRW.Y)&amp; "' r='" &amp; (_xlfn.SINGLE(KRW.Radius) / 2) &amp; "'/&gt;"</f>
        <v>&lt;circle fill='#0047A0' cx='0.416025' cy='0.27735' r='0.5'/&gt;</v>
      </c>
    </row>
    <row r="25" spans="2:6" x14ac:dyDescent="0.2">
      <c r="E25" s="5"/>
      <c r="F25" s="36" t="s">
        <v>15</v>
      </c>
    </row>
    <row r="26" spans="2:6" x14ac:dyDescent="0.2">
      <c r="E26" s="5"/>
      <c r="F26" s="36"/>
    </row>
    <row r="27" spans="2:6" x14ac:dyDescent="0.2">
      <c r="E27" s="5"/>
      <c r="F27" s="3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I54"/>
  <sheetViews>
    <sheetView topLeftCell="B1" workbookViewId="0">
      <selection activeCell="B2" sqref="B2"/>
    </sheetView>
  </sheetViews>
  <sheetFormatPr baseColWidth="10" defaultRowHeight="16" x14ac:dyDescent="0.2"/>
  <sheetData>
    <row r="2" spans="2:8" ht="17" thickBot="1" x14ac:dyDescent="0.25">
      <c r="C2" s="3" t="s">
        <v>942</v>
      </c>
      <c r="H2" t="s">
        <v>220</v>
      </c>
    </row>
    <row r="3" spans="2:8" x14ac:dyDescent="0.2">
      <c r="C3">
        <f xml:space="preserve"> CHOOSE(2,  14,  7)</f>
        <v>7</v>
      </c>
      <c r="G3" s="5"/>
      <c r="H3" s="38">
        <f xml:space="preserve"> DecimalPlaces - INT(LOG(MIN(  _xlfn.MAXIFS(MYR.RawX, MYR.RawX,"&gt;-1E307") - _xlfn.MINIFS(MYR.RawX, MYR.RawX,"&gt;-1E307"),  _xlfn.MAXIFS(MYR.RawY, MYR.RawY,"&gt;-1E307") - _xlfn.MINIFS(MYR.RawY, MYR.RawY,"&gt;-1E307")  )/2, 10) + 0.2)</f>
        <v>5</v>
      </c>
    </row>
    <row r="4" spans="2:8" x14ac:dyDescent="0.2">
      <c r="G4" s="5"/>
    </row>
    <row r="5" spans="2:8" ht="17" thickBot="1" x14ac:dyDescent="0.25">
      <c r="B5" s="3" t="s">
        <v>221</v>
      </c>
      <c r="C5" s="3" t="s">
        <v>222</v>
      </c>
      <c r="E5" s="3" t="s">
        <v>223</v>
      </c>
      <c r="F5" s="3" t="s">
        <v>224</v>
      </c>
      <c r="H5" s="3" t="s">
        <v>225</v>
      </c>
    </row>
    <row r="6" spans="2:8" x14ac:dyDescent="0.2">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x14ac:dyDescent="0.2">
      <c r="B7" cm="1">
        <f t="array" ref="B7" xml:space="preserve"> 1 + ROW() - _xlfn.SINGLE(ROW(MYR.RowNum))</f>
        <v>2</v>
      </c>
      <c r="C7">
        <f t="shared" si="0"/>
        <v>-2.6927937030769655</v>
      </c>
      <c r="E7">
        <f t="shared" si="1"/>
        <v>-0.1735534956470233</v>
      </c>
      <c r="F7">
        <f t="shared" si="2"/>
        <v>-0.36038754716096766</v>
      </c>
      <c r="H7" t="str">
        <v>l-.17355 .63961</v>
      </c>
    </row>
    <row r="8" spans="2:8" x14ac:dyDescent="0.2">
      <c r="B8" cm="1">
        <f t="array" ref="B8" xml:space="preserve"> 1 + ROW() - _xlfn.SINGLE(ROW(MYR.RowNum))</f>
        <v>3</v>
      </c>
      <c r="C8">
        <f t="shared" si="0"/>
        <v>-2.2439947525641379</v>
      </c>
      <c r="E8">
        <f t="shared" si="1"/>
        <v>-0.78183148246802991</v>
      </c>
      <c r="F8">
        <f t="shared" si="2"/>
        <v>-0.62348980185873348</v>
      </c>
      <c r="H8" t="str">
        <v>l-.60828 -.2631</v>
      </c>
    </row>
    <row r="9" spans="2:8" x14ac:dyDescent="0.2">
      <c r="B9" cm="1">
        <f t="array" ref="B9" xml:space="preserve"> 1 + ROW() - _xlfn.SINGLE(ROW(MYR.RowNum))</f>
        <v>4</v>
      </c>
      <c r="C9">
        <f t="shared" si="0"/>
        <v>-1.7951958020513104</v>
      </c>
      <c r="E9">
        <f t="shared" si="1"/>
        <v>-0.38997116487272948</v>
      </c>
      <c r="F9">
        <f t="shared" si="2"/>
        <v>-8.9008373582525738E-2</v>
      </c>
      <c r="H9" t="str">
        <v>l.39186 .53448</v>
      </c>
    </row>
    <row r="10" spans="2:8" x14ac:dyDescent="0.2">
      <c r="B10" cm="1">
        <f t="array" ref="B10" xml:space="preserve"> 1 + ROW() - _xlfn.SINGLE(ROW(MYR.RowNum))</f>
        <v>5</v>
      </c>
      <c r="C10">
        <f t="shared" si="0"/>
        <v>-1.3463968515384828</v>
      </c>
      <c r="E10">
        <f t="shared" si="1"/>
        <v>-0.97492791218182362</v>
      </c>
      <c r="F10">
        <f t="shared" si="2"/>
        <v>0.22252093395631445</v>
      </c>
      <c r="H10" t="str">
        <v>L-.97493 .22252</v>
      </c>
    </row>
    <row r="11" spans="2:8" x14ac:dyDescent="0.2">
      <c r="B11" cm="1">
        <f t="array" ref="B11" xml:space="preserve"> 1 + ROW() - _xlfn.SINGLE(ROW(MYR.RowNum))</f>
        <v>6</v>
      </c>
      <c r="C11">
        <f t="shared" si="0"/>
        <v>-0.89759790102565518</v>
      </c>
      <c r="E11">
        <f t="shared" si="1"/>
        <v>-0.31273259298721195</v>
      </c>
      <c r="F11">
        <f t="shared" si="2"/>
        <v>0.24939592074349345</v>
      </c>
      <c r="H11" t="str">
        <v>l.6622 .02688</v>
      </c>
    </row>
    <row r="12" spans="2:8" x14ac:dyDescent="0.2">
      <c r="B12" cm="1">
        <f t="array" ref="B12" xml:space="preserve"> 1 + ROW() - _xlfn.SINGLE(ROW(MYR.RowNum))</f>
        <v>7</v>
      </c>
      <c r="C12">
        <f t="shared" si="0"/>
        <v>-0.44879895051282759</v>
      </c>
      <c r="E12">
        <f t="shared" si="1"/>
        <v>-0.43388373911755812</v>
      </c>
      <c r="F12">
        <f t="shared" si="2"/>
        <v>0.90096886790241915</v>
      </c>
      <c r="H12" t="str">
        <v>L-.43388 .90097</v>
      </c>
    </row>
    <row r="13" spans="2:8" x14ac:dyDescent="0.2">
      <c r="B13" cm="1">
        <f t="array" ref="B13" xml:space="preserve"> 1 + ROW() - _xlfn.SINGLE(ROW(MYR.RowNum))</f>
        <v>8</v>
      </c>
      <c r="C13">
        <f t="shared" si="0"/>
        <v>0</v>
      </c>
      <c r="E13">
        <f t="shared" si="1"/>
        <v>0</v>
      </c>
      <c r="F13">
        <f t="shared" si="2"/>
        <v>0.4</v>
      </c>
      <c r="H13" t="str">
        <v>L0 .4</v>
      </c>
    </row>
    <row r="14" spans="2:8" x14ac:dyDescent="0.2">
      <c r="B14" cm="1">
        <f t="array" ref="B14" xml:space="preserve"> 1 + ROW() - _xlfn.SINGLE(ROW(MYR.RowNum))</f>
        <v>9</v>
      </c>
      <c r="C14">
        <f t="shared" si="0"/>
        <v>0.44879895051282759</v>
      </c>
      <c r="E14">
        <f t="shared" si="1"/>
        <v>0.43388373911755812</v>
      </c>
      <c r="F14">
        <f t="shared" si="2"/>
        <v>0.90096886790241915</v>
      </c>
      <c r="H14" t="str">
        <v>L.43388 .90097</v>
      </c>
    </row>
    <row r="15" spans="2:8" x14ac:dyDescent="0.2">
      <c r="B15" cm="1">
        <f t="array" ref="B15" xml:space="preserve"> 1 + ROW() - _xlfn.SINGLE(ROW(MYR.RowNum))</f>
        <v>10</v>
      </c>
      <c r="C15">
        <f t="shared" si="0"/>
        <v>0.89759790102565518</v>
      </c>
      <c r="E15">
        <f t="shared" si="1"/>
        <v>0.31273259298721195</v>
      </c>
      <c r="F15">
        <f t="shared" si="2"/>
        <v>0.24939592074349345</v>
      </c>
      <c r="H15" t="str">
        <v>L.31273 .2494</v>
      </c>
    </row>
    <row r="16" spans="2:8" x14ac:dyDescent="0.2">
      <c r="B16" cm="1">
        <f t="array" ref="B16" xml:space="preserve"> 1 + ROW() - _xlfn.SINGLE(ROW(MYR.RowNum))</f>
        <v>11</v>
      </c>
      <c r="C16">
        <f t="shared" si="0"/>
        <v>1.3463968515384828</v>
      </c>
      <c r="E16">
        <f t="shared" si="1"/>
        <v>0.97492791218182362</v>
      </c>
      <c r="F16">
        <f t="shared" si="2"/>
        <v>0.22252093395631445</v>
      </c>
      <c r="H16" t="str">
        <v>L.97493 .22252</v>
      </c>
    </row>
    <row r="17" spans="2:8" x14ac:dyDescent="0.2">
      <c r="B17" cm="1">
        <f t="array" ref="B17" xml:space="preserve"> 1 + ROW() - _xlfn.SINGLE(ROW(MYR.RowNum))</f>
        <v>12</v>
      </c>
      <c r="C17">
        <f t="shared" si="0"/>
        <v>1.7951958020513104</v>
      </c>
      <c r="E17">
        <f t="shared" si="1"/>
        <v>0.38997116487272948</v>
      </c>
      <c r="F17">
        <f t="shared" si="2"/>
        <v>-8.9008373582525738E-2</v>
      </c>
      <c r="H17" t="str">
        <v>L.38997 -.08901</v>
      </c>
    </row>
    <row r="18" spans="2:8" x14ac:dyDescent="0.2">
      <c r="B18" cm="1">
        <f t="array" ref="B18" xml:space="preserve"> 1 + ROW() - _xlfn.SINGLE(ROW(MYR.RowNum))</f>
        <v>13</v>
      </c>
      <c r="C18">
        <f t="shared" si="0"/>
        <v>2.2439947525641379</v>
      </c>
      <c r="E18">
        <f t="shared" si="1"/>
        <v>0.78183148246802991</v>
      </c>
      <c r="F18">
        <f t="shared" si="2"/>
        <v>-0.62348980185873348</v>
      </c>
      <c r="H18" t="str">
        <v>L.78183 -.62349</v>
      </c>
    </row>
    <row r="19" spans="2:8" x14ac:dyDescent="0.2">
      <c r="B19" cm="1">
        <f t="array" ref="B19" xml:space="preserve"> 1 + ROW() - _xlfn.SINGLE(ROW(MYR.RowNum))</f>
        <v>14</v>
      </c>
      <c r="C19">
        <f t="shared" si="0"/>
        <v>2.6927937030769655</v>
      </c>
      <c r="E19">
        <f t="shared" si="1"/>
        <v>0.1735534956470233</v>
      </c>
      <c r="F19">
        <f t="shared" si="2"/>
        <v>-0.36038754716096766</v>
      </c>
      <c r="H19" t="str">
        <v>l-.60828 .2631</v>
      </c>
    </row>
    <row r="20" spans="2:8" x14ac:dyDescent="0.2">
      <c r="B20" cm="1">
        <f t="array" ref="B20" xml:space="preserve"> 1 + ROW() - _xlfn.SINGLE(ROW(MYR.RowNum))</f>
        <v>15</v>
      </c>
      <c r="C20" t="e">
        <f t="shared" si="0"/>
        <v>#N/A</v>
      </c>
      <c r="H20" t="str">
        <v/>
      </c>
    </row>
    <row r="21" spans="2:8" x14ac:dyDescent="0.2">
      <c r="B21" cm="1">
        <f t="array" ref="B21" xml:space="preserve"> 1 + ROW() - _xlfn.SINGLE(ROW(MYR.RowNum))</f>
        <v>16</v>
      </c>
      <c r="C21" t="e">
        <f t="shared" si="0"/>
        <v>#N/A</v>
      </c>
      <c r="H21" t="str">
        <v/>
      </c>
    </row>
    <row r="22" spans="2:8" x14ac:dyDescent="0.2">
      <c r="B22" cm="1">
        <f t="array" ref="B22" xml:space="preserve"> 1 + ROW() - _xlfn.SINGLE(ROW(MYR.RowNum))</f>
        <v>17</v>
      </c>
      <c r="C22" t="e">
        <f t="shared" si="0"/>
        <v>#N/A</v>
      </c>
      <c r="H22" t="str">
        <v/>
      </c>
    </row>
    <row r="23" spans="2:8" x14ac:dyDescent="0.2">
      <c r="B23" cm="1">
        <f t="array" ref="B23" xml:space="preserve"> 1 + ROW() - _xlfn.SINGLE(ROW(MYR.RowNum))</f>
        <v>18</v>
      </c>
      <c r="C23" t="e">
        <f t="shared" si="0"/>
        <v>#N/A</v>
      </c>
      <c r="H23" t="str">
        <v/>
      </c>
    </row>
    <row r="24" spans="2:8" x14ac:dyDescent="0.2">
      <c r="B24" cm="1">
        <f t="array" ref="B24" xml:space="preserve"> 1 + ROW() - _xlfn.SINGLE(ROW(MYR.RowNum))</f>
        <v>19</v>
      </c>
      <c r="C24" t="e">
        <f t="shared" si="0"/>
        <v>#N/A</v>
      </c>
      <c r="H24" t="str">
        <v/>
      </c>
    </row>
    <row r="25" spans="2:8" x14ac:dyDescent="0.2">
      <c r="B25" cm="1">
        <f t="array" ref="B25" xml:space="preserve"> 1 + ROW() - _xlfn.SINGLE(ROW(MYR.RowNum))</f>
        <v>20</v>
      </c>
      <c r="C25" t="e">
        <f t="shared" si="0"/>
        <v>#N/A</v>
      </c>
      <c r="H25" t="str">
        <v/>
      </c>
    </row>
    <row r="26" spans="2:8" x14ac:dyDescent="0.2">
      <c r="B26" cm="1">
        <f t="array" ref="B26" xml:space="preserve"> 1 + ROW() - _xlfn.SINGLE(ROW(MYR.RowNum))</f>
        <v>21</v>
      </c>
      <c r="C26" t="e">
        <f t="shared" si="0"/>
        <v>#N/A</v>
      </c>
      <c r="H26" t="str">
        <v/>
      </c>
    </row>
    <row r="27" spans="2:8" x14ac:dyDescent="0.2">
      <c r="B27" cm="1">
        <f t="array" ref="B27" xml:space="preserve"> 1 + ROW() - _xlfn.SINGLE(ROW(MYR.RowNum))</f>
        <v>22</v>
      </c>
      <c r="C27" t="e">
        <f t="shared" si="0"/>
        <v>#N/A</v>
      </c>
      <c r="H27" t="str">
        <v/>
      </c>
    </row>
    <row r="28" spans="2:8" x14ac:dyDescent="0.2">
      <c r="B28" cm="1">
        <f t="array" ref="B28" xml:space="preserve"> 1 + ROW() - _xlfn.SINGLE(ROW(MYR.RowNum))</f>
        <v>23</v>
      </c>
      <c r="C28" t="e">
        <f t="shared" si="0"/>
        <v>#N/A</v>
      </c>
      <c r="H28" t="str">
        <v/>
      </c>
    </row>
    <row r="29" spans="2:8" x14ac:dyDescent="0.2">
      <c r="B29" cm="1">
        <f t="array" ref="B29" xml:space="preserve"> 1 + ROW() - _xlfn.SINGLE(ROW(MYR.RowNum))</f>
        <v>24</v>
      </c>
      <c r="C29" t="e">
        <f t="shared" si="0"/>
        <v>#N/A</v>
      </c>
      <c r="H29" t="str">
        <v/>
      </c>
    </row>
    <row r="30" spans="2:8" x14ac:dyDescent="0.2">
      <c r="B30" cm="1">
        <f t="array" ref="B30" xml:space="preserve"> 1 + ROW() - _xlfn.SINGLE(ROW(MYR.RowNum))</f>
        <v>25</v>
      </c>
      <c r="C30" t="e">
        <f t="shared" si="0"/>
        <v>#N/A</v>
      </c>
      <c r="H30" t="str">
        <v/>
      </c>
    </row>
    <row r="31" spans="2:8" x14ac:dyDescent="0.2">
      <c r="B31" cm="1">
        <f t="array" ref="B31" xml:space="preserve"> 1 + ROW() - _xlfn.SINGLE(ROW(MYR.RowNum))</f>
        <v>26</v>
      </c>
      <c r="C31" t="e">
        <f t="shared" si="0"/>
        <v>#N/A</v>
      </c>
      <c r="H31" t="str">
        <v/>
      </c>
    </row>
    <row r="32" spans="2:8" x14ac:dyDescent="0.2">
      <c r="B32" cm="1">
        <f t="array" ref="B32" xml:space="preserve"> 1 + ROW() - _xlfn.SINGLE(ROW(MYR.RowNum))</f>
        <v>27</v>
      </c>
      <c r="C32" t="e">
        <f t="shared" si="0"/>
        <v>#N/A</v>
      </c>
      <c r="H32" t="str">
        <v/>
      </c>
    </row>
    <row r="33" spans="2:9" x14ac:dyDescent="0.2">
      <c r="B33" cm="1">
        <f t="array" ref="B33" xml:space="preserve"> 1 + ROW() - _xlfn.SINGLE(ROW(MYR.RowNum))</f>
        <v>28</v>
      </c>
      <c r="C33" t="e">
        <f t="shared" si="0"/>
        <v>#N/A</v>
      </c>
      <c r="H33" t="str">
        <v>Z</v>
      </c>
    </row>
    <row r="36" spans="2:9" x14ac:dyDescent="0.2">
      <c r="G36" s="4" t="s">
        <v>230</v>
      </c>
      <c r="H36">
        <f xml:space="preserve"> ROUND( MIN(MYR.RawX), MYR.DecimalPlaces)</f>
        <v>-0.97492999999999996</v>
      </c>
    </row>
    <row r="37" spans="2:9" x14ac:dyDescent="0.2">
      <c r="G37" s="4" t="s">
        <v>231</v>
      </c>
      <c r="H37">
        <f xml:space="preserve"> ROUND(MAX(MYR.RawX), MYR.DecimalPlaces)</f>
        <v>0.97492999999999996</v>
      </c>
    </row>
    <row r="38" spans="2:9" x14ac:dyDescent="0.2">
      <c r="G38" s="4" t="s">
        <v>232</v>
      </c>
      <c r="H38">
        <f xml:space="preserve"> ROUND( MIN(MYR.RawY), MYR.DecimalPlaces)</f>
        <v>-1</v>
      </c>
    </row>
    <row r="39" spans="2:9" x14ac:dyDescent="0.2">
      <c r="G39" s="4" t="s">
        <v>233</v>
      </c>
      <c r="H39">
        <f xml:space="preserve"> ROUND(MAX(MYR.RawY), MYR.DecimalPlaces)</f>
        <v>0.90097000000000005</v>
      </c>
    </row>
    <row r="41" spans="2:9" x14ac:dyDescent="0.2">
      <c r="G41" s="4" t="s">
        <v>226</v>
      </c>
      <c r="H41" s="28">
        <f xml:space="preserve"> MODE(Squares.AreaMultiplier)</f>
        <v>0.85</v>
      </c>
    </row>
    <row r="42" spans="2:9" x14ac:dyDescent="0.2">
      <c r="G42" s="4" t="s">
        <v>227</v>
      </c>
      <c r="H42">
        <f xml:space="preserve">  MAX(MYR.MaxY, - MYR.MinY)   /   MAX(MYR.MaxX, - MYR.MinX)</f>
        <v>1.0257146666940191</v>
      </c>
    </row>
    <row r="43" spans="2:9" x14ac:dyDescent="0.2">
      <c r="G43" s="4" t="s">
        <v>228</v>
      </c>
      <c r="H43">
        <f xml:space="preserve"> VALUE(TEXT(SQRT(MYR.AreaMultiplier * BasicBBoxArea * MYR.Aspect), SVG.NumberFormatHeight))</f>
        <v>9.3000000000000007</v>
      </c>
    </row>
    <row r="44" spans="2:9" x14ac:dyDescent="0.2">
      <c r="G44" s="4" t="s">
        <v>229</v>
      </c>
      <c r="H44" cm="1">
        <f t="array" ref="H44" xml:space="preserve"> MYR.Height / MYR.Aspect</f>
        <v>9.0668489999999995</v>
      </c>
      <c r="I44" s="5"/>
    </row>
    <row r="45" spans="2:9" x14ac:dyDescent="0.2">
      <c r="I45" s="5"/>
    </row>
    <row r="46" spans="2:9" x14ac:dyDescent="0.2">
      <c r="G46" s="4" t="s">
        <v>939</v>
      </c>
      <c r="H46" t="s">
        <v>940</v>
      </c>
      <c r="I46" s="5"/>
    </row>
    <row r="47" spans="2:9" x14ac:dyDescent="0.2">
      <c r="G47" s="4" t="s">
        <v>938</v>
      </c>
      <c r="H47" t="s">
        <v>941</v>
      </c>
      <c r="I47" s="5"/>
    </row>
    <row r="48" spans="2:9" x14ac:dyDescent="0.2">
      <c r="G48" s="5"/>
      <c r="I48" s="5"/>
    </row>
    <row r="49" spans="7:9" ht="17" thickBot="1" x14ac:dyDescent="0.25">
      <c r="G49" s="5"/>
      <c r="H49" s="3" t="s">
        <v>234</v>
      </c>
      <c r="I49" s="5"/>
    </row>
    <row r="50" spans="7:9" x14ac:dyDescent="0.2">
      <c r="G50" s="5"/>
      <c r="H50" s="18"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7:9" x14ac:dyDescent="0.2">
      <c r="G51" s="5"/>
      <c r="H51" s="6" t="str" cm="1">
        <f t="array" ref="H51" xml:space="preserve"> svgPathRect(MYR.DecimalPlaces, MYR.SVG_painting_B, 1, 1)</f>
        <v>&lt;path fill='#00326A' d='M1 1V-1H-1V1Z'/&gt;</v>
      </c>
    </row>
    <row r="52" spans="7:9" x14ac:dyDescent="0.2">
      <c r="G52" s="5"/>
      <c r="H52" s="6"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7:9" x14ac:dyDescent="0.2">
      <c r="G53" s="5"/>
      <c r="H53" s="6" t="s">
        <v>15</v>
      </c>
    </row>
    <row r="54" spans="7:9" x14ac:dyDescent="0.2">
      <c r="G54" s="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F57"/>
  <sheetViews>
    <sheetView topLeftCell="B1" workbookViewId="0">
      <selection activeCell="B2" sqref="B2"/>
    </sheetView>
  </sheetViews>
  <sheetFormatPr baseColWidth="10" defaultRowHeight="16" x14ac:dyDescent="0.2"/>
  <sheetData>
    <row r="2" spans="2:5" ht="17" thickBot="1" x14ac:dyDescent="0.25">
      <c r="B2" t="s">
        <v>1580</v>
      </c>
      <c r="E2" t="s">
        <v>236</v>
      </c>
    </row>
    <row r="3" spans="2:5" x14ac:dyDescent="0.2">
      <c r="B3" s="38" cm="1">
        <f t="array" ref="B3" xml:space="preserve"> Sqrt2</f>
        <v>1.4142135623730951</v>
      </c>
      <c r="C3" cm="1">
        <f t="array" ref="C3" xml:space="preserve"> SVG_length(PHP.svg)</f>
        <v>472</v>
      </c>
      <c r="D3" s="5"/>
      <c r="E3" s="38">
        <f xml:space="preserve"> DecimalPlaces - INT(LOG(PHP.Radius, 10) + 0.2)</f>
        <v>5</v>
      </c>
    </row>
    <row r="4" spans="2:5" x14ac:dyDescent="0.2">
      <c r="D4" s="5"/>
    </row>
    <row r="5" spans="2:5" ht="17" thickBot="1" x14ac:dyDescent="0.25">
      <c r="B5" s="3" t="s">
        <v>237</v>
      </c>
      <c r="C5" s="3" t="s">
        <v>238</v>
      </c>
      <c r="E5" s="3" t="s">
        <v>1752</v>
      </c>
    </row>
    <row r="6" spans="2:5" x14ac:dyDescent="0.2">
      <c r="B6">
        <v>0</v>
      </c>
      <c r="C6">
        <v>0</v>
      </c>
      <c r="E6" t="str">
        <f t="array" ref="E6:E37" xml:space="preserve"> svgpath(PHP.RawX, PHP.RawY, PHP.DecimalPlaces, PHP.Radius, PHP.Radius)</f>
        <v>M0 0</v>
      </c>
    </row>
    <row r="7" spans="2:5" x14ac:dyDescent="0.2">
      <c r="B7" cm="1">
        <f t="array" ref="B7" xml:space="preserve"> (SQRT(2 + Sqrt2) + 1) * (2 - Sqrt2) / 2</f>
        <v>0.83408931895964933</v>
      </c>
      <c r="C7">
        <f xml:space="preserve"> _xlfn.SINGLE(PHP.RawX) - 1</f>
        <v>-0.16591068104035067</v>
      </c>
      <c r="E7" t="str">
        <v>L1.17958 -.23463</v>
      </c>
    </row>
    <row r="8" spans="2:5" x14ac:dyDescent="0.2">
      <c r="B8">
        <v>1</v>
      </c>
      <c r="C8">
        <v>0</v>
      </c>
      <c r="E8" t="str">
        <v>L1.41421 0</v>
      </c>
    </row>
    <row r="9" spans="2:5" x14ac:dyDescent="0.2">
      <c r="B9" cm="1">
        <f t="array" ref="B9" xml:space="preserve"> (SQRT(2 + Sqrt2) + 1) * (2 - Sqrt2) / 2</f>
        <v>0.83408931895964933</v>
      </c>
      <c r="C9">
        <f xml:space="preserve"> 1 - _xlfn.SINGLE(PHP.RawX)</f>
        <v>0.16591068104035067</v>
      </c>
      <c r="E9" t="str">
        <v>L1.17958 .23463</v>
      </c>
    </row>
    <row r="10" spans="2:5" x14ac:dyDescent="0.2">
      <c r="B10">
        <v>0</v>
      </c>
      <c r="C10">
        <v>0</v>
      </c>
      <c r="E10" t="str">
        <v>L0 0</v>
      </c>
    </row>
    <row r="11" spans="2:5" x14ac:dyDescent="0.2">
      <c r="B11" cm="1">
        <f t="array" ref="B11" xml:space="preserve"> (SQRT(2 + Sqrt2) + 1) * (Sqrt2 - 2) / 2</f>
        <v>-0.83408931895964933</v>
      </c>
      <c r="C11">
        <f xml:space="preserve"> _xlfn.SINGLE(PHP.RawX) + 1</f>
        <v>0.16591068104035067</v>
      </c>
      <c r="E11" t="str">
        <v>L-1.17958 .23463</v>
      </c>
    </row>
    <row r="12" spans="2:5" x14ac:dyDescent="0.2">
      <c r="B12">
        <v>-1</v>
      </c>
      <c r="C12">
        <v>0</v>
      </c>
      <c r="E12" t="str">
        <v>L-1.41421 0</v>
      </c>
    </row>
    <row r="13" spans="2:5" x14ac:dyDescent="0.2">
      <c r="B13" cm="1">
        <f t="array" ref="B13" xml:space="preserve"> (SQRT(2 + Sqrt2) + 1) * (Sqrt2 - 2) / 2</f>
        <v>-0.83408931895964933</v>
      </c>
      <c r="C13">
        <f xml:space="preserve"> - _xlfn.SINGLE(PHP.RawX) - 1</f>
        <v>-0.16591068104035067</v>
      </c>
      <c r="E13" t="str">
        <v>l.23463 -.23463</v>
      </c>
    </row>
    <row r="14" spans="2:5" x14ac:dyDescent="0.2">
      <c r="B14">
        <v>0</v>
      </c>
      <c r="C14">
        <v>0</v>
      </c>
      <c r="E14" t="str">
        <v>L0 0</v>
      </c>
    </row>
    <row r="15" spans="2:5" x14ac:dyDescent="0.2">
      <c r="B15">
        <f xml:space="preserve"> C7</f>
        <v>-0.16591068104035067</v>
      </c>
      <c r="C15">
        <f xml:space="preserve"> B7</f>
        <v>0.83408931895964933</v>
      </c>
      <c r="E15" t="str">
        <v>L-.23463 1.17958</v>
      </c>
    </row>
    <row r="16" spans="2:5" x14ac:dyDescent="0.2">
      <c r="B16">
        <f t="shared" ref="B16:B22" si="0" xml:space="preserve"> C8</f>
        <v>0</v>
      </c>
      <c r="C16">
        <f t="shared" ref="C16:C22" si="1" xml:space="preserve"> B8</f>
        <v>1</v>
      </c>
      <c r="E16" t="str">
        <v>L0 1.41421</v>
      </c>
    </row>
    <row r="17" spans="2:5" x14ac:dyDescent="0.2">
      <c r="B17">
        <f t="shared" si="0"/>
        <v>0.16591068104035067</v>
      </c>
      <c r="C17">
        <f t="shared" si="1"/>
        <v>0.83408931895964933</v>
      </c>
      <c r="E17" t="str">
        <v>L.23463 1.17958</v>
      </c>
    </row>
    <row r="18" spans="2:5" x14ac:dyDescent="0.2">
      <c r="B18">
        <f t="shared" si="0"/>
        <v>0</v>
      </c>
      <c r="C18">
        <f t="shared" si="1"/>
        <v>0</v>
      </c>
      <c r="E18" t="str">
        <v>L0 0</v>
      </c>
    </row>
    <row r="19" spans="2:5" x14ac:dyDescent="0.2">
      <c r="B19">
        <f t="shared" si="0"/>
        <v>0.16591068104035067</v>
      </c>
      <c r="C19">
        <f t="shared" si="1"/>
        <v>-0.83408931895964933</v>
      </c>
      <c r="E19" t="str">
        <v>L.23463 -1.17958</v>
      </c>
    </row>
    <row r="20" spans="2:5" x14ac:dyDescent="0.2">
      <c r="B20">
        <f t="shared" si="0"/>
        <v>0</v>
      </c>
      <c r="C20">
        <f t="shared" si="1"/>
        <v>-1</v>
      </c>
      <c r="E20" t="str">
        <v>L0 -1.41421</v>
      </c>
    </row>
    <row r="21" spans="2:5" x14ac:dyDescent="0.2">
      <c r="B21">
        <f t="shared" si="0"/>
        <v>-0.16591068104035067</v>
      </c>
      <c r="C21">
        <f t="shared" si="1"/>
        <v>-0.83408931895964933</v>
      </c>
      <c r="E21" t="str">
        <v>l-.23463 .23463</v>
      </c>
    </row>
    <row r="22" spans="2:5" x14ac:dyDescent="0.2">
      <c r="B22">
        <f t="shared" si="0"/>
        <v>0</v>
      </c>
      <c r="C22">
        <f t="shared" si="1"/>
        <v>0</v>
      </c>
      <c r="E22" t="str">
        <v>L0 0</v>
      </c>
    </row>
    <row r="23" spans="2:5" x14ac:dyDescent="0.2">
      <c r="B23" cm="1">
        <f t="array" ref="B23" xml:space="preserve"> ($B7 + $C7) / Sqrt2</f>
        <v>0.47247364591672686</v>
      </c>
      <c r="C23" cm="1">
        <f t="array" ref="C23" xml:space="preserve"> ($B7 - $C7) / Sqrt2</f>
        <v>0.70710678118654746</v>
      </c>
      <c r="E23" t="str">
        <v>L.66818 1</v>
      </c>
    </row>
    <row r="24" spans="2:5" x14ac:dyDescent="0.2">
      <c r="B24" cm="1">
        <f t="array" ref="B24" xml:space="preserve"> ($B8 + $C8) / Sqrt2</f>
        <v>0.70710678118654746</v>
      </c>
      <c r="C24" cm="1">
        <f t="array" ref="C24" xml:space="preserve"> ($B8 - $C8) / Sqrt2</f>
        <v>0.70710678118654746</v>
      </c>
      <c r="E24" t="str">
        <v>H1</v>
      </c>
    </row>
    <row r="25" spans="2:5" x14ac:dyDescent="0.2">
      <c r="B25" cm="1">
        <f t="array" ref="B25" xml:space="preserve"> ($B9 + $C9) / Sqrt2</f>
        <v>0.70710678118654746</v>
      </c>
      <c r="C25" cm="1">
        <f t="array" ref="C25" xml:space="preserve"> ($B9 - $C9) / Sqrt2</f>
        <v>0.47247364591672686</v>
      </c>
      <c r="E25" t="str">
        <v>V.66818</v>
      </c>
    </row>
    <row r="26" spans="2:5" x14ac:dyDescent="0.2">
      <c r="B26" cm="1">
        <f t="array" ref="B26" xml:space="preserve"> ($B10 + $C10) / Sqrt2</f>
        <v>0</v>
      </c>
      <c r="C26" cm="1">
        <f t="array" ref="C26" xml:space="preserve"> ($B10 - $C10) / Sqrt2</f>
        <v>0</v>
      </c>
      <c r="E26" t="str">
        <v>L0 0</v>
      </c>
    </row>
    <row r="27" spans="2:5" x14ac:dyDescent="0.2">
      <c r="B27" cm="1">
        <f t="array" ref="B27" xml:space="preserve"> ($B11 + $C11) / Sqrt2</f>
        <v>-0.47247364591672686</v>
      </c>
      <c r="C27" cm="1">
        <f t="array" ref="C27" xml:space="preserve"> ($B11 - $C11) / Sqrt2</f>
        <v>-0.70710678118654746</v>
      </c>
      <c r="E27" t="str">
        <v>L-.66818 -1</v>
      </c>
    </row>
    <row r="28" spans="2:5" x14ac:dyDescent="0.2">
      <c r="B28" cm="1">
        <f t="array" ref="B28" xml:space="preserve"> ($B12 + $C12) / Sqrt2</f>
        <v>-0.70710678118654746</v>
      </c>
      <c r="C28" cm="1">
        <f t="array" ref="C28" xml:space="preserve"> ($B12 - $C12) / Sqrt2</f>
        <v>-0.70710678118654746</v>
      </c>
      <c r="E28" t="str">
        <v>H-1</v>
      </c>
    </row>
    <row r="29" spans="2:5" x14ac:dyDescent="0.2">
      <c r="B29" cm="1">
        <f t="array" ref="B29" xml:space="preserve"> ($B13 + $C13) / Sqrt2</f>
        <v>-0.70710678118654746</v>
      </c>
      <c r="C29" cm="1">
        <f t="array" ref="C29" xml:space="preserve"> ($B13 - $C13) / Sqrt2</f>
        <v>-0.47247364591672686</v>
      </c>
      <c r="E29" t="str">
        <v>v.33182</v>
      </c>
    </row>
    <row r="30" spans="2:5" x14ac:dyDescent="0.2">
      <c r="B30" cm="1">
        <f t="array" ref="B30" xml:space="preserve"> ($B14 + $C14) / Sqrt2</f>
        <v>0</v>
      </c>
      <c r="C30" cm="1">
        <f t="array" ref="C30" xml:space="preserve"> ($B14 - $C14) / Sqrt2</f>
        <v>0</v>
      </c>
      <c r="E30" t="str">
        <v>L0 0</v>
      </c>
    </row>
    <row r="31" spans="2:5" x14ac:dyDescent="0.2">
      <c r="B31" cm="1">
        <f t="array" ref="B31" xml:space="preserve"> ($B15 + $C15) / Sqrt2</f>
        <v>0.47247364591672686</v>
      </c>
      <c r="C31" cm="1">
        <f t="array" ref="C31" xml:space="preserve"> ($B15 - $C15) / Sqrt2</f>
        <v>-0.70710678118654746</v>
      </c>
      <c r="E31" t="str">
        <v>L.66818 -1</v>
      </c>
    </row>
    <row r="32" spans="2:5" x14ac:dyDescent="0.2">
      <c r="B32" cm="1">
        <f t="array" ref="B32" xml:space="preserve"> ($B16 + $C16) / Sqrt2</f>
        <v>0.70710678118654746</v>
      </c>
      <c r="C32" cm="1">
        <f t="array" ref="C32" xml:space="preserve"> ($B16 - $C16) / Sqrt2</f>
        <v>-0.70710678118654746</v>
      </c>
      <c r="E32" t="str">
        <v>H1</v>
      </c>
    </row>
    <row r="33" spans="2:5" x14ac:dyDescent="0.2">
      <c r="B33" cm="1">
        <f t="array" ref="B33" xml:space="preserve"> ($B17 + $C17) / Sqrt2</f>
        <v>0.70710678118654746</v>
      </c>
      <c r="C33" cm="1">
        <f t="array" ref="C33" xml:space="preserve"> ($B17 - $C17) / Sqrt2</f>
        <v>-0.47247364591672686</v>
      </c>
      <c r="E33" t="str">
        <v>v.33182</v>
      </c>
    </row>
    <row r="34" spans="2:5" x14ac:dyDescent="0.2">
      <c r="B34" cm="1">
        <f t="array" ref="B34" xml:space="preserve"> ($B18 + $C18) / Sqrt2</f>
        <v>0</v>
      </c>
      <c r="C34" cm="1">
        <f t="array" ref="C34" xml:space="preserve"> ($B18 - $C18) / Sqrt2</f>
        <v>0</v>
      </c>
      <c r="E34" t="str">
        <v>L0 0</v>
      </c>
    </row>
    <row r="35" spans="2:5" x14ac:dyDescent="0.2">
      <c r="B35" cm="1">
        <f t="array" ref="B35" xml:space="preserve"> ($B19 + $C19) / Sqrt2</f>
        <v>-0.47247364591672686</v>
      </c>
      <c r="C35" cm="1">
        <f t="array" ref="C35" xml:space="preserve"> ($B19 - $C19) / Sqrt2</f>
        <v>0.70710678118654746</v>
      </c>
      <c r="E35" t="str">
        <v>L-.66818 1</v>
      </c>
    </row>
    <row r="36" spans="2:5" x14ac:dyDescent="0.2">
      <c r="B36" cm="1">
        <f t="array" ref="B36" xml:space="preserve"> ($B20 + $C20) / Sqrt2</f>
        <v>-0.70710678118654746</v>
      </c>
      <c r="C36" cm="1">
        <f t="array" ref="C36" xml:space="preserve"> ($B20 - $C20) / Sqrt2</f>
        <v>0.70710678118654746</v>
      </c>
      <c r="E36" t="str">
        <v>H-1</v>
      </c>
    </row>
    <row r="37" spans="2:5" x14ac:dyDescent="0.2">
      <c r="B37" cm="1">
        <f t="array" ref="B37" xml:space="preserve"> ($B21 + $C21) / Sqrt2</f>
        <v>-0.70710678118654746</v>
      </c>
      <c r="C37" cm="1">
        <f t="array" ref="C37" xml:space="preserve"> ($B21 - $C21) / Sqrt2</f>
        <v>0.47247364591672686</v>
      </c>
      <c r="E37" t="str">
        <v>V.66818Z</v>
      </c>
    </row>
    <row r="40" spans="2:5" x14ac:dyDescent="0.2">
      <c r="D40" s="4" t="s">
        <v>243</v>
      </c>
      <c r="E40">
        <f xml:space="preserve"> ROUND(PHP.Radius* MIN(PHP.RawX), PHP.DecimalPlaces)</f>
        <v>-1.41421</v>
      </c>
    </row>
    <row r="41" spans="2:5" x14ac:dyDescent="0.2">
      <c r="D41" s="4" t="s">
        <v>244</v>
      </c>
      <c r="E41">
        <f xml:space="preserve"> ROUND(PHP.Radius*MAX(PHP.RawX), PHP.DecimalPlaces)</f>
        <v>1.41421</v>
      </c>
    </row>
    <row r="42" spans="2:5" x14ac:dyDescent="0.2">
      <c r="D42" s="4" t="s">
        <v>245</v>
      </c>
      <c r="E42">
        <f xml:space="preserve"> ROUND(PHP.Radius* MIN(PHP.RawY), PHP.DecimalPlaces)</f>
        <v>-1.41421</v>
      </c>
    </row>
    <row r="43" spans="2:5" x14ac:dyDescent="0.2">
      <c r="D43" s="4" t="s">
        <v>246</v>
      </c>
      <c r="E43">
        <f xml:space="preserve"> ROUND(PHP.Radius*MAX(PHP.RawY), PHP.DecimalPlaces)</f>
        <v>1.41421</v>
      </c>
    </row>
    <row r="45" spans="2:5" x14ac:dyDescent="0.2">
      <c r="D45" s="4" t="s">
        <v>239</v>
      </c>
      <c r="E45" s="28">
        <v>1.25</v>
      </c>
    </row>
    <row r="46" spans="2:5" x14ac:dyDescent="0.2">
      <c r="D46" s="4" t="s">
        <v>240</v>
      </c>
      <c r="E46">
        <f xml:space="preserve">  MAX(PHP.MaxY, - PHP.MinY)   /   MAX(PHP.MaxX, - PHP.MinX)</f>
        <v>1</v>
      </c>
    </row>
    <row r="47" spans="2:5" x14ac:dyDescent="0.2">
      <c r="D47" s="4" t="s">
        <v>241</v>
      </c>
      <c r="E47">
        <f xml:space="preserve"> VALUE(TEXT(SQRT(PHP.AreaMultiplier * BasicBBoxArea * PHP.Aspect), SVG.NumberFormatHeight))</f>
        <v>11.2</v>
      </c>
    </row>
    <row r="48" spans="2:5" x14ac:dyDescent="0.2">
      <c r="D48" s="4" t="s">
        <v>242</v>
      </c>
      <c r="E48" cm="1">
        <f t="array" ref="E48" xml:space="preserve"> PHP.Height / PHP.Aspect</f>
        <v>11.2</v>
      </c>
    </row>
    <row r="49" spans="4:6" x14ac:dyDescent="0.2">
      <c r="F49" s="5"/>
    </row>
    <row r="50" spans="4:6" x14ac:dyDescent="0.2">
      <c r="D50" s="4" t="s">
        <v>249</v>
      </c>
      <c r="E50" s="6" t="s">
        <v>1066</v>
      </c>
      <c r="F50" s="5"/>
    </row>
    <row r="51" spans="4:6" x14ac:dyDescent="0.2">
      <c r="D51" s="4" t="s">
        <v>1581</v>
      </c>
      <c r="E51" s="6" t="s">
        <v>761</v>
      </c>
      <c r="F51" s="5"/>
    </row>
    <row r="52" spans="4:6" x14ac:dyDescent="0.2">
      <c r="D52" s="5"/>
      <c r="F52" s="5"/>
    </row>
    <row r="53" spans="4:6" ht="17" thickBot="1" x14ac:dyDescent="0.25">
      <c r="D53" s="5"/>
      <c r="E53" s="3" t="s">
        <v>247</v>
      </c>
      <c r="F53" s="5"/>
    </row>
    <row r="54" spans="4:6" x14ac:dyDescent="0.2">
      <c r="D54" s="5"/>
      <c r="E54" s="18"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6" x14ac:dyDescent="0.2">
      <c r="D55" s="5"/>
      <c r="E55" s="6"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6" x14ac:dyDescent="0.2">
      <c r="D56" s="5"/>
      <c r="E56" s="6" t="str">
        <f xml:space="preserve"> "&lt;circle " &amp; PHP.SVG_painting_circ &amp; " r='" &amp; ROUND(PHP.Radius * 9/19, PHP.DecimalPlaces) &amp; "'/&gt;"</f>
        <v>&lt;circle fill='#FCD116' r='0.66989'/&gt;</v>
      </c>
    </row>
    <row r="57" spans="4:6" x14ac:dyDescent="0.2">
      <c r="E57" s="6"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topLeftCell="B1" workbookViewId="0">
      <selection activeCell="B2" sqref="B2"/>
    </sheetView>
  </sheetViews>
  <sheetFormatPr baseColWidth="10" defaultRowHeight="16" x14ac:dyDescent="0.2"/>
  <cols>
    <col min="8" max="8" width="10.83203125" style="6"/>
  </cols>
  <sheetData>
    <row r="2" spans="5:8" x14ac:dyDescent="0.2">
      <c r="G2" s="4" t="s">
        <v>285</v>
      </c>
      <c r="H2">
        <f xml:space="preserve"> DecimalPlaces - INT(LOG(MIN(  INR.MaxX - INR.MinX,  INR.MaxY - INR.MinY  )/2, 10) + 0.2)</f>
        <v>4</v>
      </c>
    </row>
    <row r="3" spans="5:8" x14ac:dyDescent="0.2">
      <c r="G3" s="5"/>
      <c r="H3"/>
    </row>
    <row r="4" spans="5:8" x14ac:dyDescent="0.2">
      <c r="G4" s="4" t="s">
        <v>291</v>
      </c>
      <c r="H4">
        <f xml:space="preserve"> INR.Radius</f>
        <v>16</v>
      </c>
    </row>
    <row r="5" spans="5:8" x14ac:dyDescent="0.2">
      <c r="G5" s="4" t="s">
        <v>293</v>
      </c>
      <c r="H5">
        <f xml:space="preserve"> INR.MaxX</f>
        <v>16</v>
      </c>
    </row>
    <row r="6" spans="5:8" x14ac:dyDescent="0.2">
      <c r="G6" s="4" t="s">
        <v>290</v>
      </c>
      <c r="H6">
        <f xml:space="preserve"> - INR.MaxX</f>
        <v>-16</v>
      </c>
    </row>
    <row r="7" spans="5:8" x14ac:dyDescent="0.2">
      <c r="G7" s="4" t="s">
        <v>292</v>
      </c>
      <c r="H7">
        <f xml:space="preserve"> - INR.MaxY</f>
        <v>-16</v>
      </c>
    </row>
    <row r="9" spans="5:8" x14ac:dyDescent="0.2">
      <c r="G9" s="4" t="s">
        <v>286</v>
      </c>
      <c r="H9" s="28">
        <f xml:space="preserve"> MODE(Circles.AreaMultiplier)</f>
        <v>1</v>
      </c>
    </row>
    <row r="10" spans="5:8" x14ac:dyDescent="0.2">
      <c r="G10" s="4" t="s">
        <v>287</v>
      </c>
      <c r="H10">
        <f xml:space="preserve">  MAX(INR.MaxY, - INR.MinY)   /   MAX(INR.MaxX, - INR.MinX)</f>
        <v>1</v>
      </c>
    </row>
    <row r="11" spans="5:8" x14ac:dyDescent="0.2">
      <c r="G11" s="4" t="s">
        <v>288</v>
      </c>
      <c r="H11">
        <f xml:space="preserve"> VALUE(TEXT(SQRT(INR.AreaMultiplier * BasicBBoxArea * INR.Aspect), SVG.NumberFormatHeight))</f>
        <v>10</v>
      </c>
    </row>
    <row r="12" spans="5:8" x14ac:dyDescent="0.2">
      <c r="G12" s="4" t="s">
        <v>289</v>
      </c>
      <c r="H12" cm="1">
        <f t="array" ref="H12" xml:space="preserve"> INR.Height / INR.Aspect</f>
        <v>10</v>
      </c>
    </row>
    <row r="13" spans="5:8" x14ac:dyDescent="0.2">
      <c r="E13" cm="1">
        <f t="array" ref="E13" xml:space="preserve"> SVG_length(INR.svg)</f>
        <v>568</v>
      </c>
      <c r="G13" s="5"/>
      <c r="H13"/>
    </row>
    <row r="14" spans="5:8" x14ac:dyDescent="0.2">
      <c r="G14" s="4" t="s">
        <v>299</v>
      </c>
      <c r="H14">
        <v>16</v>
      </c>
    </row>
    <row r="15" spans="5:8" x14ac:dyDescent="0.2">
      <c r="G15" s="4" t="s">
        <v>1711</v>
      </c>
      <c r="H15">
        <f xml:space="preserve"> 17/48</f>
        <v>0.35416666666666669</v>
      </c>
    </row>
    <row r="16" spans="5:8" x14ac:dyDescent="0.2">
      <c r="G16" s="4" t="s">
        <v>1712</v>
      </c>
      <c r="H16">
        <v>8.1500000000000003E-2</v>
      </c>
    </row>
    <row r="17" spans="2:8" x14ac:dyDescent="0.2">
      <c r="G17" s="4" t="s">
        <v>297</v>
      </c>
      <c r="H17" s="6" t="s">
        <v>764</v>
      </c>
    </row>
    <row r="18" spans="2:8" x14ac:dyDescent="0.2">
      <c r="G18" s="4" t="s">
        <v>298</v>
      </c>
      <c r="H18" s="6" t="s">
        <v>2091</v>
      </c>
    </row>
    <row r="20" spans="2:8" ht="17" thickBot="1" x14ac:dyDescent="0.25">
      <c r="B20" s="3" t="s">
        <v>295</v>
      </c>
      <c r="C20" s="3" t="s">
        <v>300</v>
      </c>
      <c r="D20" s="3" t="s">
        <v>301</v>
      </c>
      <c r="E20" s="3" t="s">
        <v>1768</v>
      </c>
      <c r="F20" s="3" t="s">
        <v>1769</v>
      </c>
      <c r="H20" s="39" t="s">
        <v>1513</v>
      </c>
    </row>
    <row r="21" spans="2:8" x14ac:dyDescent="0.2">
      <c r="B21" s="5"/>
      <c r="C21" s="5"/>
      <c r="D21" s="5"/>
      <c r="E21" s="5">
        <v>0</v>
      </c>
      <c r="F21" s="5">
        <v>0</v>
      </c>
      <c r="H21" s="15" t="str">
        <f xml:space="preserve"> "M" &amp; ROUND(INR.RawX,INR.DecimalPlaces) &amp; " " &amp; ROUND(INR.RawY, INR.DecimalPlaces)</f>
        <v>M0 0</v>
      </c>
    </row>
    <row r="22" spans="2:8" x14ac:dyDescent="0.2">
      <c r="B22" s="5"/>
      <c r="C22" s="5"/>
      <c r="D22" s="5"/>
      <c r="E22" s="5"/>
      <c r="F22" s="5"/>
      <c r="H22" s="15"/>
    </row>
    <row r="23" spans="2:8" x14ac:dyDescent="0.2">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6" t="str">
        <f t="array" ref="H23:H25" xml:space="preserve"> SUBSTITUTE( svgpath($E23:$E25, $F23:$F25, INR.DecimalPlaces), "M", "L" )</f>
        <v>L-4.7363 -3.3733</v>
      </c>
    </row>
    <row r="24" spans="2:8" x14ac:dyDescent="0.2">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6" t="str">
        <v>l-8.198 -1.9843</v>
      </c>
    </row>
    <row r="25" spans="2:8" x14ac:dyDescent="0.2">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6" t="str">
        <v>l7.2 4.3938Z</v>
      </c>
    </row>
    <row r="27" spans="2:8" x14ac:dyDescent="0.2">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6" t="str">
        <f t="array" ref="H27:H29" xml:space="preserve"> SUBSTITUTE( svgpath($E27:$E29, $F27:$F29, INR.DecimalPlaces), "M", "L" )</f>
        <v>L-.9638 -5.7343</v>
      </c>
    </row>
    <row r="28" spans="2:8" x14ac:dyDescent="0.2">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6" t="str">
        <v>l-4.3938 -7.2</v>
      </c>
    </row>
    <row r="29" spans="2:8" x14ac:dyDescent="0.2">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6" t="str">
        <v>l1.9843 8.198Z</v>
      </c>
    </row>
    <row r="31" spans="2:8" x14ac:dyDescent="0.2">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6" t="str">
        <f t="array" ref="H31:H33" xml:space="preserve"> SUBSTITUTE( svgpath($E31:$E33, $F31:$F33, INR.DecimalPlaces), "M", "L" )</f>
        <v>L3.3733 -4.7363</v>
      </c>
    </row>
    <row r="32" spans="2:8" x14ac:dyDescent="0.2">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6" t="str">
        <v>l1.9843 -8.198</v>
      </c>
    </row>
    <row r="33" spans="2:8" x14ac:dyDescent="0.2">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6" t="str">
        <v>l-4.3938 7.2Z</v>
      </c>
    </row>
    <row r="35" spans="2:8" x14ac:dyDescent="0.2">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6" t="str">
        <f t="array" ref="H35:H37" xml:space="preserve"> SUBSTITUTE( svgpath($E35:$E37, $F35:$F37, INR.DecimalPlaces), "M", "L" )</f>
        <v>L5.7343 -.9638</v>
      </c>
    </row>
    <row r="36" spans="2:8" x14ac:dyDescent="0.2">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6" t="str">
        <v>l7.2 -4.3938</v>
      </c>
    </row>
    <row r="37" spans="2:8" x14ac:dyDescent="0.2">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6" t="str">
        <v>l-8.198 1.9843Z</v>
      </c>
    </row>
    <row r="39" spans="2:8" x14ac:dyDescent="0.2">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6" t="str">
        <f t="array" ref="H39:H41" xml:space="preserve"> SUBSTITUTE( svgpath($E39:$E41, $F39:$F41, INR.DecimalPlaces), "M", "L" )</f>
        <v>L4.7363 3.3733</v>
      </c>
    </row>
    <row r="40" spans="2:8" x14ac:dyDescent="0.2">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6" t="str">
        <v>l8.198 1.9843</v>
      </c>
    </row>
    <row r="41" spans="2:8" x14ac:dyDescent="0.2">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6" t="str">
        <v>L5.7343 .9638Z</v>
      </c>
    </row>
    <row r="43" spans="2:8" x14ac:dyDescent="0.2">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6" t="str">
        <f t="array" ref="H43:H45" xml:space="preserve"> SUBSTITUTE( svgpath($E43:$E45, $F43:$F45, INR.DecimalPlaces), "M", "L" )</f>
        <v>L.9638 5.7343</v>
      </c>
    </row>
    <row r="44" spans="2:8" x14ac:dyDescent="0.2">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6" t="str">
        <v>l4.3938 7.2</v>
      </c>
    </row>
    <row r="45" spans="2:8" x14ac:dyDescent="0.2">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6" t="str">
        <v>L3.3733 4.7363Z</v>
      </c>
    </row>
    <row r="47" spans="2:8" x14ac:dyDescent="0.2">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6" t="str">
        <f t="array" ref="H47:H49" xml:space="preserve"> SUBSTITUTE( svgpath($E47:$E49, $F47:$F49, INR.DecimalPlaces), "M", "L" )</f>
        <v>L-3.3733 4.7363</v>
      </c>
    </row>
    <row r="48" spans="2:8" x14ac:dyDescent="0.2">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6" t="str">
        <v>l-1.9843 8.198</v>
      </c>
    </row>
    <row r="49" spans="2:8" x14ac:dyDescent="0.2">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6" t="str">
        <v>l4.3938 -7.2Z</v>
      </c>
    </row>
    <row r="51" spans="2:8" x14ac:dyDescent="0.2">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6" t="str">
        <f t="array" ref="H51:H53" xml:space="preserve"> SUBSTITUTE( svgpath($E51:$E53, $F51:$F53, INR.DecimalPlaces), "M", "L" )</f>
        <v>L-5.7343 .9638</v>
      </c>
    </row>
    <row r="52" spans="2:8" x14ac:dyDescent="0.2">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6" t="str">
        <v>l-7.2 4.3938</v>
      </c>
    </row>
    <row r="53" spans="2:8" x14ac:dyDescent="0.2">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6" t="str">
        <v>l8.198 -1.9843Z</v>
      </c>
    </row>
    <row r="56" spans="2:8" ht="17" thickBot="1" x14ac:dyDescent="0.25">
      <c r="H56" s="39" t="s">
        <v>294</v>
      </c>
    </row>
    <row r="57" spans="2:8" x14ac:dyDescent="0.2">
      <c r="H57" s="18"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x14ac:dyDescent="0.2">
      <c r="H58" s="6" t="str">
        <f xml:space="preserve"> "&lt;circle " &amp; INR.SVG_painting_B &amp; " r='" &amp; _xlfn.SINGLE(INR.Radius) &amp; "'/&gt;"</f>
        <v>&lt;circle fill='#250E62' r='16'/&gt;</v>
      </c>
    </row>
    <row r="59" spans="2:8" x14ac:dyDescent="0.2">
      <c r="H59" s="6" t="str">
        <f xml:space="preserve"> "&lt;circle " &amp; INR.SVG_painting_W &amp; " r='" &amp; (_xlfn.SINGLE(INR.Radius) * 0.875) &amp; "'/&gt;"</f>
        <v>&lt;circle fill='#FFF' r='14'/&gt;</v>
      </c>
    </row>
    <row r="60" spans="2:8" x14ac:dyDescent="0.2">
      <c r="H60" s="6"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x14ac:dyDescent="0.2">
      <c r="H61" s="6" t="str">
        <f xml:space="preserve"> "&lt;circle " &amp; INR.SVG_painting_B &amp; " r='" &amp; (_xlfn.SINGLE(INR.Radius) * 0.175) &amp; "'/&gt;"</f>
        <v>&lt;circle fill='#250E62' r='2.8'/&gt;</v>
      </c>
    </row>
    <row r="62" spans="2:8" x14ac:dyDescent="0.2">
      <c r="H62" s="36"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topLeftCell="B1" workbookViewId="0">
      <selection activeCell="B2" sqref="B2"/>
    </sheetView>
  </sheetViews>
  <sheetFormatPr baseColWidth="10" defaultRowHeight="16" x14ac:dyDescent="0.2"/>
  <sheetData>
    <row r="2" spans="6:9" x14ac:dyDescent="0.2">
      <c r="H2" s="4" t="s">
        <v>267</v>
      </c>
      <c r="I2">
        <v>1</v>
      </c>
    </row>
    <row r="3" spans="6:9" x14ac:dyDescent="0.2">
      <c r="F3" cm="1">
        <f t="array" ref="F3" xml:space="preserve"> SVG_length(KZT.svg)</f>
        <v>368</v>
      </c>
      <c r="H3" s="4" t="s">
        <v>262</v>
      </c>
      <c r="I3">
        <f xml:space="preserve"> DecimalPlaces - INT(LOG(KZT.Radius, 10) + 0.2)</f>
        <v>5</v>
      </c>
    </row>
    <row r="5" spans="6:9" x14ac:dyDescent="0.2">
      <c r="H5" s="4" t="s">
        <v>268</v>
      </c>
      <c r="I5" s="36" t="s">
        <v>762</v>
      </c>
    </row>
    <row r="6" spans="6:9" x14ac:dyDescent="0.2">
      <c r="H6" s="4" t="s">
        <v>274</v>
      </c>
      <c r="I6" s="36" t="s">
        <v>763</v>
      </c>
    </row>
    <row r="8" spans="6:9" x14ac:dyDescent="0.2">
      <c r="H8" s="4" t="s">
        <v>269</v>
      </c>
      <c r="I8">
        <f xml:space="preserve"> - KZT.Radius</f>
        <v>-1</v>
      </c>
    </row>
    <row r="9" spans="6:9" x14ac:dyDescent="0.2">
      <c r="H9" s="4" t="s">
        <v>270</v>
      </c>
      <c r="I9">
        <f xml:space="preserve"> KZT.Radius</f>
        <v>1</v>
      </c>
    </row>
    <row r="10" spans="6:9" x14ac:dyDescent="0.2">
      <c r="H10" s="4" t="s">
        <v>271</v>
      </c>
      <c r="I10">
        <f xml:space="preserve"> - KZT.Radius</f>
        <v>-1</v>
      </c>
    </row>
    <row r="11" spans="6:9" x14ac:dyDescent="0.2">
      <c r="H11" s="4" t="s">
        <v>272</v>
      </c>
      <c r="I11">
        <f xml:space="preserve"> KZT.Radius</f>
        <v>1</v>
      </c>
    </row>
    <row r="13" spans="6:9" x14ac:dyDescent="0.2">
      <c r="H13" s="4" t="s">
        <v>263</v>
      </c>
      <c r="I13" s="28">
        <f xml:space="preserve"> MODE(Circles.AreaMultiplier) * KZT.Radius^2</f>
        <v>1</v>
      </c>
    </row>
    <row r="14" spans="6:9" x14ac:dyDescent="0.2">
      <c r="H14" s="4" t="s">
        <v>264</v>
      </c>
      <c r="I14" cm="1">
        <f t="array" ref="I14" xml:space="preserve">  MAX(KZT.MaxY, - KZT.MinY)   /   MAX(KZT.MaxX, - KZT.MinX)</f>
        <v>1</v>
      </c>
    </row>
    <row r="15" spans="6:9" x14ac:dyDescent="0.2">
      <c r="H15" s="4" t="s">
        <v>265</v>
      </c>
      <c r="I15">
        <f xml:space="preserve"> VALUE(TEXT(SQRT(KZT.AreaMultiplier * BasicBBoxArea * KZT.Aspect), SVG.NumberFormatHeight))</f>
        <v>10</v>
      </c>
    </row>
    <row r="16" spans="6:9" x14ac:dyDescent="0.2">
      <c r="H16" s="4" t="s">
        <v>266</v>
      </c>
      <c r="I16">
        <f xml:space="preserve"> KZT.Height / KZT.Aspect</f>
        <v>10</v>
      </c>
    </row>
    <row r="17" spans="2:9" x14ac:dyDescent="0.2">
      <c r="H17" s="5"/>
      <c r="I17" s="5"/>
    </row>
    <row r="18" spans="2:9" ht="17" thickBot="1" x14ac:dyDescent="0.25">
      <c r="D18" s="3" t="s">
        <v>282</v>
      </c>
      <c r="E18" s="3" t="s">
        <v>281</v>
      </c>
      <c r="H18" s="4" t="s">
        <v>283</v>
      </c>
      <c r="I18" s="5" cm="1">
        <f t="array" ref="I18" xml:space="preserve"> ROUND( (SQRT(2 + Sqrt2) - Sqrt2) / 2, KZT.DecimalPlaces )</f>
        <v>0.21676999999999999</v>
      </c>
    </row>
    <row r="19" spans="2:9" x14ac:dyDescent="0.2">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0" spans="2:9" x14ac:dyDescent="0.2">
      <c r="H20" s="5"/>
      <c r="I20" s="5"/>
    </row>
    <row r="21" spans="2:9" ht="17" thickBot="1" x14ac:dyDescent="0.25">
      <c r="B21" s="3" t="s">
        <v>275</v>
      </c>
      <c r="C21" s="3" t="s">
        <v>276</v>
      </c>
      <c r="D21" s="3" t="s">
        <v>277</v>
      </c>
      <c r="E21" s="3" t="s">
        <v>278</v>
      </c>
      <c r="F21" s="3" t="s">
        <v>279</v>
      </c>
      <c r="G21" s="3" t="s">
        <v>280</v>
      </c>
      <c r="H21" s="5"/>
      <c r="I21" s="3" t="s">
        <v>273</v>
      </c>
    </row>
    <row r="22" spans="2:9" x14ac:dyDescent="0.2">
      <c r="H22" s="5"/>
      <c r="I22" s="18"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x14ac:dyDescent="0.2">
      <c r="H23" s="5"/>
      <c r="I23" s="36" t="str">
        <f xml:space="preserve"> "&lt;circle " &amp; KZT.SVG_painting_B &amp; " r='" &amp; (KZT.Radius) &amp; "'/&gt;"</f>
        <v>&lt;circle fill='#00AEC7' r='1'/&gt;</v>
      </c>
    </row>
    <row r="24" spans="2:9" x14ac:dyDescent="0.2">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H24" s="5"/>
      <c r="I24" s="36"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x14ac:dyDescent="0.2">
      <c r="H25" s="5"/>
      <c r="I25" s="36" t="s">
        <v>2263</v>
      </c>
    </row>
    <row r="26" spans="2:9" x14ac:dyDescent="0.2">
      <c r="H26" s="5"/>
      <c r="I26" s="36" t="s">
        <v>2264</v>
      </c>
    </row>
    <row r="27" spans="2:9" x14ac:dyDescent="0.2">
      <c r="H27" s="5"/>
      <c r="I27" s="36" t="s">
        <v>2265</v>
      </c>
    </row>
    <row r="28" spans="2:9" x14ac:dyDescent="0.2">
      <c r="I28" s="6"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2:P68"/>
  <sheetViews>
    <sheetView topLeftCell="B1" workbookViewId="0">
      <selection activeCell="B2" sqref="B2"/>
    </sheetView>
  </sheetViews>
  <sheetFormatPr baseColWidth="10" defaultRowHeight="16" x14ac:dyDescent="0.2"/>
  <sheetData>
    <row r="2" spans="2:16" x14ac:dyDescent="0.2">
      <c r="F2" s="5"/>
    </row>
    <row r="3" spans="2:16" x14ac:dyDescent="0.2">
      <c r="E3" t="s">
        <v>302</v>
      </c>
      <c r="F3" s="37">
        <f xml:space="preserve"> DecimalPlaces - INT(LOG(MIN(  MAX(PLN.RawX) - MIN(PLN.RawX),  MAX(PLN.RawY) - MIN(PLN.RawY)  )/2, 10) + 0.2)</f>
        <v>4</v>
      </c>
    </row>
    <row r="4" spans="2:16" x14ac:dyDescent="0.2">
      <c r="E4" s="5"/>
    </row>
    <row r="5" spans="2:16" x14ac:dyDescent="0.2">
      <c r="E5" s="4" t="s">
        <v>325</v>
      </c>
      <c r="F5">
        <v>18</v>
      </c>
    </row>
    <row r="6" spans="2:16" x14ac:dyDescent="0.2">
      <c r="E6" s="5"/>
    </row>
    <row r="7" spans="2:16" ht="17" thickBot="1" x14ac:dyDescent="0.25">
      <c r="B7" s="3" t="s">
        <v>303</v>
      </c>
      <c r="C7" s="3" t="s">
        <v>304</v>
      </c>
      <c r="D7" s="3" t="s">
        <v>305</v>
      </c>
      <c r="F7" s="3" t="s">
        <v>1751</v>
      </c>
      <c r="K7" s="3" t="s">
        <v>308</v>
      </c>
      <c r="L7" s="3" t="s">
        <v>309</v>
      </c>
      <c r="M7" s="3" t="s">
        <v>310</v>
      </c>
      <c r="N7" s="3" t="s">
        <v>311</v>
      </c>
      <c r="O7" s="3" t="s">
        <v>312</v>
      </c>
      <c r="P7" s="3" t="s">
        <v>313</v>
      </c>
    </row>
    <row r="8" spans="2:16" x14ac:dyDescent="0.2">
      <c r="B8" t="s">
        <v>23</v>
      </c>
      <c r="C8">
        <v>0</v>
      </c>
      <c r="D8">
        <v>0</v>
      </c>
      <c r="F8" t="str">
        <f t="array" ref="F8:F19" xml:space="preserve"> svgpath($C8:$C19, $D8:$D19, PLN.DecimalPlaces)</f>
        <v>M0 0</v>
      </c>
    </row>
    <row r="9" spans="2:16" x14ac:dyDescent="0.2">
      <c r="B9" t="s">
        <v>23</v>
      </c>
      <c r="C9">
        <f xml:space="preserve"> PLN.HalfSize</f>
        <v>18</v>
      </c>
      <c r="D9">
        <f xml:space="preserve"> -PLN.HalfSize / 2</f>
        <v>-9</v>
      </c>
      <c r="F9" t="str">
        <v>L18 -9</v>
      </c>
    </row>
    <row r="10" spans="2:16" x14ac:dyDescent="0.2">
      <c r="B10" t="s">
        <v>23</v>
      </c>
      <c r="C10">
        <f xml:space="preserve"> PLN.HalfSize</f>
        <v>18</v>
      </c>
      <c r="D10">
        <f xml:space="preserve"> PLN.HalfSize / 2</f>
        <v>9</v>
      </c>
      <c r="F10" t="str">
        <v>V9</v>
      </c>
    </row>
    <row r="11" spans="2:16" x14ac:dyDescent="0.2">
      <c r="B11" t="s">
        <v>23</v>
      </c>
      <c r="C11">
        <v>0</v>
      </c>
      <c r="D11">
        <v>0</v>
      </c>
      <c r="F11" t="str">
        <v>L0 0</v>
      </c>
    </row>
    <row r="12" spans="2:16" x14ac:dyDescent="0.2">
      <c r="B12" t="s">
        <v>23</v>
      </c>
      <c r="C12">
        <f xml:space="preserve"> PLN.HalfSize / 2</f>
        <v>9</v>
      </c>
      <c r="D12">
        <f xml:space="preserve"> PLN.HalfSize</f>
        <v>18</v>
      </c>
      <c r="F12" t="str">
        <v>L9 18</v>
      </c>
    </row>
    <row r="13" spans="2:16" x14ac:dyDescent="0.2">
      <c r="B13" t="s">
        <v>23</v>
      </c>
      <c r="C13">
        <f xml:space="preserve"> -PLN.HalfSize / 2</f>
        <v>-9</v>
      </c>
      <c r="D13">
        <f xml:space="preserve"> PLN.HalfSize</f>
        <v>18</v>
      </c>
      <c r="F13" t="str">
        <v>H-9</v>
      </c>
    </row>
    <row r="14" spans="2:16" x14ac:dyDescent="0.2">
      <c r="B14" t="s">
        <v>23</v>
      </c>
      <c r="C14">
        <v>0</v>
      </c>
      <c r="D14">
        <v>0</v>
      </c>
      <c r="F14" t="str">
        <v>L0 0</v>
      </c>
    </row>
    <row r="15" spans="2:16" x14ac:dyDescent="0.2">
      <c r="B15" t="s">
        <v>23</v>
      </c>
      <c r="C15">
        <f xml:space="preserve"> -PLN.HalfSize</f>
        <v>-18</v>
      </c>
      <c r="D15">
        <f xml:space="preserve"> PLN.HalfSize / 2</f>
        <v>9</v>
      </c>
      <c r="F15" t="str">
        <v>L-18 9</v>
      </c>
    </row>
    <row r="16" spans="2:16" x14ac:dyDescent="0.2">
      <c r="B16" t="s">
        <v>23</v>
      </c>
      <c r="C16">
        <f xml:space="preserve"> -PLN.HalfSize</f>
        <v>-18</v>
      </c>
      <c r="D16">
        <f xml:space="preserve"> -PLN.HalfSize / 2</f>
        <v>-9</v>
      </c>
      <c r="F16" t="str">
        <v>V-9</v>
      </c>
    </row>
    <row r="17" spans="2:16" x14ac:dyDescent="0.2">
      <c r="B17" t="s">
        <v>23</v>
      </c>
      <c r="C17">
        <v>0</v>
      </c>
      <c r="D17">
        <v>0</v>
      </c>
      <c r="F17" t="str">
        <v>L0 0</v>
      </c>
    </row>
    <row r="18" spans="2:16" x14ac:dyDescent="0.2">
      <c r="B18" t="s">
        <v>23</v>
      </c>
      <c r="C18">
        <f xml:space="preserve"> -PLN.HalfSize / 2</f>
        <v>-9</v>
      </c>
      <c r="D18">
        <f xml:space="preserve"> -PLN.HalfSize</f>
        <v>-18</v>
      </c>
      <c r="F18" t="str">
        <v>L-9 -18</v>
      </c>
    </row>
    <row r="19" spans="2:16" x14ac:dyDescent="0.2">
      <c r="B19" t="s">
        <v>23</v>
      </c>
      <c r="C19">
        <f xml:space="preserve"> PLN.HalfSize / 2</f>
        <v>9</v>
      </c>
      <c r="D19">
        <f xml:space="preserve"> -PLN.HalfSize</f>
        <v>-18</v>
      </c>
      <c r="F19" t="str">
        <v>H9Z</v>
      </c>
    </row>
    <row r="22" spans="2:16" x14ac:dyDescent="0.2">
      <c r="E22" s="4" t="s">
        <v>306</v>
      </c>
      <c r="F22">
        <f xml:space="preserve"> PLN.HalfSize / 9</f>
        <v>2</v>
      </c>
    </row>
    <row r="23" spans="2:16" x14ac:dyDescent="0.2">
      <c r="E23" s="4" t="s">
        <v>307</v>
      </c>
      <c r="F23" cm="1">
        <f t="array" ref="F23" xml:space="preserve"> COUNTIFS(PLN.Part, "Outer")</f>
        <v>12</v>
      </c>
    </row>
    <row r="25" spans="2:16" x14ac:dyDescent="0.2">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x14ac:dyDescent="0.2">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x14ac:dyDescent="0.2">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x14ac:dyDescent="0.2">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x14ac:dyDescent="0.2">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x14ac:dyDescent="0.2">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x14ac:dyDescent="0.2">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x14ac:dyDescent="0.2">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x14ac:dyDescent="0.2">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x14ac:dyDescent="0.2">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x14ac:dyDescent="0.2">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x14ac:dyDescent="0.2">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x14ac:dyDescent="0.2">
      <c r="E46" s="4" t="s">
        <v>318</v>
      </c>
      <c r="F46">
        <f xml:space="preserve"> ROUND( MIN(PLN.RawX), PLN.DecimalPlaces)</f>
        <v>-18</v>
      </c>
    </row>
    <row r="47" spans="2:16" x14ac:dyDescent="0.2">
      <c r="E47" s="4" t="s">
        <v>319</v>
      </c>
      <c r="F47">
        <f xml:space="preserve"> ROUND(MAX(PLN.RawX), PLN.DecimalPlaces)</f>
        <v>18</v>
      </c>
    </row>
    <row r="48" spans="2:16" x14ac:dyDescent="0.2">
      <c r="E48" s="4" t="s">
        <v>320</v>
      </c>
      <c r="F48">
        <f xml:space="preserve"> ROUND( MIN(PLN.RawY), PLN.DecimalPlaces)</f>
        <v>-18</v>
      </c>
    </row>
    <row r="49" spans="3:6" x14ac:dyDescent="0.2">
      <c r="E49" s="4" t="s">
        <v>321</v>
      </c>
      <c r="F49">
        <f xml:space="preserve"> ROUND(MAX(PLN.RawY), PLN.DecimalPlaces)</f>
        <v>18</v>
      </c>
    </row>
    <row r="51" spans="3:6" x14ac:dyDescent="0.2">
      <c r="E51" s="4" t="s">
        <v>314</v>
      </c>
      <c r="F51" s="28">
        <v>1.25</v>
      </c>
    </row>
    <row r="52" spans="3:6" x14ac:dyDescent="0.2">
      <c r="E52" s="4" t="s">
        <v>315</v>
      </c>
      <c r="F52">
        <f xml:space="preserve">  MAX(PLN.MaxY, - PLN.MinY)   /   MAX(PLN.MaxX, - PLN.MinX)</f>
        <v>1</v>
      </c>
    </row>
    <row r="53" spans="3:6" x14ac:dyDescent="0.2">
      <c r="E53" s="4" t="s">
        <v>316</v>
      </c>
      <c r="F53">
        <f xml:space="preserve"> VALUE(TEXT(SQRT(PLN.AreaMultiplier* BasicBBoxArea * PLN.Aspect), SVG.NumberFormatHeight))</f>
        <v>11.2</v>
      </c>
    </row>
    <row r="54" spans="3:6" x14ac:dyDescent="0.2">
      <c r="E54" s="4" t="s">
        <v>317</v>
      </c>
      <c r="F54" cm="1">
        <f t="array" ref="F54" xml:space="preserve"> PLN.Height / PLN.Aspect</f>
        <v>11.2</v>
      </c>
    </row>
    <row r="56" spans="3:6" x14ac:dyDescent="0.2">
      <c r="E56" s="4" t="s">
        <v>323</v>
      </c>
      <c r="F56" s="6" t="s">
        <v>765</v>
      </c>
    </row>
    <row r="57" spans="3:6" x14ac:dyDescent="0.2">
      <c r="E57" s="4" t="s">
        <v>324</v>
      </c>
      <c r="F57" s="6" t="s">
        <v>2091</v>
      </c>
    </row>
    <row r="58" spans="3:6" x14ac:dyDescent="0.2">
      <c r="E58" s="5"/>
      <c r="F58" s="5"/>
    </row>
    <row r="59" spans="3:6" x14ac:dyDescent="0.2">
      <c r="E59" s="5"/>
    </row>
    <row r="60" spans="3:6" x14ac:dyDescent="0.2">
      <c r="E60" s="5"/>
    </row>
    <row r="61" spans="3:6" ht="17" thickBot="1" x14ac:dyDescent="0.25">
      <c r="E61" s="5"/>
      <c r="F61" s="40" t="s">
        <v>322</v>
      </c>
    </row>
    <row r="62" spans="3:6" x14ac:dyDescent="0.2">
      <c r="C62" cm="1">
        <f t="array" ref="C62" xml:space="preserve"> SVG_length(PLN.svg)</f>
        <v>360</v>
      </c>
      <c r="E62" s="5"/>
      <c r="F62" s="18"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x14ac:dyDescent="0.2">
      <c r="E63" s="5"/>
      <c r="F63" s="36"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x14ac:dyDescent="0.2">
      <c r="F64" s="36"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5:6" x14ac:dyDescent="0.2">
      <c r="E65" s="5"/>
      <c r="F65" s="36" t="str">
        <f xml:space="preserve"> "&lt;circle " &amp; PLN.SVG_painting_R &amp; " r='" &amp; (_xlfn.SINGLE(PLN.HalfSize) / 2) &amp; "'/&gt;"</f>
        <v>&lt;circle fill='#D22630' r='9'/&gt;</v>
      </c>
    </row>
    <row r="66" spans="5:6" x14ac:dyDescent="0.2">
      <c r="F66" s="36" t="s">
        <v>15</v>
      </c>
    </row>
    <row r="68" spans="5:6" x14ac:dyDescent="0.2">
      <c r="F68" s="36"/>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G59"/>
  <sheetViews>
    <sheetView topLeftCell="B1" workbookViewId="0">
      <selection activeCell="B2" sqref="B2"/>
    </sheetView>
  </sheetViews>
  <sheetFormatPr baseColWidth="10" defaultRowHeight="16" x14ac:dyDescent="0.2"/>
  <sheetData>
    <row r="2" spans="2:6" x14ac:dyDescent="0.2">
      <c r="E2" s="4" t="s">
        <v>377</v>
      </c>
      <c r="F2">
        <f xml:space="preserve"> DecimalPlaces - INT(LOG(MIN(  MAX( RON.RawX) - MIN( RON.RawX),  MAX( RON.RawY) - MIN( RON.RawY)  )/2, 10) + 0.2)</f>
        <v>4</v>
      </c>
    </row>
    <row r="4" spans="2:6" ht="17" thickBot="1" x14ac:dyDescent="0.25">
      <c r="B4" s="3" t="s">
        <v>392</v>
      </c>
      <c r="C4" s="3" t="s">
        <v>378</v>
      </c>
      <c r="D4" s="3" t="s">
        <v>379</v>
      </c>
      <c r="F4" s="3" t="s">
        <v>1750</v>
      </c>
    </row>
    <row r="5" spans="2:6" x14ac:dyDescent="0.2">
      <c r="B5" t="s">
        <v>23</v>
      </c>
      <c r="C5">
        <v>8</v>
      </c>
      <c r="D5">
        <v>9</v>
      </c>
      <c r="F5" t="str">
        <f t="array" ref="F5:F24" xml:space="preserve"> svgpath($C5:$C24, $D5:$D24,  RON.DecimalPlaces)</f>
        <v>M8 9</v>
      </c>
    </row>
    <row r="6" spans="2:6" x14ac:dyDescent="0.2">
      <c r="B6" t="s">
        <v>23</v>
      </c>
      <c r="C6">
        <v>6</v>
      </c>
      <c r="D6">
        <v>9</v>
      </c>
      <c r="F6" t="str">
        <v>H6</v>
      </c>
    </row>
    <row r="7" spans="2:6" x14ac:dyDescent="0.2">
      <c r="B7" t="s">
        <v>23</v>
      </c>
      <c r="C7">
        <v>6</v>
      </c>
      <c r="D7">
        <v>8</v>
      </c>
      <c r="F7" t="str">
        <v>V8</v>
      </c>
    </row>
    <row r="8" spans="2:6" x14ac:dyDescent="0.2">
      <c r="B8" t="s">
        <v>23</v>
      </c>
      <c r="C8">
        <v>-6</v>
      </c>
      <c r="D8">
        <v>8</v>
      </c>
      <c r="F8" t="str">
        <v>H-6</v>
      </c>
    </row>
    <row r="9" spans="2:6" x14ac:dyDescent="0.2">
      <c r="B9" t="s">
        <v>23</v>
      </c>
      <c r="C9">
        <v>-6</v>
      </c>
      <c r="D9">
        <v>9</v>
      </c>
      <c r="F9" t="str">
        <v>V9</v>
      </c>
    </row>
    <row r="10" spans="2:6" x14ac:dyDescent="0.2">
      <c r="B10" t="s">
        <v>23</v>
      </c>
      <c r="C10">
        <v>-8</v>
      </c>
      <c r="D10">
        <v>9</v>
      </c>
      <c r="F10" t="str">
        <v>H-8</v>
      </c>
    </row>
    <row r="11" spans="2:6" x14ac:dyDescent="0.2">
      <c r="B11" t="s">
        <v>23</v>
      </c>
      <c r="C11">
        <v>-8</v>
      </c>
      <c r="D11">
        <v>7</v>
      </c>
      <c r="F11" t="str">
        <v>V7</v>
      </c>
    </row>
    <row r="12" spans="2:6" x14ac:dyDescent="0.2">
      <c r="B12" t="s">
        <v>23</v>
      </c>
      <c r="C12">
        <v>-7</v>
      </c>
      <c r="D12">
        <v>7</v>
      </c>
      <c r="F12" t="str">
        <v>h1</v>
      </c>
    </row>
    <row r="13" spans="2:6" x14ac:dyDescent="0.2">
      <c r="B13" t="s">
        <v>23</v>
      </c>
      <c r="C13">
        <v>-7</v>
      </c>
      <c r="D13">
        <v>-7</v>
      </c>
      <c r="F13" t="str">
        <v>V-7</v>
      </c>
    </row>
    <row r="14" spans="2:6" x14ac:dyDescent="0.2">
      <c r="B14" t="s">
        <v>23</v>
      </c>
      <c r="C14">
        <v>-8</v>
      </c>
      <c r="D14">
        <v>-7</v>
      </c>
      <c r="F14" t="str">
        <v>H-8</v>
      </c>
    </row>
    <row r="15" spans="2:6" x14ac:dyDescent="0.2">
      <c r="B15" t="s">
        <v>23</v>
      </c>
      <c r="C15">
        <v>-8</v>
      </c>
      <c r="D15">
        <v>-9</v>
      </c>
      <c r="F15" t="str">
        <v>V-9</v>
      </c>
    </row>
    <row r="16" spans="2:6" x14ac:dyDescent="0.2">
      <c r="B16" t="s">
        <v>23</v>
      </c>
      <c r="C16">
        <v>-6</v>
      </c>
      <c r="D16">
        <v>-9</v>
      </c>
      <c r="F16" t="str">
        <v>h2</v>
      </c>
    </row>
    <row r="17" spans="2:6" x14ac:dyDescent="0.2">
      <c r="B17" t="s">
        <v>23</v>
      </c>
      <c r="C17">
        <v>-6</v>
      </c>
      <c r="D17">
        <v>-8</v>
      </c>
      <c r="F17" t="str">
        <v>v1</v>
      </c>
    </row>
    <row r="18" spans="2:6" x14ac:dyDescent="0.2">
      <c r="B18" t="s">
        <v>23</v>
      </c>
      <c r="C18">
        <v>6</v>
      </c>
      <c r="D18">
        <v>-8</v>
      </c>
      <c r="F18" t="str">
        <v>H6</v>
      </c>
    </row>
    <row r="19" spans="2:6" x14ac:dyDescent="0.2">
      <c r="B19" t="s">
        <v>23</v>
      </c>
      <c r="C19">
        <v>6</v>
      </c>
      <c r="D19">
        <v>-9</v>
      </c>
      <c r="F19" t="str">
        <v>V-9</v>
      </c>
    </row>
    <row r="20" spans="2:6" x14ac:dyDescent="0.2">
      <c r="B20" t="s">
        <v>23</v>
      </c>
      <c r="C20">
        <v>8</v>
      </c>
      <c r="D20">
        <v>-9</v>
      </c>
      <c r="F20" t="str">
        <v>H8</v>
      </c>
    </row>
    <row r="21" spans="2:6" x14ac:dyDescent="0.2">
      <c r="B21" t="s">
        <v>23</v>
      </c>
      <c r="C21">
        <v>8</v>
      </c>
      <c r="D21">
        <v>-7</v>
      </c>
      <c r="F21" t="str">
        <v>v2</v>
      </c>
    </row>
    <row r="22" spans="2:6" x14ac:dyDescent="0.2">
      <c r="B22" t="s">
        <v>23</v>
      </c>
      <c r="C22">
        <v>7</v>
      </c>
      <c r="D22">
        <v>-7</v>
      </c>
      <c r="F22" t="str">
        <v>H7</v>
      </c>
    </row>
    <row r="23" spans="2:6" x14ac:dyDescent="0.2">
      <c r="B23" t="s">
        <v>23</v>
      </c>
      <c r="C23">
        <v>7</v>
      </c>
      <c r="D23">
        <v>7</v>
      </c>
      <c r="F23" t="str">
        <v>V7</v>
      </c>
    </row>
    <row r="24" spans="2:6" x14ac:dyDescent="0.2">
      <c r="B24" t="s">
        <v>23</v>
      </c>
      <c r="C24">
        <v>8</v>
      </c>
      <c r="D24">
        <v>7</v>
      </c>
      <c r="F24" t="str">
        <v>H8Z</v>
      </c>
    </row>
    <row r="26" spans="2:6" x14ac:dyDescent="0.2">
      <c r="C26" cm="1">
        <f t="array" ref="C26" xml:space="preserve"> MIN(ABS(C$5:C$24)) - 1</f>
        <v>5</v>
      </c>
      <c r="D26" cm="1">
        <f t="array" ref="D26" xml:space="preserve"> MIN(ABS(D$5:D$24)) - 1</f>
        <v>6</v>
      </c>
    </row>
    <row r="27" spans="2:6" x14ac:dyDescent="0.2">
      <c r="C27">
        <f xml:space="preserve"> - C26</f>
        <v>-5</v>
      </c>
      <c r="D27">
        <f xml:space="preserve"> D26</f>
        <v>6</v>
      </c>
    </row>
    <row r="28" spans="2:6" x14ac:dyDescent="0.2">
      <c r="C28">
        <f xml:space="preserve"> C27</f>
        <v>-5</v>
      </c>
      <c r="D28">
        <f xml:space="preserve"> - D27</f>
        <v>-6</v>
      </c>
    </row>
    <row r="29" spans="2:6" x14ac:dyDescent="0.2">
      <c r="C29">
        <f xml:space="preserve"> - C28</f>
        <v>5</v>
      </c>
      <c r="D29">
        <f xml:space="preserve"> D28</f>
        <v>-6</v>
      </c>
    </row>
    <row r="31" spans="2:6" x14ac:dyDescent="0.2">
      <c r="C31" cm="1">
        <f t="array" ref="C31" xml:space="preserve"> MIN(ABS(C$5:C$24)) - 3</f>
        <v>3</v>
      </c>
      <c r="D31" cm="1">
        <f t="array" ref="D31" xml:space="preserve"> MIN(ABS(D$5:D$24)) - 3</f>
        <v>4</v>
      </c>
    </row>
    <row r="32" spans="2:6" x14ac:dyDescent="0.2">
      <c r="C32">
        <f xml:space="preserve"> - C31</f>
        <v>-3</v>
      </c>
      <c r="D32">
        <f xml:space="preserve"> D31</f>
        <v>4</v>
      </c>
    </row>
    <row r="33" spans="3:7" x14ac:dyDescent="0.2">
      <c r="C33">
        <f xml:space="preserve"> C32</f>
        <v>-3</v>
      </c>
      <c r="D33">
        <f xml:space="preserve"> - D32</f>
        <v>-4</v>
      </c>
    </row>
    <row r="34" spans="3:7" x14ac:dyDescent="0.2">
      <c r="C34">
        <f xml:space="preserve"> - C33</f>
        <v>3</v>
      </c>
      <c r="D34">
        <f xml:space="preserve"> D33</f>
        <v>-4</v>
      </c>
    </row>
    <row r="37" spans="3:7" x14ac:dyDescent="0.2">
      <c r="E37" s="4" t="s">
        <v>384</v>
      </c>
      <c r="F37">
        <f xml:space="preserve"> ROUND( MIN(RON.RawX), RON.DecimalPlaces)</f>
        <v>-8</v>
      </c>
    </row>
    <row r="38" spans="3:7" x14ac:dyDescent="0.2">
      <c r="E38" s="4" t="s">
        <v>385</v>
      </c>
      <c r="F38">
        <f xml:space="preserve"> ROUND(MAX(RON.RawX), RON.DecimalPlaces)</f>
        <v>8</v>
      </c>
    </row>
    <row r="39" spans="3:7" x14ac:dyDescent="0.2">
      <c r="E39" s="4" t="s">
        <v>386</v>
      </c>
      <c r="F39">
        <f xml:space="preserve"> ROUND( MIN(RON.RawY), RON.DecimalPlaces)</f>
        <v>-9</v>
      </c>
    </row>
    <row r="40" spans="3:7" x14ac:dyDescent="0.2">
      <c r="E40" s="4" t="s">
        <v>387</v>
      </c>
      <c r="F40">
        <f xml:space="preserve"> ROUND(MAX(RON.RawY), RON.DecimalPlaces)</f>
        <v>9</v>
      </c>
    </row>
    <row r="42" spans="3:7" x14ac:dyDescent="0.2">
      <c r="E42" s="4" t="s">
        <v>390</v>
      </c>
      <c r="F42" s="6" t="s">
        <v>1510</v>
      </c>
    </row>
    <row r="43" spans="3:7" x14ac:dyDescent="0.2">
      <c r="E43" s="4" t="s">
        <v>391</v>
      </c>
      <c r="F43" s="6" t="s">
        <v>766</v>
      </c>
    </row>
    <row r="44" spans="3:7" x14ac:dyDescent="0.2">
      <c r="E44" s="4" t="s">
        <v>389</v>
      </c>
      <c r="F44" s="6" t="s">
        <v>767</v>
      </c>
    </row>
    <row r="45" spans="3:7" x14ac:dyDescent="0.2">
      <c r="G45" s="5"/>
    </row>
    <row r="46" spans="3:7" x14ac:dyDescent="0.2">
      <c r="E46" s="4" t="s">
        <v>380</v>
      </c>
      <c r="F46">
        <f xml:space="preserve"> MODE(Squares.AreaMultiplier) * (9*8) / ( 3 + (9 - 1) * (8 - 1) )</f>
        <v>1.0372881355932202</v>
      </c>
      <c r="G46" s="5"/>
    </row>
    <row r="47" spans="3:7" x14ac:dyDescent="0.2">
      <c r="E47" s="4" t="s">
        <v>381</v>
      </c>
      <c r="F47">
        <f xml:space="preserve">  MAX(RON.MaxY, - RON.MinY)   /   MAX(RON.MaxX, - RON.MinX)</f>
        <v>1.125</v>
      </c>
      <c r="G47" s="5"/>
    </row>
    <row r="48" spans="3:7" x14ac:dyDescent="0.2">
      <c r="E48" s="4" t="s">
        <v>382</v>
      </c>
      <c r="F48">
        <f xml:space="preserve"> VALUE(TEXT(SQRT( RON.AreaMultiplier * BasicBBoxArea *  RON.Aspect), SVG.NumberFormatHeight))</f>
        <v>10.8</v>
      </c>
      <c r="G48" s="5"/>
    </row>
    <row r="49" spans="5:7" x14ac:dyDescent="0.2">
      <c r="E49" s="4" t="s">
        <v>383</v>
      </c>
      <c r="F49" cm="1">
        <f t="array" ref="F49" xml:space="preserve">  RON.Height /  RON.Aspect</f>
        <v>9.6000000000000014</v>
      </c>
      <c r="G49" s="5"/>
    </row>
    <row r="50" spans="5:7" x14ac:dyDescent="0.2">
      <c r="E50" s="5"/>
      <c r="F50" s="5"/>
      <c r="G50" s="5"/>
    </row>
    <row r="51" spans="5:7" x14ac:dyDescent="0.2">
      <c r="E51" s="5"/>
      <c r="F51" s="5"/>
      <c r="G51" s="5"/>
    </row>
    <row r="52" spans="5:7" ht="17" thickBot="1" x14ac:dyDescent="0.25">
      <c r="E52" s="5"/>
      <c r="F52" s="3" t="s">
        <v>388</v>
      </c>
    </row>
    <row r="53" spans="5:7" x14ac:dyDescent="0.2">
      <c r="E53" s="5"/>
      <c r="F53" s="18"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7" x14ac:dyDescent="0.2">
      <c r="E54" s="5"/>
      <c r="F54" s="6"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7" x14ac:dyDescent="0.2">
      <c r="E55" s="5"/>
      <c r="F55" s="6" t="str" cm="1">
        <f t="array" ref="F55" xml:space="preserve"> svgPathRect(RON.DecimalPlaces, RON.SVG_painting_2, $C$26, $D$26)</f>
        <v>&lt;path fill='#FCD116' d='M5 6V-6H-5V6Z'/&gt;</v>
      </c>
    </row>
    <row r="56" spans="5:7" x14ac:dyDescent="0.2">
      <c r="E56" s="5"/>
      <c r="F56" s="6" t="str" cm="1">
        <f t="array" ref="F56" xml:space="preserve"> svgPathRect(RON.DecimalPlaces, RON.SVG_painting_1, $C$31, $D$31)</f>
        <v>&lt;path fill='#CE1126' d='M3 4V-4H-3V4Z'/&gt;</v>
      </c>
    </row>
    <row r="57" spans="5:7" x14ac:dyDescent="0.2">
      <c r="E57" s="5"/>
      <c r="F57" s="6" t="s">
        <v>15</v>
      </c>
    </row>
    <row r="58" spans="5:7" x14ac:dyDescent="0.2">
      <c r="E58" s="5"/>
    </row>
    <row r="59" spans="5:7" x14ac:dyDescent="0.2">
      <c r="E59" s="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8"/>
  <sheetViews>
    <sheetView topLeftCell="B1" workbookViewId="0">
      <selection activeCell="B2" sqref="B2"/>
    </sheetView>
  </sheetViews>
  <sheetFormatPr baseColWidth="10" defaultRowHeight="16" x14ac:dyDescent="0.2"/>
  <sheetData>
    <row r="2" spans="2:6" ht="17" thickBot="1" x14ac:dyDescent="0.25">
      <c r="B2" s="3" t="s">
        <v>2077</v>
      </c>
      <c r="C2" s="3" t="s">
        <v>2078</v>
      </c>
      <c r="F2" t="s">
        <v>395</v>
      </c>
    </row>
    <row r="3" spans="2:6" x14ac:dyDescent="0.2">
      <c r="B3">
        <v>7</v>
      </c>
      <c r="C3">
        <f xml:space="preserve"> MKD.Big - 2 * MKD.Big / (MKD.Big + 1)</f>
        <v>5.25</v>
      </c>
      <c r="E3" s="5"/>
      <c r="F3" s="38">
        <f xml:space="preserve"> DecimalPlaces - INT(LOG(MIN(  MAX( MKD.RawX) - MIN( MKD.RawX),  MAX( MKD.RawY) - MIN( MKD.RawY)  )/2, 10) + 0.2)</f>
        <v>4</v>
      </c>
    </row>
    <row r="5" spans="2:6" ht="17" thickBot="1" x14ac:dyDescent="0.25">
      <c r="B5" s="3" t="s">
        <v>2073</v>
      </c>
      <c r="C5" s="3" t="s">
        <v>2074</v>
      </c>
      <c r="D5" s="3" t="s">
        <v>2075</v>
      </c>
      <c r="F5" s="3" t="s">
        <v>2076</v>
      </c>
    </row>
    <row r="6" spans="2:6" x14ac:dyDescent="0.2">
      <c r="B6" t="s">
        <v>1024</v>
      </c>
      <c r="C6">
        <f xml:space="preserve"> MKD.Big</f>
        <v>7</v>
      </c>
      <c r="D6">
        <f xml:space="preserve"> MKD.Little</f>
        <v>5.25</v>
      </c>
      <c r="F6" t="str" cm="1">
        <f t="array" ref="F6:F25" xml:space="preserve"> svgpath($C6:$C25, $D6:$D25,  MKD.DecimalPlaces)</f>
        <v>M7 5.25</v>
      </c>
    </row>
    <row r="7" spans="2:6" x14ac:dyDescent="0.2">
      <c r="B7" t="s">
        <v>1024</v>
      </c>
      <c r="C7">
        <f xml:space="preserve"> MKD.Little</f>
        <v>5.25</v>
      </c>
      <c r="D7">
        <f xml:space="preserve"> MKD.Big</f>
        <v>7</v>
      </c>
      <c r="F7" t="str">
        <v>L5.25 7</v>
      </c>
    </row>
    <row r="8" spans="2:6" x14ac:dyDescent="0.2">
      <c r="B8" t="s">
        <v>1024</v>
      </c>
      <c r="C8">
        <v>1</v>
      </c>
      <c r="D8">
        <f xml:space="preserve"> MKD.Big</f>
        <v>7</v>
      </c>
      <c r="F8" t="str">
        <v>H1</v>
      </c>
    </row>
    <row r="9" spans="2:6" x14ac:dyDescent="0.2">
      <c r="B9" t="s">
        <v>1024</v>
      </c>
      <c r="C9">
        <v>0</v>
      </c>
      <c r="D9">
        <f xml:space="preserve"> MKD.Big - 1</f>
        <v>6</v>
      </c>
      <c r="F9" t="str">
        <v>L0 6</v>
      </c>
    </row>
    <row r="10" spans="2:6" x14ac:dyDescent="0.2">
      <c r="B10" t="s">
        <v>1024</v>
      </c>
      <c r="C10">
        <v>-1</v>
      </c>
      <c r="D10">
        <f xml:space="preserve"> MKD.Big</f>
        <v>7</v>
      </c>
      <c r="F10" t="str">
        <v>L-1 7</v>
      </c>
    </row>
    <row r="11" spans="2:6" x14ac:dyDescent="0.2">
      <c r="B11" t="s">
        <v>1024</v>
      </c>
      <c r="C11">
        <f xml:space="preserve"> - MKD.Little</f>
        <v>-5.25</v>
      </c>
      <c r="D11">
        <f xml:space="preserve"> MKD.Big</f>
        <v>7</v>
      </c>
      <c r="F11" t="str">
        <v>H-5.25</v>
      </c>
    </row>
    <row r="12" spans="2:6" x14ac:dyDescent="0.2">
      <c r="B12" t="s">
        <v>1024</v>
      </c>
      <c r="C12">
        <f xml:space="preserve"> - MKD.Big</f>
        <v>-7</v>
      </c>
      <c r="D12">
        <f xml:space="preserve"> MKD.Little</f>
        <v>5.25</v>
      </c>
      <c r="F12" t="str">
        <v>L-7 5.25</v>
      </c>
    </row>
    <row r="13" spans="2:6" x14ac:dyDescent="0.2">
      <c r="B13" t="s">
        <v>1024</v>
      </c>
      <c r="C13">
        <f xml:space="preserve"> - MKD.Big</f>
        <v>-7</v>
      </c>
      <c r="D13">
        <v>1</v>
      </c>
      <c r="F13" t="str">
        <v>V1</v>
      </c>
    </row>
    <row r="14" spans="2:6" x14ac:dyDescent="0.2">
      <c r="B14" t="s">
        <v>1024</v>
      </c>
      <c r="C14">
        <f xml:space="preserve"> 1 - MKD.Big</f>
        <v>-6</v>
      </c>
      <c r="D14">
        <v>0</v>
      </c>
      <c r="F14" t="str">
        <v>L-6 0</v>
      </c>
    </row>
    <row r="15" spans="2:6" x14ac:dyDescent="0.2">
      <c r="B15" t="s">
        <v>1024</v>
      </c>
      <c r="C15">
        <f xml:space="preserve"> - MKD.Big</f>
        <v>-7</v>
      </c>
      <c r="D15">
        <v>-1</v>
      </c>
      <c r="F15" t="str">
        <v>L-7 -1</v>
      </c>
    </row>
    <row r="16" spans="2:6" x14ac:dyDescent="0.2">
      <c r="B16" t="s">
        <v>1024</v>
      </c>
      <c r="C16">
        <f xml:space="preserve"> - MKD.Big</f>
        <v>-7</v>
      </c>
      <c r="D16">
        <f xml:space="preserve"> - MKD.Little</f>
        <v>-5.25</v>
      </c>
      <c r="F16" t="str">
        <v>V-5.25</v>
      </c>
    </row>
    <row r="17" spans="2:10" x14ac:dyDescent="0.2">
      <c r="B17" t="s">
        <v>1024</v>
      </c>
      <c r="C17">
        <f xml:space="preserve"> - MKD.Little</f>
        <v>-5.25</v>
      </c>
      <c r="D17">
        <f xml:space="preserve"> - MKD.Big</f>
        <v>-7</v>
      </c>
      <c r="F17" t="str">
        <v>L-5.25 -7</v>
      </c>
    </row>
    <row r="18" spans="2:10" x14ac:dyDescent="0.2">
      <c r="B18" t="s">
        <v>1024</v>
      </c>
      <c r="C18">
        <v>-1</v>
      </c>
      <c r="D18">
        <f xml:space="preserve"> - MKD.Big</f>
        <v>-7</v>
      </c>
      <c r="F18" t="str">
        <v>H-1</v>
      </c>
    </row>
    <row r="19" spans="2:10" x14ac:dyDescent="0.2">
      <c r="B19" t="s">
        <v>1024</v>
      </c>
      <c r="C19">
        <v>0</v>
      </c>
      <c r="D19">
        <f xml:space="preserve"> 1 - MKD.Big</f>
        <v>-6</v>
      </c>
      <c r="F19" t="str">
        <v>l1 1</v>
      </c>
    </row>
    <row r="20" spans="2:10" x14ac:dyDescent="0.2">
      <c r="B20" t="s">
        <v>1024</v>
      </c>
      <c r="C20">
        <v>1</v>
      </c>
      <c r="D20">
        <f xml:space="preserve"> - MKD.Big</f>
        <v>-7</v>
      </c>
      <c r="F20" t="str">
        <v>L1 -7</v>
      </c>
    </row>
    <row r="21" spans="2:10" x14ac:dyDescent="0.2">
      <c r="B21" t="s">
        <v>1024</v>
      </c>
      <c r="C21">
        <f xml:space="preserve"> MKD.Little</f>
        <v>5.25</v>
      </c>
      <c r="D21">
        <f xml:space="preserve"> - MKD.Big</f>
        <v>-7</v>
      </c>
      <c r="F21" t="str">
        <v>H5.25</v>
      </c>
    </row>
    <row r="22" spans="2:10" x14ac:dyDescent="0.2">
      <c r="B22" t="s">
        <v>1024</v>
      </c>
      <c r="C22">
        <f xml:space="preserve"> MKD.Big</f>
        <v>7</v>
      </c>
      <c r="D22">
        <f xml:space="preserve"> - MKD.Little</f>
        <v>-5.25</v>
      </c>
      <c r="F22" t="str">
        <v>L7 -5.25</v>
      </c>
    </row>
    <row r="23" spans="2:10" x14ac:dyDescent="0.2">
      <c r="B23" t="s">
        <v>1024</v>
      </c>
      <c r="C23">
        <f xml:space="preserve"> MKD.Big</f>
        <v>7</v>
      </c>
      <c r="D23">
        <v>-1</v>
      </c>
      <c r="F23" t="str">
        <v>V-1</v>
      </c>
    </row>
    <row r="24" spans="2:10" x14ac:dyDescent="0.2">
      <c r="B24" t="s">
        <v>1024</v>
      </c>
      <c r="C24">
        <f xml:space="preserve"> MKD.Big - 1</f>
        <v>6</v>
      </c>
      <c r="D24">
        <v>0</v>
      </c>
      <c r="F24" t="str">
        <v>L6 0</v>
      </c>
    </row>
    <row r="25" spans="2:10" x14ac:dyDescent="0.2">
      <c r="B25" t="s">
        <v>1024</v>
      </c>
      <c r="C25">
        <f xml:space="preserve"> MKD.Big</f>
        <v>7</v>
      </c>
      <c r="D25">
        <v>1</v>
      </c>
      <c r="F25" t="str">
        <v>L7 1Z</v>
      </c>
      <c r="J25" t="s">
        <v>2082</v>
      </c>
    </row>
    <row r="26" spans="2:10" x14ac:dyDescent="0.2">
      <c r="J26" t="s">
        <v>2083</v>
      </c>
    </row>
    <row r="27" spans="2:10" x14ac:dyDescent="0.2">
      <c r="B27" t="s">
        <v>1028</v>
      </c>
      <c r="C27">
        <v>1</v>
      </c>
      <c r="D27">
        <f xml:space="preserve"> MKD.Big</f>
        <v>7</v>
      </c>
      <c r="F27" t="str" cm="1">
        <f t="array" ref="F27:F30" xml:space="preserve"> svgpath($C27:$C30, $D27:$D30,  MKD.DecimalPlaces)</f>
        <v>M1 7</v>
      </c>
    </row>
    <row r="28" spans="2:10" x14ac:dyDescent="0.2">
      <c r="B28" t="s">
        <v>1028</v>
      </c>
      <c r="C28">
        <v>-1</v>
      </c>
      <c r="D28">
        <f xml:space="preserve"> MKD.Big</f>
        <v>7</v>
      </c>
      <c r="F28" t="str">
        <v>H-1</v>
      </c>
      <c r="J28" t="s">
        <v>2084</v>
      </c>
    </row>
    <row r="29" spans="2:10" x14ac:dyDescent="0.2">
      <c r="B29" t="s">
        <v>1028</v>
      </c>
      <c r="C29">
        <v>1</v>
      </c>
      <c r="D29">
        <f xml:space="preserve"> - MKD.Big</f>
        <v>-7</v>
      </c>
      <c r="F29" t="str">
        <v>L1 -7</v>
      </c>
      <c r="J29" t="s">
        <v>2085</v>
      </c>
    </row>
    <row r="30" spans="2:10" x14ac:dyDescent="0.2">
      <c r="B30" t="s">
        <v>1028</v>
      </c>
      <c r="C30">
        <v>-1</v>
      </c>
      <c r="D30">
        <f xml:space="preserve"> - MKD.Big</f>
        <v>-7</v>
      </c>
      <c r="F30" t="str">
        <v>H-1Z</v>
      </c>
      <c r="J30" t="s">
        <v>2086</v>
      </c>
    </row>
    <row r="32" spans="2:10" x14ac:dyDescent="0.2">
      <c r="B32" t="s">
        <v>1028</v>
      </c>
      <c r="C32">
        <f xml:space="preserve"> D27</f>
        <v>7</v>
      </c>
      <c r="D32">
        <f xml:space="preserve"> C27</f>
        <v>1</v>
      </c>
      <c r="F32" t="str" cm="1">
        <f t="array" ref="F32:F35" xml:space="preserve"> svgpath($C32:$C35, $D32:$D35,  MKD.DecimalPlaces)</f>
        <v>M7 1</v>
      </c>
    </row>
    <row r="33" spans="2:6" x14ac:dyDescent="0.2">
      <c r="B33" t="s">
        <v>1028</v>
      </c>
      <c r="C33">
        <f t="shared" ref="C33:C35" si="0" xml:space="preserve"> D28</f>
        <v>7</v>
      </c>
      <c r="D33">
        <f t="shared" ref="D33:D35" si="1" xml:space="preserve"> C28</f>
        <v>-1</v>
      </c>
      <c r="F33" t="str">
        <v>V-1</v>
      </c>
    </row>
    <row r="34" spans="2:6" x14ac:dyDescent="0.2">
      <c r="B34" t="s">
        <v>1028</v>
      </c>
      <c r="C34">
        <f t="shared" si="0"/>
        <v>-7</v>
      </c>
      <c r="D34">
        <f t="shared" si="1"/>
        <v>1</v>
      </c>
      <c r="F34" t="str">
        <v>L-7 1</v>
      </c>
    </row>
    <row r="35" spans="2:6" x14ac:dyDescent="0.2">
      <c r="B35" t="s">
        <v>1028</v>
      </c>
      <c r="C35">
        <f t="shared" si="0"/>
        <v>-7</v>
      </c>
      <c r="D35">
        <f t="shared" si="1"/>
        <v>-1</v>
      </c>
      <c r="F35" t="str">
        <v>V-1Z</v>
      </c>
    </row>
    <row r="37" spans="2:6" x14ac:dyDescent="0.2">
      <c r="B37" t="s">
        <v>1028</v>
      </c>
      <c r="C37">
        <f xml:space="preserve"> MKD.Little</f>
        <v>5.25</v>
      </c>
      <c r="D37">
        <f xml:space="preserve"> MKD.Big</f>
        <v>7</v>
      </c>
      <c r="F37" t="str" cm="1">
        <f t="array" ref="F37:F42" xml:space="preserve"> svgpath($C37:$C42, $D37:$D42,  MKD.DecimalPlaces)</f>
        <v>M5.25 7</v>
      </c>
    </row>
    <row r="38" spans="2:6" x14ac:dyDescent="0.2">
      <c r="B38" t="s">
        <v>1028</v>
      </c>
      <c r="C38">
        <f xml:space="preserve"> MKD.Big</f>
        <v>7</v>
      </c>
      <c r="D38">
        <f xml:space="preserve"> MKD.Big</f>
        <v>7</v>
      </c>
      <c r="F38" t="str">
        <v>H7</v>
      </c>
    </row>
    <row r="39" spans="2:6" x14ac:dyDescent="0.2">
      <c r="B39" t="s">
        <v>1028</v>
      </c>
      <c r="C39">
        <f xml:space="preserve"> MKD.Big</f>
        <v>7</v>
      </c>
      <c r="D39">
        <f xml:space="preserve"> MKD.Little</f>
        <v>5.25</v>
      </c>
      <c r="F39" t="str">
        <v>V5.25</v>
      </c>
    </row>
    <row r="40" spans="2:6" x14ac:dyDescent="0.2">
      <c r="B40" t="s">
        <v>1028</v>
      </c>
      <c r="C40">
        <f xml:space="preserve"> - MKD.Big</f>
        <v>-7</v>
      </c>
      <c r="D40">
        <f xml:space="preserve"> - MKD.Little</f>
        <v>-5.25</v>
      </c>
      <c r="F40" t="str">
        <v>L-7 -5.25</v>
      </c>
    </row>
    <row r="41" spans="2:6" x14ac:dyDescent="0.2">
      <c r="B41" t="s">
        <v>1028</v>
      </c>
      <c r="C41">
        <f xml:space="preserve"> - MKD.Big</f>
        <v>-7</v>
      </c>
      <c r="D41">
        <f xml:space="preserve"> - MKD.Big</f>
        <v>-7</v>
      </c>
      <c r="F41" t="str">
        <v>V-7</v>
      </c>
    </row>
    <row r="42" spans="2:6" x14ac:dyDescent="0.2">
      <c r="B42" t="s">
        <v>1028</v>
      </c>
      <c r="C42">
        <f xml:space="preserve"> - MKD.Little</f>
        <v>-5.25</v>
      </c>
      <c r="D42">
        <f xml:space="preserve"> - MKD.Big</f>
        <v>-7</v>
      </c>
      <c r="F42" t="str">
        <v>h1.75Z</v>
      </c>
    </row>
    <row r="44" spans="2:6" x14ac:dyDescent="0.2">
      <c r="B44" t="s">
        <v>1028</v>
      </c>
      <c r="C44">
        <f xml:space="preserve"> - C37</f>
        <v>-5.25</v>
      </c>
      <c r="D44">
        <f xml:space="preserve"> D37</f>
        <v>7</v>
      </c>
      <c r="F44" t="str" cm="1">
        <f t="array" ref="F44:F49" xml:space="preserve"> svgpath($C44:$C49, $D44:$D49,  MKD.DecimalPlaces)</f>
        <v>M-5.25 7</v>
      </c>
    </row>
    <row r="45" spans="2:6" x14ac:dyDescent="0.2">
      <c r="B45" t="s">
        <v>1028</v>
      </c>
      <c r="C45">
        <f t="shared" ref="C45:C49" si="2" xml:space="preserve"> - C38</f>
        <v>-7</v>
      </c>
      <c r="D45">
        <f t="shared" ref="D45:D49" si="3" xml:space="preserve"> D38</f>
        <v>7</v>
      </c>
      <c r="F45" t="str">
        <v>H-7</v>
      </c>
    </row>
    <row r="46" spans="2:6" x14ac:dyDescent="0.2">
      <c r="B46" t="s">
        <v>1028</v>
      </c>
      <c r="C46">
        <f t="shared" si="2"/>
        <v>-7</v>
      </c>
      <c r="D46">
        <f t="shared" si="3"/>
        <v>5.25</v>
      </c>
      <c r="F46" t="str">
        <v>V5.25</v>
      </c>
    </row>
    <row r="47" spans="2:6" x14ac:dyDescent="0.2">
      <c r="B47" t="s">
        <v>1028</v>
      </c>
      <c r="C47">
        <f t="shared" si="2"/>
        <v>7</v>
      </c>
      <c r="D47">
        <f t="shared" si="3"/>
        <v>-5.25</v>
      </c>
      <c r="F47" t="str">
        <v>L7 -5.25</v>
      </c>
    </row>
    <row r="48" spans="2:6" x14ac:dyDescent="0.2">
      <c r="B48" t="s">
        <v>1028</v>
      </c>
      <c r="C48">
        <f t="shared" si="2"/>
        <v>7</v>
      </c>
      <c r="D48">
        <f t="shared" si="3"/>
        <v>-7</v>
      </c>
      <c r="F48" t="str">
        <v>V-7</v>
      </c>
    </row>
    <row r="49" spans="2:7" x14ac:dyDescent="0.2">
      <c r="B49" t="s">
        <v>1028</v>
      </c>
      <c r="C49">
        <f t="shared" si="2"/>
        <v>5.25</v>
      </c>
      <c r="D49">
        <f t="shared" si="3"/>
        <v>-7</v>
      </c>
      <c r="F49" t="str">
        <v>H5.25Z</v>
      </c>
    </row>
    <row r="52" spans="2:7" x14ac:dyDescent="0.2">
      <c r="E52" s="4" t="s">
        <v>400</v>
      </c>
      <c r="F52">
        <f xml:space="preserve"> ROUND( MIN(MKD.RawX), MKD.DecimalPlaces)</f>
        <v>-7</v>
      </c>
    </row>
    <row r="53" spans="2:7" x14ac:dyDescent="0.2">
      <c r="E53" s="4" t="s">
        <v>401</v>
      </c>
      <c r="F53">
        <f xml:space="preserve"> ROUND(MAX(MKD.RawX), MKD.DecimalPlaces)</f>
        <v>7</v>
      </c>
    </row>
    <row r="54" spans="2:7" x14ac:dyDescent="0.2">
      <c r="E54" s="4" t="s">
        <v>402</v>
      </c>
      <c r="F54">
        <f xml:space="preserve"> ROUND( MIN(MKD.RawY), MKD.DecimalPlaces)</f>
        <v>-7</v>
      </c>
    </row>
    <row r="55" spans="2:7" x14ac:dyDescent="0.2">
      <c r="E55" s="4" t="s">
        <v>403</v>
      </c>
      <c r="F55">
        <f xml:space="preserve"> ROUND(MAX(MKD.RawY), MKD.DecimalPlaces)</f>
        <v>7</v>
      </c>
    </row>
    <row r="57" spans="2:7" x14ac:dyDescent="0.2">
      <c r="E57" s="4" t="s">
        <v>1025</v>
      </c>
      <c r="F57" s="6" t="s">
        <v>768</v>
      </c>
    </row>
    <row r="58" spans="2:7" x14ac:dyDescent="0.2">
      <c r="E58" s="4" t="s">
        <v>1026</v>
      </c>
      <c r="F58" s="6" t="s">
        <v>769</v>
      </c>
    </row>
    <row r="59" spans="2:7" x14ac:dyDescent="0.2">
      <c r="G59" s="5"/>
    </row>
    <row r="60" spans="2:7" x14ac:dyDescent="0.2">
      <c r="E60" s="4" t="s">
        <v>396</v>
      </c>
      <c r="F60">
        <f xml:space="preserve"> MODE(Squares.AreaMultiplier)</f>
        <v>0.85</v>
      </c>
      <c r="G60" s="5"/>
    </row>
    <row r="61" spans="2:7" x14ac:dyDescent="0.2">
      <c r="E61" s="4" t="s">
        <v>397</v>
      </c>
      <c r="F61">
        <f xml:space="preserve">  MAX(MKD.MaxY, - MKD.MinY)   /   MAX(MKD.MaxX, - MKD.MinX)</f>
        <v>1</v>
      </c>
      <c r="G61" s="5"/>
    </row>
    <row r="62" spans="2:7" x14ac:dyDescent="0.2">
      <c r="E62" s="4" t="s">
        <v>398</v>
      </c>
      <c r="F62">
        <f xml:space="preserve"> VALUE(TEXT(SQRT( MKD.AreaMultiplier * BasicBBoxArea *  MKD.Aspect), SVG.NumberFormatHeight))</f>
        <v>9.1999999999999993</v>
      </c>
      <c r="G62" s="5"/>
    </row>
    <row r="63" spans="2:7" x14ac:dyDescent="0.2">
      <c r="E63" s="4" t="s">
        <v>399</v>
      </c>
      <c r="F63">
        <f xml:space="preserve">  MKD.Height /  MKD.Aspect</f>
        <v>9.1999999999999993</v>
      </c>
      <c r="G63" s="5"/>
    </row>
    <row r="64" spans="2:7" x14ac:dyDescent="0.2">
      <c r="E64" s="5"/>
      <c r="F64" s="5"/>
      <c r="G64" s="5"/>
    </row>
    <row r="65" spans="4:7" x14ac:dyDescent="0.2">
      <c r="E65" s="5"/>
      <c r="F65" s="5">
        <f xml:space="preserve"> MKD.MaxX*2/7</f>
        <v>2</v>
      </c>
      <c r="G65" s="5"/>
    </row>
    <row r="66" spans="4:7" x14ac:dyDescent="0.2">
      <c r="E66" s="5"/>
      <c r="F66" s="5">
        <f xml:space="preserve"> F65 * AVERAGE(1, 1.25)</f>
        <v>2.25</v>
      </c>
      <c r="G66" s="5"/>
    </row>
    <row r="67" spans="4:7" x14ac:dyDescent="0.2">
      <c r="E67" s="4" t="s">
        <v>1027</v>
      </c>
      <c r="F67" s="5">
        <f xml:space="preserve"> ROUND(AVERAGE(F$65:F$66), MKD.DecimalPlaces - 4)</f>
        <v>2</v>
      </c>
      <c r="G67" s="5"/>
    </row>
    <row r="68" spans="4:7" x14ac:dyDescent="0.2">
      <c r="E68" s="5"/>
      <c r="F68" s="5"/>
      <c r="G68" s="5"/>
    </row>
    <row r="69" spans="4:7" ht="17" thickBot="1" x14ac:dyDescent="0.25">
      <c r="E69" s="5"/>
      <c r="F69" s="3" t="s">
        <v>404</v>
      </c>
    </row>
    <row r="70" spans="4:7" x14ac:dyDescent="0.2">
      <c r="D70" cm="1">
        <f t="array" ref="D70" xml:space="preserve"> SVG_length(MKD.svg)</f>
        <v>388</v>
      </c>
      <c r="E70" s="5"/>
      <c r="F70" s="18"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7" x14ac:dyDescent="0.2">
      <c r="E71" s="5"/>
      <c r="F71" s="6"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7" x14ac:dyDescent="0.2">
      <c r="E72" s="5"/>
      <c r="F72" s="6" t="str">
        <f xml:space="preserve"> "&lt;g " &amp; IF(LEN(_xlfn.SINGLE(MKD.SVG_painting_Y))&gt;0, TRIM(_xlfn.SINGLE(MKD.SVG_painting_Y)), "") &amp; "&gt;"</f>
        <v>&lt;g fill='#F9D616'&gt;</v>
      </c>
    </row>
    <row r="73" spans="4:7" x14ac:dyDescent="0.2">
      <c r="E73" s="5"/>
      <c r="F73" s="6" t="str" cm="1">
        <f t="array" ref="F73" xml:space="preserve"> "&lt;path d='" &amp; _xlfn.TEXTJOIN(" ", TRUE,  IF("Yellow"=MKD.Part, MKD.svgWorking, "")) &amp; "'/&gt;"</f>
        <v>&lt;path d='M1 7 H-1 L1 -7 H-1Z M7 1 V-1 L-7 1 V-1Z M5.25 7 H7 V5.25 L-7 -5.25 V-7 h1.75Z M-5.25 7 H-7 V5.25 L7 -5.25 V-7 H5.25Z'/&gt;</v>
      </c>
    </row>
    <row r="74" spans="4:7" x14ac:dyDescent="0.2">
      <c r="E74" s="5"/>
      <c r="F74" s="6" t="str">
        <f>"&lt;circle r='" &amp; MKD.Radius &amp; "'/&gt;"</f>
        <v>&lt;circle r='2'/&gt;</v>
      </c>
    </row>
    <row r="75" spans="4:7" x14ac:dyDescent="0.2">
      <c r="E75" s="5"/>
      <c r="F75" s="6" t="s">
        <v>2079</v>
      </c>
    </row>
    <row r="76" spans="4:7" x14ac:dyDescent="0.2">
      <c r="E76" s="5"/>
      <c r="F76" s="6" t="s">
        <v>15</v>
      </c>
    </row>
    <row r="77" spans="4:7" x14ac:dyDescent="0.2">
      <c r="E77" s="5"/>
    </row>
    <row r="78" spans="4:7" x14ac:dyDescent="0.2">
      <c r="E78" s="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dimension ref="B2:G43"/>
  <sheetViews>
    <sheetView topLeftCell="B1" workbookViewId="0">
      <selection activeCell="B2" sqref="B2"/>
    </sheetView>
  </sheetViews>
  <sheetFormatPr baseColWidth="10" defaultRowHeight="16" x14ac:dyDescent="0.2"/>
  <sheetData>
    <row r="2" spans="2:6" ht="17" thickBot="1" x14ac:dyDescent="0.25">
      <c r="C2" s="80" t="s">
        <v>2343</v>
      </c>
      <c r="D2" s="80" t="s">
        <v>2344</v>
      </c>
      <c r="F2" t="s">
        <v>2345</v>
      </c>
    </row>
    <row r="3" spans="2:6" x14ac:dyDescent="0.2">
      <c r="C3">
        <f>AZN.SizeOuter / 2</f>
        <v>27</v>
      </c>
      <c r="D3" s="81">
        <v>54</v>
      </c>
      <c r="E3" s="5"/>
      <c r="F3" s="38" cm="1">
        <f t="array" ref="F3" xml:space="preserve"> DecimalPlaces - INT(LOG(MIN(  AZN.MaxX - AZN.MinX,  AZN.MaxY - AZN.MinY  )/2, 10) + 0.2)</f>
        <v>4</v>
      </c>
    </row>
    <row r="5" spans="2:6" ht="17" thickBot="1" x14ac:dyDescent="0.25">
      <c r="B5" s="3" t="s">
        <v>2360</v>
      </c>
      <c r="C5" s="3" t="s">
        <v>2346</v>
      </c>
      <c r="D5" s="3" t="s">
        <v>2347</v>
      </c>
      <c r="F5" s="3" t="s">
        <v>2348</v>
      </c>
    </row>
    <row r="6" spans="2:6" x14ac:dyDescent="0.2">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x14ac:dyDescent="0.2">
      <c r="B7">
        <v>1</v>
      </c>
      <c r="C7">
        <v>10.332452673857425</v>
      </c>
      <c r="D7">
        <v>24.944747377804742</v>
      </c>
      <c r="F7" t="str">
        <v>l10.3325 29.0553</v>
      </c>
    </row>
    <row r="8" spans="2:6" x14ac:dyDescent="0.2">
      <c r="B8">
        <v>2</v>
      </c>
      <c r="C8">
        <v>38.183766184073562</v>
      </c>
      <c r="D8">
        <v>38.183766184073569</v>
      </c>
      <c r="F8" t="str">
        <v>L38.1838 -38.1838</v>
      </c>
    </row>
    <row r="9" spans="2:6" x14ac:dyDescent="0.2">
      <c r="B9">
        <v>3</v>
      </c>
      <c r="C9">
        <v>24.944747377804742</v>
      </c>
      <c r="D9">
        <v>10.332452673857425</v>
      </c>
      <c r="F9" t="str">
        <v>L24.9447 -10.3325</v>
      </c>
    </row>
    <row r="10" spans="2:6" x14ac:dyDescent="0.2">
      <c r="B10">
        <v>4</v>
      </c>
      <c r="C10">
        <v>54</v>
      </c>
      <c r="D10">
        <v>3.307900828253274E-15</v>
      </c>
      <c r="F10" t="str">
        <v>L54 0</v>
      </c>
    </row>
    <row r="11" spans="2:6" x14ac:dyDescent="0.2">
      <c r="B11">
        <v>5</v>
      </c>
      <c r="C11">
        <v>24.944747377804742</v>
      </c>
      <c r="D11">
        <v>-10.332452673857423</v>
      </c>
      <c r="F11" t="str">
        <v>L24.9447 10.3325</v>
      </c>
    </row>
    <row r="12" spans="2:6" x14ac:dyDescent="0.2">
      <c r="B12">
        <v>6</v>
      </c>
      <c r="C12">
        <v>38.183766184073569</v>
      </c>
      <c r="D12">
        <v>-38.183766184073562</v>
      </c>
      <c r="F12" t="str">
        <v>L38.1838 38.1838</v>
      </c>
    </row>
    <row r="13" spans="2:6" x14ac:dyDescent="0.2">
      <c r="B13">
        <v>7</v>
      </c>
      <c r="C13">
        <v>10.332452673857427</v>
      </c>
      <c r="D13">
        <v>-24.944747377804742</v>
      </c>
      <c r="F13" t="str">
        <v>L10.3325 24.9447</v>
      </c>
    </row>
    <row r="14" spans="2:6" x14ac:dyDescent="0.2">
      <c r="B14">
        <v>8</v>
      </c>
      <c r="C14">
        <v>6.6158016565065481E-15</v>
      </c>
      <c r="D14">
        <v>-54</v>
      </c>
      <c r="F14" t="str">
        <v>L0 54</v>
      </c>
    </row>
    <row r="15" spans="2:6" x14ac:dyDescent="0.2">
      <c r="B15">
        <v>9</v>
      </c>
      <c r="C15">
        <v>-10.332452673857421</v>
      </c>
      <c r="D15">
        <v>-24.944747377804745</v>
      </c>
      <c r="F15" t="str">
        <v>L-10.3325 24.9447</v>
      </c>
    </row>
    <row r="16" spans="2:6" x14ac:dyDescent="0.2">
      <c r="B16">
        <v>10</v>
      </c>
      <c r="C16">
        <v>-38.183766184073562</v>
      </c>
      <c r="D16">
        <v>-38.183766184073576</v>
      </c>
      <c r="F16" t="str">
        <v>L-38.1838 38.1838</v>
      </c>
    </row>
    <row r="17" spans="2:7" x14ac:dyDescent="0.2">
      <c r="B17">
        <v>11</v>
      </c>
      <c r="C17">
        <v>-24.944747377804735</v>
      </c>
      <c r="D17">
        <v>-10.332452673857439</v>
      </c>
      <c r="F17" t="str">
        <v>L-24.9447 10.3325</v>
      </c>
    </row>
    <row r="18" spans="2:7" x14ac:dyDescent="0.2">
      <c r="B18">
        <v>12</v>
      </c>
      <c r="C18">
        <v>-54</v>
      </c>
      <c r="D18">
        <v>-9.9237024847598221E-15</v>
      </c>
      <c r="F18" t="str">
        <v>L-54 0</v>
      </c>
    </row>
    <row r="19" spans="2:7" x14ac:dyDescent="0.2">
      <c r="B19">
        <v>13</v>
      </c>
      <c r="C19">
        <v>-24.944747377804738</v>
      </c>
      <c r="D19">
        <v>10.33245267385743</v>
      </c>
      <c r="F19" t="str">
        <v>l29.0553 -10.3325</v>
      </c>
    </row>
    <row r="20" spans="2:7" x14ac:dyDescent="0.2">
      <c r="B20">
        <v>14</v>
      </c>
      <c r="C20">
        <v>-38.183766184073576</v>
      </c>
      <c r="D20">
        <v>38.183766184073555</v>
      </c>
      <c r="F20" t="str">
        <v>L-38.1838 -38.1838</v>
      </c>
    </row>
    <row r="21" spans="2:7" x14ac:dyDescent="0.2">
      <c r="B21">
        <v>15</v>
      </c>
      <c r="C21">
        <v>-10.332452673857441</v>
      </c>
      <c r="D21">
        <v>24.944747377804735</v>
      </c>
      <c r="F21" t="str">
        <v>l27.8513 13.2391Z</v>
      </c>
    </row>
    <row r="23" spans="2:7" x14ac:dyDescent="0.2">
      <c r="E23" s="4" t="s">
        <v>2349</v>
      </c>
      <c r="F23" s="82">
        <v>60</v>
      </c>
    </row>
    <row r="24" spans="2:7" x14ac:dyDescent="0.2">
      <c r="E24" s="4" t="s">
        <v>2350</v>
      </c>
      <c r="F24">
        <f xml:space="preserve"> AZN.MaxX</f>
        <v>60</v>
      </c>
    </row>
    <row r="25" spans="2:7" x14ac:dyDescent="0.2">
      <c r="E25" s="4" t="s">
        <v>2351</v>
      </c>
      <c r="F25">
        <f xml:space="preserve"> - AZN.MaxX</f>
        <v>-60</v>
      </c>
    </row>
    <row r="26" spans="2:7" x14ac:dyDescent="0.2">
      <c r="E26" s="4" t="s">
        <v>2352</v>
      </c>
      <c r="F26">
        <f xml:space="preserve"> - AZN.MaxY</f>
        <v>-60</v>
      </c>
    </row>
    <row r="28" spans="2:7" x14ac:dyDescent="0.2">
      <c r="E28" s="4" t="s">
        <v>2405</v>
      </c>
      <c r="F28" s="6" t="s">
        <v>2406</v>
      </c>
    </row>
    <row r="29" spans="2:7" x14ac:dyDescent="0.2">
      <c r="E29" s="4" t="s">
        <v>2353</v>
      </c>
      <c r="F29" s="6" t="s">
        <v>717</v>
      </c>
    </row>
    <row r="30" spans="2:7" x14ac:dyDescent="0.2">
      <c r="E30" s="4" t="s">
        <v>2354</v>
      </c>
      <c r="F30" s="6" t="s">
        <v>2091</v>
      </c>
    </row>
    <row r="31" spans="2:7" x14ac:dyDescent="0.2">
      <c r="G31" s="5"/>
    </row>
    <row r="32" spans="2:7" x14ac:dyDescent="0.2">
      <c r="E32" s="4" t="s">
        <v>2355</v>
      </c>
      <c r="F32">
        <f xml:space="preserve"> MODE(Circles.AreaMultiplier)</f>
        <v>1</v>
      </c>
      <c r="G32" s="5"/>
    </row>
    <row r="33" spans="4:7" x14ac:dyDescent="0.2">
      <c r="E33" s="4" t="s">
        <v>2356</v>
      </c>
      <c r="F33" cm="1">
        <f t="array" ref="F33" xml:space="preserve">  MAX(AZN.MaxY, - AZN.MinY)   /   MAX(AZN.MaxX, - AZN.MinX)</f>
        <v>1</v>
      </c>
      <c r="G33" s="5"/>
    </row>
    <row r="34" spans="4:7" x14ac:dyDescent="0.2">
      <c r="E34" s="4" t="s">
        <v>2357</v>
      </c>
      <c r="F34" cm="1">
        <f t="array" ref="F34" xml:space="preserve"> VALUE(TEXT(SQRT( AZN.AreaMultiplier * BasicBBoxArea *  AZN.Aspect), SVG.NumberFormatHeight))</f>
        <v>10</v>
      </c>
      <c r="G34" s="5"/>
    </row>
    <row r="35" spans="4:7" x14ac:dyDescent="0.2">
      <c r="E35" s="4" t="s">
        <v>2358</v>
      </c>
      <c r="F35" cm="1">
        <f t="array" ref="F35" xml:space="preserve">  AZN.Height /  AZN.Aspect</f>
        <v>10</v>
      </c>
      <c r="G35" s="5"/>
    </row>
    <row r="36" spans="4:7" x14ac:dyDescent="0.2">
      <c r="E36" s="5"/>
      <c r="F36" s="5"/>
      <c r="G36" s="5"/>
    </row>
    <row r="37" spans="4:7" x14ac:dyDescent="0.2">
      <c r="E37" s="5"/>
      <c r="F37" s="5"/>
      <c r="G37" s="5"/>
    </row>
    <row r="38" spans="4:7" ht="17" thickBot="1" x14ac:dyDescent="0.25">
      <c r="E38" s="5"/>
      <c r="F38" s="3" t="s">
        <v>2359</v>
      </c>
    </row>
    <row r="39" spans="4:7" x14ac:dyDescent="0.2">
      <c r="D39" cm="1">
        <f t="array" ref="D39" xml:space="preserve"> SVG_length(AZN.svg)</f>
        <v>419</v>
      </c>
      <c r="E39" s="5"/>
      <c r="F39" s="18"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7" x14ac:dyDescent="0.2">
      <c r="E40" s="5"/>
      <c r="F40" s="6" t="str">
        <f xml:space="preserve"> "&lt;circle " &amp; AZN.SVG_painting_2 &amp; " r='" &amp; (AZN.MaxX) &amp; "'/&gt;"</f>
        <v>&lt;circle fill='#0098C3' r='60'/&gt;</v>
      </c>
    </row>
    <row r="41" spans="4:7" x14ac:dyDescent="0.2">
      <c r="E41" s="5"/>
      <c r="F41" s="83" t="str">
        <f xml:space="preserve"> "&lt;circle " &amp; AZN.SVG_painting_1 &amp; " r='" &amp; 47 &amp; "'/&gt;"</f>
        <v>&lt;circle fill='#EF3340' r='47'/&gt;</v>
      </c>
    </row>
    <row r="42" spans="4:7" x14ac:dyDescent="0.2">
      <c r="E42" s="5"/>
      <c r="F42" s="6"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7" x14ac:dyDescent="0.2">
      <c r="E43" s="5"/>
      <c r="F43" s="6"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dimension ref="B2:F49"/>
  <sheetViews>
    <sheetView topLeftCell="B1" workbookViewId="0">
      <selection activeCell="B2" sqref="B2"/>
    </sheetView>
  </sheetViews>
  <sheetFormatPr baseColWidth="10" defaultRowHeight="16" x14ac:dyDescent="0.2"/>
  <sheetData>
    <row r="2" spans="2:5" ht="17" thickBot="1" x14ac:dyDescent="0.25">
      <c r="B2" s="80" t="s">
        <v>2322</v>
      </c>
      <c r="C2" s="80" t="s">
        <v>2338</v>
      </c>
      <c r="E2" t="s">
        <v>2323</v>
      </c>
    </row>
    <row r="3" spans="2:5" x14ac:dyDescent="0.2">
      <c r="B3">
        <v>1</v>
      </c>
      <c r="C3" s="5">
        <f xml:space="preserve"> AMD.SizeInner * SQRT(2)</f>
        <v>1.4142135623730951</v>
      </c>
      <c r="D3" s="5"/>
      <c r="E3" s="38">
        <f xml:space="preserve"> DecimalPlaces - INT(LOG(MIN(  AMD.MaxX - AMD.MinX,  AMD.MaxY - AMD.MinY  )/2, 10) + 0.2)</f>
        <v>5</v>
      </c>
    </row>
    <row r="5" spans="2:5" ht="17" thickBot="1" x14ac:dyDescent="0.25">
      <c r="B5" s="3" t="s">
        <v>2324</v>
      </c>
      <c r="C5" s="3" t="s">
        <v>2325</v>
      </c>
      <c r="E5" s="3" t="s">
        <v>2326</v>
      </c>
    </row>
    <row r="6" spans="2:5" x14ac:dyDescent="0.2">
      <c r="E6" t="s">
        <v>2185</v>
      </c>
    </row>
    <row r="7" spans="2:5" x14ac:dyDescent="0.2">
      <c r="B7">
        <v>0</v>
      </c>
      <c r="C7">
        <f xml:space="preserve"> - AMD.SizeOuter</f>
        <v>-1.4142135623730951</v>
      </c>
      <c r="E7" t="str">
        <f xml:space="preserve"> ROUND(AMD.RawX, AMD.DecimalPlaces) &amp; " " &amp; ROUND(AMD.RawY, AMD.DecimalPlaces)</f>
        <v>0 -1.41421</v>
      </c>
    </row>
    <row r="8" spans="2:5" x14ac:dyDescent="0.2">
      <c r="B8" t="e">
        <f xml:space="preserve"> NA()</f>
        <v>#N/A</v>
      </c>
      <c r="C8" t="e">
        <f xml:space="preserve"> NA()</f>
        <v>#N/A</v>
      </c>
      <c r="E8" t="s">
        <v>2186</v>
      </c>
    </row>
    <row r="9" spans="2:5" x14ac:dyDescent="0.2">
      <c r="B9">
        <f xml:space="preserve"> AMD.SizeOuter - AMD.SizeInner</f>
        <v>0.41421356237309515</v>
      </c>
      <c r="C9">
        <f xml:space="preserve"> - AMD.SizeInner</f>
        <v>-1</v>
      </c>
      <c r="E9" t="str">
        <f t="shared" ref="E9:E24" si="0" xml:space="preserve"> ROUND(AMD.RawX, AMD.DecimalPlaces) &amp; " " &amp; ROUND(AMD.RawY, AMD.DecimalPlaces)</f>
        <v>0.41421 -1</v>
      </c>
    </row>
    <row r="10" spans="2:5" x14ac:dyDescent="0.2">
      <c r="B10">
        <f xml:space="preserve"> AMD.SizeInner</f>
        <v>1</v>
      </c>
      <c r="C10">
        <f xml:space="preserve"> - AMD.SizeInner</f>
        <v>-1</v>
      </c>
      <c r="E10" t="str">
        <f t="shared" si="0"/>
        <v>1 -1</v>
      </c>
    </row>
    <row r="11" spans="2:5" x14ac:dyDescent="0.2">
      <c r="B11">
        <v>1</v>
      </c>
      <c r="C11">
        <f xml:space="preserve"> AMD.SizeInner - AMD.SizeOuter</f>
        <v>-0.41421356237309515</v>
      </c>
      <c r="E11" t="str">
        <f t="shared" si="0"/>
        <v>1 -0.41421</v>
      </c>
    </row>
    <row r="12" spans="2:5" x14ac:dyDescent="0.2">
      <c r="B12">
        <f xml:space="preserve"> AMD.SizeOuter</f>
        <v>1.4142135623730951</v>
      </c>
      <c r="C12">
        <v>0</v>
      </c>
      <c r="E12" t="str">
        <f t="shared" si="0"/>
        <v>1.41421 0</v>
      </c>
    </row>
    <row r="13" spans="2:5" x14ac:dyDescent="0.2">
      <c r="B13">
        <v>1</v>
      </c>
      <c r="C13">
        <f xml:space="preserve"> AMD.SizeOuter - AMD.SizeInner</f>
        <v>0.41421356237309515</v>
      </c>
      <c r="E13" t="str">
        <f t="shared" si="0"/>
        <v>1 0.41421</v>
      </c>
    </row>
    <row r="14" spans="2:5" x14ac:dyDescent="0.2">
      <c r="B14">
        <v>1</v>
      </c>
      <c r="C14">
        <v>1</v>
      </c>
      <c r="E14" t="str">
        <f t="shared" si="0"/>
        <v>1 1</v>
      </c>
    </row>
    <row r="15" spans="2:5" x14ac:dyDescent="0.2">
      <c r="B15">
        <f xml:space="preserve"> AMD.SizeOuter - AMD.SizeInner</f>
        <v>0.41421356237309515</v>
      </c>
      <c r="C15">
        <v>1</v>
      </c>
      <c r="E15" t="str">
        <f t="shared" si="0"/>
        <v>0.41421 1</v>
      </c>
    </row>
    <row r="16" spans="2:5" x14ac:dyDescent="0.2">
      <c r="B16">
        <v>0</v>
      </c>
      <c r="C16">
        <f xml:space="preserve"> AMD.SizeOuter</f>
        <v>1.4142135623730951</v>
      </c>
      <c r="E16" t="str">
        <f t="shared" si="0"/>
        <v>0 1.41421</v>
      </c>
    </row>
    <row r="17" spans="2:6" x14ac:dyDescent="0.2">
      <c r="B17">
        <f xml:space="preserve"> AMD.SizeInner - AMD.SizeOuter</f>
        <v>-0.41421356237309515</v>
      </c>
      <c r="C17">
        <v>1</v>
      </c>
      <c r="E17" t="str">
        <f t="shared" si="0"/>
        <v>-0.41421 1</v>
      </c>
    </row>
    <row r="18" spans="2:6" x14ac:dyDescent="0.2">
      <c r="B18">
        <f xml:space="preserve"> - AMD.SizeInner</f>
        <v>-1</v>
      </c>
      <c r="C18">
        <v>1</v>
      </c>
      <c r="E18" t="str">
        <f t="shared" si="0"/>
        <v>-1 1</v>
      </c>
    </row>
    <row r="19" spans="2:6" x14ac:dyDescent="0.2">
      <c r="B19">
        <f xml:space="preserve"> - AMD.SizeInner</f>
        <v>-1</v>
      </c>
      <c r="C19">
        <f xml:space="preserve"> AMD.SizeOuter - AMD.SizeInner</f>
        <v>0.41421356237309515</v>
      </c>
      <c r="E19" t="str">
        <f t="shared" si="0"/>
        <v>-1 0.41421</v>
      </c>
    </row>
    <row r="20" spans="2:6" x14ac:dyDescent="0.2">
      <c r="B20">
        <f xml:space="preserve"> - AMD.SizeOuter</f>
        <v>-1.4142135623730951</v>
      </c>
      <c r="C20">
        <v>0</v>
      </c>
      <c r="E20" t="str">
        <f t="shared" si="0"/>
        <v>-1.41421 0</v>
      </c>
    </row>
    <row r="21" spans="2:6" x14ac:dyDescent="0.2">
      <c r="B21">
        <f xml:space="preserve"> - AMD.SizeInner</f>
        <v>-1</v>
      </c>
      <c r="C21">
        <f xml:space="preserve"> AMD.SizeInner - AMD.SizeOuter</f>
        <v>-0.41421356237309515</v>
      </c>
      <c r="E21" t="str">
        <f t="shared" si="0"/>
        <v>-1 -0.41421</v>
      </c>
    </row>
    <row r="22" spans="2:6" x14ac:dyDescent="0.2">
      <c r="B22">
        <f xml:space="preserve"> - AMD.SizeInner</f>
        <v>-1</v>
      </c>
      <c r="C22">
        <f xml:space="preserve"> - AMD.SizeInner</f>
        <v>-1</v>
      </c>
      <c r="E22" t="str">
        <f t="shared" si="0"/>
        <v>-1 -1</v>
      </c>
    </row>
    <row r="23" spans="2:6" x14ac:dyDescent="0.2">
      <c r="B23">
        <f xml:space="preserve"> AMD.SizeInner - AMD.SizeOuter</f>
        <v>-0.41421356237309515</v>
      </c>
      <c r="C23">
        <f xml:space="preserve"> - AMD.SizeInner</f>
        <v>-1</v>
      </c>
      <c r="E23" t="str">
        <f t="shared" si="0"/>
        <v>-0.41421 -1</v>
      </c>
    </row>
    <row r="24" spans="2:6" x14ac:dyDescent="0.2">
      <c r="B24">
        <v>0</v>
      </c>
      <c r="C24">
        <f xml:space="preserve"> - AMD.SizeOuter</f>
        <v>-1.4142135623730951</v>
      </c>
      <c r="E24" t="str">
        <f t="shared" si="0"/>
        <v>0 -1.41421</v>
      </c>
    </row>
    <row r="25" spans="2:6" x14ac:dyDescent="0.2">
      <c r="F25" t="s">
        <v>559</v>
      </c>
    </row>
    <row r="28" spans="2:6" x14ac:dyDescent="0.2">
      <c r="D28" s="4" t="s">
        <v>2327</v>
      </c>
      <c r="E28">
        <f xml:space="preserve"> _xlfn.MAXIFS(AMD.RawX,   AMD.RawX,"&gt;0")</f>
        <v>1.4142135623730951</v>
      </c>
    </row>
    <row r="29" spans="2:6" x14ac:dyDescent="0.2">
      <c r="D29" s="4" t="s">
        <v>2328</v>
      </c>
      <c r="E29">
        <f xml:space="preserve"> _xlfn.MAXIFS(AMD.RawY,   AMD.RawY,"&gt;0")</f>
        <v>1.4142135623730951</v>
      </c>
    </row>
    <row r="30" spans="2:6" x14ac:dyDescent="0.2">
      <c r="D30" s="4" t="s">
        <v>2329</v>
      </c>
      <c r="E30">
        <f xml:space="preserve">  _xlfn.MINIFS(AMD.RawX,   AMD.RawX,"&lt;0")</f>
        <v>-1.4142135623730951</v>
      </c>
    </row>
    <row r="31" spans="2:6" x14ac:dyDescent="0.2">
      <c r="D31" s="4" t="s">
        <v>2330</v>
      </c>
      <c r="E31">
        <f xml:space="preserve">  _xlfn.MINIFS(AMD.RawY,   AMD.RawY,"&lt;0")</f>
        <v>-1.4142135623730951</v>
      </c>
    </row>
    <row r="33" spans="2:6" x14ac:dyDescent="0.2">
      <c r="D33" s="4" t="s">
        <v>2331</v>
      </c>
      <c r="E33" s="6" t="s">
        <v>2340</v>
      </c>
    </row>
    <row r="34" spans="2:6" x14ac:dyDescent="0.2">
      <c r="D34" s="4" t="s">
        <v>2332</v>
      </c>
      <c r="E34" s="6" t="s">
        <v>783</v>
      </c>
    </row>
    <row r="35" spans="2:6" x14ac:dyDescent="0.2">
      <c r="D35" s="4" t="s">
        <v>2339</v>
      </c>
      <c r="E35" s="6" t="s">
        <v>2341</v>
      </c>
    </row>
    <row r="36" spans="2:6" x14ac:dyDescent="0.2">
      <c r="F36" s="5"/>
    </row>
    <row r="37" spans="2:6" x14ac:dyDescent="0.2">
      <c r="B37">
        <f xml:space="preserve"> 19999899241 / 50097997976</f>
        <v>0.39921553852473651</v>
      </c>
      <c r="D37" s="4" t="s">
        <v>2333</v>
      </c>
      <c r="E37">
        <f xml:space="preserve"> CHOOSE(1,   19999899241 / 50097997976,   (8 + SQRT(2)*3) * 3 / 92)   *   MODE(Circles.AreaMultiplier) * PI()</f>
        <v>1.2541726030282052</v>
      </c>
      <c r="F37" s="15" t="s">
        <v>2342</v>
      </c>
    </row>
    <row r="38" spans="2:6" x14ac:dyDescent="0.2">
      <c r="B38">
        <f xml:space="preserve"> (8 + SQRT(2)*3) * 3 / 92</f>
        <v>0.39921654414519414</v>
      </c>
      <c r="D38" s="4" t="s">
        <v>2334</v>
      </c>
      <c r="E38" cm="1">
        <f t="array" ref="E38" xml:space="preserve">  MAX(AMD.MaxY, - AMD.MinY)   /   MAX(AMD.MaxX, - AMD.MinX)</f>
        <v>1</v>
      </c>
      <c r="F38" s="5"/>
    </row>
    <row r="39" spans="2:6" x14ac:dyDescent="0.2">
      <c r="B39">
        <f xml:space="preserve"> LN(B37/B38)</f>
        <v>-2.5189881004052337E-6</v>
      </c>
      <c r="D39" s="4" t="s">
        <v>2335</v>
      </c>
      <c r="E39" cm="1">
        <f t="array" ref="E39" xml:space="preserve"> VALUE(TEXT(SQRT( AMD.AreaMultiplier * BasicBBoxArea *  AMD.Aspect), SVG.NumberFormatHeight))</f>
        <v>11.2</v>
      </c>
      <c r="F39" s="5"/>
    </row>
    <row r="40" spans="2:6" x14ac:dyDescent="0.2">
      <c r="D40" s="4" t="s">
        <v>2336</v>
      </c>
      <c r="E40" cm="1">
        <f t="array" ref="E40" xml:space="preserve">  AMD.Height /  AMD.Aspect</f>
        <v>11.2</v>
      </c>
      <c r="F40" s="5"/>
    </row>
    <row r="41" spans="2:6" x14ac:dyDescent="0.2">
      <c r="D41" s="5"/>
      <c r="E41" s="5"/>
      <c r="F41" s="5"/>
    </row>
    <row r="42" spans="2:6" x14ac:dyDescent="0.2">
      <c r="D42" s="5"/>
      <c r="E42" s="5"/>
      <c r="F42" s="5"/>
    </row>
    <row r="43" spans="2:6" ht="17" thickBot="1" x14ac:dyDescent="0.25">
      <c r="D43" s="5"/>
      <c r="E43" s="3" t="s">
        <v>2337</v>
      </c>
    </row>
    <row r="44" spans="2:6" x14ac:dyDescent="0.2">
      <c r="C44" cm="1">
        <f t="array" ref="C44" xml:space="preserve"> SVG_length(AMD.svg)</f>
        <v>471</v>
      </c>
      <c r="D44" s="5"/>
      <c r="E44" s="18"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x14ac:dyDescent="0.2">
      <c r="D45" s="5"/>
      <c r="E45" s="6"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x14ac:dyDescent="0.2">
      <c r="D46" s="5"/>
      <c r="E46" s="6" t="str">
        <f xml:space="preserve"> "&lt;use href='#AMD-o' " &amp; AMD.SVG_painting_2 &amp; "/&gt;"</f>
        <v>&lt;use href='#AMD-o' fill='#D90012'/&gt;</v>
      </c>
    </row>
    <row r="47" spans="2:6" x14ac:dyDescent="0.2">
      <c r="D47" s="5"/>
      <c r="E47" s="6" t="str">
        <f xml:space="preserve"> "&lt;use href='#AMD-o' " &amp; AMD.SVG_painting_1 &amp; " transform='scale(.7)'/&gt;"</f>
        <v>&lt;use href='#AMD-o' fill='#0033A0' transform='scale(.7)'/&gt;</v>
      </c>
    </row>
    <row r="48" spans="2:6" x14ac:dyDescent="0.2">
      <c r="D48" s="5"/>
      <c r="E48" s="6" t="str" cm="1">
        <f t="array" ref="E48" xml:space="preserve"> "&lt;use href='#AMD-o' " &amp; AMD.SVG_painting_0 &amp; " transform='scale(.37)'/&gt;"</f>
        <v>&lt;use href='#AMD-o' fill='#F2A800' transform='scale(.37)'/&gt;</v>
      </c>
    </row>
    <row r="49" spans="4:5" x14ac:dyDescent="0.2">
      <c r="D49" s="5"/>
      <c r="E49" s="6"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dimension ref="B1:G43"/>
  <sheetViews>
    <sheetView topLeftCell="B1" workbookViewId="0">
      <selection activeCell="B2" sqref="B2"/>
    </sheetView>
  </sheetViews>
  <sheetFormatPr baseColWidth="10" defaultRowHeight="16" x14ac:dyDescent="0.2"/>
  <sheetData>
    <row r="1" spans="2:6" x14ac:dyDescent="0.2">
      <c r="D1" s="5"/>
    </row>
    <row r="2" spans="2:6" ht="17" thickBot="1" x14ac:dyDescent="0.25">
      <c r="C2" s="80" t="s">
        <v>2362</v>
      </c>
      <c r="D2" s="80" t="s">
        <v>2363</v>
      </c>
      <c r="F2" t="s">
        <v>2364</v>
      </c>
    </row>
    <row r="3" spans="2:6" x14ac:dyDescent="0.2">
      <c r="C3">
        <f xml:space="preserve"> TMT.SizeOuter * SQRT(2 - Sqrt2)</f>
        <v>2.6131259297527527</v>
      </c>
      <c r="D3" s="5">
        <f xml:space="preserve"> 2 + Sqrt2</f>
        <v>3.4142135623730949</v>
      </c>
      <c r="E3" s="5"/>
      <c r="F3" s="38" cm="1">
        <f t="array" ref="F3" xml:space="preserve"> DecimalPlaces - INT(LOG(MIN(  TMT.MaxX - TMT.MinX,  TMT.MaxY - TMT.MinY  )/2, 10) + 0.2)</f>
        <v>5</v>
      </c>
    </row>
    <row r="4" spans="2:6" x14ac:dyDescent="0.2">
      <c r="D4" s="5"/>
    </row>
    <row r="5" spans="2:6" ht="17" thickBot="1" x14ac:dyDescent="0.25">
      <c r="B5" s="3" t="s">
        <v>2379</v>
      </c>
      <c r="C5" s="3" t="s">
        <v>2365</v>
      </c>
      <c r="D5" s="3" t="s">
        <v>2366</v>
      </c>
      <c r="F5" s="3" t="s">
        <v>2367</v>
      </c>
    </row>
    <row r="6" spans="2:6" x14ac:dyDescent="0.2">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x14ac:dyDescent="0.2">
      <c r="B7">
        <v>1</v>
      </c>
      <c r="C7">
        <v>0.99999999999999989</v>
      </c>
      <c r="D7">
        <v>2.4142135623730945</v>
      </c>
      <c r="F7" t="str">
        <v>l1 1</v>
      </c>
    </row>
    <row r="8" spans="2:6" x14ac:dyDescent="0.2">
      <c r="B8">
        <v>2</v>
      </c>
      <c r="C8">
        <v>2.4142135623730949</v>
      </c>
      <c r="D8">
        <v>2.4142135623730949</v>
      </c>
      <c r="F8" t="str">
        <v>H2.41421</v>
      </c>
    </row>
    <row r="9" spans="2:6" x14ac:dyDescent="0.2">
      <c r="B9">
        <v>3</v>
      </c>
      <c r="C9">
        <v>2.4142135623730945</v>
      </c>
      <c r="D9">
        <v>1</v>
      </c>
      <c r="F9" t="str">
        <v>V-1</v>
      </c>
    </row>
    <row r="10" spans="2:6" x14ac:dyDescent="0.2">
      <c r="B10">
        <v>4</v>
      </c>
      <c r="C10">
        <v>3.4142135623730949</v>
      </c>
      <c r="D10">
        <v>2.0914592353347262E-16</v>
      </c>
      <c r="F10" t="str">
        <v>l1 1</v>
      </c>
    </row>
    <row r="11" spans="2:6" x14ac:dyDescent="0.2">
      <c r="B11">
        <v>5</v>
      </c>
      <c r="C11">
        <v>2.4142135623730945</v>
      </c>
      <c r="D11">
        <v>-0.99999999999999978</v>
      </c>
      <c r="F11" t="str">
        <v>l-1 1</v>
      </c>
    </row>
    <row r="12" spans="2:6" x14ac:dyDescent="0.2">
      <c r="B12">
        <v>6</v>
      </c>
      <c r="C12">
        <v>2.4142135623730949</v>
      </c>
      <c r="D12">
        <v>-2.4142135623730949</v>
      </c>
      <c r="F12" t="str">
        <v>V2.41421</v>
      </c>
    </row>
    <row r="13" spans="2:6" x14ac:dyDescent="0.2">
      <c r="B13">
        <v>7</v>
      </c>
      <c r="C13">
        <v>1.0000000000000002</v>
      </c>
      <c r="D13">
        <v>-2.4142135623730945</v>
      </c>
      <c r="F13" t="str">
        <v>H1</v>
      </c>
    </row>
    <row r="14" spans="2:6" x14ac:dyDescent="0.2">
      <c r="B14">
        <v>8</v>
      </c>
      <c r="C14">
        <v>4.1829184706694524E-16</v>
      </c>
      <c r="D14">
        <v>-3.4142135623730949</v>
      </c>
      <c r="F14" t="str">
        <v>l-1 1</v>
      </c>
    </row>
    <row r="15" spans="2:6" x14ac:dyDescent="0.2">
      <c r="B15">
        <v>9</v>
      </c>
      <c r="C15">
        <v>-0.99999999999999956</v>
      </c>
      <c r="D15">
        <v>-2.4142135623730949</v>
      </c>
      <c r="F15" t="str">
        <v>l-1 -1</v>
      </c>
    </row>
    <row r="16" spans="2:6" x14ac:dyDescent="0.2">
      <c r="B16">
        <v>10</v>
      </c>
      <c r="C16">
        <v>-2.4142135623730949</v>
      </c>
      <c r="D16">
        <v>-2.4142135623730954</v>
      </c>
      <c r="F16" t="str">
        <v>H-2.41421</v>
      </c>
    </row>
    <row r="17" spans="2:7" x14ac:dyDescent="0.2">
      <c r="B17">
        <v>11</v>
      </c>
      <c r="C17">
        <v>-2.414213562373094</v>
      </c>
      <c r="D17">
        <v>-1.0000000000000013</v>
      </c>
      <c r="F17" t="str">
        <v>V1</v>
      </c>
    </row>
    <row r="18" spans="2:7" x14ac:dyDescent="0.2">
      <c r="B18">
        <v>12</v>
      </c>
      <c r="C18">
        <v>-3.4142135623730949</v>
      </c>
      <c r="D18">
        <v>-6.2743777060041791E-16</v>
      </c>
      <c r="F18" t="str">
        <v>l-1 -1</v>
      </c>
    </row>
    <row r="19" spans="2:7" x14ac:dyDescent="0.2">
      <c r="B19">
        <v>13</v>
      </c>
      <c r="C19">
        <v>-2.4142135623730945</v>
      </c>
      <c r="D19">
        <v>1.0000000000000004</v>
      </c>
      <c r="F19" t="str">
        <v>l1 -1</v>
      </c>
    </row>
    <row r="20" spans="2:7" x14ac:dyDescent="0.2">
      <c r="B20">
        <v>14</v>
      </c>
      <c r="C20">
        <v>-2.4142135623730954</v>
      </c>
      <c r="D20">
        <v>2.4142135623730945</v>
      </c>
      <c r="F20" t="str">
        <v>V-2.41421</v>
      </c>
    </row>
    <row r="21" spans="2:7" x14ac:dyDescent="0.2">
      <c r="B21">
        <v>15</v>
      </c>
      <c r="C21">
        <v>-1.0000000000000016</v>
      </c>
      <c r="D21">
        <v>2.414213562373094</v>
      </c>
      <c r="F21" t="str">
        <v>H-1Z</v>
      </c>
    </row>
    <row r="24" spans="2:7" x14ac:dyDescent="0.2">
      <c r="E24" s="4" t="s">
        <v>2368</v>
      </c>
      <c r="F24">
        <f xml:space="preserve"> TMT.SizeOuter</f>
        <v>3.4142135623730949</v>
      </c>
    </row>
    <row r="25" spans="2:7" x14ac:dyDescent="0.2">
      <c r="E25" s="4" t="s">
        <v>2369</v>
      </c>
      <c r="F25">
        <f xml:space="preserve"> TMT.SizeOuter</f>
        <v>3.4142135623730949</v>
      </c>
    </row>
    <row r="26" spans="2:7" x14ac:dyDescent="0.2">
      <c r="E26" s="4" t="s">
        <v>2370</v>
      </c>
      <c r="F26">
        <f xml:space="preserve"> - TMT.MaxX</f>
        <v>-3.4142135623730949</v>
      </c>
    </row>
    <row r="27" spans="2:7" x14ac:dyDescent="0.2">
      <c r="E27" s="4" t="s">
        <v>2371</v>
      </c>
      <c r="F27">
        <f xml:space="preserve"> - TMT.MaxY</f>
        <v>-3.4142135623730949</v>
      </c>
    </row>
    <row r="29" spans="2:7" x14ac:dyDescent="0.2">
      <c r="E29" s="4" t="s">
        <v>2372</v>
      </c>
      <c r="F29" s="6" t="s">
        <v>1781</v>
      </c>
    </row>
    <row r="30" spans="2:7" x14ac:dyDescent="0.2">
      <c r="E30" s="4" t="s">
        <v>2373</v>
      </c>
      <c r="F30" s="6" t="s">
        <v>2380</v>
      </c>
    </row>
    <row r="31" spans="2:7" x14ac:dyDescent="0.2">
      <c r="G31" s="5"/>
    </row>
    <row r="32" spans="2:7" x14ac:dyDescent="0.2">
      <c r="E32" s="4" t="s">
        <v>2374</v>
      </c>
      <c r="F32">
        <f xml:space="preserve"> PI() / (16 * (1 - SqrtHalf) / 2)</f>
        <v>1.3407585306672443</v>
      </c>
      <c r="G32" s="5"/>
    </row>
    <row r="33" spans="4:7" x14ac:dyDescent="0.2">
      <c r="E33" s="4" t="s">
        <v>2375</v>
      </c>
      <c r="F33" cm="1">
        <f t="array" ref="F33" xml:space="preserve">  MAX(TMT.MaxY, - TMT.MinY)   /   MAX(TMT.MaxX, - TMT.MinX)</f>
        <v>1</v>
      </c>
      <c r="G33" s="5"/>
    </row>
    <row r="34" spans="4:7" x14ac:dyDescent="0.2">
      <c r="E34" s="4" t="s">
        <v>2376</v>
      </c>
      <c r="F34" cm="1">
        <f t="array" ref="F34" xml:space="preserve"> VALUE(TEXT(SQRT( TMT.AreaMultiplier * BasicBBoxArea *  TMT.Aspect), SVG.NumberFormatHeight))</f>
        <v>11.6</v>
      </c>
      <c r="G34" s="5"/>
    </row>
    <row r="35" spans="4:7" x14ac:dyDescent="0.2">
      <c r="E35" s="4" t="s">
        <v>2377</v>
      </c>
      <c r="F35" cm="1">
        <f t="array" ref="F35" xml:space="preserve">  TMT.Height /  TMT.Aspect</f>
        <v>11.6</v>
      </c>
      <c r="G35" s="5"/>
    </row>
    <row r="36" spans="4:7" x14ac:dyDescent="0.2">
      <c r="E36" s="5"/>
      <c r="F36" s="5"/>
      <c r="G36" s="5"/>
    </row>
    <row r="37" spans="4:7" x14ac:dyDescent="0.2">
      <c r="E37" s="5"/>
      <c r="F37" s="5"/>
      <c r="G37" s="5"/>
    </row>
    <row r="38" spans="4:7" ht="17" thickBot="1" x14ac:dyDescent="0.25">
      <c r="E38" s="5"/>
      <c r="F38" s="3" t="s">
        <v>2378</v>
      </c>
    </row>
    <row r="39" spans="4:7" x14ac:dyDescent="0.2">
      <c r="D39" cm="1">
        <f t="array" ref="D39" xml:space="preserve"> SVG_length(TMT.svg)</f>
        <v>352</v>
      </c>
      <c r="E39" s="5"/>
      <c r="F39" s="18"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7" x14ac:dyDescent="0.2">
      <c r="E40" s="5"/>
      <c r="F40" s="6" t="str">
        <f xml:space="preserve"> "&lt;defs&gt;&lt;path id='TMT-e' d='" &amp; _xlfn.TEXTJOIN(" ", TRUE, TMT.svgWorking) &amp; "'/&gt;&lt;/defs&gt;"</f>
        <v>&lt;defs&gt;&lt;path id='TMT-e' d='M0 -3.41421 l1 1 H2.41421 V-1 l1 1 l-1 1 V2.41421 H1 l-1 1 l-1 -1 H-2.41421 V1 l-1 -1 l1 -1 V-2.41421 H-1Z'/&gt;&lt;/defs&gt;</v>
      </c>
    </row>
    <row r="41" spans="4:7" x14ac:dyDescent="0.2">
      <c r="E41" s="5"/>
      <c r="F41" s="6" t="str">
        <f xml:space="preserve"> "&lt;use href='#TMT-e' " &amp; TMT.SVG_painting_1 &amp; "/&gt;"</f>
        <v>&lt;use href='#TMT-e' fill='#FFC72C'/&gt;</v>
      </c>
    </row>
    <row r="42" spans="4:7" x14ac:dyDescent="0.2">
      <c r="D42">
        <v>0.84</v>
      </c>
      <c r="E42" s="5"/>
      <c r="F42" s="6" t="str">
        <f xml:space="preserve"> "&lt;use href='#TMT-e' " &amp; TMT.SVG_painting_0 &amp; " transform='scale(" &amp; SUBSTITUTE($D$42, "0.", ".") &amp; ")'/&gt;"</f>
        <v>&lt;use href='#TMT-e' fill='#00853A' transform='scale(.84)'/&gt;</v>
      </c>
    </row>
    <row r="43" spans="4:7" x14ac:dyDescent="0.2">
      <c r="F43" s="6"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dimension ref="B2:H42"/>
  <sheetViews>
    <sheetView topLeftCell="B1" workbookViewId="0">
      <selection activeCell="B2" sqref="B2"/>
    </sheetView>
  </sheetViews>
  <sheetFormatPr baseColWidth="10" defaultRowHeight="16" x14ac:dyDescent="0.2"/>
  <sheetData>
    <row r="2" spans="2:8" x14ac:dyDescent="0.2">
      <c r="E2" s="4" t="s">
        <v>2443</v>
      </c>
      <c r="F2">
        <v>750</v>
      </c>
      <c r="H2" cm="1">
        <f t="array" ref="H2" xml:space="preserve"> GCD(IF(NPR.RawX &lt;= 0, NPR.MaxX, NPR.RawX))</f>
        <v>15</v>
      </c>
    </row>
    <row r="3" spans="2:8" x14ac:dyDescent="0.2">
      <c r="E3" s="4" t="s">
        <v>2444</v>
      </c>
      <c r="F3">
        <f xml:space="preserve"> NPR.HalfWidth * 8 / 15</f>
        <v>400</v>
      </c>
      <c r="H3" cm="1">
        <f t="array" ref="H3" xml:space="preserve"> GCD(IF(NPR.RawY &lt;= 0, NPR.MaxY, NPR.RawY))</f>
        <v>8</v>
      </c>
    </row>
    <row r="4" spans="2:8" x14ac:dyDescent="0.2">
      <c r="E4" s="4" t="s">
        <v>2445</v>
      </c>
      <c r="F4">
        <v>60</v>
      </c>
    </row>
    <row r="6" spans="2:8" x14ac:dyDescent="0.2">
      <c r="E6" s="4" t="s">
        <v>2427</v>
      </c>
      <c r="F6">
        <f xml:space="preserve"> DecimalPlaces - INT(LOG(MIN(NPR.HalfWidth, NPR.HalfHeight), 10) + 0.2)</f>
        <v>3</v>
      </c>
    </row>
    <row r="8" spans="2:8" ht="17" thickBot="1" x14ac:dyDescent="0.25">
      <c r="B8" s="3" t="s">
        <v>2441</v>
      </c>
      <c r="C8" s="3" t="s">
        <v>2428</v>
      </c>
      <c r="D8" s="3" t="s">
        <v>2429</v>
      </c>
      <c r="F8" s="3" t="s">
        <v>2430</v>
      </c>
    </row>
    <row r="9" spans="2:8" x14ac:dyDescent="0.2">
      <c r="B9" t="s">
        <v>23</v>
      </c>
      <c r="C9">
        <v>0</v>
      </c>
      <c r="D9">
        <f xml:space="preserve"> NPR.HalfHeight</f>
        <v>400</v>
      </c>
      <c r="F9" t="str" cm="1">
        <f t="array" ref="F9:F12" xml:space="preserve"> svgpath($C9:$C12, $D9:$D12,  NPR.DecimalPlaces)</f>
        <v>M0 400</v>
      </c>
    </row>
    <row r="10" spans="2:8" x14ac:dyDescent="0.2">
      <c r="B10" t="s">
        <v>23</v>
      </c>
      <c r="C10">
        <f xml:space="preserve"> NPR.HalfWidth</f>
        <v>750</v>
      </c>
      <c r="D10">
        <v>0</v>
      </c>
      <c r="F10" t="str">
        <v>L750 0</v>
      </c>
    </row>
    <row r="11" spans="2:8" x14ac:dyDescent="0.2">
      <c r="B11" t="s">
        <v>23</v>
      </c>
      <c r="C11">
        <v>0</v>
      </c>
      <c r="D11">
        <f xml:space="preserve"> - NPR.HalfHeight</f>
        <v>-400</v>
      </c>
      <c r="F11" t="str">
        <v>L0 -400</v>
      </c>
    </row>
    <row r="12" spans="2:8" x14ac:dyDescent="0.2">
      <c r="B12" t="s">
        <v>23</v>
      </c>
      <c r="C12">
        <f xml:space="preserve"> - NPR.HalfWidth</f>
        <v>-750</v>
      </c>
      <c r="D12">
        <v>0</v>
      </c>
      <c r="F12" t="str">
        <v>L-750 0Z</v>
      </c>
    </row>
    <row r="14" spans="2:8" x14ac:dyDescent="0.2">
      <c r="B14" t="s">
        <v>24</v>
      </c>
      <c r="C14">
        <f xml:space="preserve"> NPR.HalfWidth   -   2*NPR.HalfThickness * SQRT( (NPR.HalfWidth/NPR.HalfHeight)^2 + 1^2 )</f>
        <v>495</v>
      </c>
      <c r="D14">
        <v>0</v>
      </c>
      <c r="F14" t="str" cm="1">
        <f t="array" ref="F14:F16" xml:space="preserve"> svgpath($C14:$C16, $D14:$D16,  NPR.DecimalPlaces)</f>
        <v>M495 0</v>
      </c>
    </row>
    <row r="15" spans="2:8" x14ac:dyDescent="0.2">
      <c r="B15" t="s">
        <v>24</v>
      </c>
      <c r="C15">
        <f xml:space="preserve"> NPR.HalfThickness</f>
        <v>60</v>
      </c>
      <c r="D15">
        <f xml:space="preserve"> D14  +  (C15 - C14) * NPR.HalfHeight/NPR.HalfWidth</f>
        <v>-232</v>
      </c>
      <c r="F15" t="str">
        <v>L60 -232</v>
      </c>
    </row>
    <row r="16" spans="2:8" x14ac:dyDescent="0.2">
      <c r="B16" t="s">
        <v>24</v>
      </c>
      <c r="C16">
        <f>C15</f>
        <v>60</v>
      </c>
      <c r="D16">
        <f xml:space="preserve"> - D15</f>
        <v>232</v>
      </c>
      <c r="F16" t="str">
        <v>V232Z</v>
      </c>
    </row>
    <row r="18" spans="2:7" x14ac:dyDescent="0.2">
      <c r="B18" t="s">
        <v>24</v>
      </c>
      <c r="C18" cm="1">
        <f t="array" ref="C18:D20" xml:space="preserve"> - C14:D16</f>
        <v>-495</v>
      </c>
      <c r="D18">
        <v>0</v>
      </c>
      <c r="F18" t="str" cm="1">
        <f t="array" ref="F18:F20" xml:space="preserve"> svgpath($C18:$C20, $D18:$D20,  NPR.DecimalPlaces)</f>
        <v>M-495 0</v>
      </c>
    </row>
    <row r="19" spans="2:7" x14ac:dyDescent="0.2">
      <c r="B19" t="s">
        <v>24</v>
      </c>
      <c r="C19">
        <v>-60</v>
      </c>
      <c r="D19">
        <v>232</v>
      </c>
      <c r="F19" t="str">
        <v>L-60 232</v>
      </c>
    </row>
    <row r="20" spans="2:7" x14ac:dyDescent="0.2">
      <c r="B20" t="s">
        <v>24</v>
      </c>
      <c r="C20">
        <v>-60</v>
      </c>
      <c r="D20">
        <v>-232</v>
      </c>
      <c r="F20" t="str">
        <v>V-232Z</v>
      </c>
    </row>
    <row r="22" spans="2:7" x14ac:dyDescent="0.2">
      <c r="E22" s="4" t="s">
        <v>2433</v>
      </c>
      <c r="F22" cm="1">
        <f t="array" ref="F22" xml:space="preserve"> ROUND( MIN(NPR.RawX), NPR.DecimalPlaces)</f>
        <v>-750</v>
      </c>
    </row>
    <row r="23" spans="2:7" x14ac:dyDescent="0.2">
      <c r="E23" s="4" t="s">
        <v>2431</v>
      </c>
      <c r="F23" cm="1">
        <f t="array" ref="F23" xml:space="preserve"> ROUND(MAX(NPR.RawX), NPR.DecimalPlaces)</f>
        <v>750</v>
      </c>
    </row>
    <row r="24" spans="2:7" x14ac:dyDescent="0.2">
      <c r="E24" s="4" t="s">
        <v>2434</v>
      </c>
      <c r="F24" cm="1">
        <f t="array" ref="F24" xml:space="preserve"> ROUND( MIN(NPR.RawY), NPR.DecimalPlaces)</f>
        <v>-400</v>
      </c>
    </row>
    <row r="25" spans="2:7" x14ac:dyDescent="0.2">
      <c r="E25" s="4" t="s">
        <v>2432</v>
      </c>
      <c r="F25" cm="1">
        <f t="array" ref="F25" xml:space="preserve"> ROUND(MAX(NPR.RawY), NPR.DecimalPlaces)</f>
        <v>400</v>
      </c>
    </row>
    <row r="27" spans="2:7" x14ac:dyDescent="0.2">
      <c r="E27" s="4" t="s">
        <v>2442</v>
      </c>
      <c r="F27" s="6" t="s">
        <v>2425</v>
      </c>
    </row>
    <row r="28" spans="2:7" x14ac:dyDescent="0.2">
      <c r="E28" s="4" t="s">
        <v>2435</v>
      </c>
      <c r="F28" s="6" t="s">
        <v>2091</v>
      </c>
    </row>
    <row r="29" spans="2:7" x14ac:dyDescent="0.2">
      <c r="G29" s="5"/>
    </row>
    <row r="30" spans="2:7" x14ac:dyDescent="0.2">
      <c r="E30" s="4" t="s">
        <v>2436</v>
      </c>
      <c r="F30">
        <f xml:space="preserve"> INDEX(Simple.AreaMultiplier, MATCH("LU", Simple.ID, 0))</f>
        <v>1.3812499999999999</v>
      </c>
      <c r="G30" s="5"/>
    </row>
    <row r="31" spans="2:7" x14ac:dyDescent="0.2">
      <c r="E31" s="4" t="s">
        <v>2437</v>
      </c>
      <c r="F31" cm="1">
        <f t="array" ref="F31" xml:space="preserve">  MAX(NPR.MaxY, - NPR.MinY)   /   MAX(NPR.MaxX, - NPR.MinX)</f>
        <v>0.53333333333333333</v>
      </c>
      <c r="G31" s="5"/>
    </row>
    <row r="32" spans="2:7" x14ac:dyDescent="0.2">
      <c r="E32" s="4" t="s">
        <v>2438</v>
      </c>
      <c r="F32" cm="1">
        <f t="array" ref="F32" xml:space="preserve"> VALUE(TEXT(SQRT( NPR.AreaMultiplier * BasicBBoxArea *  NPR.Aspect), SVG.NumberFormatHeight))</f>
        <v>8.6</v>
      </c>
      <c r="G32" s="5"/>
    </row>
    <row r="33" spans="4:7" x14ac:dyDescent="0.2">
      <c r="E33" s="4" t="s">
        <v>2439</v>
      </c>
      <c r="F33" cm="1">
        <f t="array" ref="F33" xml:space="preserve">  NPR.Height /  NPR.Aspect</f>
        <v>16.125</v>
      </c>
      <c r="G33" s="5"/>
    </row>
    <row r="34" spans="4:7" x14ac:dyDescent="0.2">
      <c r="E34" s="5"/>
      <c r="F34" s="5"/>
      <c r="G34" s="5"/>
    </row>
    <row r="35" spans="4:7" x14ac:dyDescent="0.2">
      <c r="E35" s="5"/>
      <c r="F35" s="5"/>
      <c r="G35" s="5"/>
    </row>
    <row r="36" spans="4:7" ht="17" thickBot="1" x14ac:dyDescent="0.25">
      <c r="E36" s="5"/>
      <c r="F36" s="3" t="s">
        <v>2440</v>
      </c>
    </row>
    <row r="37" spans="4:7" x14ac:dyDescent="0.2">
      <c r="D37" cm="1">
        <f t="array" ref="D37" xml:space="preserve"> SVG_length(NPR.svg)</f>
        <v>237</v>
      </c>
      <c r="E37" s="5"/>
      <c r="F37" s="18"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7" x14ac:dyDescent="0.2">
      <c r="E38" s="5"/>
      <c r="F38" s="6" t="str" cm="1">
        <f t="array" ref="F38" xml:space="preserve"> "&lt;path " &amp; IF(LEN(_xlfn.SINGLE(NPR.SVG_painting_2))&gt;0, TRIM(_xlfn.SINGLE(NPR.SVG_painting_2))&amp;" ", "") &amp; "d='" &amp; _xlfn.TEXTJOIN(" ", TRUE,  IF("Outer"=NPR.Part, NPR.svgWorking, "")) &amp; "'/&gt;"</f>
        <v>&lt;path fill='#DC143C' d='M0 400 L750 0 L0 -400 L-750 0Z'/&gt;</v>
      </c>
    </row>
    <row r="39" spans="4:7" x14ac:dyDescent="0.2">
      <c r="E39" s="5"/>
      <c r="F39" s="6"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7" x14ac:dyDescent="0.2">
      <c r="E40" s="5"/>
      <c r="F40" s="6" t="s">
        <v>15</v>
      </c>
    </row>
    <row r="41" spans="4:7" x14ac:dyDescent="0.2">
      <c r="E41" s="5"/>
    </row>
    <row r="42" spans="4:7" x14ac:dyDescent="0.2">
      <c r="E42" s="5"/>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topLeftCell="B1" workbookViewId="0">
      <selection activeCell="B2" sqref="B2"/>
    </sheetView>
  </sheetViews>
  <sheetFormatPr baseColWidth="10" defaultRowHeight="16" x14ac:dyDescent="0.2"/>
  <cols>
    <col min="15" max="15" width="10.83203125" style="6"/>
  </cols>
  <sheetData>
    <row r="2" spans="2:15" ht="17" thickBot="1" x14ac:dyDescent="0.25">
      <c r="E2" s="3" t="s">
        <v>916</v>
      </c>
      <c r="F2" s="3" t="s">
        <v>914</v>
      </c>
      <c r="G2" s="3" t="s">
        <v>915</v>
      </c>
      <c r="H2" s="3" t="s">
        <v>917</v>
      </c>
      <c r="I2" s="3" t="s">
        <v>918</v>
      </c>
      <c r="J2" s="5"/>
      <c r="K2" s="3" t="s">
        <v>920</v>
      </c>
      <c r="L2" s="3" t="s">
        <v>921</v>
      </c>
      <c r="N2" s="39" t="s">
        <v>1514</v>
      </c>
      <c r="O2" s="39" t="s">
        <v>919</v>
      </c>
    </row>
    <row r="3" spans="2:15" x14ac:dyDescent="0.2">
      <c r="B3" s="4" t="s">
        <v>906</v>
      </c>
      <c r="C3">
        <f xml:space="preserve"> MAX(GEL.X, GEL.Y)</f>
        <v>20.459870130772803</v>
      </c>
      <c r="O3" s="18"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x14ac:dyDescent="0.2">
      <c r="B4" s="4"/>
    </row>
    <row r="5" spans="2:15" x14ac:dyDescent="0.2">
      <c r="B5" s="4" t="s">
        <v>908</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6"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x14ac:dyDescent="0.2">
      <c r="B6" s="4" t="s">
        <v>905</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6" t="s">
        <v>2266</v>
      </c>
    </row>
    <row r="7" spans="2:15" x14ac:dyDescent="0.2">
      <c r="B7" s="4" t="s">
        <v>907</v>
      </c>
      <c r="C7">
        <f xml:space="preserve"> - C5</f>
        <v>-20.459870130772803</v>
      </c>
    </row>
    <row r="8" spans="2:15" x14ac:dyDescent="0.2">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6"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x14ac:dyDescent="0.2">
      <c r="B9" s="4" t="s">
        <v>909</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6" t="s">
        <v>2267</v>
      </c>
    </row>
    <row r="10" spans="2:15" x14ac:dyDescent="0.2">
      <c r="B10" s="5"/>
    </row>
    <row r="11" spans="2:15" x14ac:dyDescent="0.2">
      <c r="B11" s="4" t="s">
        <v>910</v>
      </c>
      <c r="C11" s="28">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6"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x14ac:dyDescent="0.2">
      <c r="B12" s="4" t="s">
        <v>911</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6" t="s">
        <v>2268</v>
      </c>
    </row>
    <row r="13" spans="2:15" x14ac:dyDescent="0.2">
      <c r="B13" s="4"/>
    </row>
    <row r="14" spans="2:15" x14ac:dyDescent="0.2">
      <c r="B14" s="4" t="s">
        <v>912</v>
      </c>
      <c r="C14">
        <f xml:space="preserve"> VALUE(TEXT(SQRT(GEL.AreaMultiplier* BasicBBoxArea * GEL.Aspect), SVG.NumberFormatHeight))</f>
        <v>12.5</v>
      </c>
      <c r="O14" s="6" t="s">
        <v>15</v>
      </c>
    </row>
    <row r="15" spans="2:15" x14ac:dyDescent="0.2">
      <c r="B15" s="4" t="s">
        <v>913</v>
      </c>
      <c r="C15" cm="1">
        <f t="array" ref="C15" xml:space="preserve"> GEL.Height / GEL.Aspect</f>
        <v>12.5</v>
      </c>
      <c r="O15"/>
    </row>
    <row r="16" spans="2:15" x14ac:dyDescent="0.2">
      <c r="O16"/>
    </row>
    <row r="17" spans="2:15" x14ac:dyDescent="0.2">
      <c r="B17" s="4" t="s">
        <v>1515</v>
      </c>
      <c r="C17" t="s">
        <v>738</v>
      </c>
      <c r="O17"/>
    </row>
    <row r="18" spans="2:15" x14ac:dyDescent="0.2">
      <c r="B18" s="4" t="s">
        <v>1516</v>
      </c>
      <c r="C18" t="s">
        <v>2091</v>
      </c>
      <c r="O18"/>
    </row>
    <row r="19" spans="2:15" x14ac:dyDescent="0.2">
      <c r="O19"/>
    </row>
    <row r="20" spans="2:15" x14ac:dyDescent="0.2">
      <c r="C20">
        <f xml:space="preserve"> 2 * GEL.MaxX / (GEL.MaxX - 20)</f>
        <v>88.981078620567899</v>
      </c>
      <c r="D20" s="6" t="s">
        <v>923</v>
      </c>
      <c r="O20"/>
    </row>
    <row r="21" spans="2:15" x14ac:dyDescent="0.2">
      <c r="B21" s="4" t="s">
        <v>922</v>
      </c>
      <c r="C21" t="b">
        <v>0</v>
      </c>
      <c r="O21"/>
    </row>
    <row r="22" spans="2:15" x14ac:dyDescent="0.2">
      <c r="O22"/>
    </row>
    <row r="23" spans="2:15" x14ac:dyDescent="0.2">
      <c r="O23"/>
    </row>
    <row r="24" spans="2:15" x14ac:dyDescent="0.2">
      <c r="O24"/>
    </row>
    <row r="25" spans="2:15" x14ac:dyDescent="0.2">
      <c r="O25"/>
    </row>
    <row r="26" spans="2:15" x14ac:dyDescent="0.2">
      <c r="O26"/>
    </row>
    <row r="27" spans="2:15" x14ac:dyDescent="0.2">
      <c r="O27"/>
    </row>
    <row r="28" spans="2:15" x14ac:dyDescent="0.2">
      <c r="O28"/>
    </row>
    <row r="29" spans="2:15" x14ac:dyDescent="0.2">
      <c r="O29"/>
    </row>
    <row r="30" spans="2:15" x14ac:dyDescent="0.2">
      <c r="O30"/>
    </row>
    <row r="31" spans="2:15" x14ac:dyDescent="0.2">
      <c r="O31"/>
    </row>
    <row r="32" spans="2:15" x14ac:dyDescent="0.2">
      <c r="O32"/>
    </row>
    <row r="33" spans="15:15" x14ac:dyDescent="0.2">
      <c r="O33"/>
    </row>
    <row r="34" spans="15:15" x14ac:dyDescent="0.2">
      <c r="O34"/>
    </row>
    <row r="35" spans="15:15" x14ac:dyDescent="0.2">
      <c r="O35"/>
    </row>
    <row r="36" spans="15:15" x14ac:dyDescent="0.2">
      <c r="O36"/>
    </row>
    <row r="37" spans="15:15" x14ac:dyDescent="0.2">
      <c r="O37"/>
    </row>
    <row r="38" spans="15:15" x14ac:dyDescent="0.2">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x14ac:dyDescent="0.2"/>
  <cols>
    <col min="8" max="9" width="10.83203125" style="76"/>
    <col min="11" max="11" width="24.1640625" bestFit="1" customWidth="1"/>
  </cols>
  <sheetData>
    <row r="2" spans="2:11" ht="17" thickBot="1" x14ac:dyDescent="0.25">
      <c r="B2" s="3" t="s">
        <v>2062</v>
      </c>
      <c r="C2" s="3" t="s">
        <v>2064</v>
      </c>
      <c r="D2" s="3" t="s">
        <v>2065</v>
      </c>
      <c r="E2" s="5"/>
      <c r="F2" s="5"/>
      <c r="G2" s="5"/>
      <c r="I2" s="77" t="s">
        <v>2051</v>
      </c>
    </row>
    <row r="3" spans="2:11" x14ac:dyDescent="0.2">
      <c r="B3">
        <v>1</v>
      </c>
      <c r="C3">
        <f xml:space="preserve"> 0.527 * RUB.RadiusOuter</f>
        <v>0.52700000000000002</v>
      </c>
      <c r="D3">
        <v>0.33600000000000002</v>
      </c>
      <c r="F3">
        <f xml:space="preserve"> RUB.RadiusInner  * 2/(3- Sqrt5)</f>
        <v>1.3797039120711949</v>
      </c>
      <c r="I3" s="76">
        <f xml:space="preserve"> DecimalPlaces - INT(LOG(RUB.RadiusOuter, 10) + 0.2)</f>
        <v>5</v>
      </c>
    </row>
    <row r="5" spans="2:11" ht="17" thickBot="1" x14ac:dyDescent="0.25">
      <c r="B5" s="3" t="s">
        <v>1517</v>
      </c>
      <c r="C5" s="3" t="s">
        <v>2052</v>
      </c>
      <c r="D5" s="3" t="s">
        <v>2061</v>
      </c>
      <c r="E5" s="77" t="s">
        <v>2053</v>
      </c>
      <c r="F5" s="77" t="s">
        <v>2054</v>
      </c>
      <c r="G5" s="77" t="s">
        <v>2069</v>
      </c>
      <c r="H5" s="77" t="s">
        <v>2070</v>
      </c>
      <c r="I5" s="77" t="s">
        <v>2071</v>
      </c>
      <c r="K5" s="3" t="s">
        <v>2055</v>
      </c>
    </row>
    <row r="7" spans="2:11" x14ac:dyDescent="0.2">
      <c r="B7" t="s">
        <v>2063</v>
      </c>
      <c r="C7">
        <v>0</v>
      </c>
      <c r="D7" cm="1">
        <f t="array" ref="D7" xml:space="preserve"> _xlfn.SWITCH(MOD(_xlfn.SINGLE(RUB.AngleDegrees), 72),   0, RUB.RadiusOuter,   36, RUB.RadiusInner,   54, RUB.RadiusOverlap  )</f>
        <v>1</v>
      </c>
      <c r="E7" s="76">
        <f t="shared" ref="E7:E16" si="0" xml:space="preserve"> IF(AND(ISNUMBER(_xlfn.SINGLE(RUB.AngleDegrees)),ISNUMBER(_xlfn.SINGLE(RUB.Radius))), _xlfn.SINGLE(RUB.Radius) *  SIN(_xlfn.SINGLE(RUB.AngleDegrees)*PI()/180), "")</f>
        <v>0</v>
      </c>
      <c r="F7" s="76">
        <f t="shared" ref="F7:F16" si="1" xml:space="preserve"> IF(AND(ISNUMBER(_xlfn.SINGLE(RUB.AngleDegrees)),ISNUMBER(_xlfn.SINGLE(RUB.Radius))), _xlfn.SINGLE(RUB.Radius) * COS(_xlfn.SINGLE(RUB.AngleDegrees)*PI()/180), "")</f>
        <v>1</v>
      </c>
      <c r="G7" s="76">
        <f t="shared" ref="G7:G16" si="2" xml:space="preserve"> IF(MOD(RUB.AngleDegrees,36)=18, 0.1, 10^-RUB.DecimalPlaces)</f>
        <v>1.0000000000000001E-5</v>
      </c>
      <c r="H7" s="76">
        <f t="shared" ref="H7:H16" si="3" xml:space="preserve"> MROUND(_xlfn.SINGLE(RUB.RawX),  IF(_xlfn.SINGLE(RUB.RawX)&gt;=0, 1, -1) * _xlfn.SINGLE(RUB.MRound))</f>
        <v>0</v>
      </c>
      <c r="I7" s="76">
        <f t="shared" ref="I7:I16" si="4" xml:space="preserve"> MROUND(_xlfn.SINGLE(RUB.RawY),  IF(_xlfn.SINGLE(RUB.RawY)&gt;=0, 1, -1) * _xlfn.SINGLE(RUB.MRound))</f>
        <v>1</v>
      </c>
      <c r="K7" t="str" cm="1">
        <f t="array" ref="K7:K16" xml:space="preserve"> svgpath($H7:$H16, $I7:$I16, RUB.DecimalPlaces, 1, -1)</f>
        <v>M0 -1</v>
      </c>
    </row>
    <row r="8" spans="2:11" x14ac:dyDescent="0.2">
      <c r="B8" t="s">
        <v>2063</v>
      </c>
      <c r="C8">
        <f>C7+36</f>
        <v>36</v>
      </c>
      <c r="D8" cm="1">
        <f t="array" ref="D8" xml:space="preserve"> _xlfn.SWITCH(MOD(_xlfn.SINGLE(RUB.AngleDegrees), 72),   0, RUB.RadiusOuter,   36, RUB.RadiusInner,   54, RUB.RadiusOverlap  )</f>
        <v>0.52700000000000002</v>
      </c>
      <c r="E8" s="76">
        <f t="shared" si="0"/>
        <v>0.30976282795813337</v>
      </c>
      <c r="F8" s="76">
        <f t="shared" si="1"/>
        <v>0.42635195603559733</v>
      </c>
      <c r="G8" s="76">
        <f t="shared" si="2"/>
        <v>1.0000000000000001E-5</v>
      </c>
      <c r="H8" s="76">
        <f t="shared" si="3"/>
        <v>0.30976000000000004</v>
      </c>
      <c r="I8" s="76">
        <f t="shared" si="4"/>
        <v>0.42635000000000006</v>
      </c>
      <c r="K8" t="str">
        <v>l.30976 .57365</v>
      </c>
    </row>
    <row r="9" spans="2:11" x14ac:dyDescent="0.2">
      <c r="B9" t="s">
        <v>2063</v>
      </c>
      <c r="C9">
        <f t="shared" ref="C9:C16" si="5">C8+36</f>
        <v>72</v>
      </c>
      <c r="D9" cm="1">
        <f t="array" ref="D9" xml:space="preserve"> _xlfn.SWITCH(MOD(_xlfn.SINGLE(RUB.AngleDegrees), 72),   0, RUB.RadiusOuter,   36, RUB.RadiusInner,   54, RUB.RadiusOverlap  )</f>
        <v>1</v>
      </c>
      <c r="E9" s="76">
        <f t="shared" si="0"/>
        <v>0.95105651629515353</v>
      </c>
      <c r="F9" s="76">
        <f t="shared" si="1"/>
        <v>0.30901699437494745</v>
      </c>
      <c r="G9" s="76">
        <f t="shared" si="2"/>
        <v>1.0000000000000001E-5</v>
      </c>
      <c r="H9" s="76">
        <f t="shared" si="3"/>
        <v>0.95106000000000013</v>
      </c>
      <c r="I9" s="76">
        <f t="shared" si="4"/>
        <v>0.30902000000000002</v>
      </c>
      <c r="K9" t="str">
        <v>l.6413 .11733</v>
      </c>
    </row>
    <row r="10" spans="2:11" x14ac:dyDescent="0.2">
      <c r="B10" t="str">
        <f xml:space="preserve"> B7</f>
        <v>Gold</v>
      </c>
      <c r="C10">
        <f t="shared" si="5"/>
        <v>108</v>
      </c>
      <c r="D10" cm="1">
        <f t="array" ref="D10" xml:space="preserve"> _xlfn.SWITCH(MOD(_xlfn.SINGLE(RUB.AngleDegrees), 72),   0, RUB.RadiusOuter,   36, RUB.RadiusInner,   54, RUB.RadiusOverlap  )</f>
        <v>0.52700000000000002</v>
      </c>
      <c r="E10" s="76">
        <f t="shared" si="0"/>
        <v>0.50120678408754604</v>
      </c>
      <c r="F10" s="76">
        <f t="shared" si="1"/>
        <v>-0.16285195603559727</v>
      </c>
      <c r="G10" s="76">
        <f t="shared" si="2"/>
        <v>1.0000000000000001E-5</v>
      </c>
      <c r="H10" s="76">
        <f t="shared" si="3"/>
        <v>0.50121000000000004</v>
      </c>
      <c r="I10" s="76">
        <f t="shared" si="4"/>
        <v>-0.16285000000000002</v>
      </c>
      <c r="K10" t="str">
        <v>L.50121 .16285</v>
      </c>
    </row>
    <row r="11" spans="2:11" x14ac:dyDescent="0.2">
      <c r="B11" t="str">
        <f t="shared" ref="B11:B16" si="6" xml:space="preserve"> B8</f>
        <v>Gold</v>
      </c>
      <c r="C11">
        <f t="shared" si="5"/>
        <v>144</v>
      </c>
      <c r="D11" cm="1">
        <f t="array" ref="D11" xml:space="preserve"> _xlfn.SWITCH(MOD(_xlfn.SINGLE(RUB.AngleDegrees), 72),   0, RUB.RadiusOuter,   36, RUB.RadiusInner,   54, RUB.RadiusOverlap  )</f>
        <v>1</v>
      </c>
      <c r="E11" s="76">
        <f t="shared" si="0"/>
        <v>0.58778525229247325</v>
      </c>
      <c r="F11" s="76">
        <f t="shared" si="1"/>
        <v>-0.80901699437494734</v>
      </c>
      <c r="G11" s="76">
        <f t="shared" si="2"/>
        <v>1.0000000000000001E-5</v>
      </c>
      <c r="H11" s="76">
        <f t="shared" si="3"/>
        <v>0.58779000000000003</v>
      </c>
      <c r="I11" s="76">
        <f t="shared" si="4"/>
        <v>-0.80902000000000007</v>
      </c>
      <c r="K11" t="str">
        <v>L.58779 .80902</v>
      </c>
    </row>
    <row r="12" spans="2:11" x14ac:dyDescent="0.2">
      <c r="B12" t="str">
        <f t="shared" si="6"/>
        <v>Gold</v>
      </c>
      <c r="C12">
        <f t="shared" si="5"/>
        <v>180</v>
      </c>
      <c r="D12" cm="1">
        <f t="array" ref="D12" xml:space="preserve"> _xlfn.SWITCH(MOD(_xlfn.SINGLE(RUB.AngleDegrees), 72),   0, RUB.RadiusOuter,   36, RUB.RadiusInner,   54, RUB.RadiusOverlap  )</f>
        <v>0.52700000000000002</v>
      </c>
      <c r="E12" s="76">
        <f t="shared" si="0"/>
        <v>6.4565323573684274E-17</v>
      </c>
      <c r="F12" s="76">
        <f t="shared" si="1"/>
        <v>-0.52700000000000002</v>
      </c>
      <c r="G12" s="76">
        <f t="shared" si="2"/>
        <v>1.0000000000000001E-5</v>
      </c>
      <c r="H12" s="76">
        <f t="shared" si="3"/>
        <v>0</v>
      </c>
      <c r="I12" s="76">
        <f t="shared" si="4"/>
        <v>-0.52700000000000002</v>
      </c>
      <c r="K12" t="str">
        <v>L0 .527</v>
      </c>
    </row>
    <row r="13" spans="2:11" x14ac:dyDescent="0.2">
      <c r="B13" t="str">
        <f t="shared" si="6"/>
        <v>Gold</v>
      </c>
      <c r="C13">
        <f t="shared" si="5"/>
        <v>216</v>
      </c>
      <c r="D13" cm="1">
        <f t="array" ref="D13" xml:space="preserve"> _xlfn.SWITCH(MOD(_xlfn.SINGLE(RUB.AngleDegrees), 72),   0, RUB.RadiusOuter,   36, RUB.RadiusInner,   54, RUB.RadiusOverlap  )</f>
        <v>1</v>
      </c>
      <c r="E13" s="76">
        <f t="shared" si="0"/>
        <v>-0.58778525229247303</v>
      </c>
      <c r="F13" s="76">
        <f t="shared" si="1"/>
        <v>-0.80901699437494756</v>
      </c>
      <c r="G13" s="76">
        <f t="shared" si="2"/>
        <v>1.0000000000000001E-5</v>
      </c>
      <c r="H13" s="76">
        <f t="shared" si="3"/>
        <v>-0.58779000000000003</v>
      </c>
      <c r="I13" s="76">
        <f t="shared" si="4"/>
        <v>-0.80902000000000007</v>
      </c>
      <c r="K13" t="str">
        <v>L-.58779 .80902</v>
      </c>
    </row>
    <row r="14" spans="2:11" x14ac:dyDescent="0.2">
      <c r="B14" t="str">
        <f t="shared" si="6"/>
        <v>Gold</v>
      </c>
      <c r="C14">
        <f t="shared" si="5"/>
        <v>252</v>
      </c>
      <c r="D14" cm="1">
        <f t="array" ref="D14" xml:space="preserve"> _xlfn.SWITCH(MOD(_xlfn.SINGLE(RUB.AngleDegrees), 72),   0, RUB.RadiusOuter,   36, RUB.RadiusInner,   54, RUB.RadiusOverlap  )</f>
        <v>0.52700000000000002</v>
      </c>
      <c r="E14" s="76">
        <f t="shared" si="0"/>
        <v>-0.50120678408754593</v>
      </c>
      <c r="F14" s="76">
        <f t="shared" si="1"/>
        <v>-0.16285195603559738</v>
      </c>
      <c r="G14" s="76">
        <f t="shared" si="2"/>
        <v>1.0000000000000001E-5</v>
      </c>
      <c r="H14" s="76">
        <f t="shared" si="3"/>
        <v>-0.50121000000000004</v>
      </c>
      <c r="I14" s="76">
        <f t="shared" si="4"/>
        <v>-0.16285000000000002</v>
      </c>
      <c r="K14" t="str">
        <v>L-.50121 .16285</v>
      </c>
    </row>
    <row r="15" spans="2:11" x14ac:dyDescent="0.2">
      <c r="B15" t="str">
        <f t="shared" si="6"/>
        <v>Gold</v>
      </c>
      <c r="C15">
        <f t="shared" si="5"/>
        <v>288</v>
      </c>
      <c r="D15" cm="1">
        <f t="array" ref="D15" xml:space="preserve"> _xlfn.SWITCH(MOD(_xlfn.SINGLE(RUB.AngleDegrees), 72),   0, RUB.RadiusOuter,   36, RUB.RadiusInner,   54, RUB.RadiusOverlap  )</f>
        <v>1</v>
      </c>
      <c r="E15" s="76">
        <f t="shared" si="0"/>
        <v>-0.95105651629515364</v>
      </c>
      <c r="F15" s="76">
        <f t="shared" si="1"/>
        <v>0.30901699437494723</v>
      </c>
      <c r="G15" s="76">
        <f t="shared" si="2"/>
        <v>1.0000000000000001E-5</v>
      </c>
      <c r="H15" s="76">
        <f t="shared" si="3"/>
        <v>-0.95106000000000013</v>
      </c>
      <c r="I15" s="76">
        <f t="shared" si="4"/>
        <v>0.30902000000000002</v>
      </c>
      <c r="K15" t="str">
        <v>L-.95106 -.30902</v>
      </c>
    </row>
    <row r="16" spans="2:11" x14ac:dyDescent="0.2">
      <c r="B16" t="str">
        <f t="shared" si="6"/>
        <v>Gold</v>
      </c>
      <c r="C16">
        <f t="shared" si="5"/>
        <v>324</v>
      </c>
      <c r="D16" cm="1">
        <f t="array" ref="D16" xml:space="preserve"> _xlfn.SWITCH(MOD(_xlfn.SINGLE(RUB.AngleDegrees), 72),   0, RUB.RadiusOuter,   36, RUB.RadiusInner,   54, RUB.RadiusOverlap  )</f>
        <v>0.52700000000000002</v>
      </c>
      <c r="E16" s="76">
        <f t="shared" si="0"/>
        <v>-0.30976282795813348</v>
      </c>
      <c r="F16" s="76">
        <f t="shared" si="1"/>
        <v>0.42635195603559728</v>
      </c>
      <c r="G16" s="76">
        <f t="shared" si="2"/>
        <v>1.0000000000000001E-5</v>
      </c>
      <c r="H16" s="76">
        <f t="shared" si="3"/>
        <v>-0.30976000000000004</v>
      </c>
      <c r="I16" s="76">
        <f t="shared" si="4"/>
        <v>0.42635000000000006</v>
      </c>
      <c r="K16" t="str">
        <v>l.6413 -.11733Z</v>
      </c>
    </row>
    <row r="18" spans="2:9" x14ac:dyDescent="0.2">
      <c r="B18" t="s">
        <v>2088</v>
      </c>
      <c r="C18">
        <v>0</v>
      </c>
      <c r="D18" cm="1">
        <f t="array" ref="D18" xml:space="preserve"> _xlfn.SWITCH(MOD(_xlfn.SINGLE(RUB.AngleDegrees), 72),   0, RUB.RadiusOuter,   36, RUB.RadiusInner,   54, RUB.RadiusOverlap  )</f>
        <v>1</v>
      </c>
      <c r="E18" s="76">
        <f t="shared" ref="E18:E32" si="7" xml:space="preserve"> IF(AND(ISNUMBER(_xlfn.SINGLE(RUB.AngleDegrees)),ISNUMBER(_xlfn.SINGLE(RUB.Radius))), _xlfn.SINGLE(RUB.Radius) *  SIN(_xlfn.SINGLE(RUB.AngleDegrees)*PI()/180), "")</f>
        <v>0</v>
      </c>
      <c r="F18" s="76">
        <f t="shared" ref="F18:F32" si="8" xml:space="preserve"> IF(AND(ISNUMBER(_xlfn.SINGLE(RUB.AngleDegrees)),ISNUMBER(_xlfn.SINGLE(RUB.Radius))), _xlfn.SINGLE(RUB.Radius) * COS(_xlfn.SINGLE(RUB.AngleDegrees)*PI()/180), "")</f>
        <v>1</v>
      </c>
      <c r="G18" s="76">
        <f xml:space="preserve"> IF(MOD(RUB.AngleDegrees,36)=18, 0.1, 10^-RUB.DecimalPlaces)</f>
        <v>1.0000000000000001E-5</v>
      </c>
      <c r="H18" s="76">
        <f t="shared" ref="H18:H32" si="9" xml:space="preserve"> MROUND(_xlfn.SINGLE(RUB.RawX),  IF(_xlfn.SINGLE(RUB.RawX)&gt;=0, 1, -1) * _xlfn.SINGLE(RUB.MRound))</f>
        <v>0</v>
      </c>
      <c r="I18" s="76">
        <f t="shared" ref="I18:I31" si="10" xml:space="preserve"> MROUND(_xlfn.SINGLE(RUB.RawY),  IF(_xlfn.SINGLE(RUB.RawY)&gt;=0, 1, -1) * _xlfn.SINGLE(RUB.MRound))</f>
        <v>1</v>
      </c>
    </row>
    <row r="19" spans="2:9" x14ac:dyDescent="0.2">
      <c r="B19" t="s">
        <v>2088</v>
      </c>
      <c r="C19">
        <v>36</v>
      </c>
      <c r="D19" cm="1">
        <f t="array" ref="D19" xml:space="preserve"> _xlfn.SWITCH(MOD(_xlfn.SINGLE(RUB.AngleDegrees), 72),   0, RUB.RadiusOuter,   36, RUB.RadiusInner,   54, RUB.RadiusOverlap  )</f>
        <v>0.52700000000000002</v>
      </c>
      <c r="E19" s="76">
        <f t="shared" si="7"/>
        <v>0.30976282795813337</v>
      </c>
      <c r="F19" s="76">
        <f t="shared" si="8"/>
        <v>0.42635195603559733</v>
      </c>
      <c r="G19" s="76">
        <f xml:space="preserve"> IF(MOD(RUB.AngleDegrees,36)=18, 0.1, 10^-RUB.DecimalPlaces)</f>
        <v>1.0000000000000001E-5</v>
      </c>
      <c r="H19" s="76">
        <f t="shared" si="9"/>
        <v>0.30976000000000004</v>
      </c>
      <c r="I19" s="76">
        <f t="shared" si="10"/>
        <v>0.42635000000000006</v>
      </c>
    </row>
    <row r="20" spans="2:9" x14ac:dyDescent="0.2">
      <c r="B20" t="s">
        <v>2088</v>
      </c>
      <c r="C20">
        <v>54</v>
      </c>
      <c r="D20" s="31"/>
      <c r="E20" s="68"/>
      <c r="F20" s="68"/>
      <c r="G20" s="68"/>
      <c r="H20" s="68">
        <f xml:space="preserve"> H19</f>
        <v>0.30976000000000004</v>
      </c>
      <c r="I20" s="68">
        <f xml:space="preserve"> I21</f>
        <v>0.30902000000000002</v>
      </c>
    </row>
    <row r="21" spans="2:9" x14ac:dyDescent="0.2">
      <c r="B21" t="s">
        <v>2088</v>
      </c>
      <c r="C21">
        <f t="shared" ref="C21:C30" si="11" xml:space="preserve"> 72 + C18</f>
        <v>72</v>
      </c>
      <c r="D21" cm="1">
        <f t="array" ref="D21" xml:space="preserve"> _xlfn.SWITCH(MOD(_xlfn.SINGLE(RUB.AngleDegrees), 72),   0, RUB.RadiusOuter,   36, RUB.RadiusInner,   54, RUB.RadiusOverlap  )</f>
        <v>1</v>
      </c>
      <c r="E21" s="76">
        <f t="shared" si="7"/>
        <v>0.95105651629515353</v>
      </c>
      <c r="F21" s="76">
        <f t="shared" si="8"/>
        <v>0.30901699437494745</v>
      </c>
      <c r="G21" s="76">
        <f xml:space="preserve"> IF(MOD(RUB.AngleDegrees,36)=18, 0.1, 10^-RUB.DecimalPlaces)</f>
        <v>1.0000000000000001E-5</v>
      </c>
      <c r="H21" s="76">
        <f t="shared" si="9"/>
        <v>0.95106000000000013</v>
      </c>
      <c r="I21" s="76">
        <f t="shared" si="10"/>
        <v>0.30902000000000002</v>
      </c>
    </row>
    <row r="22" spans="2:9" x14ac:dyDescent="0.2">
      <c r="B22" t="s">
        <v>2088</v>
      </c>
      <c r="C22">
        <f t="shared" si="11"/>
        <v>108</v>
      </c>
      <c r="D22" cm="1">
        <f t="array" ref="D22" xml:space="preserve"> _xlfn.SWITCH(MOD(_xlfn.SINGLE(RUB.AngleDegrees), 72),   0, RUB.RadiusOuter,   36, RUB.RadiusInner,   54, RUB.RadiusOverlap  )</f>
        <v>0.52700000000000002</v>
      </c>
      <c r="E22" s="76">
        <f t="shared" si="7"/>
        <v>0.50120678408754604</v>
      </c>
      <c r="F22" s="76">
        <f t="shared" si="8"/>
        <v>-0.16285195603559727</v>
      </c>
      <c r="G22" s="76">
        <f xml:space="preserve"> IF(MOD(RUB.AngleDegrees,36)=18, 0.1, 10^-RUB.DecimalPlaces)</f>
        <v>1.0000000000000001E-5</v>
      </c>
      <c r="H22" s="76">
        <f t="shared" si="9"/>
        <v>0.50121000000000004</v>
      </c>
      <c r="I22" s="76">
        <f t="shared" si="10"/>
        <v>-0.16285000000000002</v>
      </c>
    </row>
    <row r="23" spans="2:9" x14ac:dyDescent="0.2">
      <c r="B23" t="s">
        <v>2088</v>
      </c>
      <c r="C23">
        <f t="shared" si="11"/>
        <v>126</v>
      </c>
      <c r="D23" cm="1">
        <f t="array" ref="D23" xml:space="preserve"> _xlfn.SWITCH(MOD(_xlfn.SINGLE(RUB.AngleDegrees), 72),   0, RUB.RadiusOuter,   36, RUB.RadiusInner,   54, RUB.RadiusOverlap  )</f>
        <v>0.33600000000000002</v>
      </c>
      <c r="E23" s="76">
        <f t="shared" si="7"/>
        <v>0.27182971010998236</v>
      </c>
      <c r="F23" s="76">
        <f t="shared" si="8"/>
        <v>-0.19749584477027096</v>
      </c>
      <c r="G23" s="76">
        <f xml:space="preserve"> IF(MOD(RUB.AngleDegrees,36)=18, 0.1, 10^-RUB.DecimalPlaces)</f>
        <v>0.1</v>
      </c>
      <c r="H23" s="76">
        <f t="shared" si="9"/>
        <v>0.30000000000000004</v>
      </c>
      <c r="I23" s="68">
        <f xml:space="preserve"> I22</f>
        <v>-0.16285000000000002</v>
      </c>
    </row>
    <row r="24" spans="2:9" x14ac:dyDescent="0.2">
      <c r="B24" t="s">
        <v>2088</v>
      </c>
      <c r="C24">
        <f t="shared" si="11"/>
        <v>144</v>
      </c>
      <c r="D24" cm="1">
        <f t="array" ref="D24" xml:space="preserve"> _xlfn.SWITCH(MOD(_xlfn.SINGLE(RUB.AngleDegrees), 72),   0, RUB.RadiusOuter,   36, RUB.RadiusInner,   54, RUB.RadiusOverlap  )</f>
        <v>1</v>
      </c>
      <c r="E24" s="76">
        <f t="shared" si="7"/>
        <v>0.58778525229247325</v>
      </c>
      <c r="F24" s="76">
        <f t="shared" si="8"/>
        <v>-0.80901699437494734</v>
      </c>
      <c r="G24" s="76">
        <f xml:space="preserve"> IF(MOD(RUB.AngleDegrees,36)=18, 0.1, 10^-RUB.DecimalPlaces)</f>
        <v>1.0000000000000001E-5</v>
      </c>
      <c r="H24" s="76">
        <f t="shared" si="9"/>
        <v>0.58779000000000003</v>
      </c>
      <c r="I24" s="76">
        <f t="shared" si="10"/>
        <v>-0.80902000000000007</v>
      </c>
    </row>
    <row r="25" spans="2:9" x14ac:dyDescent="0.2">
      <c r="B25" t="s">
        <v>2088</v>
      </c>
      <c r="C25">
        <f t="shared" si="11"/>
        <v>180</v>
      </c>
      <c r="D25" cm="1">
        <f t="array" ref="D25" xml:space="preserve"> _xlfn.SWITCH(MOD(_xlfn.SINGLE(RUB.AngleDegrees), 72),   0, RUB.RadiusOuter,   36, RUB.RadiusInner,   54, RUB.RadiusOverlap  )</f>
        <v>0.52700000000000002</v>
      </c>
      <c r="E25" s="76">
        <f t="shared" si="7"/>
        <v>6.4565323573684274E-17</v>
      </c>
      <c r="F25" s="76">
        <f t="shared" si="8"/>
        <v>-0.52700000000000002</v>
      </c>
      <c r="G25" s="76">
        <f xml:space="preserve"> IF(MOD(RUB.AngleDegrees,36)=18, 0.1, 10^-RUB.DecimalPlaces)</f>
        <v>1.0000000000000001E-5</v>
      </c>
      <c r="H25" s="76">
        <f t="shared" si="9"/>
        <v>0</v>
      </c>
      <c r="I25" s="76">
        <f t="shared" si="10"/>
        <v>-0.52700000000000002</v>
      </c>
    </row>
    <row r="26" spans="2:9" x14ac:dyDescent="0.2">
      <c r="B26" t="s">
        <v>2088</v>
      </c>
      <c r="C26">
        <f t="shared" si="11"/>
        <v>198</v>
      </c>
      <c r="D26" cm="1">
        <f t="array" ref="D26" xml:space="preserve"> _xlfn.SWITCH(MOD(_xlfn.SINGLE(RUB.AngleDegrees), 72),   0, RUB.RadiusOuter,   36, RUB.RadiusInner,   54, RUB.RadiusOverlap  )</f>
        <v>0.33600000000000002</v>
      </c>
      <c r="E26" s="76">
        <f t="shared" si="7"/>
        <v>-0.10382971010998245</v>
      </c>
      <c r="F26" s="76">
        <f t="shared" si="8"/>
        <v>-0.31955498947517158</v>
      </c>
      <c r="G26" s="68">
        <v>0.2</v>
      </c>
      <c r="H26" s="76">
        <f t="shared" si="9"/>
        <v>-0.2</v>
      </c>
      <c r="I26" s="68">
        <f xml:space="preserve"> I25</f>
        <v>-0.52700000000000002</v>
      </c>
    </row>
    <row r="27" spans="2:9" x14ac:dyDescent="0.2">
      <c r="B27" t="s">
        <v>2088</v>
      </c>
      <c r="C27">
        <f t="shared" si="11"/>
        <v>216</v>
      </c>
      <c r="D27" cm="1">
        <f t="array" ref="D27" xml:space="preserve"> _xlfn.SWITCH(MOD(_xlfn.SINGLE(RUB.AngleDegrees), 72),   0, RUB.RadiusOuter,   36, RUB.RadiusInner,   54, RUB.RadiusOverlap  )</f>
        <v>1</v>
      </c>
      <c r="E27" s="76">
        <f t="shared" si="7"/>
        <v>-0.58778525229247303</v>
      </c>
      <c r="F27" s="76">
        <f t="shared" si="8"/>
        <v>-0.80901699437494756</v>
      </c>
      <c r="G27" s="76">
        <f t="shared" ref="G27:G32" si="12" xml:space="preserve"> IF(MOD(RUB.AngleDegrees,36)=18, 0.1, 10^-RUB.DecimalPlaces)</f>
        <v>1.0000000000000001E-5</v>
      </c>
      <c r="H27" s="76">
        <f t="shared" si="9"/>
        <v>-0.58779000000000003</v>
      </c>
      <c r="I27" s="76">
        <f t="shared" si="10"/>
        <v>-0.80902000000000007</v>
      </c>
    </row>
    <row r="28" spans="2:9" x14ac:dyDescent="0.2">
      <c r="B28" t="s">
        <v>2088</v>
      </c>
      <c r="C28">
        <f t="shared" si="11"/>
        <v>252</v>
      </c>
      <c r="D28" cm="1">
        <f t="array" ref="D28" xml:space="preserve"> _xlfn.SWITCH(MOD(_xlfn.SINGLE(RUB.AngleDegrees), 72),   0, RUB.RadiusOuter,   36, RUB.RadiusInner,   54, RUB.RadiusOverlap  )</f>
        <v>0.52700000000000002</v>
      </c>
      <c r="E28" s="76">
        <f t="shared" si="7"/>
        <v>-0.50120678408754593</v>
      </c>
      <c r="F28" s="76">
        <f t="shared" si="8"/>
        <v>-0.16285195603559738</v>
      </c>
      <c r="G28" s="76">
        <f t="shared" si="12"/>
        <v>1.0000000000000001E-5</v>
      </c>
      <c r="H28" s="76">
        <f t="shared" si="9"/>
        <v>-0.50121000000000004</v>
      </c>
      <c r="I28" s="76">
        <f t="shared" si="10"/>
        <v>-0.16285000000000002</v>
      </c>
    </row>
    <row r="29" spans="2:9" x14ac:dyDescent="0.2">
      <c r="B29" t="s">
        <v>2088</v>
      </c>
      <c r="C29">
        <f t="shared" si="11"/>
        <v>270</v>
      </c>
      <c r="D29" cm="1">
        <f t="array" ref="D29" xml:space="preserve"> _xlfn.SWITCH(MOD(_xlfn.SINGLE(RUB.AngleDegrees), 72),   0, RUB.RadiusOuter,   36, RUB.RadiusInner,   54, RUB.RadiusOverlap  )</f>
        <v>0.33600000000000002</v>
      </c>
      <c r="E29" s="76">
        <f t="shared" si="7"/>
        <v>-0.33600000000000002</v>
      </c>
      <c r="F29" s="76">
        <f t="shared" si="8"/>
        <v>-6.1747482127394447E-17</v>
      </c>
      <c r="G29" s="76">
        <f t="shared" si="12"/>
        <v>0.1</v>
      </c>
      <c r="H29" s="68">
        <f xml:space="preserve"> H28</f>
        <v>-0.50121000000000004</v>
      </c>
      <c r="I29" s="76">
        <f t="shared" si="10"/>
        <v>0</v>
      </c>
    </row>
    <row r="30" spans="2:9" x14ac:dyDescent="0.2">
      <c r="B30" t="s">
        <v>2088</v>
      </c>
      <c r="C30">
        <f t="shared" si="11"/>
        <v>288</v>
      </c>
      <c r="D30" cm="1">
        <f t="array" ref="D30" xml:space="preserve"> _xlfn.SWITCH(MOD(_xlfn.SINGLE(RUB.AngleDegrees), 72),   0, RUB.RadiusOuter,   36, RUB.RadiusInner,   54, RUB.RadiusOverlap  )</f>
        <v>1</v>
      </c>
      <c r="E30" s="76">
        <f t="shared" si="7"/>
        <v>-0.95105651629515364</v>
      </c>
      <c r="F30" s="76">
        <f t="shared" si="8"/>
        <v>0.30901699437494723</v>
      </c>
      <c r="G30" s="76">
        <f t="shared" si="12"/>
        <v>1.0000000000000001E-5</v>
      </c>
      <c r="H30" s="76">
        <f t="shared" si="9"/>
        <v>-0.95106000000000013</v>
      </c>
      <c r="I30" s="76">
        <f t="shared" si="10"/>
        <v>0.30902000000000002</v>
      </c>
    </row>
    <row r="31" spans="2:9" x14ac:dyDescent="0.2">
      <c r="B31" t="s">
        <v>2088</v>
      </c>
      <c r="C31">
        <f t="shared" ref="C31:C32" si="13" xml:space="preserve"> 72 + C28</f>
        <v>324</v>
      </c>
      <c r="D31" cm="1">
        <f t="array" ref="D31" xml:space="preserve"> _xlfn.SWITCH(MOD(_xlfn.SINGLE(RUB.AngleDegrees), 72),   0, RUB.RadiusOuter,   36, RUB.RadiusInner,   54, RUB.RadiusOverlap  )</f>
        <v>0.52700000000000002</v>
      </c>
      <c r="E31" s="76">
        <f t="shared" si="7"/>
        <v>-0.30976282795813348</v>
      </c>
      <c r="F31" s="76">
        <f t="shared" si="8"/>
        <v>0.42635195603559728</v>
      </c>
      <c r="G31" s="76">
        <f t="shared" si="12"/>
        <v>1.0000000000000001E-5</v>
      </c>
      <c r="H31" s="76">
        <f t="shared" si="9"/>
        <v>-0.30976000000000004</v>
      </c>
      <c r="I31" s="76">
        <f t="shared" si="10"/>
        <v>0.42635000000000006</v>
      </c>
    </row>
    <row r="32" spans="2:9" x14ac:dyDescent="0.2">
      <c r="B32" t="s">
        <v>2088</v>
      </c>
      <c r="C32">
        <f t="shared" si="13"/>
        <v>342</v>
      </c>
      <c r="D32" cm="1">
        <f t="array" ref="D32" xml:space="preserve"> _xlfn.SWITCH(MOD(_xlfn.SINGLE(RUB.AngleDegrees), 72),   0, RUB.RadiusOuter,   36, RUB.RadiusInner,   54, RUB.RadiusOverlap  )</f>
        <v>0.33600000000000002</v>
      </c>
      <c r="E32" s="76">
        <f t="shared" si="7"/>
        <v>-0.1038297101099824</v>
      </c>
      <c r="F32" s="76">
        <f t="shared" si="8"/>
        <v>0.31955498947517158</v>
      </c>
      <c r="G32" s="76">
        <f t="shared" si="12"/>
        <v>0.1</v>
      </c>
      <c r="H32" s="76">
        <f t="shared" si="9"/>
        <v>-0.1</v>
      </c>
      <c r="I32" s="68">
        <f xml:space="preserve"> I31</f>
        <v>0.42635000000000006</v>
      </c>
    </row>
    <row r="35" spans="2:11" x14ac:dyDescent="0.2">
      <c r="B35" t="s">
        <v>1022</v>
      </c>
      <c r="K35" s="31" t="s">
        <v>2087</v>
      </c>
    </row>
    <row r="36" spans="2:11" x14ac:dyDescent="0.2">
      <c r="B36" t="s">
        <v>1022</v>
      </c>
      <c r="C36">
        <v>36</v>
      </c>
      <c r="D36" cm="1">
        <f t="array" ref="D36" xml:space="preserve"> _xlfn.SWITCH(MOD(_xlfn.SINGLE(RUB.AngleDegrees), 72),   0, RUB.RadiusOuter,   36, RUB.RadiusInner,   54, RUB.RadiusOverlap  )</f>
        <v>0.52700000000000002</v>
      </c>
      <c r="E36" s="76">
        <f t="shared" ref="E36:E37" si="14" xml:space="preserve"> IF(AND(ISNUMBER(_xlfn.SINGLE(RUB.AngleDegrees)),ISNUMBER(_xlfn.SINGLE(RUB.Radius))), _xlfn.SINGLE(RUB.Radius) *  SIN(_xlfn.SINGLE(RUB.AngleDegrees)*PI()/180), "")</f>
        <v>0.30976282795813337</v>
      </c>
      <c r="F36" s="76">
        <f t="shared" ref="F36:F37" si="15" xml:space="preserve"> IF(AND(ISNUMBER(_xlfn.SINGLE(RUB.AngleDegrees)),ISNUMBER(_xlfn.SINGLE(RUB.Radius))), _xlfn.SINGLE(RUB.Radius) * COS(_xlfn.SINGLE(RUB.AngleDegrees)*PI()/180), "")</f>
        <v>0.42635195603559733</v>
      </c>
      <c r="G36" s="76">
        <f t="shared" ref="G36:G37" si="16" xml:space="preserve"> IF(MOD(RUB.AngleDegrees,36)=18, 0.1, 10^-RUB.DecimalPlaces)</f>
        <v>1.0000000000000001E-5</v>
      </c>
      <c r="H36" s="76">
        <f t="shared" ref="H36:H37" si="17" xml:space="preserve"> MROUND(_xlfn.SINGLE(RUB.RawX),  IF(_xlfn.SINGLE(RUB.RawX)&gt;=0, 1, -1) * _xlfn.SINGLE(RUB.MRound))</f>
        <v>0.30976000000000004</v>
      </c>
      <c r="I36" s="7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x14ac:dyDescent="0.2">
      <c r="B37" t="s">
        <v>1022</v>
      </c>
      <c r="C37">
        <v>72</v>
      </c>
      <c r="D37" cm="1">
        <f t="array" ref="D37" xml:space="preserve"> _xlfn.SWITCH(MOD(_xlfn.SINGLE(RUB.AngleDegrees), 72),   0, RUB.RadiusOuter,   36, RUB.RadiusInner,   54, RUB.RadiusOverlap  )</f>
        <v>1</v>
      </c>
      <c r="E37" s="76">
        <f t="shared" si="14"/>
        <v>0.95105651629515353</v>
      </c>
      <c r="F37" s="76">
        <f t="shared" si="15"/>
        <v>0.30901699437494745</v>
      </c>
      <c r="G37" s="76">
        <f t="shared" si="16"/>
        <v>1.0000000000000001E-5</v>
      </c>
      <c r="H37" s="76">
        <f t="shared" si="17"/>
        <v>0.95106000000000013</v>
      </c>
      <c r="I37" s="76">
        <f t="shared" si="18"/>
        <v>0.30902000000000002</v>
      </c>
      <c r="J37">
        <f t="shared" ref="J37" si="19" xml:space="preserve"> COUNTIFS($H$18:$H$32, $H37,   $I$18:$I$32, $I37)</f>
        <v>1</v>
      </c>
      <c r="K37" t="str">
        <v>l.6413 .11733Z</v>
      </c>
    </row>
    <row r="39" spans="2:11" x14ac:dyDescent="0.2">
      <c r="B39" t="s">
        <v>1022</v>
      </c>
      <c r="C39">
        <f xml:space="preserve"> MOD(72 + C36, 360)</f>
        <v>108</v>
      </c>
      <c r="D39" cm="1">
        <f t="array" ref="D39" xml:space="preserve"> _xlfn.SWITCH(MOD(_xlfn.SINGLE(RUB.AngleDegrees), 72),   0, RUB.RadiusOuter,   36, RUB.RadiusInner,   54, RUB.RadiusOverlap  )</f>
        <v>0.52700000000000002</v>
      </c>
      <c r="E39" s="76">
        <f xml:space="preserve"> IF(AND(ISNUMBER(_xlfn.SINGLE(RUB.AngleDegrees)),ISNUMBER(_xlfn.SINGLE(RUB.Radius))), _xlfn.SINGLE(RUB.Radius) *  SIN(_xlfn.SINGLE(RUB.AngleDegrees)*PI()/180), "")</f>
        <v>0.50120678408754604</v>
      </c>
      <c r="F39" s="76">
        <f xml:space="preserve"> IF(AND(ISNUMBER(_xlfn.SINGLE(RUB.AngleDegrees)),ISNUMBER(_xlfn.SINGLE(RUB.Radius))), _xlfn.SINGLE(RUB.Radius) * COS(_xlfn.SINGLE(RUB.AngleDegrees)*PI()/180), "")</f>
        <v>-0.16285195603559727</v>
      </c>
      <c r="G39" s="76">
        <f xml:space="preserve"> IF(MOD(RUB.AngleDegrees,36)=18, 0.1, 10^-RUB.DecimalPlaces)</f>
        <v>1.0000000000000001E-5</v>
      </c>
      <c r="H39" s="76">
        <f xml:space="preserve"> MROUND(_xlfn.SINGLE(RUB.RawX),  IF(_xlfn.SINGLE(RUB.RawX)&gt;=0, 1, -1) * _xlfn.SINGLE(RUB.MRound))</f>
        <v>0.50121000000000004</v>
      </c>
      <c r="I39" s="76">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x14ac:dyDescent="0.2">
      <c r="B40" t="s">
        <v>1022</v>
      </c>
      <c r="C40">
        <f xml:space="preserve"> MOD(72 + C37, 360)</f>
        <v>144</v>
      </c>
      <c r="D40" cm="1">
        <f t="array" ref="D40" xml:space="preserve"> _xlfn.SWITCH(MOD(_xlfn.SINGLE(RUB.AngleDegrees), 72),   0, RUB.RadiusOuter,   36, RUB.RadiusInner,   54, RUB.RadiusOverlap  )</f>
        <v>1</v>
      </c>
      <c r="E40" s="76">
        <f xml:space="preserve"> IF(AND(ISNUMBER(_xlfn.SINGLE(RUB.AngleDegrees)),ISNUMBER(_xlfn.SINGLE(RUB.Radius))), _xlfn.SINGLE(RUB.Radius) *  SIN(_xlfn.SINGLE(RUB.AngleDegrees)*PI()/180), "")</f>
        <v>0.58778525229247325</v>
      </c>
      <c r="F40" s="76">
        <f xml:space="preserve"> IF(AND(ISNUMBER(_xlfn.SINGLE(RUB.AngleDegrees)),ISNUMBER(_xlfn.SINGLE(RUB.Radius))), _xlfn.SINGLE(RUB.Radius) * COS(_xlfn.SINGLE(RUB.AngleDegrees)*PI()/180), "")</f>
        <v>-0.80901699437494734</v>
      </c>
      <c r="G40" s="76">
        <f xml:space="preserve"> IF(MOD(RUB.AngleDegrees,36)=18, 0.1, 10^-RUB.DecimalPlaces)</f>
        <v>1.0000000000000001E-5</v>
      </c>
      <c r="H40" s="76">
        <f xml:space="preserve"> MROUND(_xlfn.SINGLE(RUB.RawX),  IF(_xlfn.SINGLE(RUB.RawX)&gt;=0, 1, -1) * _xlfn.SINGLE(RUB.MRound))</f>
        <v>0.58779000000000003</v>
      </c>
      <c r="I40" s="76">
        <f xml:space="preserve"> MROUND(_xlfn.SINGLE(RUB.RawY),  IF(_xlfn.SINGLE(RUB.RawY)&gt;=0, 1, -1) * _xlfn.SINGLE(RUB.MRound))</f>
        <v>-0.80902000000000007</v>
      </c>
      <c r="J40">
        <f xml:space="preserve"> COUNTIFS($H$18:$H$32, $H40,   $I$18:$I$32, $I40)</f>
        <v>1</v>
      </c>
      <c r="K40" t="str">
        <v>L.58779 .80902Z</v>
      </c>
    </row>
    <row r="42" spans="2:11" x14ac:dyDescent="0.2">
      <c r="B42" t="s">
        <v>1022</v>
      </c>
      <c r="C42">
        <f xml:space="preserve"> MOD(72 + C39, 360)</f>
        <v>180</v>
      </c>
      <c r="D42" cm="1">
        <f t="array" ref="D42" xml:space="preserve"> _xlfn.SWITCH(MOD(_xlfn.SINGLE(RUB.AngleDegrees), 72),   0, RUB.RadiusOuter,   36, RUB.RadiusInner,   54, RUB.RadiusOverlap  )</f>
        <v>0.52700000000000002</v>
      </c>
      <c r="E42" s="76">
        <f xml:space="preserve"> IF(AND(ISNUMBER(_xlfn.SINGLE(RUB.AngleDegrees)),ISNUMBER(_xlfn.SINGLE(RUB.Radius))), _xlfn.SINGLE(RUB.Radius) *  SIN(_xlfn.SINGLE(RUB.AngleDegrees)*PI()/180), "")</f>
        <v>6.4565323573684274E-17</v>
      </c>
      <c r="F42" s="76">
        <f xml:space="preserve"> IF(AND(ISNUMBER(_xlfn.SINGLE(RUB.AngleDegrees)),ISNUMBER(_xlfn.SINGLE(RUB.Radius))), _xlfn.SINGLE(RUB.Radius) * COS(_xlfn.SINGLE(RUB.AngleDegrees)*PI()/180), "")</f>
        <v>-0.52700000000000002</v>
      </c>
      <c r="G42" s="76">
        <f xml:space="preserve"> IF(MOD(RUB.AngleDegrees,36)=18, 0.1, 10^-RUB.DecimalPlaces)</f>
        <v>1.0000000000000001E-5</v>
      </c>
      <c r="H42" s="76">
        <f xml:space="preserve"> MROUND(_xlfn.SINGLE(RUB.RawX),  IF(_xlfn.SINGLE(RUB.RawX)&gt;=0, 1, -1) * _xlfn.SINGLE(RUB.MRound))</f>
        <v>0</v>
      </c>
      <c r="I42" s="76">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x14ac:dyDescent="0.2">
      <c r="B43" t="s">
        <v>1022</v>
      </c>
      <c r="C43">
        <f xml:space="preserve"> MOD(72 + C40, 360)</f>
        <v>216</v>
      </c>
      <c r="D43" cm="1">
        <f t="array" ref="D43" xml:space="preserve"> _xlfn.SWITCH(MOD(_xlfn.SINGLE(RUB.AngleDegrees), 72),   0, RUB.RadiusOuter,   36, RUB.RadiusInner,   54, RUB.RadiusOverlap  )</f>
        <v>1</v>
      </c>
      <c r="E43" s="76">
        <f xml:space="preserve"> IF(AND(ISNUMBER(_xlfn.SINGLE(RUB.AngleDegrees)),ISNUMBER(_xlfn.SINGLE(RUB.Radius))), _xlfn.SINGLE(RUB.Radius) *  SIN(_xlfn.SINGLE(RUB.AngleDegrees)*PI()/180), "")</f>
        <v>-0.58778525229247303</v>
      </c>
      <c r="F43" s="76">
        <f xml:space="preserve"> IF(AND(ISNUMBER(_xlfn.SINGLE(RUB.AngleDegrees)),ISNUMBER(_xlfn.SINGLE(RUB.Radius))), _xlfn.SINGLE(RUB.Radius) * COS(_xlfn.SINGLE(RUB.AngleDegrees)*PI()/180), "")</f>
        <v>-0.80901699437494756</v>
      </c>
      <c r="G43" s="76">
        <f xml:space="preserve"> IF(MOD(RUB.AngleDegrees,36)=18, 0.1, 10^-RUB.DecimalPlaces)</f>
        <v>1.0000000000000001E-5</v>
      </c>
      <c r="H43" s="76">
        <f xml:space="preserve"> MROUND(_xlfn.SINGLE(RUB.RawX),  IF(_xlfn.SINGLE(RUB.RawX)&gt;=0, 1, -1) * _xlfn.SINGLE(RUB.MRound))</f>
        <v>-0.58779000000000003</v>
      </c>
      <c r="I43" s="76">
        <f xml:space="preserve"> MROUND(_xlfn.SINGLE(RUB.RawY),  IF(_xlfn.SINGLE(RUB.RawY)&gt;=0, 1, -1) * _xlfn.SINGLE(RUB.MRound))</f>
        <v>-0.80902000000000007</v>
      </c>
      <c r="J43">
        <f xml:space="preserve"> COUNTIFS($H$18:$H$32, $H43,   $I$18:$I$32, $I43)</f>
        <v>1</v>
      </c>
      <c r="K43" t="str">
        <v>L-.58779 .80902Z</v>
      </c>
    </row>
    <row r="45" spans="2:11" x14ac:dyDescent="0.2">
      <c r="B45" t="s">
        <v>1022</v>
      </c>
      <c r="C45">
        <f xml:space="preserve"> MOD(72 + C42, 360)</f>
        <v>252</v>
      </c>
      <c r="D45" cm="1">
        <f t="array" ref="D45" xml:space="preserve"> _xlfn.SWITCH(MOD(_xlfn.SINGLE(RUB.AngleDegrees), 72),   0, RUB.RadiusOuter,   36, RUB.RadiusInner,   54, RUB.RadiusOverlap  )</f>
        <v>0.52700000000000002</v>
      </c>
      <c r="E45" s="76">
        <f xml:space="preserve"> IF(AND(ISNUMBER(_xlfn.SINGLE(RUB.AngleDegrees)),ISNUMBER(_xlfn.SINGLE(RUB.Radius))), _xlfn.SINGLE(RUB.Radius) *  SIN(_xlfn.SINGLE(RUB.AngleDegrees)*PI()/180), "")</f>
        <v>-0.50120678408754593</v>
      </c>
      <c r="F45" s="76">
        <f xml:space="preserve"> IF(AND(ISNUMBER(_xlfn.SINGLE(RUB.AngleDegrees)),ISNUMBER(_xlfn.SINGLE(RUB.Radius))), _xlfn.SINGLE(RUB.Radius) * COS(_xlfn.SINGLE(RUB.AngleDegrees)*PI()/180), "")</f>
        <v>-0.16285195603559738</v>
      </c>
      <c r="G45" s="76">
        <f xml:space="preserve"> IF(MOD(RUB.AngleDegrees,36)=18, 0.1, 10^-RUB.DecimalPlaces)</f>
        <v>1.0000000000000001E-5</v>
      </c>
      <c r="H45" s="76">
        <f xml:space="preserve"> MROUND(_xlfn.SINGLE(RUB.RawX),  IF(_xlfn.SINGLE(RUB.RawX)&gt;=0, 1, -1) * _xlfn.SINGLE(RUB.MRound))</f>
        <v>-0.50121000000000004</v>
      </c>
      <c r="I45" s="76">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x14ac:dyDescent="0.2">
      <c r="B46" t="s">
        <v>1022</v>
      </c>
      <c r="C46">
        <f xml:space="preserve"> MOD(72 + C43, 360)</f>
        <v>288</v>
      </c>
      <c r="D46" cm="1">
        <f t="array" ref="D46" xml:space="preserve"> _xlfn.SWITCH(MOD(_xlfn.SINGLE(RUB.AngleDegrees), 72),   0, RUB.RadiusOuter,   36, RUB.RadiusInner,   54, RUB.RadiusOverlap  )</f>
        <v>1</v>
      </c>
      <c r="E46" s="76">
        <f xml:space="preserve"> IF(AND(ISNUMBER(_xlfn.SINGLE(RUB.AngleDegrees)),ISNUMBER(_xlfn.SINGLE(RUB.Radius))), _xlfn.SINGLE(RUB.Radius) *  SIN(_xlfn.SINGLE(RUB.AngleDegrees)*PI()/180), "")</f>
        <v>-0.95105651629515364</v>
      </c>
      <c r="F46" s="76">
        <f xml:space="preserve"> IF(AND(ISNUMBER(_xlfn.SINGLE(RUB.AngleDegrees)),ISNUMBER(_xlfn.SINGLE(RUB.Radius))), _xlfn.SINGLE(RUB.Radius) * COS(_xlfn.SINGLE(RUB.AngleDegrees)*PI()/180), "")</f>
        <v>0.30901699437494723</v>
      </c>
      <c r="G46" s="76">
        <f xml:space="preserve"> IF(MOD(RUB.AngleDegrees,36)=18, 0.1, 10^-RUB.DecimalPlaces)</f>
        <v>1.0000000000000001E-5</v>
      </c>
      <c r="H46" s="76">
        <f xml:space="preserve"> MROUND(_xlfn.SINGLE(RUB.RawX),  IF(_xlfn.SINGLE(RUB.RawX)&gt;=0, 1, -1) * _xlfn.SINGLE(RUB.MRound))</f>
        <v>-0.95106000000000013</v>
      </c>
      <c r="I46" s="76">
        <f xml:space="preserve"> MROUND(_xlfn.SINGLE(RUB.RawY),  IF(_xlfn.SINGLE(RUB.RawY)&gt;=0, 1, -1) * _xlfn.SINGLE(RUB.MRound))</f>
        <v>0.30902000000000002</v>
      </c>
      <c r="J46">
        <f xml:space="preserve"> COUNTIFS($H$18:$H$32, $H46,   $I$18:$I$32, $I46)</f>
        <v>1</v>
      </c>
      <c r="K46" t="str">
        <v>L-.95106 -.30902Z</v>
      </c>
    </row>
    <row r="48" spans="2:11" x14ac:dyDescent="0.2">
      <c r="B48" t="s">
        <v>1022</v>
      </c>
      <c r="C48">
        <f xml:space="preserve"> MOD(72 + C45, 360)</f>
        <v>324</v>
      </c>
      <c r="D48" cm="1">
        <f t="array" ref="D48" xml:space="preserve"> _xlfn.SWITCH(MOD(_xlfn.SINGLE(RUB.AngleDegrees), 72),   0, RUB.RadiusOuter,   36, RUB.RadiusInner,   54, RUB.RadiusOverlap  )</f>
        <v>0.52700000000000002</v>
      </c>
      <c r="E48" s="76">
        <f xml:space="preserve"> IF(AND(ISNUMBER(_xlfn.SINGLE(RUB.AngleDegrees)),ISNUMBER(_xlfn.SINGLE(RUB.Radius))), _xlfn.SINGLE(RUB.Radius) *  SIN(_xlfn.SINGLE(RUB.AngleDegrees)*PI()/180), "")</f>
        <v>-0.30976282795813348</v>
      </c>
      <c r="F48" s="76">
        <f xml:space="preserve"> IF(AND(ISNUMBER(_xlfn.SINGLE(RUB.AngleDegrees)),ISNUMBER(_xlfn.SINGLE(RUB.Radius))), _xlfn.SINGLE(RUB.Radius) * COS(_xlfn.SINGLE(RUB.AngleDegrees)*PI()/180), "")</f>
        <v>0.42635195603559728</v>
      </c>
      <c r="G48" s="76">
        <f xml:space="preserve"> IF(MOD(RUB.AngleDegrees,36)=18, 0.1, 10^-RUB.DecimalPlaces)</f>
        <v>1.0000000000000001E-5</v>
      </c>
      <c r="H48" s="76">
        <f xml:space="preserve"> MROUND(_xlfn.SINGLE(RUB.RawX),  IF(_xlfn.SINGLE(RUB.RawX)&gt;=0, 1, -1) * _xlfn.SINGLE(RUB.MRound))</f>
        <v>-0.30976000000000004</v>
      </c>
      <c r="I48" s="76">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x14ac:dyDescent="0.2">
      <c r="B49" t="s">
        <v>1022</v>
      </c>
      <c r="C49">
        <f xml:space="preserve"> MOD(72 + C46, 360)</f>
        <v>0</v>
      </c>
      <c r="D49" cm="1">
        <f t="array" ref="D49" xml:space="preserve"> _xlfn.SWITCH(MOD(_xlfn.SINGLE(RUB.AngleDegrees), 72),   0, RUB.RadiusOuter,   36, RUB.RadiusInner,   54, RUB.RadiusOverlap  )</f>
        <v>1</v>
      </c>
      <c r="E49" s="76">
        <f xml:space="preserve"> IF(AND(ISNUMBER(_xlfn.SINGLE(RUB.AngleDegrees)),ISNUMBER(_xlfn.SINGLE(RUB.Radius))), _xlfn.SINGLE(RUB.Radius) *  SIN(_xlfn.SINGLE(RUB.AngleDegrees)*PI()/180), "")</f>
        <v>0</v>
      </c>
      <c r="F49" s="76">
        <f xml:space="preserve"> IF(AND(ISNUMBER(_xlfn.SINGLE(RUB.AngleDegrees)),ISNUMBER(_xlfn.SINGLE(RUB.Radius))), _xlfn.SINGLE(RUB.Radius) * COS(_xlfn.SINGLE(RUB.AngleDegrees)*PI()/180), "")</f>
        <v>1</v>
      </c>
      <c r="G49" s="76">
        <f xml:space="preserve"> IF(MOD(RUB.AngleDegrees,36)=18, 0.1, 10^-RUB.DecimalPlaces)</f>
        <v>1.0000000000000001E-5</v>
      </c>
      <c r="H49" s="76">
        <f xml:space="preserve"> MROUND(_xlfn.SINGLE(RUB.RawX),  IF(_xlfn.SINGLE(RUB.RawX)&gt;=0, 1, -1) * _xlfn.SINGLE(RUB.MRound))</f>
        <v>0</v>
      </c>
      <c r="I49" s="76">
        <f xml:space="preserve"> MROUND(_xlfn.SINGLE(RUB.RawY),  IF(_xlfn.SINGLE(RUB.RawY)&gt;=0, 1, -1) * _xlfn.SINGLE(RUB.MRound))</f>
        <v>1</v>
      </c>
      <c r="J49">
        <f xml:space="preserve"> COUNTIFS($H$18:$H$32, $H49,   $I$18:$I$32, $I49)</f>
        <v>1</v>
      </c>
      <c r="K49" t="str">
        <v>L0 -1Z</v>
      </c>
    </row>
    <row r="50" spans="2:11" x14ac:dyDescent="0.2">
      <c r="E50" s="76"/>
      <c r="F50" s="76"/>
      <c r="G50" s="76"/>
    </row>
    <row r="51" spans="2:11" x14ac:dyDescent="0.2">
      <c r="E51" s="76"/>
      <c r="F51" s="76"/>
      <c r="G51" s="76"/>
    </row>
    <row r="52" spans="2:11" x14ac:dyDescent="0.2">
      <c r="E52" s="76"/>
      <c r="F52" s="76"/>
      <c r="G52" s="76"/>
    </row>
    <row r="53" spans="2:11" x14ac:dyDescent="0.2">
      <c r="B53" t="s">
        <v>2133</v>
      </c>
      <c r="C53">
        <v>36</v>
      </c>
      <c r="D53" cm="1">
        <f t="array" ref="D53" xml:space="preserve"> _xlfn.SWITCH(MOD(_xlfn.SINGLE(RUB.AngleDegrees), 72),   0, RUB.RadiusOuter,   36, RUB.RadiusInner,   54, RUB.RadiusOverlap  )</f>
        <v>0.52700000000000002</v>
      </c>
      <c r="E53" s="76">
        <f t="shared" ref="E53:E57" si="20" xml:space="preserve"> IF(AND(ISNUMBER(_xlfn.SINGLE(RUB.AngleDegrees)),ISNUMBER(_xlfn.SINGLE(RUB.Radius))), _xlfn.SINGLE(RUB.Radius) *  SIN(_xlfn.SINGLE(RUB.AngleDegrees)*PI()/180), "")</f>
        <v>0.30976282795813337</v>
      </c>
      <c r="F53" s="76">
        <f t="shared" ref="F53:F57" si="21" xml:space="preserve"> IF(AND(ISNUMBER(_xlfn.SINGLE(RUB.AngleDegrees)),ISNUMBER(_xlfn.SINGLE(RUB.Radius))), _xlfn.SINGLE(RUB.Radius) * COS(_xlfn.SINGLE(RUB.AngleDegrees)*PI()/180), "")</f>
        <v>0.42635195603559733</v>
      </c>
      <c r="G53" s="76">
        <f t="shared" ref="G53:G57" si="22" xml:space="preserve"> IF(MOD(RUB.AngleDegrees,36)=18, 0.1, 10^-RUB.DecimalPlaces)</f>
        <v>1.0000000000000001E-5</v>
      </c>
      <c r="H53" s="76">
        <f t="shared" ref="H53:H57" si="23" xml:space="preserve"> MROUND(_xlfn.SINGLE(RUB.RawX),  IF(_xlfn.SINGLE(RUB.RawX)&gt;=0, 1, -1) * _xlfn.SINGLE(RUB.MRound))</f>
        <v>0.30976000000000004</v>
      </c>
      <c r="I53" s="76">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x14ac:dyDescent="0.2">
      <c r="B54" t="s">
        <v>2133</v>
      </c>
      <c r="C54">
        <f>C53+72</f>
        <v>108</v>
      </c>
      <c r="D54" cm="1">
        <f t="array" ref="D54" xml:space="preserve"> _xlfn.SWITCH(MOD(_xlfn.SINGLE(RUB.AngleDegrees), 72),   0, RUB.RadiusOuter,   36, RUB.RadiusInner,   54, RUB.RadiusOverlap  )</f>
        <v>0.52700000000000002</v>
      </c>
      <c r="E54" s="76">
        <f t="shared" si="20"/>
        <v>0.50120678408754604</v>
      </c>
      <c r="F54" s="76">
        <f t="shared" si="21"/>
        <v>-0.16285195603559727</v>
      </c>
      <c r="G54" s="76">
        <f t="shared" si="22"/>
        <v>1.0000000000000001E-5</v>
      </c>
      <c r="H54" s="76">
        <f t="shared" si="23"/>
        <v>0.50121000000000004</v>
      </c>
      <c r="I54" s="76">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x14ac:dyDescent="0.2">
      <c r="B55" t="s">
        <v>2133</v>
      </c>
      <c r="C55">
        <f t="shared" ref="C55:C57" si="25">C54+72</f>
        <v>180</v>
      </c>
      <c r="D55" cm="1">
        <f t="array" ref="D55" xml:space="preserve"> _xlfn.SWITCH(MOD(_xlfn.SINGLE(RUB.AngleDegrees), 72),   0, RUB.RadiusOuter,   36, RUB.RadiusInner,   54, RUB.RadiusOverlap  )</f>
        <v>0.52700000000000002</v>
      </c>
      <c r="E55" s="76">
        <f t="shared" si="20"/>
        <v>6.4565323573684274E-17</v>
      </c>
      <c r="F55" s="76">
        <f t="shared" si="21"/>
        <v>-0.52700000000000002</v>
      </c>
      <c r="G55" s="76">
        <f t="shared" si="22"/>
        <v>1.0000000000000001E-5</v>
      </c>
      <c r="H55" s="76">
        <f t="shared" si="23"/>
        <v>0</v>
      </c>
      <c r="I55" s="76">
        <f t="shared" si="24"/>
        <v>-0.52700000000000002</v>
      </c>
      <c r="J55">
        <f xml:space="preserve"> -0.49 / $I55</f>
        <v>0.92979127134724848</v>
      </c>
      <c r="K55" t="str">
        <f xml:space="preserve"> "M 0 0L" &amp; ROUND(- $J55 * _xlfn.SINGLE(RUB.X), RUB.DecimalPlaces) &amp; " " &amp; ROUND(- $J55 * _xlfn.SINGLE(RUB.Y), RUB.DecimalPlaces)</f>
        <v>M 0 0L0 0.49</v>
      </c>
    </row>
    <row r="56" spans="2:11" x14ac:dyDescent="0.2">
      <c r="B56" t="s">
        <v>2133</v>
      </c>
      <c r="C56">
        <f t="shared" si="25"/>
        <v>252</v>
      </c>
      <c r="D56" cm="1">
        <f t="array" ref="D56" xml:space="preserve"> _xlfn.SWITCH(MOD(_xlfn.SINGLE(RUB.AngleDegrees), 72),   0, RUB.RadiusOuter,   36, RUB.RadiusInner,   54, RUB.RadiusOverlap  )</f>
        <v>0.52700000000000002</v>
      </c>
      <c r="E56" s="76">
        <f t="shared" si="20"/>
        <v>-0.50120678408754593</v>
      </c>
      <c r="F56" s="76">
        <f t="shared" si="21"/>
        <v>-0.16285195603559738</v>
      </c>
      <c r="G56" s="76">
        <f t="shared" si="22"/>
        <v>1.0000000000000001E-5</v>
      </c>
      <c r="H56" s="76">
        <f t="shared" si="23"/>
        <v>-0.50121000000000004</v>
      </c>
      <c r="I56" s="76">
        <f t="shared" si="24"/>
        <v>-0.16285000000000002</v>
      </c>
      <c r="J56">
        <f xml:space="preserve"> J54</f>
        <v>0.92109303039606982</v>
      </c>
      <c r="K56" t="str">
        <f xml:space="preserve"> "M 0 0L" &amp; ROUND(- $J56 * _xlfn.SINGLE(RUB.X), RUB.DecimalPlaces) &amp; " " &amp; ROUND(- $J56 * _xlfn.SINGLE(RUB.Y), RUB.DecimalPlaces)</f>
        <v>M 0 0L0.46166 0.15</v>
      </c>
    </row>
    <row r="57" spans="2:11" x14ac:dyDescent="0.2">
      <c r="B57" t="s">
        <v>2133</v>
      </c>
      <c r="C57">
        <f t="shared" si="25"/>
        <v>324</v>
      </c>
      <c r="D57" cm="1">
        <f t="array" ref="D57" xml:space="preserve"> _xlfn.SWITCH(MOD(_xlfn.SINGLE(RUB.AngleDegrees), 72),   0, RUB.RadiusOuter,   36, RUB.RadiusInner,   54, RUB.RadiusOverlap  )</f>
        <v>0.52700000000000002</v>
      </c>
      <c r="E57" s="76">
        <f t="shared" si="20"/>
        <v>-0.30976282795813348</v>
      </c>
      <c r="F57" s="76">
        <f t="shared" si="21"/>
        <v>0.42635195603559728</v>
      </c>
      <c r="G57" s="76">
        <f t="shared" si="22"/>
        <v>1.0000000000000001E-5</v>
      </c>
      <c r="H57" s="76">
        <f t="shared" si="23"/>
        <v>-0.30976000000000004</v>
      </c>
      <c r="I57" s="76">
        <f t="shared" si="24"/>
        <v>0.42635000000000006</v>
      </c>
      <c r="J57">
        <f xml:space="preserve"> J53</f>
        <v>0.92006714876033036</v>
      </c>
      <c r="K57" t="str">
        <f xml:space="preserve"> "M 0 0L" &amp; ROUND(- $J57 * _xlfn.SINGLE(RUB.X), RUB.DecimalPlaces) &amp; " " &amp; ROUND(- $J57 * _xlfn.SINGLE(RUB.Y), RUB.DecimalPlaces)</f>
        <v>M 0 0L0.285 -0.39227</v>
      </c>
    </row>
    <row r="58" spans="2:11" x14ac:dyDescent="0.2">
      <c r="E58" s="76"/>
      <c r="F58" s="76"/>
      <c r="G58" s="76"/>
    </row>
    <row r="59" spans="2:11" x14ac:dyDescent="0.2">
      <c r="E59" s="76"/>
      <c r="F59" s="76"/>
      <c r="G59" s="76"/>
    </row>
    <row r="60" spans="2:11" x14ac:dyDescent="0.2">
      <c r="E60" s="76"/>
      <c r="F60" s="76"/>
      <c r="G60" s="76"/>
    </row>
    <row r="61" spans="2:11" x14ac:dyDescent="0.2">
      <c r="E61" s="76"/>
      <c r="F61" s="76"/>
      <c r="G61" s="76"/>
    </row>
    <row r="62" spans="2:11" x14ac:dyDescent="0.2">
      <c r="E62" s="76"/>
      <c r="F62" s="76"/>
      <c r="G62" s="76"/>
    </row>
    <row r="63" spans="2:11" x14ac:dyDescent="0.2">
      <c r="E63" s="76"/>
      <c r="F63" s="76"/>
      <c r="G63" s="76"/>
    </row>
    <row r="64" spans="2:11" x14ac:dyDescent="0.2">
      <c r="E64" s="76"/>
      <c r="F64" s="76"/>
      <c r="G64" s="76"/>
    </row>
    <row r="65" spans="5:13" x14ac:dyDescent="0.2">
      <c r="E65" s="76"/>
      <c r="F65" s="76"/>
      <c r="G65" s="76"/>
    </row>
    <row r="66" spans="5:13" x14ac:dyDescent="0.2">
      <c r="E66" s="76"/>
      <c r="F66" s="76"/>
      <c r="G66" s="76"/>
    </row>
    <row r="67" spans="5:13" x14ac:dyDescent="0.2">
      <c r="E67" s="76"/>
      <c r="F67" s="76"/>
      <c r="G67" s="76"/>
    </row>
    <row r="70" spans="5:13" x14ac:dyDescent="0.2">
      <c r="J70" s="4" t="s">
        <v>878</v>
      </c>
      <c r="K70" s="31">
        <f xml:space="preserve"> ROUND(MAX(RUB.X), RUB.DecimalPlaces)</f>
        <v>0.95106000000000002</v>
      </c>
    </row>
    <row r="71" spans="5:13" x14ac:dyDescent="0.2">
      <c r="J71" s="4" t="s">
        <v>880</v>
      </c>
      <c r="K71" s="31">
        <f xml:space="preserve"> ROUND(MAX(RUB.Y), RUB.DecimalPlaces)</f>
        <v>1</v>
      </c>
    </row>
    <row r="72" spans="5:13" x14ac:dyDescent="0.2">
      <c r="J72" s="4" t="s">
        <v>877</v>
      </c>
      <c r="K72" s="31">
        <f xml:space="preserve"> ROUND( MIN(RUB.X), RUB.DecimalPlaces)</f>
        <v>-0.95106000000000002</v>
      </c>
    </row>
    <row r="73" spans="5:13" x14ac:dyDescent="0.2">
      <c r="J73" s="4" t="s">
        <v>879</v>
      </c>
      <c r="K73" s="31">
        <f xml:space="preserve"> ROUND( MIN(RUB.Y), RUB.DecimalPlaces)</f>
        <v>-0.80901999999999996</v>
      </c>
    </row>
    <row r="75" spans="5:13" x14ac:dyDescent="0.2">
      <c r="J75" s="4" t="s">
        <v>2066</v>
      </c>
      <c r="K75" s="6" t="s">
        <v>2068</v>
      </c>
      <c r="M75" t="str">
        <f xml:space="preserve"> DEC2HEX(INT(HEX2DEC("D4")/2),2)  &amp;  DEC2HEX(INT(HEX2DEC("AF")/2),2)  &amp;  DEC2HEX(INT(HEX2DEC("37")/2),2)</f>
        <v>6A571B</v>
      </c>
    </row>
    <row r="76" spans="5:13" x14ac:dyDescent="0.2">
      <c r="J76" s="4" t="s">
        <v>2067</v>
      </c>
      <c r="K76" s="6" t="s">
        <v>2080</v>
      </c>
    </row>
    <row r="78" spans="5:13" x14ac:dyDescent="0.2">
      <c r="J78" s="4" t="s">
        <v>2056</v>
      </c>
      <c r="K78" s="28">
        <v>1.55</v>
      </c>
    </row>
    <row r="79" spans="5:13" x14ac:dyDescent="0.2">
      <c r="J79" s="4" t="s">
        <v>2057</v>
      </c>
      <c r="K79" cm="1">
        <f t="array" ref="K79" xml:space="preserve">  MAX(RUB.MaxY, - RUB.MinY)   /   MAX(RUB.MaxX, - RUB.MinX)</f>
        <v>1.0514583727630222</v>
      </c>
    </row>
    <row r="80" spans="5:13" x14ac:dyDescent="0.2">
      <c r="J80" s="4" t="s">
        <v>2058</v>
      </c>
      <c r="K80" cm="1">
        <f t="array" ref="K80" xml:space="preserve"> VALUE(TEXT(SQRT( RUB.AreaMultiplier * BasicBBoxArea *  RUB.Aspect), SVG.NumberFormatHeight))</f>
        <v>12.8</v>
      </c>
    </row>
    <row r="81" spans="8:11" x14ac:dyDescent="0.2">
      <c r="J81" s="4" t="s">
        <v>2059</v>
      </c>
      <c r="K81" cm="1">
        <f t="array" ref="K81" xml:space="preserve">  RUB.Height /  RUB.Aspect</f>
        <v>12.173568000000001</v>
      </c>
    </row>
    <row r="82" spans="8:11" x14ac:dyDescent="0.2">
      <c r="J82" s="5"/>
      <c r="K82" s="5"/>
    </row>
    <row r="83" spans="8:11" ht="17" thickBot="1" x14ac:dyDescent="0.25">
      <c r="J83" s="5"/>
      <c r="K83" s="3" t="s">
        <v>2060</v>
      </c>
    </row>
    <row r="84" spans="8:11" x14ac:dyDescent="0.2">
      <c r="H84" s="76" cm="1">
        <f t="array" ref="H84" xml:space="preserve"> SVG_length(RUB.svg)</f>
        <v>512</v>
      </c>
      <c r="J84" s="5"/>
      <c r="K84" s="18"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85" spans="8:11" x14ac:dyDescent="0.2">
      <c r="J85" s="6"/>
      <c r="K85" s="6"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x14ac:dyDescent="0.2">
      <c r="J86" s="6"/>
      <c r="K86" s="6" t="str">
        <f xml:space="preserve"> "&lt;use href='#RUB-h' " &amp; TRIM(RUB.SVG_painting_B) &amp; "/&gt;"</f>
        <v>&lt;use href='#RUB-h' fill='#6A571B'/&gt;</v>
      </c>
    </row>
    <row r="87" spans="8:11" x14ac:dyDescent="0.2">
      <c r="J87" s="5"/>
      <c r="K87" s="6" t="str">
        <f xml:space="preserve"> "&lt;use href='#RUB-h' " &amp; TRIM(RUB.SVG_painting_G) &amp; " transform='scale(0.8)'/&gt;"</f>
        <v>&lt;use href='#RUB-h' fill='#D4AF37' transform='scale(0.8)'/&gt;</v>
      </c>
    </row>
    <row r="88" spans="8:11" x14ac:dyDescent="0.2">
      <c r="H88" s="76">
        <f xml:space="preserve"> ATAN2($E$8, $F$8 - $F$7)</f>
        <v>-1.0756726673092731</v>
      </c>
      <c r="J88" s="5"/>
      <c r="K88" s="6"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x14ac:dyDescent="0.2">
      <c r="J89" s="5"/>
      <c r="K89" s="6"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60"/>
  <sheetViews>
    <sheetView topLeftCell="B1" workbookViewId="0">
      <selection activeCell="B2" sqref="B2"/>
    </sheetView>
  </sheetViews>
  <sheetFormatPr baseColWidth="10" defaultRowHeight="16" x14ac:dyDescent="0.2"/>
  <sheetData>
    <row r="2" spans="2:16" ht="17" thickBot="1" x14ac:dyDescent="0.25">
      <c r="C2" s="2" t="s">
        <v>434</v>
      </c>
      <c r="D2" s="2" t="s">
        <v>435</v>
      </c>
      <c r="F2" s="3" t="s">
        <v>436</v>
      </c>
    </row>
    <row r="3" spans="2:16" x14ac:dyDescent="0.2">
      <c r="C3" t="b">
        <v>0</v>
      </c>
      <c r="D3" t="b">
        <v>1</v>
      </c>
      <c r="F3">
        <f xml:space="preserve"> DecimalPlaces - INT(LOG(MIN(  MAX(AED.RawX) - MIN(AED.RawX),  MAX(AED.RawY) - MIN(AED.RawY)  )/2, 10) + 0.2)</f>
        <v>3</v>
      </c>
    </row>
    <row r="4" spans="2:16" x14ac:dyDescent="0.2">
      <c r="E4" s="5"/>
    </row>
    <row r="5" spans="2:16" ht="17" thickBot="1" x14ac:dyDescent="0.25">
      <c r="B5" s="3" t="s">
        <v>437</v>
      </c>
      <c r="C5" s="3" t="s">
        <v>438</v>
      </c>
      <c r="D5" s="3" t="s">
        <v>439</v>
      </c>
      <c r="F5" s="3" t="s">
        <v>1759</v>
      </c>
      <c r="K5" s="3" t="s">
        <v>440</v>
      </c>
      <c r="L5" s="3" t="s">
        <v>441</v>
      </c>
      <c r="M5" s="3" t="s">
        <v>442</v>
      </c>
      <c r="N5" s="3" t="s">
        <v>443</v>
      </c>
      <c r="O5" s="3" t="s">
        <v>444</v>
      </c>
      <c r="P5" s="3" t="s">
        <v>445</v>
      </c>
    </row>
    <row r="6" spans="2:16" x14ac:dyDescent="0.2">
      <c r="B6" t="s">
        <v>23</v>
      </c>
      <c r="C6">
        <v>-26</v>
      </c>
      <c r="D6">
        <v>124</v>
      </c>
      <c r="F6" t="str">
        <f t="array" ref="F6:F17" xml:space="preserve"> svgpath($C6:$C17, $D6:$D17, AED.DecimalPlaces, IF(AED.ReflectX,-1,1), IF(AED.ReflectY,-1,1))</f>
        <v>M-26 -124</v>
      </c>
    </row>
    <row r="7" spans="2:16" x14ac:dyDescent="0.2">
      <c r="B7" t="s">
        <v>23</v>
      </c>
      <c r="C7">
        <v>-39.837169000000003</v>
      </c>
      <c r="D7">
        <v>23</v>
      </c>
      <c r="F7" t="str">
        <v>L-39.837 -23</v>
      </c>
    </row>
    <row r="8" spans="2:16" x14ac:dyDescent="0.2">
      <c r="B8" t="s">
        <v>23</v>
      </c>
      <c r="C8">
        <v>-120.38715000000001</v>
      </c>
      <c r="D8">
        <v>-39.483339999999998</v>
      </c>
      <c r="F8" t="str">
        <v>l-80.55 62.483</v>
      </c>
    </row>
    <row r="9" spans="2:16" x14ac:dyDescent="0.2">
      <c r="B9" t="s">
        <v>23</v>
      </c>
      <c r="C9">
        <v>-126.43970899999999</v>
      </c>
      <c r="D9">
        <v>-73</v>
      </c>
      <c r="F9" t="str">
        <v>L-126.44 73</v>
      </c>
    </row>
    <row r="10" spans="2:16" x14ac:dyDescent="0.2">
      <c r="B10" t="s">
        <v>23</v>
      </c>
      <c r="C10">
        <v>-94.387150000000005</v>
      </c>
      <c r="D10">
        <v>-84.516660000000002</v>
      </c>
      <c r="F10" t="str">
        <v>l32.053 11.517</v>
      </c>
    </row>
    <row r="11" spans="2:16" x14ac:dyDescent="0.2">
      <c r="B11" t="s">
        <v>23</v>
      </c>
      <c r="C11">
        <v>0</v>
      </c>
      <c r="D11">
        <v>-46</v>
      </c>
      <c r="F11" t="str">
        <v>L0 46</v>
      </c>
    </row>
    <row r="12" spans="2:16" x14ac:dyDescent="0.2">
      <c r="B12" t="s">
        <v>23</v>
      </c>
      <c r="C12">
        <v>94.387150000000005</v>
      </c>
      <c r="D12">
        <v>-84.516660000000002</v>
      </c>
      <c r="F12" t="str">
        <v>L94.387 84.517</v>
      </c>
    </row>
    <row r="13" spans="2:16" x14ac:dyDescent="0.2">
      <c r="B13" t="s">
        <v>23</v>
      </c>
      <c r="C13">
        <v>126.43970899999999</v>
      </c>
      <c r="D13">
        <v>-73</v>
      </c>
      <c r="F13" t="str">
        <v>L126.44 73</v>
      </c>
    </row>
    <row r="14" spans="2:16" x14ac:dyDescent="0.2">
      <c r="B14" t="s">
        <v>23</v>
      </c>
      <c r="C14">
        <v>120.38715000000001</v>
      </c>
      <c r="D14">
        <v>-39.483339999999998</v>
      </c>
      <c r="F14" t="str">
        <v>L120.387 39.483</v>
      </c>
    </row>
    <row r="15" spans="2:16" x14ac:dyDescent="0.2">
      <c r="B15" t="s">
        <v>23</v>
      </c>
      <c r="C15">
        <v>39.837169000000003</v>
      </c>
      <c r="D15">
        <v>23</v>
      </c>
      <c r="F15" t="str">
        <v>L39.837 -23</v>
      </c>
    </row>
    <row r="16" spans="2:16" x14ac:dyDescent="0.2">
      <c r="B16" t="s">
        <v>23</v>
      </c>
      <c r="C16">
        <v>26</v>
      </c>
      <c r="D16">
        <v>124</v>
      </c>
      <c r="F16" t="str">
        <v>L26 -124</v>
      </c>
    </row>
    <row r="17" spans="2:16" x14ac:dyDescent="0.2">
      <c r="B17" t="s">
        <v>23</v>
      </c>
      <c r="C17">
        <v>0</v>
      </c>
      <c r="D17">
        <v>146</v>
      </c>
      <c r="F17" t="str">
        <v>L0 -146Z</v>
      </c>
    </row>
    <row r="19" spans="2:16" x14ac:dyDescent="0.2">
      <c r="H19" s="4" t="s">
        <v>446</v>
      </c>
      <c r="I19">
        <v>16</v>
      </c>
    </row>
    <row r="20" spans="2:16" x14ac:dyDescent="0.2">
      <c r="H20" s="4" t="s">
        <v>447</v>
      </c>
      <c r="I20" cm="1">
        <f t="array" ref="I20" xml:space="preserve"> COUNTIFS(AED.Part, "Outer")</f>
        <v>12</v>
      </c>
    </row>
    <row r="22" spans="2:16" x14ac:dyDescent="0.2">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x14ac:dyDescent="0.2">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x14ac:dyDescent="0.2">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x14ac:dyDescent="0.2">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x14ac:dyDescent="0.2">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x14ac:dyDescent="0.2">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x14ac:dyDescent="0.2">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x14ac:dyDescent="0.2">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x14ac:dyDescent="0.2">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x14ac:dyDescent="0.2">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x14ac:dyDescent="0.2">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x14ac:dyDescent="0.2">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x14ac:dyDescent="0.2">
      <c r="E36" s="4" t="s">
        <v>454</v>
      </c>
      <c r="F36">
        <f xml:space="preserve"> ROUND( MIN(AED.RawX), AED.DecimalPlaces)</f>
        <v>-126.44</v>
      </c>
    </row>
    <row r="37" spans="2:16" x14ac:dyDescent="0.2">
      <c r="E37" s="4" t="s">
        <v>455</v>
      </c>
      <c r="F37">
        <f xml:space="preserve"> ROUND(MAX(AED.RawX), AED.DecimalPlaces)</f>
        <v>126.44</v>
      </c>
    </row>
    <row r="38" spans="2:16" x14ac:dyDescent="0.2">
      <c r="E38" s="4" t="s">
        <v>456</v>
      </c>
      <c r="F38">
        <f xml:space="preserve"> ROUND( MIN(AED.RawY), AED.DecimalPlaces)</f>
        <v>-84.516999999999996</v>
      </c>
    </row>
    <row r="39" spans="2:16" x14ac:dyDescent="0.2">
      <c r="E39" s="4" t="s">
        <v>457</v>
      </c>
      <c r="F39">
        <f xml:space="preserve"> ROUND(MAX(AED.RawY), AED.DecimalPlaces)</f>
        <v>146</v>
      </c>
    </row>
    <row r="41" spans="2:16" x14ac:dyDescent="0.2">
      <c r="E41" s="4" t="s">
        <v>448</v>
      </c>
      <c r="F41" s="28">
        <f xml:space="preserve"> ZAR.AreaMultiplier</f>
        <v>2</v>
      </c>
    </row>
    <row r="42" spans="2:16" x14ac:dyDescent="0.2">
      <c r="E42" s="4" t="s">
        <v>449</v>
      </c>
      <c r="F42">
        <f xml:space="preserve">  MAX(AED.MaxY, - AED.MinY)   /   MAX(AED.MaxX, - AED.MinX)</f>
        <v>1.1546978804175894</v>
      </c>
    </row>
    <row r="43" spans="2:16" x14ac:dyDescent="0.2">
      <c r="E43" s="4" t="s">
        <v>450</v>
      </c>
      <c r="F43">
        <f xml:space="preserve"> VALUE(TEXT(SQRT(AED.AreaMultiplier* BasicBBoxArea * AED.Aspect), SVG.NumberFormatHeight))</f>
        <v>15.2</v>
      </c>
    </row>
    <row r="44" spans="2:16" x14ac:dyDescent="0.2">
      <c r="E44" s="4" t="s">
        <v>451</v>
      </c>
      <c r="F44" cm="1">
        <f t="array" ref="F44" xml:space="preserve"> AED.Height / AED.Aspect</f>
        <v>13.163616438356163</v>
      </c>
    </row>
    <row r="46" spans="2:16" x14ac:dyDescent="0.2">
      <c r="E46" s="4" t="s">
        <v>452</v>
      </c>
      <c r="F46" t="s">
        <v>771</v>
      </c>
    </row>
    <row r="47" spans="2:16" x14ac:dyDescent="0.2">
      <c r="E47" s="4" t="s">
        <v>453</v>
      </c>
      <c r="F47" t="s">
        <v>772</v>
      </c>
    </row>
    <row r="49" spans="3:6" ht="17" thickBot="1" x14ac:dyDescent="0.25">
      <c r="F49" s="3" t="s">
        <v>458</v>
      </c>
    </row>
    <row r="50" spans="3:6" x14ac:dyDescent="0.2">
      <c r="C50" cm="1">
        <f t="array" ref="C50" xml:space="preserve"> SVG_length(AED.svg)</f>
        <v>479</v>
      </c>
      <c r="F50" s="18"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1" spans="3:6" x14ac:dyDescent="0.2">
      <c r="F51" s="6"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x14ac:dyDescent="0.2">
      <c r="F52" s="6"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x14ac:dyDescent="0.2">
      <c r="E53" s="5"/>
      <c r="F53" s="6" t="s">
        <v>15</v>
      </c>
    </row>
    <row r="54" spans="3:6" x14ac:dyDescent="0.2">
      <c r="E54" s="5"/>
    </row>
    <row r="55" spans="3:6" x14ac:dyDescent="0.2">
      <c r="E55" s="5"/>
    </row>
    <row r="56" spans="3:6" x14ac:dyDescent="0.2">
      <c r="E56" s="5"/>
    </row>
    <row r="57" spans="3:6" x14ac:dyDescent="0.2">
      <c r="E57" s="5"/>
    </row>
    <row r="58" spans="3:6" x14ac:dyDescent="0.2">
      <c r="E58" s="5"/>
    </row>
    <row r="59" spans="3:6" x14ac:dyDescent="0.2">
      <c r="E59" s="5"/>
    </row>
    <row r="60" spans="3:6" x14ac:dyDescent="0.2">
      <c r="E60" s="5"/>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F40"/>
  <sheetViews>
    <sheetView topLeftCell="B1" workbookViewId="0">
      <selection activeCell="B2" sqref="B2"/>
    </sheetView>
  </sheetViews>
  <sheetFormatPr baseColWidth="10" defaultRowHeight="16" x14ac:dyDescent="0.2"/>
  <sheetData>
    <row r="2" spans="2:5" ht="17" thickBot="1" x14ac:dyDescent="0.25">
      <c r="B2" t="s">
        <v>1980</v>
      </c>
      <c r="C2" s="3" t="s">
        <v>1981</v>
      </c>
      <c r="E2" t="s">
        <v>1965</v>
      </c>
    </row>
    <row r="3" spans="2:5" x14ac:dyDescent="0.2">
      <c r="B3" s="38">
        <v>5</v>
      </c>
      <c r="C3">
        <v>1</v>
      </c>
      <c r="D3" s="5"/>
      <c r="E3" s="38">
        <f xml:space="preserve"> DecimalPlaces - INT(LOG(MIN(  MAX( OMR.RawX) - MIN( OMR.RawX),  MAX( OMR.RawY) - MIN( OMR.RawY)  )/2, 10) + 0.2)</f>
        <v>5</v>
      </c>
    </row>
    <row r="5" spans="2:5" ht="17" thickBot="1" x14ac:dyDescent="0.25">
      <c r="B5" s="3" t="s">
        <v>1966</v>
      </c>
      <c r="C5" s="3" t="s">
        <v>1967</v>
      </c>
      <c r="E5" s="3" t="s">
        <v>1968</v>
      </c>
    </row>
    <row r="6" spans="2:5" x14ac:dyDescent="0.2">
      <c r="B6">
        <v>0</v>
      </c>
      <c r="C6">
        <v>1</v>
      </c>
      <c r="E6" t="str" cm="1">
        <f t="array" ref="E6:E18" xml:space="preserve"> svgpath($B6:$B18, $C6:$C18,  OMR.DecimalPlaces, OMR.SizeMult, OMR.SizeMult)</f>
        <v>M0 1</v>
      </c>
    </row>
    <row r="7" spans="2:5" x14ac:dyDescent="0.2">
      <c r="B7">
        <f xml:space="preserve"> 1 - OMR.SizeInner</f>
        <v>-4</v>
      </c>
      <c r="C7">
        <f xml:space="preserve"> OMR.SizeInner</f>
        <v>5</v>
      </c>
      <c r="E7" t="str">
        <v>L-4 5</v>
      </c>
    </row>
    <row r="8" spans="2:5" x14ac:dyDescent="0.2">
      <c r="B8">
        <f xml:space="preserve"> - OMR.SizeInner</f>
        <v>-5</v>
      </c>
      <c r="C8">
        <f xml:space="preserve"> OMR.SizeInner - 1</f>
        <v>4</v>
      </c>
      <c r="E8" t="str">
        <v>L-5 4</v>
      </c>
    </row>
    <row r="9" spans="2:5" x14ac:dyDescent="0.2">
      <c r="B9">
        <v>-1</v>
      </c>
      <c r="C9">
        <v>0</v>
      </c>
      <c r="E9" t="str">
        <v>L-1 0</v>
      </c>
    </row>
    <row r="10" spans="2:5" x14ac:dyDescent="0.2">
      <c r="B10">
        <f xml:space="preserve"> - OMR.SizeInner</f>
        <v>-5</v>
      </c>
      <c r="C10">
        <f xml:space="preserve"> 1 - OMR.SizeInner</f>
        <v>-4</v>
      </c>
      <c r="E10" t="str">
        <v>L-5 -4</v>
      </c>
    </row>
    <row r="11" spans="2:5" x14ac:dyDescent="0.2">
      <c r="B11">
        <f xml:space="preserve"> 1 - OMR.SizeInner</f>
        <v>-4</v>
      </c>
      <c r="C11">
        <f xml:space="preserve"> - OMR.SizeInner</f>
        <v>-5</v>
      </c>
      <c r="E11" t="str">
        <v>l1 -1</v>
      </c>
    </row>
    <row r="12" spans="2:5" x14ac:dyDescent="0.2">
      <c r="B12">
        <v>0</v>
      </c>
      <c r="C12">
        <v>-1</v>
      </c>
      <c r="E12" t="str">
        <v>l4 4</v>
      </c>
    </row>
    <row r="13" spans="2:5" x14ac:dyDescent="0.2">
      <c r="B13">
        <f xml:space="preserve"> - B7</f>
        <v>4</v>
      </c>
      <c r="C13">
        <f xml:space="preserve"> - C7</f>
        <v>-5</v>
      </c>
      <c r="E13" t="str">
        <v>L4 -5</v>
      </c>
    </row>
    <row r="14" spans="2:5" x14ac:dyDescent="0.2">
      <c r="B14">
        <f t="shared" ref="B14:C14" si="0" xml:space="preserve"> - B8</f>
        <v>5</v>
      </c>
      <c r="C14">
        <f t="shared" si="0"/>
        <v>-4</v>
      </c>
      <c r="E14" t="str">
        <v>l1 1</v>
      </c>
    </row>
    <row r="15" spans="2:5" x14ac:dyDescent="0.2">
      <c r="B15">
        <f t="shared" ref="B15:C15" si="1" xml:space="preserve"> - B9</f>
        <v>1</v>
      </c>
      <c r="C15">
        <f t="shared" si="1"/>
        <v>0</v>
      </c>
      <c r="E15" t="str">
        <v>L1 0</v>
      </c>
    </row>
    <row r="16" spans="2:5" x14ac:dyDescent="0.2">
      <c r="B16">
        <f t="shared" ref="B16:C16" si="2" xml:space="preserve"> - B10</f>
        <v>5</v>
      </c>
      <c r="C16">
        <f t="shared" si="2"/>
        <v>4</v>
      </c>
      <c r="E16" t="str">
        <v>L5 4</v>
      </c>
    </row>
    <row r="17" spans="2:6" x14ac:dyDescent="0.2">
      <c r="B17">
        <f t="shared" ref="B17:C17" si="3" xml:space="preserve"> - B11</f>
        <v>4</v>
      </c>
      <c r="C17">
        <f t="shared" si="3"/>
        <v>5</v>
      </c>
      <c r="E17" t="str">
        <v>L4 5</v>
      </c>
    </row>
    <row r="18" spans="2:6" x14ac:dyDescent="0.2">
      <c r="E18" t="str">
        <v>Z</v>
      </c>
    </row>
    <row r="20" spans="2:6" x14ac:dyDescent="0.2">
      <c r="D20" s="4" t="s">
        <v>1970</v>
      </c>
      <c r="E20">
        <f xml:space="preserve"> 1 + OMR.SizeInner</f>
        <v>6</v>
      </c>
    </row>
    <row r="21" spans="2:6" x14ac:dyDescent="0.2">
      <c r="D21" s="4" t="s">
        <v>1972</v>
      </c>
      <c r="E21">
        <f xml:space="preserve"> OMR.MaxX</f>
        <v>6</v>
      </c>
    </row>
    <row r="22" spans="2:6" x14ac:dyDescent="0.2">
      <c r="D22" s="4" t="s">
        <v>1969</v>
      </c>
      <c r="E22">
        <f xml:space="preserve"> - OMR.MaxX</f>
        <v>-6</v>
      </c>
    </row>
    <row r="23" spans="2:6" x14ac:dyDescent="0.2">
      <c r="D23" s="4" t="s">
        <v>1971</v>
      </c>
      <c r="E23">
        <f xml:space="preserve"> - OMR.MaxY</f>
        <v>-6</v>
      </c>
    </row>
    <row r="25" spans="2:6" x14ac:dyDescent="0.2">
      <c r="D25" s="4" t="s">
        <v>1973</v>
      </c>
      <c r="E25" s="6" t="s">
        <v>728</v>
      </c>
    </row>
    <row r="26" spans="2:6" x14ac:dyDescent="0.2">
      <c r="D26" s="4" t="s">
        <v>1974</v>
      </c>
      <c r="E26" s="6" t="s">
        <v>1964</v>
      </c>
    </row>
    <row r="27" spans="2:6" x14ac:dyDescent="0.2">
      <c r="F27" s="5"/>
    </row>
    <row r="28" spans="2:6" x14ac:dyDescent="0.2">
      <c r="D28" s="4" t="s">
        <v>1975</v>
      </c>
      <c r="E28">
        <f xml:space="preserve"> MODE(Squares.AreaMultiplier)</f>
        <v>0.85</v>
      </c>
      <c r="F28" s="5"/>
    </row>
    <row r="29" spans="2:6" x14ac:dyDescent="0.2">
      <c r="D29" s="4" t="s">
        <v>1976</v>
      </c>
      <c r="E29" cm="1">
        <f t="array" ref="E29" xml:space="preserve">  MAX(OMR.MaxY, - OMR.MinY)   /   MAX(OMR.MaxX, - OMR.MinX)</f>
        <v>1</v>
      </c>
      <c r="F29" s="5"/>
    </row>
    <row r="30" spans="2:6" x14ac:dyDescent="0.2">
      <c r="D30" s="4" t="s">
        <v>1977</v>
      </c>
      <c r="E30" cm="1">
        <f t="array" ref="E30" xml:space="preserve"> VALUE(TEXT(SQRT( OMR.AreaMultiplier * BasicBBoxArea *  OMR.Aspect), SVG.NumberFormatHeight))</f>
        <v>9.1999999999999993</v>
      </c>
      <c r="F30" s="5"/>
    </row>
    <row r="31" spans="2:6" x14ac:dyDescent="0.2">
      <c r="D31" s="4" t="s">
        <v>1978</v>
      </c>
      <c r="E31" cm="1">
        <f t="array" ref="E31" xml:space="preserve">  OMR.Height /  OMR.Aspect</f>
        <v>9.1999999999999993</v>
      </c>
      <c r="F31" s="5"/>
    </row>
    <row r="32" spans="2:6" x14ac:dyDescent="0.2">
      <c r="D32" s="5"/>
      <c r="E32" s="5"/>
      <c r="F32" s="5"/>
    </row>
    <row r="33" spans="3:6" x14ac:dyDescent="0.2">
      <c r="D33" s="5"/>
      <c r="E33" s="5"/>
      <c r="F33" s="5"/>
    </row>
    <row r="34" spans="3:6" ht="17" thickBot="1" x14ac:dyDescent="0.25">
      <c r="D34" s="5"/>
      <c r="E34" s="3" t="s">
        <v>1979</v>
      </c>
    </row>
    <row r="35" spans="3:6" x14ac:dyDescent="0.2">
      <c r="C35" cm="1">
        <f t="array" ref="C35" xml:space="preserve"> SVG_length(OMR.svg)</f>
        <v>228</v>
      </c>
      <c r="D35" s="5"/>
      <c r="E35" s="18"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6" x14ac:dyDescent="0.2">
      <c r="D36" s="5"/>
      <c r="E36" s="6" t="str" cm="1">
        <f t="array" ref="E36" xml:space="preserve"> svgPathRect(OMR.DecimalPlaces, OMR.SVG_painting_2, OMR.SizeMult*OMR.MaxX, OMR.SizeMult*OMR.MaxY)</f>
        <v>&lt;path fill='#C8102E' d='M6 6V-6H-6V6Z'/&gt;</v>
      </c>
    </row>
    <row r="37" spans="3:6" x14ac:dyDescent="0.2">
      <c r="D37" s="5"/>
      <c r="E37" s="6" t="str">
        <f xml:space="preserve"> "&lt;path " &amp; IF(LEN(OMR.SVG_painting_1)&gt;0, TRIM(OMR.SVG_painting_1)&amp;" ", "") &amp; "d='" &amp; _xlfn.TEXTJOIN(" ", TRUE,  OMR.svgWorking) &amp; "'/&gt;"</f>
        <v>&lt;path fill='#FFD700' d='M0 1 L-4 5 L-5 4 L-1 0 L-5 -4 l1 -1 l4 4 L4 -5 l1 1 L1 0 L5 4 L4 5 Z'/&gt;</v>
      </c>
    </row>
    <row r="38" spans="3:6" x14ac:dyDescent="0.2">
      <c r="D38" s="5"/>
      <c r="E38" s="6" t="s">
        <v>15</v>
      </c>
    </row>
    <row r="39" spans="3:6" x14ac:dyDescent="0.2">
      <c r="D39" s="5"/>
    </row>
    <row r="40" spans="3:6" x14ac:dyDescent="0.2">
      <c r="D40" s="5"/>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G59"/>
  <sheetViews>
    <sheetView topLeftCell="B1" workbookViewId="0">
      <selection activeCell="B2" sqref="B2"/>
    </sheetView>
  </sheetViews>
  <sheetFormatPr baseColWidth="10" defaultRowHeight="16" x14ac:dyDescent="0.2"/>
  <sheetData>
    <row r="2" spans="2:6" ht="17" thickBot="1" x14ac:dyDescent="0.25">
      <c r="F2" s="3" t="s">
        <v>460</v>
      </c>
    </row>
    <row r="3" spans="2:6" x14ac:dyDescent="0.2">
      <c r="E3" s="5"/>
      <c r="F3">
        <f xml:space="preserve"> DecimalPlaces - INT(LOG(MIN(  MAX(QAR.RawX) - MIN(QAR.RawX),  MAX(QAR.RawY) - MIN(QAR.RawY)  )/2, 10) + 0.2)</f>
        <v>3</v>
      </c>
    </row>
    <row r="4" spans="2:6" x14ac:dyDescent="0.2">
      <c r="E4" s="5"/>
    </row>
    <row r="5" spans="2:6" ht="17" thickBot="1" x14ac:dyDescent="0.25">
      <c r="C5" s="3" t="s">
        <v>477</v>
      </c>
      <c r="E5" s="5"/>
    </row>
    <row r="6" spans="2:6" x14ac:dyDescent="0.2">
      <c r="C6" cm="1">
        <f t="array" ref="C6" xml:space="preserve"> SQRT(1417) * 45 / 88 / GoldenRatio</f>
        <v>11.896716885504146</v>
      </c>
      <c r="E6" s="5"/>
    </row>
    <row r="7" spans="2:6" x14ac:dyDescent="0.2">
      <c r="E7" s="5"/>
    </row>
    <row r="8" spans="2:6" ht="17" thickBot="1" x14ac:dyDescent="0.25">
      <c r="B8" s="3" t="s">
        <v>461</v>
      </c>
      <c r="C8" s="3" t="s">
        <v>462</v>
      </c>
      <c r="D8" s="3" t="s">
        <v>463</v>
      </c>
      <c r="F8" s="3" t="s">
        <v>1749</v>
      </c>
    </row>
    <row r="9" spans="2:6" x14ac:dyDescent="0.2">
      <c r="B9" s="38" t="s">
        <v>476</v>
      </c>
      <c r="C9" s="1">
        <v>121</v>
      </c>
      <c r="D9" s="1">
        <f xml:space="preserve"> _xlfn.SINGLE(QAR.RawX)</f>
        <v>121</v>
      </c>
    </row>
    <row r="10" spans="2:6" x14ac:dyDescent="0.2">
      <c r="B10" s="5" t="s">
        <v>476</v>
      </c>
      <c r="C10" s="1">
        <f xml:space="preserve"> - C9</f>
        <v>-121</v>
      </c>
      <c r="D10" s="1">
        <f xml:space="preserve"> D9</f>
        <v>121</v>
      </c>
    </row>
    <row r="11" spans="2:6" x14ac:dyDescent="0.2">
      <c r="B11" s="5" t="s">
        <v>476</v>
      </c>
      <c r="C11" s="1">
        <f xml:space="preserve"> C10</f>
        <v>-121</v>
      </c>
      <c r="D11" s="1">
        <f xml:space="preserve"> - D10</f>
        <v>-121</v>
      </c>
    </row>
    <row r="12" spans="2:6" x14ac:dyDescent="0.2">
      <c r="B12" s="5" t="s">
        <v>476</v>
      </c>
      <c r="C12" s="1">
        <f xml:space="preserve"> - C11</f>
        <v>121</v>
      </c>
      <c r="D12" s="1">
        <f xml:space="preserve"> D11</f>
        <v>-121</v>
      </c>
    </row>
    <row r="13" spans="2:6" x14ac:dyDescent="0.2">
      <c r="B13" s="5" t="s">
        <v>476</v>
      </c>
      <c r="C13" s="1">
        <f xml:space="preserve"> C12</f>
        <v>121</v>
      </c>
      <c r="D13" s="1">
        <f xml:space="preserve"> - D12</f>
        <v>121</v>
      </c>
    </row>
    <row r="14" spans="2:6" x14ac:dyDescent="0.2">
      <c r="C14" s="1"/>
      <c r="D14" s="1"/>
    </row>
    <row r="15" spans="2:6" x14ac:dyDescent="0.2">
      <c r="B15" t="s">
        <v>1748</v>
      </c>
      <c r="C15" s="66">
        <v>-99</v>
      </c>
      <c r="D15" s="1">
        <v>-99</v>
      </c>
      <c r="F15" t="str">
        <f t="array" ref="F15:F26" xml:space="preserve"> svgpath($C15:$C26, $D15:$D26, QAR.DecimalPlaces)</f>
        <v>M-99 -99</v>
      </c>
    </row>
    <row r="16" spans="2:6" x14ac:dyDescent="0.2">
      <c r="B16" t="s">
        <v>1748</v>
      </c>
      <c r="C16">
        <v>-72</v>
      </c>
      <c r="D16" s="1">
        <f xml:space="preserve"> D15</f>
        <v>-99</v>
      </c>
      <c r="F16" t="str">
        <v>h27</v>
      </c>
    </row>
    <row r="17" spans="2:6" x14ac:dyDescent="0.2">
      <c r="B17" t="s">
        <v>1748</v>
      </c>
      <c r="C17">
        <f xml:space="preserve"> -72 - C16</f>
        <v>0</v>
      </c>
      <c r="D17">
        <f xml:space="preserve"> 22 + D16</f>
        <v>-77</v>
      </c>
      <c r="F17" t="str">
        <v>L0 -77</v>
      </c>
    </row>
    <row r="18" spans="2:6" x14ac:dyDescent="0.2">
      <c r="B18" t="s">
        <v>1748</v>
      </c>
      <c r="C18">
        <f t="shared" ref="C18:C25" si="0" xml:space="preserve"> -72 - C17</f>
        <v>-72</v>
      </c>
      <c r="D18">
        <f t="shared" ref="D18:D25" si="1" xml:space="preserve"> 22 + D17</f>
        <v>-55</v>
      </c>
      <c r="F18" t="str">
        <v>l-72 22</v>
      </c>
    </row>
    <row r="19" spans="2:6" x14ac:dyDescent="0.2">
      <c r="B19" t="s">
        <v>1748</v>
      </c>
      <c r="C19">
        <f t="shared" si="0"/>
        <v>0</v>
      </c>
      <c r="D19">
        <f t="shared" si="1"/>
        <v>-33</v>
      </c>
      <c r="F19" t="str">
        <v>L0 -33</v>
      </c>
    </row>
    <row r="20" spans="2:6" x14ac:dyDescent="0.2">
      <c r="B20" t="s">
        <v>1748</v>
      </c>
      <c r="C20">
        <f t="shared" si="0"/>
        <v>-72</v>
      </c>
      <c r="D20">
        <f t="shared" si="1"/>
        <v>-11</v>
      </c>
      <c r="F20" t="str">
        <v>l-72 22</v>
      </c>
    </row>
    <row r="21" spans="2:6" x14ac:dyDescent="0.2">
      <c r="B21" t="s">
        <v>1748</v>
      </c>
      <c r="C21">
        <f t="shared" si="0"/>
        <v>0</v>
      </c>
      <c r="D21">
        <f t="shared" si="1"/>
        <v>11</v>
      </c>
      <c r="F21" t="str">
        <v>L0 11</v>
      </c>
    </row>
    <row r="22" spans="2:6" x14ac:dyDescent="0.2">
      <c r="B22" t="s">
        <v>1748</v>
      </c>
      <c r="C22">
        <f t="shared" si="0"/>
        <v>-72</v>
      </c>
      <c r="D22">
        <f t="shared" si="1"/>
        <v>33</v>
      </c>
      <c r="F22" t="str">
        <v>L-72 33</v>
      </c>
    </row>
    <row r="23" spans="2:6" x14ac:dyDescent="0.2">
      <c r="B23" t="s">
        <v>1748</v>
      </c>
      <c r="C23">
        <f t="shared" si="0"/>
        <v>0</v>
      </c>
      <c r="D23">
        <f t="shared" si="1"/>
        <v>55</v>
      </c>
      <c r="F23" t="str">
        <v>L0 55</v>
      </c>
    </row>
    <row r="24" spans="2:6" x14ac:dyDescent="0.2">
      <c r="B24" t="s">
        <v>1748</v>
      </c>
      <c r="C24">
        <f t="shared" si="0"/>
        <v>-72</v>
      </c>
      <c r="D24">
        <f t="shared" si="1"/>
        <v>77</v>
      </c>
      <c r="F24" t="str">
        <v>L-72 77</v>
      </c>
    </row>
    <row r="25" spans="2:6" x14ac:dyDescent="0.2">
      <c r="B25" t="s">
        <v>1748</v>
      </c>
      <c r="C25">
        <f t="shared" si="0"/>
        <v>0</v>
      </c>
      <c r="D25">
        <f t="shared" si="1"/>
        <v>99</v>
      </c>
      <c r="F25" t="str">
        <v>L0 99</v>
      </c>
    </row>
    <row r="26" spans="2:6" x14ac:dyDescent="0.2">
      <c r="B26" t="s">
        <v>1748</v>
      </c>
      <c r="C26">
        <f xml:space="preserve"> C15</f>
        <v>-99</v>
      </c>
      <c r="D26">
        <f xml:space="preserve"> D25</f>
        <v>99</v>
      </c>
      <c r="F26" t="str">
        <v>H-99Z</v>
      </c>
    </row>
    <row r="28" spans="2:6" x14ac:dyDescent="0.2">
      <c r="B28" t="s">
        <v>1748</v>
      </c>
      <c r="C28" s="66">
        <f xml:space="preserve"> - C15</f>
        <v>99</v>
      </c>
      <c r="D28">
        <f xml:space="preserve"> D15</f>
        <v>-99</v>
      </c>
      <c r="F28" t="str">
        <f t="array" ref="F28:F39" xml:space="preserve"> svgpath($C28:$C39, $D28:$D39, QAR.DecimalPlaces)</f>
        <v>M99 -99</v>
      </c>
    </row>
    <row r="29" spans="2:6" x14ac:dyDescent="0.2">
      <c r="B29" t="s">
        <v>1748</v>
      </c>
      <c r="C29" s="1">
        <f xml:space="preserve"> 72 + C16</f>
        <v>0</v>
      </c>
      <c r="D29">
        <f t="shared" ref="D29:D39" si="2" xml:space="preserve"> D16</f>
        <v>-99</v>
      </c>
      <c r="F29" t="str">
        <v>H0</v>
      </c>
    </row>
    <row r="30" spans="2:6" x14ac:dyDescent="0.2">
      <c r="B30" t="s">
        <v>1748</v>
      </c>
      <c r="C30" s="1">
        <f t="shared" ref="C30:C38" si="3" xml:space="preserve"> 72 + C17</f>
        <v>72</v>
      </c>
      <c r="D30">
        <f t="shared" si="2"/>
        <v>-77</v>
      </c>
      <c r="F30" t="str">
        <v>l72 22</v>
      </c>
    </row>
    <row r="31" spans="2:6" x14ac:dyDescent="0.2">
      <c r="B31" t="s">
        <v>1748</v>
      </c>
      <c r="C31" s="1">
        <f t="shared" si="3"/>
        <v>0</v>
      </c>
      <c r="D31">
        <f t="shared" si="2"/>
        <v>-55</v>
      </c>
      <c r="F31" t="str">
        <v>L0 -55</v>
      </c>
    </row>
    <row r="32" spans="2:6" x14ac:dyDescent="0.2">
      <c r="B32" t="s">
        <v>1748</v>
      </c>
      <c r="C32" s="1">
        <f t="shared" si="3"/>
        <v>72</v>
      </c>
      <c r="D32">
        <f t="shared" si="2"/>
        <v>-33</v>
      </c>
      <c r="F32" t="str">
        <v>l72 22</v>
      </c>
    </row>
    <row r="33" spans="2:6" x14ac:dyDescent="0.2">
      <c r="B33" t="s">
        <v>1748</v>
      </c>
      <c r="C33" s="1">
        <f t="shared" si="3"/>
        <v>0</v>
      </c>
      <c r="D33">
        <f t="shared" si="2"/>
        <v>-11</v>
      </c>
      <c r="F33" t="str">
        <v>L0 -11</v>
      </c>
    </row>
    <row r="34" spans="2:6" x14ac:dyDescent="0.2">
      <c r="B34" t="s">
        <v>1748</v>
      </c>
      <c r="C34" s="1">
        <f t="shared" si="3"/>
        <v>72</v>
      </c>
      <c r="D34">
        <f t="shared" si="2"/>
        <v>11</v>
      </c>
      <c r="F34" t="str">
        <v>L72 11</v>
      </c>
    </row>
    <row r="35" spans="2:6" x14ac:dyDescent="0.2">
      <c r="B35" t="s">
        <v>1748</v>
      </c>
      <c r="C35" s="1">
        <f t="shared" si="3"/>
        <v>0</v>
      </c>
      <c r="D35">
        <f t="shared" si="2"/>
        <v>33</v>
      </c>
      <c r="F35" t="str">
        <v>L0 33</v>
      </c>
    </row>
    <row r="36" spans="2:6" x14ac:dyDescent="0.2">
      <c r="B36" t="s">
        <v>1748</v>
      </c>
      <c r="C36" s="1">
        <f t="shared" si="3"/>
        <v>72</v>
      </c>
      <c r="D36">
        <f t="shared" si="2"/>
        <v>55</v>
      </c>
      <c r="F36" t="str">
        <v>L72 55</v>
      </c>
    </row>
    <row r="37" spans="2:6" x14ac:dyDescent="0.2">
      <c r="B37" t="s">
        <v>1748</v>
      </c>
      <c r="C37" s="1">
        <f t="shared" si="3"/>
        <v>0</v>
      </c>
      <c r="D37">
        <f t="shared" si="2"/>
        <v>77</v>
      </c>
      <c r="F37" t="str">
        <v>L0 77</v>
      </c>
    </row>
    <row r="38" spans="2:6" x14ac:dyDescent="0.2">
      <c r="B38" t="s">
        <v>1748</v>
      </c>
      <c r="C38" s="1">
        <f t="shared" si="3"/>
        <v>72</v>
      </c>
      <c r="D38">
        <f t="shared" si="2"/>
        <v>99</v>
      </c>
      <c r="F38" t="str">
        <v>L72 99</v>
      </c>
    </row>
    <row r="39" spans="2:6" x14ac:dyDescent="0.2">
      <c r="B39" t="s">
        <v>1748</v>
      </c>
      <c r="C39" s="66">
        <f xml:space="preserve"> - C26</f>
        <v>99</v>
      </c>
      <c r="D39">
        <f t="shared" si="2"/>
        <v>99</v>
      </c>
      <c r="F39" t="str">
        <v>H99Z</v>
      </c>
    </row>
    <row r="42" spans="2:6" x14ac:dyDescent="0.2">
      <c r="E42" s="4" t="s">
        <v>468</v>
      </c>
      <c r="F42">
        <f xml:space="preserve"> ROUND( MIN(QAR.RawX), QAR.DecimalPlaces)</f>
        <v>-121</v>
      </c>
    </row>
    <row r="43" spans="2:6" x14ac:dyDescent="0.2">
      <c r="E43" s="4" t="s">
        <v>469</v>
      </c>
      <c r="F43">
        <f xml:space="preserve"> ROUND(MAX(QAR.RawX), QAR.DecimalPlaces)</f>
        <v>121</v>
      </c>
    </row>
    <row r="44" spans="2:6" x14ac:dyDescent="0.2">
      <c r="E44" s="4" t="s">
        <v>470</v>
      </c>
      <c r="F44">
        <f xml:space="preserve"> ROUND( MIN(QAR.RawY), QAR.DecimalPlaces)</f>
        <v>-121</v>
      </c>
    </row>
    <row r="45" spans="2:6" x14ac:dyDescent="0.2">
      <c r="E45" s="4" t="s">
        <v>471</v>
      </c>
      <c r="F45">
        <f xml:space="preserve"> ROUND(MAX(QAR.RawY), QAR.DecimalPlaces)</f>
        <v>121</v>
      </c>
    </row>
    <row r="47" spans="2:6" x14ac:dyDescent="0.2">
      <c r="E47" s="4" t="s">
        <v>464</v>
      </c>
      <c r="F47" s="28">
        <v>0.8</v>
      </c>
    </row>
    <row r="48" spans="2:6" x14ac:dyDescent="0.2">
      <c r="E48" s="4" t="s">
        <v>465</v>
      </c>
      <c r="F48">
        <f xml:space="preserve">  MAX(QAR.MaxY, - QAR.MinY)   /   MAX(QAR.MaxX, - QAR.MinX)</f>
        <v>1</v>
      </c>
    </row>
    <row r="49" spans="5:7" x14ac:dyDescent="0.2">
      <c r="E49" s="4" t="s">
        <v>466</v>
      </c>
      <c r="F49">
        <f xml:space="preserve"> VALUE(TEXT(SQRT(QAR.AreaMultiplier * BasicBBoxArea * QAR.Aspect), SVG.NumberFormatHeight))</f>
        <v>8.9</v>
      </c>
    </row>
    <row r="50" spans="5:7" x14ac:dyDescent="0.2">
      <c r="E50" s="4" t="s">
        <v>467</v>
      </c>
      <c r="F50" cm="1">
        <f t="array" ref="F50" xml:space="preserve"> QAR.Height / QAR.Aspect</f>
        <v>8.9</v>
      </c>
      <c r="G50" s="5"/>
    </row>
    <row r="51" spans="5:7" x14ac:dyDescent="0.2">
      <c r="E51" s="4"/>
      <c r="F51" s="6"/>
      <c r="G51" s="5"/>
    </row>
    <row r="52" spans="5:7" x14ac:dyDescent="0.2">
      <c r="E52" s="4" t="s">
        <v>474</v>
      </c>
      <c r="F52" s="6" t="s">
        <v>773</v>
      </c>
      <c r="G52" s="5"/>
    </row>
    <row r="53" spans="5:7" x14ac:dyDescent="0.2">
      <c r="E53" s="4" t="s">
        <v>475</v>
      </c>
      <c r="F53" s="6" t="s">
        <v>2091</v>
      </c>
      <c r="G53" s="5"/>
    </row>
    <row r="54" spans="5:7" x14ac:dyDescent="0.2">
      <c r="E54" s="5"/>
      <c r="G54" s="5"/>
    </row>
    <row r="55" spans="5:7" ht="17" thickBot="1" x14ac:dyDescent="0.25">
      <c r="E55" s="5"/>
      <c r="F55" s="3" t="s">
        <v>472</v>
      </c>
      <c r="G55" s="5"/>
    </row>
    <row r="56" spans="5:7" x14ac:dyDescent="0.2">
      <c r="E56" s="5"/>
      <c r="F56" s="18"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7" x14ac:dyDescent="0.2">
      <c r="E57" s="5"/>
      <c r="F57" s="23" t="str" cm="1">
        <f t="array" ref="F57" xml:space="preserve"> svgPathRect(DecimalPlaces, QAR.SVG_painting_O, $C$9, $D$9)</f>
        <v>&lt;path fill='#6C1D45' d='M121 121V-121H-121V121Z'/&gt;</v>
      </c>
    </row>
    <row r="58" spans="5:7" x14ac:dyDescent="0.2">
      <c r="E58" s="5"/>
      <c r="F58" s="6"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7" x14ac:dyDescent="0.2">
      <c r="E59" s="5"/>
      <c r="F59" s="6"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dimension ref="B2:G56"/>
  <sheetViews>
    <sheetView topLeftCell="B1" workbookViewId="0">
      <selection activeCell="B2" sqref="B2"/>
    </sheetView>
  </sheetViews>
  <sheetFormatPr baseColWidth="10" defaultRowHeight="16" x14ac:dyDescent="0.2"/>
  <sheetData>
    <row r="2" spans="2:6" ht="17" thickBot="1" x14ac:dyDescent="0.25">
      <c r="F2" s="3" t="s">
        <v>2387</v>
      </c>
    </row>
    <row r="3" spans="2:6" x14ac:dyDescent="0.2">
      <c r="E3" s="5"/>
      <c r="F3">
        <f xml:space="preserve"> DecimalPlaces - INT(LOG(MIN(  MAX(BHD.RawX) - MIN(BHD.RawX),  MAX(BHD.RawY) - MIN(BHD.RawY)  )/2, 10) + 0.2)</f>
        <v>4</v>
      </c>
    </row>
    <row r="4" spans="2:6" x14ac:dyDescent="0.2">
      <c r="E4" s="5"/>
    </row>
    <row r="5" spans="2:6" ht="17" thickBot="1" x14ac:dyDescent="0.25">
      <c r="C5" s="3" t="s">
        <v>2388</v>
      </c>
      <c r="E5" s="5"/>
    </row>
    <row r="6" spans="2:6" x14ac:dyDescent="0.2">
      <c r="C6" cm="1">
        <f t="array" ref="C6" xml:space="preserve"> SQRT(1417) * 45 / 88 / GoldenRatio</f>
        <v>11.896716885504146</v>
      </c>
      <c r="E6" s="5"/>
    </row>
    <row r="7" spans="2:6" x14ac:dyDescent="0.2">
      <c r="E7" s="5"/>
    </row>
    <row r="8" spans="2:6" ht="17" thickBot="1" x14ac:dyDescent="0.25">
      <c r="B8" s="3" t="s">
        <v>2389</v>
      </c>
      <c r="C8" s="3" t="s">
        <v>2390</v>
      </c>
      <c r="D8" s="3" t="s">
        <v>2391</v>
      </c>
      <c r="F8" s="3" t="s">
        <v>2392</v>
      </c>
    </row>
    <row r="9" spans="2:6" x14ac:dyDescent="0.2">
      <c r="B9" s="38" t="s">
        <v>476</v>
      </c>
      <c r="C9" s="1">
        <v>61</v>
      </c>
      <c r="D9" s="1">
        <v>48</v>
      </c>
    </row>
    <row r="10" spans="2:6" x14ac:dyDescent="0.2">
      <c r="B10" s="5" t="s">
        <v>476</v>
      </c>
      <c r="C10" s="1">
        <f xml:space="preserve"> - C9</f>
        <v>-61</v>
      </c>
      <c r="D10" s="1">
        <f xml:space="preserve"> D9</f>
        <v>48</v>
      </c>
    </row>
    <row r="11" spans="2:6" x14ac:dyDescent="0.2">
      <c r="B11" s="5" t="s">
        <v>476</v>
      </c>
      <c r="C11" s="1">
        <f xml:space="preserve"> C10</f>
        <v>-61</v>
      </c>
      <c r="D11" s="1">
        <f xml:space="preserve"> - D10</f>
        <v>-48</v>
      </c>
    </row>
    <row r="12" spans="2:6" x14ac:dyDescent="0.2">
      <c r="B12" s="5" t="s">
        <v>476</v>
      </c>
      <c r="C12" s="1">
        <f xml:space="preserve"> - C11</f>
        <v>61</v>
      </c>
      <c r="D12" s="1">
        <f xml:space="preserve"> D11</f>
        <v>-48</v>
      </c>
    </row>
    <row r="13" spans="2:6" x14ac:dyDescent="0.2">
      <c r="B13" s="5" t="s">
        <v>476</v>
      </c>
      <c r="C13" s="1">
        <f xml:space="preserve"> C12</f>
        <v>61</v>
      </c>
      <c r="D13" s="1">
        <f xml:space="preserve"> - D12</f>
        <v>48</v>
      </c>
    </row>
    <row r="14" spans="2:6" x14ac:dyDescent="0.2">
      <c r="C14" s="1"/>
      <c r="D14" s="1"/>
    </row>
    <row r="15" spans="2:6" x14ac:dyDescent="0.2">
      <c r="B15" t="s">
        <v>1748</v>
      </c>
      <c r="C15" s="66">
        <v>-48</v>
      </c>
      <c r="D15" s="1">
        <v>35</v>
      </c>
      <c r="F15" t="str" cm="1">
        <f t="array" ref="F15:F22" xml:space="preserve"> svgpath($C15:$C22, $D15:$D22, BHD.DecimalPlaces)</f>
        <v>M-48 35</v>
      </c>
    </row>
    <row r="16" spans="2:6" x14ac:dyDescent="0.2">
      <c r="B16" t="s">
        <v>1748</v>
      </c>
      <c r="C16">
        <v>-35</v>
      </c>
      <c r="D16" s="1">
        <f xml:space="preserve"> D15</f>
        <v>35</v>
      </c>
      <c r="F16" t="str">
        <v>h13</v>
      </c>
    </row>
    <row r="17" spans="2:6" x14ac:dyDescent="0.2">
      <c r="B17" t="s">
        <v>1748</v>
      </c>
      <c r="C17">
        <v>0</v>
      </c>
      <c r="D17">
        <f xml:space="preserve"> D16 - 14</f>
        <v>21</v>
      </c>
      <c r="F17" t="str">
        <v>L0 21</v>
      </c>
    </row>
    <row r="18" spans="2:6" x14ac:dyDescent="0.2">
      <c r="B18" t="s">
        <v>1748</v>
      </c>
      <c r="C18">
        <f xml:space="preserve"> C16</f>
        <v>-35</v>
      </c>
      <c r="D18">
        <f t="shared" ref="D18:D21" si="0" xml:space="preserve"> D17 - 14</f>
        <v>7</v>
      </c>
      <c r="F18" t="str">
        <v>L-35 7</v>
      </c>
    </row>
    <row r="19" spans="2:6" x14ac:dyDescent="0.2">
      <c r="B19" t="s">
        <v>1748</v>
      </c>
      <c r="C19">
        <f t="shared" ref="C19:C21" si="1" xml:space="preserve"> C17</f>
        <v>0</v>
      </c>
      <c r="D19">
        <f t="shared" si="0"/>
        <v>-7</v>
      </c>
      <c r="F19" t="str">
        <v>L0 -7</v>
      </c>
    </row>
    <row r="20" spans="2:6" x14ac:dyDescent="0.2">
      <c r="B20" t="s">
        <v>1748</v>
      </c>
      <c r="C20">
        <f t="shared" si="1"/>
        <v>-35</v>
      </c>
      <c r="D20">
        <f t="shared" si="0"/>
        <v>-21</v>
      </c>
      <c r="F20" t="str">
        <v>L-35 -21</v>
      </c>
    </row>
    <row r="21" spans="2:6" x14ac:dyDescent="0.2">
      <c r="B21" t="s">
        <v>1748</v>
      </c>
      <c r="C21">
        <f t="shared" si="1"/>
        <v>0</v>
      </c>
      <c r="D21">
        <f t="shared" si="0"/>
        <v>-35</v>
      </c>
      <c r="F21" t="str">
        <v>L0 -35</v>
      </c>
    </row>
    <row r="22" spans="2:6" x14ac:dyDescent="0.2">
      <c r="B22" t="s">
        <v>1748</v>
      </c>
      <c r="C22" s="66">
        <f xml:space="preserve"> C15</f>
        <v>-48</v>
      </c>
      <c r="D22">
        <f xml:space="preserve"> D21</f>
        <v>-35</v>
      </c>
      <c r="F22" t="str">
        <v>H-48Z</v>
      </c>
    </row>
    <row r="24" spans="2:6" x14ac:dyDescent="0.2">
      <c r="B24" t="s">
        <v>1748</v>
      </c>
      <c r="C24" s="1">
        <f t="shared" ref="C24:D31" si="2" xml:space="preserve"> - C15</f>
        <v>48</v>
      </c>
      <c r="D24" s="1">
        <f t="shared" si="2"/>
        <v>-35</v>
      </c>
      <c r="F24" t="str" cm="1">
        <f t="array" ref="F24:F31" xml:space="preserve"> svgpath($C24:$C31, $D24:$D31, BHD.DecimalPlaces)</f>
        <v>M48 -35</v>
      </c>
    </row>
    <row r="25" spans="2:6" x14ac:dyDescent="0.2">
      <c r="B25" t="s">
        <v>1748</v>
      </c>
      <c r="C25" s="1">
        <f t="shared" si="2"/>
        <v>35</v>
      </c>
      <c r="D25" s="1">
        <f t="shared" si="2"/>
        <v>-35</v>
      </c>
      <c r="F25" t="str">
        <v>H35</v>
      </c>
    </row>
    <row r="26" spans="2:6" x14ac:dyDescent="0.2">
      <c r="B26" t="s">
        <v>1748</v>
      </c>
      <c r="C26" s="1">
        <f t="shared" si="2"/>
        <v>0</v>
      </c>
      <c r="D26" s="1">
        <f t="shared" si="2"/>
        <v>-21</v>
      </c>
      <c r="F26" t="str">
        <v>L0 -21</v>
      </c>
    </row>
    <row r="27" spans="2:6" x14ac:dyDescent="0.2">
      <c r="B27" t="s">
        <v>1748</v>
      </c>
      <c r="C27" s="1">
        <f t="shared" si="2"/>
        <v>35</v>
      </c>
      <c r="D27" s="1">
        <f t="shared" si="2"/>
        <v>-7</v>
      </c>
      <c r="F27" t="str">
        <v>L35 -7</v>
      </c>
    </row>
    <row r="28" spans="2:6" x14ac:dyDescent="0.2">
      <c r="B28" t="s">
        <v>1748</v>
      </c>
      <c r="C28" s="1">
        <f t="shared" si="2"/>
        <v>0</v>
      </c>
      <c r="D28" s="1">
        <f t="shared" si="2"/>
        <v>7</v>
      </c>
      <c r="F28" t="str">
        <v>L0 7</v>
      </c>
    </row>
    <row r="29" spans="2:6" x14ac:dyDescent="0.2">
      <c r="B29" t="s">
        <v>1748</v>
      </c>
      <c r="C29" s="1">
        <f t="shared" si="2"/>
        <v>35</v>
      </c>
      <c r="D29" s="1">
        <f t="shared" si="2"/>
        <v>21</v>
      </c>
      <c r="F29" t="str">
        <v>L35 21</v>
      </c>
    </row>
    <row r="30" spans="2:6" x14ac:dyDescent="0.2">
      <c r="B30" t="s">
        <v>1748</v>
      </c>
      <c r="C30" s="1">
        <f t="shared" si="2"/>
        <v>0</v>
      </c>
      <c r="D30" s="1">
        <f t="shared" si="2"/>
        <v>35</v>
      </c>
      <c r="F30" t="str">
        <v>L0 35</v>
      </c>
    </row>
    <row r="31" spans="2:6" x14ac:dyDescent="0.2">
      <c r="B31" t="s">
        <v>1748</v>
      </c>
      <c r="C31" s="1">
        <f t="shared" si="2"/>
        <v>48</v>
      </c>
      <c r="D31" s="1">
        <f t="shared" si="2"/>
        <v>35</v>
      </c>
      <c r="F31" t="str">
        <v>H48Z</v>
      </c>
    </row>
    <row r="34" spans="4:7" x14ac:dyDescent="0.2">
      <c r="E34" s="4" t="s">
        <v>2393</v>
      </c>
      <c r="F34" cm="1">
        <f t="array" ref="F34" xml:space="preserve"> ROUND( MIN(BHD.RawX), BHD.DecimalPlaces)</f>
        <v>-61</v>
      </c>
    </row>
    <row r="35" spans="4:7" x14ac:dyDescent="0.2">
      <c r="E35" s="4" t="s">
        <v>2394</v>
      </c>
      <c r="F35" cm="1">
        <f t="array" ref="F35" xml:space="preserve"> ROUND(MAX(BHD.RawX), BHD.DecimalPlaces)</f>
        <v>61</v>
      </c>
    </row>
    <row r="36" spans="4:7" x14ac:dyDescent="0.2">
      <c r="E36" s="4" t="s">
        <v>2395</v>
      </c>
      <c r="F36" cm="1">
        <f t="array" ref="F36" xml:space="preserve"> ROUND( MIN(BHD.RawY), BHD.DecimalPlaces)</f>
        <v>-48</v>
      </c>
    </row>
    <row r="37" spans="4:7" x14ac:dyDescent="0.2">
      <c r="E37" s="4" t="s">
        <v>2396</v>
      </c>
      <c r="F37" cm="1">
        <f t="array" ref="F37" xml:space="preserve"> ROUND(MAX(BHD.RawY), BHD.DecimalPlaces)</f>
        <v>48</v>
      </c>
    </row>
    <row r="39" spans="4:7" x14ac:dyDescent="0.2">
      <c r="E39" s="4" t="s">
        <v>2397</v>
      </c>
      <c r="F39" s="28">
        <v>0.8</v>
      </c>
    </row>
    <row r="40" spans="4:7" x14ac:dyDescent="0.2">
      <c r="E40" s="4" t="s">
        <v>2398</v>
      </c>
      <c r="F40" cm="1">
        <f t="array" ref="F40" xml:space="preserve">  MAX(BHD.MaxY, - BHD.MinY)   /   MAX(BHD.MaxX, - BHD.MinX)</f>
        <v>0.78688524590163933</v>
      </c>
    </row>
    <row r="41" spans="4:7" x14ac:dyDescent="0.2">
      <c r="E41" s="4" t="s">
        <v>2399</v>
      </c>
      <c r="F41" cm="1">
        <f t="array" ref="F41" xml:space="preserve"> VALUE(TEXT(SQRT(BHD.AreaMultiplier * BasicBBoxArea * BHD.Aspect), SVG.NumberFormatHeight))</f>
        <v>7.9</v>
      </c>
    </row>
    <row r="42" spans="4:7" x14ac:dyDescent="0.2">
      <c r="E42" s="4" t="s">
        <v>2400</v>
      </c>
      <c r="F42" cm="1">
        <f t="array" ref="F42" xml:space="preserve"> BHD.Height / BHD.Aspect</f>
        <v>10.039583333333335</v>
      </c>
      <c r="G42" s="5"/>
    </row>
    <row r="43" spans="4:7" x14ac:dyDescent="0.2">
      <c r="E43" s="4"/>
      <c r="F43" s="6"/>
      <c r="G43" s="5"/>
    </row>
    <row r="44" spans="4:7" x14ac:dyDescent="0.2">
      <c r="E44" s="4" t="s">
        <v>2401</v>
      </c>
      <c r="F44" s="6" t="s">
        <v>2404</v>
      </c>
      <c r="G44" s="5"/>
    </row>
    <row r="45" spans="4:7" x14ac:dyDescent="0.2">
      <c r="E45" s="4" t="s">
        <v>2402</v>
      </c>
      <c r="F45" s="6" t="s">
        <v>2091</v>
      </c>
      <c r="G45" s="5"/>
    </row>
    <row r="46" spans="4:7" x14ac:dyDescent="0.2">
      <c r="E46" s="5"/>
      <c r="G46" s="5"/>
    </row>
    <row r="47" spans="4:7" ht="17" thickBot="1" x14ac:dyDescent="0.25">
      <c r="E47" s="5"/>
      <c r="F47" s="3" t="s">
        <v>2403</v>
      </c>
      <c r="G47" s="5"/>
    </row>
    <row r="48" spans="4:7" x14ac:dyDescent="0.2">
      <c r="D48" cm="1">
        <f t="array" ref="D48" xml:space="preserve"> SVG_length(BHD.svg)</f>
        <v>271</v>
      </c>
      <c r="E48" s="5"/>
      <c r="F48" s="18"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5:6" x14ac:dyDescent="0.2">
      <c r="E49" s="5"/>
      <c r="F49" s="23" t="str" cm="1">
        <f t="array" ref="F49" xml:space="preserve"> svgPathRect(DecimalPlaces, BHD.SVG_painting_O, $C$9, $D$9)</f>
        <v>&lt;path fill='#DA291C' d='M61 48V-48H-61V48Z'/&gt;</v>
      </c>
    </row>
    <row r="50" spans="5:6" x14ac:dyDescent="0.2">
      <c r="E50" s="5"/>
      <c r="F50" s="6"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5:6" x14ac:dyDescent="0.2">
      <c r="E51" s="5"/>
      <c r="F51" s="6" t="s">
        <v>15</v>
      </c>
    </row>
    <row r="55" spans="5:6" x14ac:dyDescent="0.2">
      <c r="F55" t="str">
        <f>F48</f>
        <v>&lt;svg width='10.03958' height='7.9' viewBox='-61 -48 122 96'  id='%thisID%' xmlns='http://www.w3.org/2000/svg'&gt;</v>
      </c>
    </row>
    <row r="56" spans="5:6" x14ac:dyDescent="0.2">
      <c r="F56" s="23"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topLeftCell="B1" workbookViewId="0">
      <selection activeCell="B2" sqref="B2"/>
    </sheetView>
  </sheetViews>
  <sheetFormatPr baseColWidth="10" defaultRowHeight="16" x14ac:dyDescent="0.2"/>
  <sheetData>
    <row r="2" spans="2:18" ht="17" thickBot="1" x14ac:dyDescent="0.25">
      <c r="B2" s="3" t="s">
        <v>1663</v>
      </c>
      <c r="D2" s="3" t="s">
        <v>1653</v>
      </c>
      <c r="F2" s="3" t="s">
        <v>1642</v>
      </c>
      <c r="H2" s="3" t="s">
        <v>1670</v>
      </c>
    </row>
    <row r="3" spans="2:18" x14ac:dyDescent="0.2">
      <c r="B3">
        <v>3</v>
      </c>
      <c r="D3">
        <v>6</v>
      </c>
      <c r="F3">
        <f xml:space="preserve"> DecimalPlaces - INT(LOG(3 * KWD.Multiplier, 10) + 0.2)</f>
        <v>4</v>
      </c>
      <c r="H3">
        <f xml:space="preserve"> KWD.Multiplier * (Sqrt13 + 2) / 9</f>
        <v>1.8685170918213301</v>
      </c>
    </row>
    <row r="4" spans="2:18" x14ac:dyDescent="0.2">
      <c r="E4" s="5"/>
    </row>
    <row r="5" spans="2:18" ht="17" thickBot="1" x14ac:dyDescent="0.25">
      <c r="B5" s="3" t="s">
        <v>1643</v>
      </c>
      <c r="C5" s="3" t="s">
        <v>1644</v>
      </c>
      <c r="D5" s="3" t="s">
        <v>1645</v>
      </c>
      <c r="F5" s="3" t="s">
        <v>1747</v>
      </c>
      <c r="H5" s="3" t="s">
        <v>1652</v>
      </c>
      <c r="M5" s="3" t="s">
        <v>1646</v>
      </c>
      <c r="N5" s="3" t="s">
        <v>1647</v>
      </c>
      <c r="O5" s="3" t="s">
        <v>1648</v>
      </c>
      <c r="P5" s="3" t="s">
        <v>1649</v>
      </c>
      <c r="Q5" s="3" t="s">
        <v>1650</v>
      </c>
      <c r="R5" s="3" t="s">
        <v>1651</v>
      </c>
    </row>
    <row r="6" spans="2:18" x14ac:dyDescent="0.2">
      <c r="B6" t="s">
        <v>1569</v>
      </c>
      <c r="C6">
        <v>0</v>
      </c>
      <c r="D6">
        <f xml:space="preserve"> -3 * KWD.Multiplier</f>
        <v>-9</v>
      </c>
      <c r="F6" s="49" t="str">
        <f t="array" ref="F6:F11" xml:space="preserve">  svgpath($C6:$C11, $D6:$D11, KWD.DecimalPlaces)</f>
        <v>M0 -9</v>
      </c>
    </row>
    <row r="7" spans="2:18" x14ac:dyDescent="0.2">
      <c r="B7" t="str">
        <f xml:space="preserve"> IF($F7 = $F6, "", B6)</f>
        <v>Four</v>
      </c>
      <c r="C7">
        <f xml:space="preserve"> 3 * KWD.Multiplier</f>
        <v>9</v>
      </c>
      <c r="D7">
        <f xml:space="preserve"> -1 * KWD.Multiplier</f>
        <v>-3</v>
      </c>
      <c r="F7" t="str">
        <v>l9 6</v>
      </c>
    </row>
    <row r="8" spans="2:18" x14ac:dyDescent="0.2">
      <c r="B8" t="str">
        <f xml:space="preserve"> IF($F8 = $F7, "", B6)</f>
        <v>Four</v>
      </c>
      <c r="C8">
        <f xml:space="preserve"> 3 * KWD.Multiplier</f>
        <v>9</v>
      </c>
      <c r="D8">
        <f xml:space="preserve"> 1 * KWD.Multiplier</f>
        <v>3</v>
      </c>
      <c r="F8" t="str">
        <v>V3</v>
      </c>
    </row>
    <row r="9" spans="2:18" x14ac:dyDescent="0.2">
      <c r="B9" t="str">
        <f xml:space="preserve"> IF($F9 = $F8, "", B6)</f>
        <v>Four</v>
      </c>
      <c r="C9">
        <v>0</v>
      </c>
      <c r="D9">
        <f xml:space="preserve"> 3 * KWD.Multiplier</f>
        <v>9</v>
      </c>
      <c r="F9" t="str">
        <v>L0 9</v>
      </c>
    </row>
    <row r="10" spans="2:18" x14ac:dyDescent="0.2">
      <c r="B10" t="str">
        <f xml:space="preserve"> IF($F10 = $F9, "", B6)</f>
        <v>Four</v>
      </c>
      <c r="C10">
        <f xml:space="preserve"> -3 * KWD.Multiplier</f>
        <v>-9</v>
      </c>
      <c r="D10">
        <f xml:space="preserve"> 1 * KWD.Multiplier</f>
        <v>3</v>
      </c>
      <c r="F10" t="str">
        <v>L-9 3</v>
      </c>
    </row>
    <row r="11" spans="2:18" x14ac:dyDescent="0.2">
      <c r="B11" t="str">
        <f xml:space="preserve"> IF($F11 = $F10, "", B6)</f>
        <v>Four</v>
      </c>
      <c r="C11">
        <f xml:space="preserve"> -3 * KWD.Multiplier</f>
        <v>-9</v>
      </c>
      <c r="D11">
        <f xml:space="preserve"> -1 * KWD.Multiplier</f>
        <v>-3</v>
      </c>
      <c r="F11" t="str">
        <v>V-3Z</v>
      </c>
    </row>
    <row r="13" spans="2:18" x14ac:dyDescent="0.2">
      <c r="B13" t="s">
        <v>1571</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9"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x14ac:dyDescent="0.2">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x14ac:dyDescent="0.2">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x14ac:dyDescent="0.2">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x14ac:dyDescent="0.2">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x14ac:dyDescent="0.2">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x14ac:dyDescent="0.2">
      <c r="B20" t="s">
        <v>1576</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9"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x14ac:dyDescent="0.2">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x14ac:dyDescent="0.2">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x14ac:dyDescent="0.2">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x14ac:dyDescent="0.2">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x14ac:dyDescent="0.2">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x14ac:dyDescent="0.2">
      <c r="B27" t="s">
        <v>1570</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9"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x14ac:dyDescent="0.2">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x14ac:dyDescent="0.2">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x14ac:dyDescent="0.2">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x14ac:dyDescent="0.2">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x14ac:dyDescent="0.2">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x14ac:dyDescent="0.2">
      <c r="E34" s="4" t="s">
        <v>1654</v>
      </c>
      <c r="F34">
        <f xml:space="preserve"> ROUND( MIN(KWD.RawX), KWD.DecimalPlaces)</f>
        <v>-9</v>
      </c>
    </row>
    <row r="35" spans="5:6" x14ac:dyDescent="0.2">
      <c r="E35" s="4" t="s">
        <v>1655</v>
      </c>
      <c r="F35">
        <f xml:space="preserve"> ROUND(MAX(KWD.RawX), KWD.DecimalPlaces)</f>
        <v>9</v>
      </c>
    </row>
    <row r="36" spans="5:6" x14ac:dyDescent="0.2">
      <c r="E36" s="4" t="s">
        <v>1656</v>
      </c>
      <c r="F36">
        <f xml:space="preserve"> ROUND( MIN(KWD.RawY), KWD.DecimalPlaces)</f>
        <v>-9</v>
      </c>
    </row>
    <row r="37" spans="5:6" x14ac:dyDescent="0.2">
      <c r="E37" s="4" t="s">
        <v>1657</v>
      </c>
      <c r="F37">
        <f xml:space="preserve"> ROUND(MAX(KWD.RawY), KWD.DecimalPlaces)</f>
        <v>9</v>
      </c>
    </row>
    <row r="39" spans="5:6" x14ac:dyDescent="0.2">
      <c r="E39" s="4" t="s">
        <v>1658</v>
      </c>
      <c r="F39" s="28">
        <f xml:space="preserve"> FR.AreaMultiplier</f>
        <v>1.0625</v>
      </c>
    </row>
    <row r="40" spans="5:6" x14ac:dyDescent="0.2">
      <c r="E40" s="4" t="s">
        <v>1659</v>
      </c>
      <c r="F40" cm="1">
        <f t="array" ref="F40" xml:space="preserve">  MAX(KWD.MaxY, - KWD.MinY)   /   MAX(KWD.MaxX, - KWD.MinX)</f>
        <v>1</v>
      </c>
    </row>
    <row r="41" spans="5:6" x14ac:dyDescent="0.2">
      <c r="E41" s="4" t="s">
        <v>1660</v>
      </c>
      <c r="F41" cm="1">
        <f t="array" ref="F41" xml:space="preserve"> VALUE(TEXT(SQRT(KWD.AreaMultiplier* BasicBBoxArea * KWD.Aspect), SVG.NumberFormatHeight))</f>
        <v>10.3</v>
      </c>
    </row>
    <row r="42" spans="5:6" x14ac:dyDescent="0.2">
      <c r="E42" s="4" t="s">
        <v>1661</v>
      </c>
      <c r="F42" cm="1">
        <f t="array" ref="F42" xml:space="preserve"> KWD.Height / KWD.Aspect</f>
        <v>10.3</v>
      </c>
    </row>
    <row r="44" spans="5:6" x14ac:dyDescent="0.2">
      <c r="E44" s="4" t="s">
        <v>1664</v>
      </c>
      <c r="F44" t="s">
        <v>726</v>
      </c>
    </row>
    <row r="45" spans="5:6" x14ac:dyDescent="0.2">
      <c r="E45" s="4" t="s">
        <v>1665</v>
      </c>
      <c r="F45" t="s">
        <v>756</v>
      </c>
    </row>
    <row r="46" spans="5:6" x14ac:dyDescent="0.2">
      <c r="E46" s="4" t="s">
        <v>1666</v>
      </c>
      <c r="F46" t="s">
        <v>2091</v>
      </c>
    </row>
    <row r="47" spans="5:6" x14ac:dyDescent="0.2">
      <c r="E47" s="4" t="s">
        <v>1667</v>
      </c>
      <c r="F47" t="s">
        <v>1669</v>
      </c>
    </row>
    <row r="49" spans="4:6" ht="17" thickBot="1" x14ac:dyDescent="0.25">
      <c r="E49" s="5"/>
      <c r="F49" s="3" t="s">
        <v>1662</v>
      </c>
    </row>
    <row r="50" spans="4:6" x14ac:dyDescent="0.2">
      <c r="D50" cm="1">
        <f t="array" ref="D50" xml:space="preserve"> SVG_length(KWD.svg)</f>
        <v>349</v>
      </c>
      <c r="E50" s="5"/>
      <c r="F50" s="18"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x14ac:dyDescent="0.2">
      <c r="E51" s="5"/>
      <c r="F51" s="6" t="str" cm="1">
        <f t="array" ref="F51" xml:space="preserve"> "&lt;path " &amp; IF(LEN(_xlfn.SINGLE(KWD.SVG_painting_4))&gt;0, TRIM(KWD.SVG_painting_4)&amp;" ", "") &amp; "d='" &amp; _xlfn.TEXTJOIN(" ", TRUE, IF("Four"=KWD.Part,KWD.svgWorking,"")) &amp; "'/&gt;"</f>
        <v>&lt;path fill='black' d='M0 -9 l9 6 V3 L0 9 L-9 3 V-3Z'/&gt;</v>
      </c>
    </row>
    <row r="52" spans="4:6" x14ac:dyDescent="0.2">
      <c r="E52" s="5"/>
      <c r="F52" s="6" t="str" cm="1">
        <f t="array" ref="F52" xml:space="preserve"> "&lt;path " &amp; IF(LEN(_xlfn.SINGLE(KWD.SVG_painting_3))&gt;0, TRIM(KWD.SVG_painting_3)&amp;" ", "") &amp; "d='" &amp; _xlfn.TEXTJOIN(" ", TRUE, IF("Three"=KWD.Part,KWD.svgWorking,"")) &amp; "'/&gt;"</f>
        <v>&lt;path fill='#CE1126' d='M0 -6.7543 L7.1315 -2 V2 L0 6.7543 L-7.1315 2 V-2Z'/&gt;</v>
      </c>
    </row>
    <row r="53" spans="4:6" x14ac:dyDescent="0.2">
      <c r="E53" s="5"/>
      <c r="F53" s="6" t="str" cm="1">
        <f t="array" ref="F53" xml:space="preserve"> "&lt;path " &amp; IF(LEN(_xlfn.SINGLE(KWD.SVG_painting_2))&gt;0, TRIM(KWD.SVG_painting_2)&amp;" ", "") &amp; "d='" &amp; _xlfn.TEXTJOIN(" ", TRUE, IF("Two"=KWD.Part,KWD.svgWorking,"")) &amp; "'/&gt;"</f>
        <v>&lt;path fill='#FFF' d='M0 -4.5086 L5.263 -1 V1 L0 4.5086 L-5.263 1 V-1Z'/&gt;</v>
      </c>
    </row>
    <row r="54" spans="4:6" x14ac:dyDescent="0.2">
      <c r="E54" s="5"/>
      <c r="F54" s="6" t="str" cm="1">
        <f t="array" ref="F54" xml:space="preserve"> "&lt;path " &amp; IF(LEN(_xlfn.SINGLE(KWD.SVG_painting_1))&gt;0, TRIM(KWD.SVG_painting_1)&amp;" ", "") &amp; "d='" &amp; _xlfn.TEXTJOIN(" ", TRUE, IF("One"=KWD.Part,KWD.svgWorking,"")) &amp; "'/&gt;"</f>
        <v>&lt;path fill='#007A3D' d='M0 -2.263 L3.3944 0 L0 2.263 L-3.3944 0 Z'/&gt;</v>
      </c>
    </row>
    <row r="55" spans="4:6" x14ac:dyDescent="0.2">
      <c r="F55" s="6"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G50"/>
  <sheetViews>
    <sheetView topLeftCell="B1" workbookViewId="0">
      <selection activeCell="B2" sqref="B2"/>
    </sheetView>
  </sheetViews>
  <sheetFormatPr baseColWidth="10" defaultRowHeight="16" x14ac:dyDescent="0.2"/>
  <sheetData>
    <row r="2" spans="2:6" ht="17" thickBot="1" x14ac:dyDescent="0.25">
      <c r="B2" s="3" t="s">
        <v>2033</v>
      </c>
      <c r="C2" s="3" t="s">
        <v>2034</v>
      </c>
    </row>
    <row r="3" spans="2:6" x14ac:dyDescent="0.2">
      <c r="B3">
        <v>6</v>
      </c>
      <c r="C3">
        <v>16</v>
      </c>
    </row>
    <row r="5" spans="2:6" ht="17" thickBot="1" x14ac:dyDescent="0.25">
      <c r="B5" s="3" t="s">
        <v>2031</v>
      </c>
      <c r="C5" s="3" t="s">
        <v>2032</v>
      </c>
      <c r="E5" s="3" t="s">
        <v>2010</v>
      </c>
      <c r="F5" s="39" t="s">
        <v>2011</v>
      </c>
    </row>
    <row r="6" spans="2:6" x14ac:dyDescent="0.2">
      <c r="E6" t="s">
        <v>23</v>
      </c>
      <c r="F6" s="6" t="s">
        <v>2035</v>
      </c>
    </row>
    <row r="7" spans="2:6" x14ac:dyDescent="0.2">
      <c r="E7" t="s">
        <v>23</v>
      </c>
      <c r="F7" s="6" t="s">
        <v>2023</v>
      </c>
    </row>
    <row r="8" spans="2:6" x14ac:dyDescent="0.2">
      <c r="E8" t="s">
        <v>23</v>
      </c>
      <c r="F8" s="6" t="s">
        <v>2024</v>
      </c>
    </row>
    <row r="9" spans="2:6" x14ac:dyDescent="0.2">
      <c r="F9" s="6"/>
    </row>
    <row r="10" spans="2:6" x14ac:dyDescent="0.2">
      <c r="F10" s="6"/>
    </row>
    <row r="11" spans="2:6" x14ac:dyDescent="0.2">
      <c r="E11" t="s">
        <v>23</v>
      </c>
      <c r="F11" s="6" t="s">
        <v>2025</v>
      </c>
    </row>
    <row r="12" spans="2:6" x14ac:dyDescent="0.2">
      <c r="E12" t="s">
        <v>23</v>
      </c>
      <c r="F12" s="6" t="s">
        <v>2026</v>
      </c>
    </row>
    <row r="13" spans="2:6" x14ac:dyDescent="0.2">
      <c r="E13" t="s">
        <v>23</v>
      </c>
      <c r="F13" s="6" t="s">
        <v>2027</v>
      </c>
    </row>
    <row r="14" spans="2:6" x14ac:dyDescent="0.2">
      <c r="F14" s="6"/>
    </row>
    <row r="15" spans="2:6" x14ac:dyDescent="0.2">
      <c r="F15" s="6"/>
    </row>
    <row r="16" spans="2:6" x14ac:dyDescent="0.2">
      <c r="E16" t="s">
        <v>23</v>
      </c>
      <c r="F16" s="6" t="s">
        <v>559</v>
      </c>
    </row>
    <row r="17" spans="2:6" x14ac:dyDescent="0.2">
      <c r="F17" s="6"/>
    </row>
    <row r="18" spans="2:6" x14ac:dyDescent="0.2">
      <c r="F18" s="6"/>
    </row>
    <row r="19" spans="2:6" x14ac:dyDescent="0.2">
      <c r="B19">
        <v>0</v>
      </c>
      <c r="C19">
        <f xml:space="preserve"> - YER.BrickH - 1</f>
        <v>-17</v>
      </c>
      <c r="E19" t="s">
        <v>24</v>
      </c>
      <c r="F19" s="6" t="str" cm="1">
        <f t="array" ref="F19" xml:space="preserve"> SUBSTITUTE(MID(svgPathRect(DecimalPlaces, "",   _xlfn.SINGLE(YER.RawX) + YER.BrickW/2,   _xlfn.SINGLE(YER.RawY) + YER.BrickH/2,   _xlfn.SINGLE(YER.RawX) - YER.BrickW/2,   _xlfn.SINGLE(YER.RawY) - YER.BrickH/2), 10, 999), "'/&gt;", "")</f>
        <v>M3 -9H-3V-25H3Z</v>
      </c>
    </row>
    <row r="20" spans="2:6" x14ac:dyDescent="0.2">
      <c r="B20">
        <f xml:space="preserve"> B19 - 10</f>
        <v>-10</v>
      </c>
      <c r="C20">
        <v>0</v>
      </c>
      <c r="E20" t="s">
        <v>24</v>
      </c>
      <c r="F20" s="6" t="str" cm="1">
        <f t="array" ref="F20" xml:space="preserve"> SUBSTITUTE(MID(svgPathRect(DecimalPlaces, "",   _xlfn.SINGLE(YER.RawX) + YER.BrickW/2,   _xlfn.SINGLE(YER.RawY) + YER.BrickH/2,   _xlfn.SINGLE(YER.RawX) - YER.BrickW/2,   _xlfn.SINGLE(YER.RawY) - YER.BrickH/2), 10, 999), "'/&gt;", "")</f>
        <v>M-7 8V-8h-6V8Z</v>
      </c>
    </row>
    <row r="21" spans="2:6" x14ac:dyDescent="0.2">
      <c r="B21">
        <f xml:space="preserve"> B19+ 10</f>
        <v>10</v>
      </c>
      <c r="C21">
        <v>0</v>
      </c>
      <c r="E21" t="s">
        <v>24</v>
      </c>
      <c r="F21" s="6" t="str" cm="1">
        <f t="array" ref="F21" xml:space="preserve"> SUBSTITUTE(MID(svgPathRect(DecimalPlaces, "",   _xlfn.SINGLE(YER.RawX) + YER.BrickW/2,   _xlfn.SINGLE(YER.RawY) + YER.BrickH/2,   _xlfn.SINGLE(YER.RawX) - YER.BrickW/2,   _xlfn.SINGLE(YER.RawY) - YER.BrickH/2), 10, 999), "'/&gt;", "")</f>
        <v>M7 -8h6V8H7Z</v>
      </c>
    </row>
    <row r="22" spans="2:6" x14ac:dyDescent="0.2">
      <c r="B22">
        <f xml:space="preserve"> B19</f>
        <v>0</v>
      </c>
      <c r="C22">
        <f xml:space="preserve"> YER.BrickH + 1</f>
        <v>17</v>
      </c>
      <c r="E22" t="s">
        <v>24</v>
      </c>
      <c r="F22" s="6" t="str" cm="1">
        <f t="array" ref="F22" xml:space="preserve"> SUBSTITUTE(MID(svgPathRect(DecimalPlaces, "",   _xlfn.SINGLE(YER.RawX) + YER.BrickW/2,   _xlfn.SINGLE(YER.RawY) + YER.BrickH/2,   _xlfn.SINGLE(YER.RawX) - YER.BrickW/2,   _xlfn.SINGLE(YER.RawY) - YER.BrickH/2), 10, 999), "'/&gt;", "")</f>
        <v>M3 25H-3V9H3Z</v>
      </c>
    </row>
    <row r="23" spans="2:6" x14ac:dyDescent="0.2">
      <c r="E23" t="s">
        <v>24</v>
      </c>
      <c r="F23" s="6" t="str">
        <f xml:space="preserve"> ""</f>
        <v/>
      </c>
    </row>
    <row r="24" spans="2:6" x14ac:dyDescent="0.2">
      <c r="B24">
        <f xml:space="preserve"> AVERAGE(B25:B26)</f>
        <v>0</v>
      </c>
      <c r="C24">
        <f xml:space="preserve"> C19</f>
        <v>-17</v>
      </c>
      <c r="E24" t="s">
        <v>24</v>
      </c>
      <c r="F24" s="6" t="str">
        <f t="shared" ref="F24:F27" si="0" xml:space="preserve"> ""</f>
        <v/>
      </c>
    </row>
    <row r="25" spans="2:6" x14ac:dyDescent="0.2">
      <c r="B25">
        <f xml:space="preserve"> - B20</f>
        <v>10</v>
      </c>
      <c r="C25">
        <f t="shared" ref="C25:C27" si="1" xml:space="preserve"> C20</f>
        <v>0</v>
      </c>
      <c r="E25" t="s">
        <v>24</v>
      </c>
      <c r="F25" s="6" t="str">
        <f t="shared" si="0"/>
        <v/>
      </c>
    </row>
    <row r="26" spans="2:6" x14ac:dyDescent="0.2">
      <c r="B26">
        <f xml:space="preserve"> - B21</f>
        <v>-10</v>
      </c>
      <c r="C26">
        <f t="shared" si="1"/>
        <v>0</v>
      </c>
      <c r="E26" t="s">
        <v>24</v>
      </c>
      <c r="F26" s="6" t="str">
        <f t="shared" si="0"/>
        <v/>
      </c>
    </row>
    <row r="27" spans="2:6" x14ac:dyDescent="0.2">
      <c r="B27">
        <f xml:space="preserve"> AVERAGE(B25:B26)</f>
        <v>0</v>
      </c>
      <c r="C27">
        <f t="shared" si="1"/>
        <v>17</v>
      </c>
      <c r="E27" t="s">
        <v>24</v>
      </c>
      <c r="F27" s="6" t="str">
        <f t="shared" si="0"/>
        <v/>
      </c>
    </row>
    <row r="30" spans="2:6" x14ac:dyDescent="0.2">
      <c r="E30" s="4" t="s">
        <v>2012</v>
      </c>
      <c r="F30">
        <v>20</v>
      </c>
    </row>
    <row r="31" spans="2:6" x14ac:dyDescent="0.2">
      <c r="E31" s="4" t="s">
        <v>2013</v>
      </c>
      <c r="F31">
        <v>30</v>
      </c>
    </row>
    <row r="32" spans="2:6" x14ac:dyDescent="0.2">
      <c r="E32" s="4" t="s">
        <v>2014</v>
      </c>
      <c r="F32">
        <f xml:space="preserve"> - F30</f>
        <v>-20</v>
      </c>
    </row>
    <row r="33" spans="4:7" x14ac:dyDescent="0.2">
      <c r="E33" s="4" t="s">
        <v>2015</v>
      </c>
      <c r="F33">
        <f xml:space="preserve"> - F31</f>
        <v>-30</v>
      </c>
    </row>
    <row r="35" spans="4:7" x14ac:dyDescent="0.2">
      <c r="E35" s="4" t="s">
        <v>2016</v>
      </c>
      <c r="F35" s="6" t="s">
        <v>2028</v>
      </c>
    </row>
    <row r="36" spans="4:7" x14ac:dyDescent="0.2">
      <c r="E36" s="4" t="s">
        <v>2017</v>
      </c>
      <c r="F36" s="6" t="s">
        <v>726</v>
      </c>
    </row>
    <row r="37" spans="4:7" x14ac:dyDescent="0.2">
      <c r="G37" s="5"/>
    </row>
    <row r="38" spans="4:7" x14ac:dyDescent="0.2">
      <c r="E38" s="4" t="s">
        <v>2018</v>
      </c>
      <c r="F38">
        <f xml:space="preserve"> 17 / 16</f>
        <v>1.0625</v>
      </c>
      <c r="G38" s="5"/>
    </row>
    <row r="39" spans="4:7" x14ac:dyDescent="0.2">
      <c r="E39" s="4" t="s">
        <v>2019</v>
      </c>
      <c r="F39" cm="1">
        <f t="array" ref="F39" xml:space="preserve">  MAX(YER.MaxY, - YER.MinY)   /   MAX(YER.MaxX, - YER.MinX)</f>
        <v>1.5</v>
      </c>
      <c r="G39" s="5"/>
    </row>
    <row r="40" spans="4:7" x14ac:dyDescent="0.2">
      <c r="E40" s="4" t="s">
        <v>2020</v>
      </c>
      <c r="F40" cm="1">
        <f t="array" ref="F40" xml:space="preserve"> VALUE(TEXT(SQRT( YER.AreaMultiplier * BasicBBoxArea *  YER.Aspect), SVG.NumberFormatHeight))</f>
        <v>12.6</v>
      </c>
      <c r="G40" s="5"/>
    </row>
    <row r="41" spans="4:7" x14ac:dyDescent="0.2">
      <c r="E41" s="4" t="s">
        <v>2021</v>
      </c>
      <c r="F41" cm="1">
        <f t="array" ref="F41" xml:space="preserve">  YER.Height /  YER.Aspect</f>
        <v>8.4</v>
      </c>
      <c r="G41" s="5"/>
    </row>
    <row r="42" spans="4:7" x14ac:dyDescent="0.2">
      <c r="E42" s="5"/>
      <c r="F42" s="5"/>
      <c r="G42" s="5"/>
    </row>
    <row r="43" spans="4:7" x14ac:dyDescent="0.2">
      <c r="E43" s="5"/>
      <c r="F43" s="5"/>
      <c r="G43" s="5"/>
    </row>
    <row r="44" spans="4:7" ht="17" thickBot="1" x14ac:dyDescent="0.25">
      <c r="E44" s="5"/>
      <c r="F44" s="3" t="s">
        <v>2022</v>
      </c>
    </row>
    <row r="45" spans="4:7" x14ac:dyDescent="0.2">
      <c r="D45" cm="1">
        <f t="array" ref="D45" xml:space="preserve"> SVG_length(YER.svg)</f>
        <v>293</v>
      </c>
      <c r="E45" s="5"/>
      <c r="F45" s="18"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7" x14ac:dyDescent="0.2">
      <c r="E46" s="5"/>
      <c r="F46" s="6"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7" x14ac:dyDescent="0.2">
      <c r="E47" s="5"/>
      <c r="F47" s="6" t="str" cm="1">
        <f t="array" ref="F47" xml:space="preserve"> TRIM("&lt;path " &amp; IF(LEN(YER.SVG_painting_1)&gt;0, TRIM(YER.SVG_painting_1)&amp;" ", "") &amp; "d='" &amp; _xlfn.TEXTJOIN(" ", TRUE,  IF("Inner"=YER.Part, YER.svgWorking, "")) &amp; "'/&gt;")</f>
        <v>&lt;path fill='black' d='M3 -9H-3V-25H3Z M-7 8V-8h-6V8Z M7 -8h6V8H7Z M3 25H-3V9H3Z'/&gt;</v>
      </c>
    </row>
    <row r="48" spans="4:7" x14ac:dyDescent="0.2">
      <c r="E48" s="5"/>
      <c r="F48" s="6" t="s">
        <v>15</v>
      </c>
    </row>
    <row r="49" spans="5:5" x14ac:dyDescent="0.2">
      <c r="E49" s="5"/>
    </row>
    <row r="50" spans="5:5" x14ac:dyDescent="0.2">
      <c r="E50" s="5"/>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topLeftCell="B1" workbookViewId="0">
      <selection activeCell="B2" sqref="B2"/>
    </sheetView>
  </sheetViews>
  <sheetFormatPr baseColWidth="10" defaultRowHeight="16" x14ac:dyDescent="0.2"/>
  <sheetData>
    <row r="2" spans="2:6" ht="17" thickBot="1" x14ac:dyDescent="0.25">
      <c r="B2" s="3" t="s">
        <v>1791</v>
      </c>
      <c r="F2" s="3" t="s">
        <v>1792</v>
      </c>
    </row>
    <row r="3" spans="2:6" x14ac:dyDescent="0.2">
      <c r="B3">
        <v>5.77</v>
      </c>
      <c r="F3">
        <f xml:space="preserve"> DecimalPlaces - INT(LOG(EGP.Multiplier, 10) + 0.2)</f>
        <v>5</v>
      </c>
    </row>
    <row r="4" spans="2:6" x14ac:dyDescent="0.2">
      <c r="E4" s="5"/>
    </row>
    <row r="5" spans="2:6" ht="17" thickBot="1" x14ac:dyDescent="0.25">
      <c r="B5" s="3" t="s">
        <v>1793</v>
      </c>
      <c r="C5" s="3" t="s">
        <v>1794</v>
      </c>
      <c r="D5" s="3" t="s">
        <v>1795</v>
      </c>
      <c r="F5" s="3" t="s">
        <v>1796</v>
      </c>
    </row>
    <row r="6" spans="2:6" x14ac:dyDescent="0.2">
      <c r="B6" t="s">
        <v>1808</v>
      </c>
      <c r="C6">
        <f xml:space="preserve"> EGP.Multiplier</f>
        <v>5.77</v>
      </c>
      <c r="D6">
        <f xml:space="preserve"> EGP.Multiplier</f>
        <v>5.77</v>
      </c>
      <c r="F6" s="49" t="str">
        <f t="array" ref="F6:F9" xml:space="preserve">  svgpath($C6:$C9, $D6:$D9, EGP.DecimalPlaces)</f>
        <v>M5.77 5.77</v>
      </c>
    </row>
    <row r="7" spans="2:6" x14ac:dyDescent="0.2">
      <c r="B7" t="s">
        <v>1808</v>
      </c>
      <c r="C7">
        <f xml:space="preserve"> - EGP.Multiplier</f>
        <v>-5.77</v>
      </c>
      <c r="D7">
        <f xml:space="preserve"> EGP.Multiplier</f>
        <v>5.77</v>
      </c>
      <c r="F7" t="str">
        <v>H-5.77</v>
      </c>
    </row>
    <row r="8" spans="2:6" x14ac:dyDescent="0.2">
      <c r="B8" t="s">
        <v>1808</v>
      </c>
      <c r="C8">
        <f xml:space="preserve"> - EGP.Multiplier</f>
        <v>-5.77</v>
      </c>
      <c r="D8">
        <f xml:space="preserve"> - EGP.Multiplier</f>
        <v>-5.77</v>
      </c>
      <c r="F8" t="str">
        <v>V-5.77</v>
      </c>
    </row>
    <row r="9" spans="2:6" x14ac:dyDescent="0.2">
      <c r="B9" t="s">
        <v>1808</v>
      </c>
      <c r="C9">
        <f xml:space="preserve"> EGP.Multiplier</f>
        <v>5.77</v>
      </c>
      <c r="D9">
        <f xml:space="preserve"> - EGP.Multiplier</f>
        <v>-5.77</v>
      </c>
      <c r="F9" t="str">
        <v>H5.77Z</v>
      </c>
    </row>
    <row r="11" spans="2:6" x14ac:dyDescent="0.2">
      <c r="B11" t="s">
        <v>1809</v>
      </c>
      <c r="C11">
        <f xml:space="preserve"> EGP.Multiplier * Sqrt2 / 10</f>
        <v>0.81600122548927578</v>
      </c>
      <c r="D11">
        <v>0</v>
      </c>
      <c r="F11" s="49" t="str">
        <f t="array" ref="F11:F13" xml:space="preserve">  svgpath($C11:$C13, $D11:$D13, EGP.DecimalPlaces)</f>
        <v>M.816 0</v>
      </c>
    </row>
    <row r="12" spans="2:6" x14ac:dyDescent="0.2">
      <c r="B12" t="s">
        <v>1809</v>
      </c>
      <c r="C12">
        <f xml:space="preserve"> EGP.Multiplier * 4 / 5</f>
        <v>4.6159999999999997</v>
      </c>
      <c r="D12">
        <f xml:space="preserve"> EGP.Multiplier * (4 / 5  -  Sqrt2 / 10)</f>
        <v>3.7999987745107244</v>
      </c>
      <c r="F12" t="str">
        <v>l3.8 3.8</v>
      </c>
    </row>
    <row r="13" spans="2:6" x14ac:dyDescent="0.2">
      <c r="B13" t="s">
        <v>1809</v>
      </c>
      <c r="C13">
        <f xml:space="preserve"> EGP.Multiplier * 4 / 5</f>
        <v>4.6159999999999997</v>
      </c>
      <c r="D13">
        <f xml:space="preserve"> EGP.Multiplier * (Sqrt2 / 10  -  4 / 5)</f>
        <v>-3.7999987745107244</v>
      </c>
      <c r="F13" t="str">
        <v>V-3.8Z</v>
      </c>
    </row>
    <row r="15" spans="2:6" x14ac:dyDescent="0.2">
      <c r="B15" t="s">
        <v>1809</v>
      </c>
      <c r="C15">
        <f xml:space="preserve"> D11</f>
        <v>0</v>
      </c>
      <c r="D15">
        <f xml:space="preserve"> C11</f>
        <v>0.81600122548927578</v>
      </c>
      <c r="F15" s="49" t="str">
        <f t="array" ref="F15:F17" xml:space="preserve">  svgpath($C15:$C17, $D15:$D17, EGP.DecimalPlaces)</f>
        <v>M0 .816</v>
      </c>
    </row>
    <row r="16" spans="2:6" x14ac:dyDescent="0.2">
      <c r="B16" t="s">
        <v>1809</v>
      </c>
      <c r="C16">
        <f t="shared" ref="C16:C17" si="0" xml:space="preserve"> D12</f>
        <v>3.7999987745107244</v>
      </c>
      <c r="D16">
        <f t="shared" ref="D16:D17" si="1" xml:space="preserve"> C12</f>
        <v>4.6159999999999997</v>
      </c>
      <c r="F16" t="str">
        <v>l3.8 3.8</v>
      </c>
    </row>
    <row r="17" spans="2:6" x14ac:dyDescent="0.2">
      <c r="B17" t="s">
        <v>1809</v>
      </c>
      <c r="C17">
        <f t="shared" si="0"/>
        <v>-3.7999987745107244</v>
      </c>
      <c r="D17">
        <f t="shared" si="1"/>
        <v>4.6159999999999997</v>
      </c>
      <c r="F17" t="str">
        <v>H-3.8Z</v>
      </c>
    </row>
    <row r="18" spans="2:6" x14ac:dyDescent="0.2">
      <c r="F18" s="49"/>
    </row>
    <row r="19" spans="2:6" x14ac:dyDescent="0.2">
      <c r="B19" t="s">
        <v>1809</v>
      </c>
      <c r="C19">
        <f xml:space="preserve"> - C11</f>
        <v>-0.81600122548927578</v>
      </c>
      <c r="D19">
        <f xml:space="preserve"> - D11</f>
        <v>0</v>
      </c>
      <c r="F19" s="49" t="str">
        <f t="array" ref="F19:F21" xml:space="preserve">  svgpath($C19:$C21, $D19:$D21, EGP.DecimalPlaces)</f>
        <v>M-.816 0</v>
      </c>
    </row>
    <row r="20" spans="2:6" x14ac:dyDescent="0.2">
      <c r="B20" t="s">
        <v>1809</v>
      </c>
      <c r="C20">
        <f t="shared" ref="C20:D21" si="2" xml:space="preserve"> - C12</f>
        <v>-4.6159999999999997</v>
      </c>
      <c r="D20">
        <f t="shared" si="2"/>
        <v>-3.7999987745107244</v>
      </c>
      <c r="F20" t="str">
        <v>l-3.8 -3.8</v>
      </c>
    </row>
    <row r="21" spans="2:6" x14ac:dyDescent="0.2">
      <c r="B21" t="s">
        <v>1809</v>
      </c>
      <c r="C21">
        <f t="shared" si="2"/>
        <v>-4.6159999999999997</v>
      </c>
      <c r="D21">
        <f t="shared" si="2"/>
        <v>3.7999987745107244</v>
      </c>
      <c r="F21" t="str">
        <v>V3.8Z</v>
      </c>
    </row>
    <row r="23" spans="2:6" x14ac:dyDescent="0.2">
      <c r="B23" t="s">
        <v>1809</v>
      </c>
      <c r="C23">
        <f xml:space="preserve"> - C15</f>
        <v>0</v>
      </c>
      <c r="D23">
        <f xml:space="preserve"> - D15</f>
        <v>-0.81600122548927578</v>
      </c>
      <c r="F23" s="49" t="str">
        <f t="array" ref="F23:F25" xml:space="preserve">  svgpath($C23:$C25, $D23:$D25, EGP.DecimalPlaces)</f>
        <v>M0 -.816</v>
      </c>
    </row>
    <row r="24" spans="2:6" x14ac:dyDescent="0.2">
      <c r="B24" t="s">
        <v>1809</v>
      </c>
      <c r="C24">
        <f t="shared" ref="C24:D24" si="3" xml:space="preserve"> - C16</f>
        <v>-3.7999987745107244</v>
      </c>
      <c r="D24">
        <f t="shared" si="3"/>
        <v>-4.6159999999999997</v>
      </c>
      <c r="F24" t="str">
        <v>l-3.8 -3.8</v>
      </c>
    </row>
    <row r="25" spans="2:6" x14ac:dyDescent="0.2">
      <c r="B25" t="s">
        <v>1809</v>
      </c>
      <c r="C25">
        <f t="shared" ref="C25:D25" si="4" xml:space="preserve"> - C17</f>
        <v>3.7999987745107244</v>
      </c>
      <c r="D25">
        <f t="shared" si="4"/>
        <v>-4.6159999999999997</v>
      </c>
      <c r="F25" t="str">
        <v>H3.8Z</v>
      </c>
    </row>
    <row r="28" spans="2:6" x14ac:dyDescent="0.2">
      <c r="E28" s="4" t="s">
        <v>1797</v>
      </c>
      <c r="F28" cm="1">
        <f t="array" ref="F28" xml:space="preserve"> ROUND( MIN(EGP.RawX), EGP.DecimalPlaces)</f>
        <v>-5.77</v>
      </c>
    </row>
    <row r="29" spans="2:6" x14ac:dyDescent="0.2">
      <c r="E29" s="4" t="s">
        <v>1798</v>
      </c>
      <c r="F29" cm="1">
        <f t="array" ref="F29" xml:space="preserve"> ROUND(MAX(EGP.RawX), EGP.DecimalPlaces)</f>
        <v>5.77</v>
      </c>
    </row>
    <row r="30" spans="2:6" x14ac:dyDescent="0.2">
      <c r="E30" s="4" t="s">
        <v>1799</v>
      </c>
      <c r="F30" cm="1">
        <f t="array" ref="F30" xml:space="preserve"> ROUND( MIN(EGP.RawY), EGP.DecimalPlaces)</f>
        <v>-5.77</v>
      </c>
    </row>
    <row r="31" spans="2:6" x14ac:dyDescent="0.2">
      <c r="E31" s="4" t="s">
        <v>1800</v>
      </c>
      <c r="F31" cm="1">
        <f t="array" ref="F31" xml:space="preserve"> ROUND(MAX(EGP.RawY), EGP.DecimalPlaces)</f>
        <v>5.77</v>
      </c>
    </row>
    <row r="33" spans="4:6" x14ac:dyDescent="0.2">
      <c r="E33" s="4" t="s">
        <v>1801</v>
      </c>
      <c r="F33" s="28">
        <f xml:space="preserve"> MODE(Squares.AreaMultiplier)</f>
        <v>0.85</v>
      </c>
    </row>
    <row r="34" spans="4:6" x14ac:dyDescent="0.2">
      <c r="E34" s="4" t="s">
        <v>1802</v>
      </c>
      <c r="F34" cm="1">
        <f t="array" ref="F34" xml:space="preserve">  MAX(EGP.MaxY, - EGP.MinY)   /   MAX(EGP.MaxX, - EGP.MinX)</f>
        <v>1</v>
      </c>
    </row>
    <row r="35" spans="4:6" x14ac:dyDescent="0.2">
      <c r="E35" s="4" t="s">
        <v>1803</v>
      </c>
      <c r="F35" cm="1">
        <f t="array" ref="F35" xml:space="preserve"> VALUE(TEXT(SQRT(EGP.AreaMultiplier* BasicBBoxArea * EGP.Aspect), SVG.NumberFormatHeight))</f>
        <v>9.1999999999999993</v>
      </c>
    </row>
    <row r="36" spans="4:6" x14ac:dyDescent="0.2">
      <c r="E36" s="4" t="s">
        <v>1804</v>
      </c>
      <c r="F36" cm="1">
        <f t="array" ref="F36" xml:space="preserve"> EGP.Height / EGP.Aspect</f>
        <v>9.1999999999999993</v>
      </c>
    </row>
    <row r="38" spans="4:6" x14ac:dyDescent="0.2">
      <c r="E38" s="4" t="s">
        <v>1805</v>
      </c>
      <c r="F38" t="s">
        <v>726</v>
      </c>
    </row>
    <row r="39" spans="4:6" x14ac:dyDescent="0.2">
      <c r="E39" s="4" t="s">
        <v>1806</v>
      </c>
      <c r="F39" t="s">
        <v>2091</v>
      </c>
    </row>
    <row r="41" spans="4:6" ht="17" thickBot="1" x14ac:dyDescent="0.25">
      <c r="E41" s="5"/>
      <c r="F41" s="3" t="s">
        <v>1807</v>
      </c>
    </row>
    <row r="42" spans="4:6" x14ac:dyDescent="0.2">
      <c r="D42" cm="1">
        <f t="array" ref="D42" xml:space="preserve"> SVG_length(EGP.svg)</f>
        <v>275</v>
      </c>
      <c r="E42" s="5"/>
      <c r="F42" s="18"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x14ac:dyDescent="0.2">
      <c r="E43" s="5"/>
      <c r="F43" s="6" t="str" cm="1">
        <f t="array" ref="F43" xml:space="preserve"> "&lt;path " &amp; IF(LEN(_xlfn.SINGLE(EGP.SVG_painting_2))&gt;0, TRIM(EGP.SVG_painting_2)&amp;" ", "") &amp; "d='" &amp; _xlfn.TEXTJOIN(" ", TRUE, IF("Square"=EGP.Part,EGP.svgWorking,"")) &amp; "'/&gt;"</f>
        <v>&lt;path fill='black' d='M5.77 5.77 H-5.77 V-5.77 H5.77Z'/&gt;</v>
      </c>
    </row>
    <row r="44" spans="4:6" x14ac:dyDescent="0.2">
      <c r="E44" s="5"/>
      <c r="F44" s="6"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x14ac:dyDescent="0.2">
      <c r="F45" s="6"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topLeftCell="B1" workbookViewId="0">
      <selection activeCell="B2" sqref="B2"/>
    </sheetView>
  </sheetViews>
  <sheetFormatPr baseColWidth="10" defaultRowHeight="16" x14ac:dyDescent="0.2"/>
  <cols>
    <col min="15" max="15" width="10.83203125" style="36"/>
  </cols>
  <sheetData>
    <row r="2" spans="2:15" ht="17" thickBot="1" x14ac:dyDescent="0.25">
      <c r="E2" s="3" t="s">
        <v>1460</v>
      </c>
      <c r="F2" s="3" t="s">
        <v>882</v>
      </c>
      <c r="G2" s="3" t="s">
        <v>883</v>
      </c>
      <c r="H2" s="3" t="s">
        <v>884</v>
      </c>
      <c r="I2" s="3" t="s">
        <v>885</v>
      </c>
      <c r="J2" s="3" t="s">
        <v>886</v>
      </c>
      <c r="K2" s="3" t="s">
        <v>887</v>
      </c>
      <c r="L2" s="3" t="s">
        <v>888</v>
      </c>
      <c r="M2" s="3" t="s">
        <v>889</v>
      </c>
      <c r="O2" s="40" t="s">
        <v>1461</v>
      </c>
    </row>
    <row r="3" spans="2:15" x14ac:dyDescent="0.2">
      <c r="B3" s="4" t="s">
        <v>892</v>
      </c>
      <c r="C3">
        <f xml:space="preserve"> MAX(IQD.X0, IQD.X1, IQD.X2, IQD.X3)</f>
        <v>72</v>
      </c>
    </row>
    <row r="4" spans="2:15" x14ac:dyDescent="0.2">
      <c r="B4" s="4" t="s">
        <v>894</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x14ac:dyDescent="0.2">
      <c r="B5" s="4" t="s">
        <v>891</v>
      </c>
      <c r="C5">
        <f xml:space="preserve">  MIN(IQD.X0, IQD.X1, IQD.X2, IQD.X3)</f>
        <v>-72</v>
      </c>
    </row>
    <row r="6" spans="2:15" x14ac:dyDescent="0.2">
      <c r="B6" s="4" t="s">
        <v>893</v>
      </c>
      <c r="C6" s="31">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x14ac:dyDescent="0.2">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x14ac:dyDescent="0.2">
      <c r="B8" s="4" t="s">
        <v>895</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x14ac:dyDescent="0.2">
      <c r="B9" s="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x14ac:dyDescent="0.2">
      <c r="B10" s="4" t="s">
        <v>896</v>
      </c>
      <c r="C10" s="28">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x14ac:dyDescent="0.2">
      <c r="B11" s="4" t="s">
        <v>897</v>
      </c>
      <c r="C11">
        <f xml:space="preserve">  MAX(IQD.MaxY, - IQD.MinY)   /   MAX(IQD.MaxX, - IQD.MinX)</f>
        <v>1</v>
      </c>
    </row>
    <row r="12" spans="2:15" x14ac:dyDescent="0.2">
      <c r="B12" s="4" t="s">
        <v>898</v>
      </c>
      <c r="C12">
        <f xml:space="preserve"> VALUE(TEXT(SQRT(IQD.AreaMultiplier* BasicBBoxArea * IQD.Aspect), SVG.NumberFormatHeight))</f>
        <v>10.6</v>
      </c>
    </row>
    <row r="13" spans="2:15" x14ac:dyDescent="0.2">
      <c r="B13" s="4" t="s">
        <v>899</v>
      </c>
      <c r="C13" cm="1">
        <f t="array" ref="C13" xml:space="preserve"> IQD.Height / IQD.Aspect</f>
        <v>10.6</v>
      </c>
    </row>
    <row r="15" spans="2:15" x14ac:dyDescent="0.2">
      <c r="B15" s="4" t="s">
        <v>900</v>
      </c>
      <c r="C15" t="s">
        <v>904</v>
      </c>
    </row>
    <row r="16" spans="2:15" x14ac:dyDescent="0.2">
      <c r="B16" s="4" t="s">
        <v>901</v>
      </c>
      <c r="C16" t="s">
        <v>903</v>
      </c>
    </row>
    <row r="20" spans="15:15" x14ac:dyDescent="0.2">
      <c r="O20" s="36" cm="1">
        <f t="array" ref="O20" xml:space="preserve"> SVG_length(IQD.svg)</f>
        <v>609</v>
      </c>
    </row>
    <row r="22" spans="15:15" ht="17" thickBot="1" x14ac:dyDescent="0.25">
      <c r="O22" s="40" t="s">
        <v>890</v>
      </c>
    </row>
    <row r="23" spans="15:15" x14ac:dyDescent="0.2">
      <c r="O23" s="18"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x14ac:dyDescent="0.2">
      <c r="O24" s="36" t="str" cm="1">
        <f t="array" ref="O24" xml:space="preserve"> "&lt;path " &amp; IF(LEN(IQD.SVG_painting_Outer)&gt;0, TRIM(IQD.SVG_painting_Outer)&amp;" ", "") &amp; "d='" &amp; _xlfn.TEXTJOIN(" ", TRUE,  IF("Outer"=IQD.Part,IQD.svgWorking,"")) &amp; "'/&gt;"</f>
        <v>&lt;path fill='#201B17' d='M -72 72 C 0 8 0 8 72 72 L 72 -72 C 0 -8 0 -8 -72 -72 Z'/&gt;</v>
      </c>
    </row>
    <row r="25" spans="15:15" x14ac:dyDescent="0.2">
      <c r="O25" s="36"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x14ac:dyDescent="0.2">
      <c r="O26" s="36"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x14ac:dyDescent="0.2">
      <c r="O27" s="36" t="s">
        <v>2269</v>
      </c>
    </row>
    <row r="28" spans="15:15" x14ac:dyDescent="0.2">
      <c r="O28" s="36"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G71"/>
  <sheetViews>
    <sheetView topLeftCell="B1" workbookViewId="0">
      <selection activeCell="B2" sqref="B2"/>
    </sheetView>
  </sheetViews>
  <sheetFormatPr baseColWidth="10" defaultRowHeight="16" x14ac:dyDescent="0.2"/>
  <sheetData>
    <row r="2" spans="2:6" ht="17" thickBot="1" x14ac:dyDescent="0.25">
      <c r="C2" s="2" t="s">
        <v>493</v>
      </c>
      <c r="D2" s="2" t="s">
        <v>494</v>
      </c>
      <c r="F2" s="3" t="s">
        <v>495</v>
      </c>
    </row>
    <row r="3" spans="2:6" x14ac:dyDescent="0.2">
      <c r="C3" t="b">
        <v>0</v>
      </c>
      <c r="D3" t="b">
        <f xml:space="preserve"> ILS.ReflectX</f>
        <v>0</v>
      </c>
      <c r="E3" s="5"/>
      <c r="F3">
        <f xml:space="preserve"> DecimalPlaces - INT(LOG(MIN(  MAX(ILS.RawX) - MIN(ILS.RawX),  MAX(ILS.RawY) - MIN(ILS.RawY)  )/2, 10) + 0.2)</f>
        <v>4</v>
      </c>
    </row>
    <row r="4" spans="2:6" x14ac:dyDescent="0.2">
      <c r="E4" s="5"/>
    </row>
    <row r="5" spans="2:6" ht="17" thickBot="1" x14ac:dyDescent="0.25">
      <c r="B5" s="3" t="s">
        <v>496</v>
      </c>
      <c r="C5" s="3" t="s">
        <v>497</v>
      </c>
      <c r="D5" s="3" t="s">
        <v>498</v>
      </c>
      <c r="F5" s="3" t="s">
        <v>1760</v>
      </c>
    </row>
    <row r="6" spans="2:6" x14ac:dyDescent="0.2">
      <c r="B6" s="5" t="s">
        <v>23</v>
      </c>
      <c r="C6" s="41">
        <v>0</v>
      </c>
      <c r="D6" s="41" cm="1">
        <f t="array" ref="D6" xml:space="preserve"> 6 * Sqrt3</f>
        <v>10.392304845413264</v>
      </c>
      <c r="E6" s="5"/>
      <c r="F6" s="5" t="str">
        <f t="array" ref="F6:F17" xml:space="preserve"> svgpath($C6:$C17, $D6:$D17, ILS.DecimalPlaces)</f>
        <v>M0 10.3923</v>
      </c>
    </row>
    <row r="7" spans="2:6" x14ac:dyDescent="0.2">
      <c r="B7" s="5" t="s">
        <v>23</v>
      </c>
      <c r="C7" s="1">
        <v>-3</v>
      </c>
      <c r="D7" s="1" cm="1">
        <f t="array" ref="D7" xml:space="preserve"> 3 * Sqrt3</f>
        <v>5.196152422706632</v>
      </c>
      <c r="F7" s="5" t="str">
        <v>L-3 5.1962</v>
      </c>
    </row>
    <row r="8" spans="2:6" x14ac:dyDescent="0.2">
      <c r="B8" s="5" t="s">
        <v>23</v>
      </c>
      <c r="C8" s="1">
        <v>-9</v>
      </c>
      <c r="D8" s="1" cm="1">
        <f t="array" ref="D8" xml:space="preserve"> 3 * Sqrt3</f>
        <v>5.196152422706632</v>
      </c>
      <c r="F8" s="5" t="str">
        <v>H-9</v>
      </c>
    </row>
    <row r="9" spans="2:6" x14ac:dyDescent="0.2">
      <c r="B9" s="5" t="s">
        <v>23</v>
      </c>
      <c r="C9" s="1">
        <v>-6</v>
      </c>
      <c r="D9" s="1">
        <v>0</v>
      </c>
      <c r="F9" s="5" t="str">
        <v>L-6 0</v>
      </c>
    </row>
    <row r="10" spans="2:6" x14ac:dyDescent="0.2">
      <c r="B10" s="5" t="s">
        <v>23</v>
      </c>
      <c r="C10" s="1">
        <v>-9</v>
      </c>
      <c r="D10" s="1" cm="1">
        <f t="array" ref="D10" xml:space="preserve"> -3 * Sqrt3</f>
        <v>-5.196152422706632</v>
      </c>
      <c r="F10" s="5" t="str">
        <v>L-9 -5.1962</v>
      </c>
    </row>
    <row r="11" spans="2:6" x14ac:dyDescent="0.2">
      <c r="B11" s="5" t="s">
        <v>23</v>
      </c>
      <c r="C11" s="1">
        <v>-3</v>
      </c>
      <c r="D11" s="1" cm="1">
        <f t="array" ref="D11" xml:space="preserve"> -3 * Sqrt3</f>
        <v>-5.196152422706632</v>
      </c>
      <c r="F11" s="5" t="str">
        <v>h6</v>
      </c>
    </row>
    <row r="12" spans="2:6" x14ac:dyDescent="0.2">
      <c r="B12" s="5" t="s">
        <v>23</v>
      </c>
      <c r="C12" s="1">
        <v>0</v>
      </c>
      <c r="D12" s="1" cm="1">
        <f t="array" ref="D12" xml:space="preserve"> -6 * Sqrt3</f>
        <v>-10.392304845413264</v>
      </c>
      <c r="F12" s="5" t="str">
        <v>l3 -5.1961</v>
      </c>
    </row>
    <row r="13" spans="2:6" x14ac:dyDescent="0.2">
      <c r="B13" s="5" t="s">
        <v>23</v>
      </c>
      <c r="C13">
        <v>3</v>
      </c>
      <c r="D13" s="1" cm="1">
        <f t="array" ref="D13" xml:space="preserve"> -3 * Sqrt3</f>
        <v>-5.196152422706632</v>
      </c>
      <c r="F13" s="5" t="str">
        <v>l3 5.1961</v>
      </c>
    </row>
    <row r="14" spans="2:6" x14ac:dyDescent="0.2">
      <c r="B14" s="5" t="s">
        <v>23</v>
      </c>
      <c r="C14">
        <v>9</v>
      </c>
      <c r="D14" cm="1">
        <f t="array" ref="D14" xml:space="preserve"> -3 * Sqrt3</f>
        <v>-5.196152422706632</v>
      </c>
      <c r="F14" s="5" t="str">
        <v>H9</v>
      </c>
    </row>
    <row r="15" spans="2:6" x14ac:dyDescent="0.2">
      <c r="B15" s="5" t="s">
        <v>23</v>
      </c>
      <c r="C15">
        <v>6</v>
      </c>
      <c r="D15">
        <v>0</v>
      </c>
      <c r="F15" s="5" t="str">
        <v>L6 0</v>
      </c>
    </row>
    <row r="16" spans="2:6" x14ac:dyDescent="0.2">
      <c r="B16" s="5" t="s">
        <v>23</v>
      </c>
      <c r="C16">
        <v>9</v>
      </c>
      <c r="D16" cm="1">
        <f t="array" ref="D16" xml:space="preserve"> 3 * Sqrt3</f>
        <v>5.196152422706632</v>
      </c>
      <c r="F16" s="5" t="str">
        <v>L9 5.1962</v>
      </c>
    </row>
    <row r="17" spans="2:6" x14ac:dyDescent="0.2">
      <c r="B17" s="5" t="s">
        <v>23</v>
      </c>
      <c r="C17">
        <v>3</v>
      </c>
      <c r="D17" cm="1">
        <f t="array" ref="D17" xml:space="preserve"> 3 * Sqrt3</f>
        <v>5.196152422706632</v>
      </c>
      <c r="F17" s="5" t="str">
        <v>H3Z</v>
      </c>
    </row>
    <row r="18" spans="2:6" x14ac:dyDescent="0.2">
      <c r="F18" s="5"/>
    </row>
    <row r="19" spans="2:6" x14ac:dyDescent="0.2">
      <c r="B19" t="s">
        <v>24</v>
      </c>
      <c r="C19">
        <v>4</v>
      </c>
      <c r="D19">
        <v>0</v>
      </c>
      <c r="F19" s="5" t="str">
        <f t="array" ref="F19:F24" xml:space="preserve"> svgpath($C19:$C24, $D19:$D24, ILS.DecimalPlaces)</f>
        <v>M4 0</v>
      </c>
    </row>
    <row r="20" spans="2:6" x14ac:dyDescent="0.2">
      <c r="B20" t="s">
        <v>24</v>
      </c>
      <c r="C20">
        <v>2</v>
      </c>
      <c r="D20" cm="1">
        <f t="array" ref="D20" xml:space="preserve"> 2 * Sqrt3</f>
        <v>3.4641016151377544</v>
      </c>
      <c r="F20" s="5" t="str">
        <v>L2 3.4641</v>
      </c>
    </row>
    <row r="21" spans="2:6" x14ac:dyDescent="0.2">
      <c r="B21" t="s">
        <v>24</v>
      </c>
      <c r="C21">
        <v>-2</v>
      </c>
      <c r="D21" cm="1">
        <f t="array" ref="D21" xml:space="preserve"> 2 * Sqrt3</f>
        <v>3.4641016151377544</v>
      </c>
      <c r="F21" s="5" t="str">
        <v>H-2</v>
      </c>
    </row>
    <row r="22" spans="2:6" x14ac:dyDescent="0.2">
      <c r="B22" t="s">
        <v>24</v>
      </c>
      <c r="C22">
        <v>-4</v>
      </c>
      <c r="D22">
        <v>0</v>
      </c>
      <c r="F22" s="5" t="str">
        <v>L-4 0</v>
      </c>
    </row>
    <row r="23" spans="2:6" x14ac:dyDescent="0.2">
      <c r="B23" t="s">
        <v>24</v>
      </c>
      <c r="C23">
        <v>-2</v>
      </c>
      <c r="D23" cm="1">
        <f t="array" ref="D23" xml:space="preserve"> -2 * Sqrt3</f>
        <v>-3.4641016151377544</v>
      </c>
      <c r="F23" s="5" t="str">
        <v>l2 -3.4641</v>
      </c>
    </row>
    <row r="24" spans="2:6" x14ac:dyDescent="0.2">
      <c r="B24" t="s">
        <v>24</v>
      </c>
      <c r="C24">
        <v>2</v>
      </c>
      <c r="D24" cm="1">
        <f t="array" ref="D24" xml:space="preserve"> -2 * Sqrt3</f>
        <v>-3.4641016151377544</v>
      </c>
      <c r="F24" s="5" t="str">
        <v>H2Z</v>
      </c>
    </row>
    <row r="25" spans="2:6" x14ac:dyDescent="0.2">
      <c r="F25" s="5"/>
    </row>
    <row r="26" spans="2:6" x14ac:dyDescent="0.2">
      <c r="C26">
        <v>0</v>
      </c>
      <c r="D26" cm="1">
        <f t="array" ref="D26" xml:space="preserve"> 4 * Sqrt3</f>
        <v>6.9282032302755088</v>
      </c>
      <c r="F26" s="5" t="str">
        <f t="array" ref="F26:F28" xml:space="preserve"> svgpath($C26:$C28, $D26:$D28, ILS.DecimalPlaces)</f>
        <v>M0 6.9282</v>
      </c>
    </row>
    <row r="27" spans="2:6" x14ac:dyDescent="0.2">
      <c r="C27">
        <v>-1</v>
      </c>
      <c r="D27" cm="1">
        <f t="array" ref="D27" xml:space="preserve"> 3 * Sqrt3</f>
        <v>5.196152422706632</v>
      </c>
      <c r="F27" s="5" t="str">
        <v>L-1 5.1962</v>
      </c>
    </row>
    <row r="28" spans="2:6" x14ac:dyDescent="0.2">
      <c r="C28">
        <v>1</v>
      </c>
      <c r="D28" cm="1">
        <f t="array" ref="D28" xml:space="preserve"> 3 * Sqrt3</f>
        <v>5.196152422706632</v>
      </c>
      <c r="F28" s="5" t="str">
        <v>H1Z</v>
      </c>
    </row>
    <row r="29" spans="2:6" x14ac:dyDescent="0.2">
      <c r="F29" s="5"/>
    </row>
    <row r="30" spans="2:6" x14ac:dyDescent="0.2">
      <c r="C30">
        <v>0</v>
      </c>
      <c r="D30" cm="1">
        <f t="array" ref="D30" xml:space="preserve"> -4 * Sqrt3</f>
        <v>-6.9282032302755088</v>
      </c>
      <c r="F30" s="5" t="str">
        <f t="array" ref="F30:F32" xml:space="preserve"> svgpath($C30:$C32, $D30:$D32, ILS.DecimalPlaces)</f>
        <v>M0 -6.9282</v>
      </c>
    </row>
    <row r="31" spans="2:6" x14ac:dyDescent="0.2">
      <c r="C31">
        <v>-1</v>
      </c>
      <c r="D31" cm="1">
        <f t="array" ref="D31" xml:space="preserve"> -3 * Sqrt3</f>
        <v>-5.196152422706632</v>
      </c>
      <c r="F31" s="5" t="str">
        <v>l-1 1.732</v>
      </c>
    </row>
    <row r="32" spans="2:6" x14ac:dyDescent="0.2">
      <c r="C32">
        <v>1</v>
      </c>
      <c r="D32" cm="1">
        <f t="array" ref="D32" xml:space="preserve"> -3 * Sqrt3</f>
        <v>-5.196152422706632</v>
      </c>
      <c r="F32" s="5" t="str">
        <v>H1Z</v>
      </c>
    </row>
    <row r="34" spans="3:6" x14ac:dyDescent="0.2">
      <c r="C34">
        <v>5</v>
      </c>
      <c r="D34" cm="1">
        <f t="array" ref="D34" xml:space="preserve"> Sqrt3</f>
        <v>1.7320508075688772</v>
      </c>
      <c r="F34" s="5" t="str">
        <f t="array" ref="F34:F36" xml:space="preserve"> svgpath($C34:$C36, $D34:$D36, ILS.DecimalPlaces)</f>
        <v>M5 1.7321</v>
      </c>
    </row>
    <row r="35" spans="3:6" x14ac:dyDescent="0.2">
      <c r="C35">
        <v>6</v>
      </c>
      <c r="D35" cm="1">
        <f t="array" ref="D35" xml:space="preserve"> 2 * Sqrt3</f>
        <v>3.4641016151377544</v>
      </c>
      <c r="F35" s="5" t="str">
        <v>l1 1.732</v>
      </c>
    </row>
    <row r="36" spans="3:6" x14ac:dyDescent="0.2">
      <c r="C36">
        <v>4</v>
      </c>
      <c r="D36" cm="1">
        <f t="array" ref="D36" xml:space="preserve"> 2 * Sqrt3</f>
        <v>3.4641016151377544</v>
      </c>
      <c r="F36" s="5" t="str">
        <v>H4Z</v>
      </c>
    </row>
    <row r="38" spans="3:6" x14ac:dyDescent="0.2">
      <c r="C38">
        <v>5</v>
      </c>
      <c r="D38" cm="1">
        <f t="array" ref="D38" xml:space="preserve"> - Sqrt3</f>
        <v>-1.7320508075688772</v>
      </c>
      <c r="F38" s="5" t="str">
        <f t="array" ref="F38:F40" xml:space="preserve"> svgpath($C38:$C40, $D38:$D40, ILS.DecimalPlaces)</f>
        <v>M5 -1.7321</v>
      </c>
    </row>
    <row r="39" spans="3:6" x14ac:dyDescent="0.2">
      <c r="C39">
        <v>6</v>
      </c>
      <c r="D39" cm="1">
        <f t="array" ref="D39" xml:space="preserve"> -2 * Sqrt3</f>
        <v>-3.4641016151377544</v>
      </c>
      <c r="F39" s="5" t="str">
        <v>l1 -1.732</v>
      </c>
    </row>
    <row r="40" spans="3:6" x14ac:dyDescent="0.2">
      <c r="C40">
        <v>4</v>
      </c>
      <c r="D40" cm="1">
        <f t="array" ref="D40" xml:space="preserve"> -2 * Sqrt3</f>
        <v>-3.4641016151377544</v>
      </c>
      <c r="F40" s="5" t="str">
        <v>H4Z</v>
      </c>
    </row>
    <row r="42" spans="3:6" x14ac:dyDescent="0.2">
      <c r="C42">
        <v>-5</v>
      </c>
      <c r="D42" cm="1">
        <f t="array" ref="D42" xml:space="preserve"> Sqrt3</f>
        <v>1.7320508075688772</v>
      </c>
      <c r="F42" s="5" t="str">
        <f t="array" ref="F42:F44" xml:space="preserve"> svgpath($C42:$C44, $D42:$D44, ILS.DecimalPlaces)</f>
        <v>M-5 1.7321</v>
      </c>
    </row>
    <row r="43" spans="3:6" x14ac:dyDescent="0.2">
      <c r="C43">
        <v>-6</v>
      </c>
      <c r="D43" cm="1">
        <f t="array" ref="D43" xml:space="preserve"> 2 * Sqrt3</f>
        <v>3.4641016151377544</v>
      </c>
      <c r="F43" s="5" t="str">
        <v>l-1 1.732</v>
      </c>
    </row>
    <row r="44" spans="3:6" x14ac:dyDescent="0.2">
      <c r="C44">
        <v>-4</v>
      </c>
      <c r="D44" cm="1">
        <f t="array" ref="D44" xml:space="preserve"> 2 * Sqrt3</f>
        <v>3.4641016151377544</v>
      </c>
      <c r="F44" s="5" t="str">
        <v>h2Z</v>
      </c>
    </row>
    <row r="46" spans="3:6" x14ac:dyDescent="0.2">
      <c r="C46">
        <v>-5</v>
      </c>
      <c r="D46" cm="1">
        <f t="array" ref="D46" xml:space="preserve"> - Sqrt3</f>
        <v>-1.7320508075688772</v>
      </c>
      <c r="F46" s="5" t="str">
        <f t="array" ref="F46:F48" xml:space="preserve"> svgpath($C46:$C48, $D46:$D48, ILS.DecimalPlaces)</f>
        <v>M-5 -1.7321</v>
      </c>
    </row>
    <row r="47" spans="3:6" x14ac:dyDescent="0.2">
      <c r="C47">
        <v>-6</v>
      </c>
      <c r="D47" cm="1">
        <f t="array" ref="D47" xml:space="preserve"> -2 * Sqrt3</f>
        <v>-3.4641016151377544</v>
      </c>
      <c r="F47" s="5" t="str">
        <v>l-1 -1.732</v>
      </c>
    </row>
    <row r="48" spans="3:6" x14ac:dyDescent="0.2">
      <c r="C48">
        <v>-4</v>
      </c>
      <c r="D48" cm="1">
        <f t="array" ref="D48" xml:space="preserve"> -2 * Sqrt3</f>
        <v>-3.4641016151377544</v>
      </c>
      <c r="F48" s="5" t="str">
        <v>h2Z</v>
      </c>
    </row>
    <row r="51" spans="5:7" x14ac:dyDescent="0.2">
      <c r="E51" s="4" t="s">
        <v>505</v>
      </c>
      <c r="F51">
        <f xml:space="preserve"> ROUND( MIN(ILS.RawX), ILS.DecimalPlaces)</f>
        <v>-9</v>
      </c>
    </row>
    <row r="52" spans="5:7" x14ac:dyDescent="0.2">
      <c r="E52" s="4" t="s">
        <v>506</v>
      </c>
      <c r="F52">
        <f xml:space="preserve"> ROUND(MAX(ILS.RawX), ILS.DecimalPlaces)</f>
        <v>9</v>
      </c>
    </row>
    <row r="53" spans="5:7" x14ac:dyDescent="0.2">
      <c r="E53" s="4" t="s">
        <v>507</v>
      </c>
      <c r="F53">
        <f xml:space="preserve"> ROUND( MIN(ILS.RawY), ILS.DecimalPlaces)</f>
        <v>-10.392300000000001</v>
      </c>
    </row>
    <row r="54" spans="5:7" x14ac:dyDescent="0.2">
      <c r="E54" s="4" t="s">
        <v>508</v>
      </c>
      <c r="F54">
        <f xml:space="preserve"> ROUND(MAX(ILS.RawY), ILS.DecimalPlaces)</f>
        <v>10.392300000000001</v>
      </c>
    </row>
    <row r="56" spans="5:7" x14ac:dyDescent="0.2">
      <c r="E56" s="4" t="s">
        <v>499</v>
      </c>
      <c r="F56" s="28">
        <v>1.25</v>
      </c>
    </row>
    <row r="57" spans="5:7" x14ac:dyDescent="0.2">
      <c r="E57" s="4" t="s">
        <v>500</v>
      </c>
      <c r="F57">
        <f xml:space="preserve">  MAX(ILS.MaxY, - ILS.MinY)   /   MAX(ILS.MaxX, - ILS.MinX)</f>
        <v>1.1547000000000001</v>
      </c>
    </row>
    <row r="58" spans="5:7" x14ac:dyDescent="0.2">
      <c r="E58" s="4" t="s">
        <v>501</v>
      </c>
      <c r="F58">
        <f xml:space="preserve"> VALUE(TEXT(SQRT(ILS.AreaMultiplier * BasicBBoxArea * ILS.Aspect), SVG.NumberFormatHeight))</f>
        <v>12</v>
      </c>
    </row>
    <row r="59" spans="5:7" x14ac:dyDescent="0.2">
      <c r="E59" s="4" t="s">
        <v>502</v>
      </c>
      <c r="F59" cm="1">
        <f t="array" ref="F59" xml:space="preserve"> ILS.Height / ILS.Aspect</f>
        <v>10.392309690828785</v>
      </c>
      <c r="G59" s="5"/>
    </row>
    <row r="60" spans="5:7" x14ac:dyDescent="0.2">
      <c r="E60" s="4"/>
      <c r="F60" s="6"/>
      <c r="G60" s="5"/>
    </row>
    <row r="61" spans="5:7" x14ac:dyDescent="0.2">
      <c r="E61" s="4" t="s">
        <v>503</v>
      </c>
      <c r="F61" s="6" t="s">
        <v>774</v>
      </c>
      <c r="G61" s="5"/>
    </row>
    <row r="62" spans="5:7" x14ac:dyDescent="0.2">
      <c r="E62" s="4" t="s">
        <v>504</v>
      </c>
      <c r="F62" s="6" t="s">
        <v>2091</v>
      </c>
      <c r="G62" s="5"/>
    </row>
    <row r="63" spans="5:7" x14ac:dyDescent="0.2">
      <c r="E63" s="5"/>
      <c r="G63" s="5"/>
    </row>
    <row r="64" spans="5:7" ht="17" thickBot="1" x14ac:dyDescent="0.25">
      <c r="E64" s="5"/>
      <c r="F64" s="3" t="s">
        <v>509</v>
      </c>
      <c r="G64" s="5"/>
    </row>
    <row r="65" spans="4:6" x14ac:dyDescent="0.2">
      <c r="D65" cm="1">
        <f t="array" ref="D65" xml:space="preserve"> SVG_length(ILS.svg)</f>
        <v>286</v>
      </c>
      <c r="E65" s="5"/>
      <c r="F65" s="18"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x14ac:dyDescent="0.2">
      <c r="E66" s="5"/>
      <c r="F66" s="6"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x14ac:dyDescent="0.2">
      <c r="F67" s="6" t="str" cm="1">
        <f t="array" ref="F67" xml:space="preserve"> "&lt;path " &amp; IF(LEN(_xlfn.SINGLE(ILS.SVG_painting_I))&gt;0, TRIM(_xlfn.SINGLE(ILS.SVG_painting_I))&amp;" ", "") &amp; "d='" &amp; _xlfn.TEXTJOIN(" ", TRUE, IF("Inner"=ILS.Part,ILS.svgWorking,"")) &amp; "'/&gt;"</f>
        <v>&lt;path fill='#FFF' d='M4 0 L2 3.4641 H-2 L-4 0 l2 -3.4641 H2Z'/&gt;</v>
      </c>
    </row>
    <row r="68" spans="4:6" x14ac:dyDescent="0.2">
      <c r="E68" s="5"/>
      <c r="F68" s="6" t="s">
        <v>15</v>
      </c>
    </row>
    <row r="70" spans="4:6" x14ac:dyDescent="0.2">
      <c r="F70" s="6"/>
    </row>
    <row r="71" spans="4:6" x14ac:dyDescent="0.2">
      <c r="F71" s="6"/>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5"/>
  <sheetViews>
    <sheetView topLeftCell="B1" workbookViewId="0">
      <selection activeCell="B2" sqref="B2"/>
    </sheetView>
  </sheetViews>
  <sheetFormatPr baseColWidth="10" defaultRowHeight="16" x14ac:dyDescent="0.2"/>
  <sheetData>
    <row r="2" spans="2:16" ht="17" thickBot="1" x14ac:dyDescent="0.25">
      <c r="C2" s="2" t="s">
        <v>408</v>
      </c>
      <c r="D2" s="2" t="s">
        <v>409</v>
      </c>
      <c r="F2" s="3" t="s">
        <v>410</v>
      </c>
    </row>
    <row r="3" spans="2:16" x14ac:dyDescent="0.2">
      <c r="C3" t="b">
        <v>0</v>
      </c>
      <c r="D3" t="b">
        <v>0</v>
      </c>
      <c r="F3">
        <f xml:space="preserve"> DecimalPlaces - INT(LOG(MIN(  MAX(ZAR.RawX) - MIN(ZAR.RawX),  MAX(ZAR.RawY) - MIN(ZAR.RawY)  )/2, 10) + 0.2)</f>
        <v>5</v>
      </c>
    </row>
    <row r="4" spans="2:16" x14ac:dyDescent="0.2">
      <c r="E4" s="5"/>
    </row>
    <row r="5" spans="2:16" ht="17" thickBot="1" x14ac:dyDescent="0.25">
      <c r="B5" s="3" t="s">
        <v>411</v>
      </c>
      <c r="C5" s="3" t="s">
        <v>412</v>
      </c>
      <c r="D5" s="3" t="s">
        <v>413</v>
      </c>
      <c r="F5" s="3" t="s">
        <v>1746</v>
      </c>
      <c r="K5" s="3" t="s">
        <v>416</v>
      </c>
      <c r="L5" s="3" t="s">
        <v>417</v>
      </c>
      <c r="M5" s="3" t="s">
        <v>418</v>
      </c>
      <c r="N5" s="3" t="s">
        <v>419</v>
      </c>
      <c r="O5" s="3" t="s">
        <v>420</v>
      </c>
      <c r="P5" s="3" t="s">
        <v>421</v>
      </c>
    </row>
    <row r="6" spans="2:16" x14ac:dyDescent="0.2">
      <c r="B6" t="s">
        <v>23</v>
      </c>
      <c r="C6" cm="1">
        <f t="array" ref="C6" xml:space="preserve"> Sqrt3 / 12</f>
        <v>0.14433756729740643</v>
      </c>
      <c r="D6">
        <v>-0.25</v>
      </c>
      <c r="F6" t="str">
        <f t="array" ref="F6:F17" xml:space="preserve"> svgpath($C6:$C17, $D6:$D17, ZAR.DecimalPlaces)</f>
        <v>M.14434 -.25</v>
      </c>
    </row>
    <row r="7" spans="2:16" x14ac:dyDescent="0.2">
      <c r="B7" t="s">
        <v>23</v>
      </c>
      <c r="C7">
        <v>0.75</v>
      </c>
      <c r="D7">
        <v>-0.25</v>
      </c>
      <c r="F7" t="str">
        <v>H.75</v>
      </c>
    </row>
    <row r="8" spans="2:16" x14ac:dyDescent="0.2">
      <c r="B8" t="s">
        <v>23</v>
      </c>
      <c r="C8">
        <v>1</v>
      </c>
      <c r="D8">
        <v>0</v>
      </c>
      <c r="F8" t="str">
        <v>L1 0</v>
      </c>
    </row>
    <row r="9" spans="2:16" x14ac:dyDescent="0.2">
      <c r="B9" t="s">
        <v>23</v>
      </c>
      <c r="C9">
        <v>0.75</v>
      </c>
      <c r="D9">
        <v>0.25</v>
      </c>
      <c r="F9" t="str">
        <v>L.75 .25</v>
      </c>
    </row>
    <row r="10" spans="2:16" x14ac:dyDescent="0.2">
      <c r="B10" t="s">
        <v>23</v>
      </c>
      <c r="C10" cm="1">
        <f t="array" ref="C10" xml:space="preserve"> Sqrt3/12</f>
        <v>0.14433756729740643</v>
      </c>
      <c r="D10">
        <v>0.25</v>
      </c>
      <c r="F10" t="str">
        <v>H.14434</v>
      </c>
    </row>
    <row r="11" spans="2:16" x14ac:dyDescent="0.2">
      <c r="B11" t="s">
        <v>23</v>
      </c>
      <c r="C11" cm="1">
        <f t="array" ref="C11" xml:space="preserve"> (Sqrt3 - 3)/8</f>
        <v>-0.15849364905389035</v>
      </c>
      <c r="D11" cm="1">
        <f t="array" ref="D11" xml:space="preserve"> (3*Sqrt3 + 1)/8</f>
        <v>0.774519052838329</v>
      </c>
      <c r="F11" t="str">
        <v>L-.15849 .77452</v>
      </c>
    </row>
    <row r="12" spans="2:16" x14ac:dyDescent="0.2">
      <c r="B12" t="s">
        <v>23</v>
      </c>
      <c r="C12">
        <v>-0.5</v>
      </c>
      <c r="D12" cm="1">
        <f t="array" ref="D12" xml:space="preserve"> Sqrt3/2</f>
        <v>0.8660254037844386</v>
      </c>
      <c r="F12" t="str">
        <v>L-.5 .86603</v>
      </c>
    </row>
    <row r="13" spans="2:16" x14ac:dyDescent="0.2">
      <c r="B13" t="s">
        <v>23</v>
      </c>
      <c r="C13" cm="1">
        <f t="array" ref="C13" xml:space="preserve"> -(Sqrt3 + 3)/8</f>
        <v>-0.59150635094610959</v>
      </c>
      <c r="D13" cm="1">
        <f t="array" ref="D13" xml:space="preserve"> (3*Sqrt3 - 1)/8</f>
        <v>0.524519052838329</v>
      </c>
      <c r="F13" t="str">
        <v>L-.59151 .52452</v>
      </c>
    </row>
    <row r="14" spans="2:16" x14ac:dyDescent="0.2">
      <c r="B14" t="s">
        <v>23</v>
      </c>
      <c r="C14" cm="1">
        <f t="array" ref="C14" xml:space="preserve"> -Sqrt3 / 6</f>
        <v>-0.28867513459481287</v>
      </c>
      <c r="D14">
        <v>0</v>
      </c>
      <c r="F14" t="str">
        <v>L-.28868 0</v>
      </c>
    </row>
    <row r="15" spans="2:16" x14ac:dyDescent="0.2">
      <c r="B15" t="s">
        <v>23</v>
      </c>
      <c r="C15" cm="1">
        <f t="array" ref="C15" xml:space="preserve"> -(Sqrt3 + 3)/8</f>
        <v>-0.59150635094610959</v>
      </c>
      <c r="D15" cm="1">
        <f t="array" ref="D15" xml:space="preserve"> (1 - 3*Sqrt3)/8</f>
        <v>-0.524519052838329</v>
      </c>
      <c r="F15" t="str">
        <v>L-.59151 -.52452</v>
      </c>
    </row>
    <row r="16" spans="2:16" x14ac:dyDescent="0.2">
      <c r="B16" t="s">
        <v>23</v>
      </c>
      <c r="C16">
        <v>-0.5</v>
      </c>
      <c r="D16" cm="1">
        <f t="array" ref="D16">-Sqrt3/2</f>
        <v>-0.8660254037844386</v>
      </c>
      <c r="F16" t="str">
        <v>L-.5 -.86603</v>
      </c>
    </row>
    <row r="17" spans="2:16" x14ac:dyDescent="0.2">
      <c r="B17" t="s">
        <v>23</v>
      </c>
      <c r="C17" cm="1">
        <f t="array" ref="C17" xml:space="preserve"> (Sqrt3 - 3)/8</f>
        <v>-0.15849364905389035</v>
      </c>
      <c r="D17" cm="1">
        <f t="array" ref="D17">-(3*Sqrt3 + 1)/8</f>
        <v>-0.774519052838329</v>
      </c>
      <c r="F17" t="str">
        <v>l.34151 .09151Z</v>
      </c>
    </row>
    <row r="19" spans="2:16" x14ac:dyDescent="0.2">
      <c r="H19" s="4" t="s">
        <v>414</v>
      </c>
      <c r="I19">
        <v>0.12</v>
      </c>
    </row>
    <row r="20" spans="2:16" x14ac:dyDescent="0.2">
      <c r="H20" s="4" t="s">
        <v>415</v>
      </c>
      <c r="I20" cm="1">
        <f t="array" ref="I20" xml:space="preserve"> COUNTIFS(ZAR.Part, "Outer")</f>
        <v>12</v>
      </c>
    </row>
    <row r="22" spans="2:16" x14ac:dyDescent="0.2">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x14ac:dyDescent="0.2">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x14ac:dyDescent="0.2">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x14ac:dyDescent="0.2">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x14ac:dyDescent="0.2">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x14ac:dyDescent="0.2">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x14ac:dyDescent="0.2">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x14ac:dyDescent="0.2">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x14ac:dyDescent="0.2">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x14ac:dyDescent="0.2">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x14ac:dyDescent="0.2">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x14ac:dyDescent="0.2">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x14ac:dyDescent="0.2">
      <c r="E36" s="4" t="s">
        <v>428</v>
      </c>
      <c r="F36">
        <f xml:space="preserve"> ROUND( MIN(ZAR.RawX), ZAR.DecimalPlaces)</f>
        <v>-0.59150999999999998</v>
      </c>
    </row>
    <row r="37" spans="2:16" x14ac:dyDescent="0.2">
      <c r="E37" s="4" t="s">
        <v>429</v>
      </c>
      <c r="F37">
        <f xml:space="preserve"> ROUND(MAX(ZAR.RawX), ZAR.DecimalPlaces)</f>
        <v>1</v>
      </c>
    </row>
    <row r="38" spans="2:16" x14ac:dyDescent="0.2">
      <c r="E38" s="4" t="s">
        <v>430</v>
      </c>
      <c r="F38">
        <f xml:space="preserve"> ROUND( MIN(ZAR.RawY), ZAR.DecimalPlaces)</f>
        <v>-0.86602999999999997</v>
      </c>
    </row>
    <row r="39" spans="2:16" x14ac:dyDescent="0.2">
      <c r="E39" s="4" t="s">
        <v>431</v>
      </c>
      <c r="F39">
        <f xml:space="preserve"> ROUND(MAX(ZAR.RawY), ZAR.DecimalPlaces)</f>
        <v>0.86602999999999997</v>
      </c>
    </row>
    <row r="41" spans="2:16" x14ac:dyDescent="0.2">
      <c r="E41" s="4" t="s">
        <v>422</v>
      </c>
      <c r="F41" s="28">
        <v>2</v>
      </c>
    </row>
    <row r="42" spans="2:16" x14ac:dyDescent="0.2">
      <c r="E42" s="4" t="s">
        <v>423</v>
      </c>
      <c r="F42">
        <f xml:space="preserve">  MAX(ZAR.MaxY, - ZAR.MinY)   /   MAX(ZAR.MaxX, - ZAR.MinX)</f>
        <v>0.86602999999999997</v>
      </c>
    </row>
    <row r="43" spans="2:16" x14ac:dyDescent="0.2">
      <c r="E43" s="4" t="s">
        <v>424</v>
      </c>
      <c r="F43">
        <f xml:space="preserve"> VALUE(TEXT(SQRT(ZAR.AreaMultiplier* BasicBBoxArea * ZAR.Aspect), SVG.NumberFormatHeight))</f>
        <v>13.2</v>
      </c>
    </row>
    <row r="44" spans="2:16" x14ac:dyDescent="0.2">
      <c r="E44" s="4" t="s">
        <v>425</v>
      </c>
      <c r="F44" cm="1">
        <f t="array" ref="F44" xml:space="preserve"> ZAR.Height / ZAR.Aspect</f>
        <v>15.241966213641559</v>
      </c>
    </row>
    <row r="46" spans="2:16" x14ac:dyDescent="0.2">
      <c r="E46" s="4" t="s">
        <v>426</v>
      </c>
      <c r="F46" t="s">
        <v>770</v>
      </c>
    </row>
    <row r="47" spans="2:16" x14ac:dyDescent="0.2">
      <c r="E47" s="4" t="s">
        <v>427</v>
      </c>
      <c r="F47" t="s">
        <v>795</v>
      </c>
    </row>
    <row r="48" spans="2:16" x14ac:dyDescent="0.2">
      <c r="E48" s="5"/>
      <c r="F48" s="5"/>
    </row>
    <row r="49" spans="3:6" ht="17" thickBot="1" x14ac:dyDescent="0.25">
      <c r="E49" s="5"/>
      <c r="F49" s="3" t="s">
        <v>432</v>
      </c>
    </row>
    <row r="50" spans="3:6" x14ac:dyDescent="0.2">
      <c r="C50" cm="1">
        <f t="array" ref="C50" xml:space="preserve"> SVG_length(ZAR.svg)</f>
        <v>449</v>
      </c>
      <c r="E50" s="5"/>
      <c r="F50" s="18"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1" spans="3:6" x14ac:dyDescent="0.2">
      <c r="E51" s="5"/>
      <c r="F51" s="6"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x14ac:dyDescent="0.2">
      <c r="E52" s="5"/>
      <c r="F52" s="6"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x14ac:dyDescent="0.2">
      <c r="E53" s="5"/>
      <c r="F53" s="6" t="s">
        <v>15</v>
      </c>
    </row>
    <row r="54" spans="3:6" x14ac:dyDescent="0.2">
      <c r="E54" s="5"/>
    </row>
    <row r="55" spans="3:6" x14ac:dyDescent="0.2">
      <c r="E55" s="5"/>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topLeftCell="B1" workbookViewId="0">
      <selection activeCell="B2" sqref="B2"/>
    </sheetView>
  </sheetViews>
  <sheetFormatPr baseColWidth="10" defaultRowHeight="16" x14ac:dyDescent="0.2"/>
  <sheetData>
    <row r="2" spans="2:6" ht="17" thickBot="1" x14ac:dyDescent="0.25">
      <c r="F2" s="3" t="s">
        <v>1992</v>
      </c>
    </row>
    <row r="3" spans="2:6" x14ac:dyDescent="0.2">
      <c r="F3">
        <f xml:space="preserve"> DecimalPlaces - INT(LOG(MAX(SDG.RawX, SDG.RawY), 10) + 0.2)</f>
        <v>5</v>
      </c>
    </row>
    <row r="4" spans="2:6" x14ac:dyDescent="0.2">
      <c r="E4" s="5"/>
    </row>
    <row r="5" spans="2:6" ht="17" thickBot="1" x14ac:dyDescent="0.25">
      <c r="B5" s="3" t="s">
        <v>1993</v>
      </c>
      <c r="C5" s="3" t="s">
        <v>1994</v>
      </c>
      <c r="D5" s="3" t="s">
        <v>1995</v>
      </c>
      <c r="F5" s="3" t="s">
        <v>1996</v>
      </c>
    </row>
    <row r="6" spans="2:6" x14ac:dyDescent="0.2">
      <c r="B6" t="s">
        <v>1808</v>
      </c>
      <c r="C6">
        <v>5</v>
      </c>
      <c r="D6">
        <f xml:space="preserve"> $C$6</f>
        <v>5</v>
      </c>
      <c r="F6" s="49"/>
    </row>
    <row r="7" spans="2:6" x14ac:dyDescent="0.2">
      <c r="B7" t="s">
        <v>1808</v>
      </c>
      <c r="C7">
        <f xml:space="preserve"> C6</f>
        <v>5</v>
      </c>
      <c r="D7">
        <f xml:space="preserve"> - D6</f>
        <v>-5</v>
      </c>
    </row>
    <row r="8" spans="2:6" x14ac:dyDescent="0.2">
      <c r="B8" t="s">
        <v>1808</v>
      </c>
      <c r="C8">
        <f xml:space="preserve"> - C7</f>
        <v>-5</v>
      </c>
      <c r="D8">
        <f xml:space="preserve"> D7</f>
        <v>-5</v>
      </c>
    </row>
    <row r="9" spans="2:6" x14ac:dyDescent="0.2">
      <c r="B9" t="s">
        <v>1808</v>
      </c>
      <c r="C9">
        <f xml:space="preserve"> C8</f>
        <v>-5</v>
      </c>
      <c r="D9">
        <f xml:space="preserve"> - D8</f>
        <v>5</v>
      </c>
    </row>
    <row r="11" spans="2:6" x14ac:dyDescent="0.2">
      <c r="B11" t="s">
        <v>2008</v>
      </c>
      <c r="C11">
        <f xml:space="preserve"> $C$6 - 1</f>
        <v>4</v>
      </c>
      <c r="D11">
        <f xml:space="preserve"> $C$6 - 2</f>
        <v>3</v>
      </c>
      <c r="F11" s="49" t="str">
        <f t="array" ref="F11:F14" xml:space="preserve">  svgpath($C11:$C14, $D11:$D14, SDG.DecimalPlaces, 1, -1)</f>
        <v>M4 -3</v>
      </c>
    </row>
    <row r="12" spans="2:6" x14ac:dyDescent="0.2">
      <c r="B12" t="s">
        <v>2008</v>
      </c>
      <c r="C12">
        <f xml:space="preserve"> $C$6 - 1</f>
        <v>4</v>
      </c>
      <c r="D12">
        <f xml:space="preserve"> D11 - 2</f>
        <v>1</v>
      </c>
      <c r="F12" t="str">
        <v>v2</v>
      </c>
    </row>
    <row r="13" spans="2:6" x14ac:dyDescent="0.2">
      <c r="B13" t="s">
        <v>2008</v>
      </c>
      <c r="C13">
        <f xml:space="preserve"> - $D12</f>
        <v>-1</v>
      </c>
      <c r="D13">
        <f xml:space="preserve"> - $C11</f>
        <v>-4</v>
      </c>
      <c r="F13" t="str">
        <v>L-1 4</v>
      </c>
    </row>
    <row r="14" spans="2:6" x14ac:dyDescent="0.2">
      <c r="B14" t="s">
        <v>2008</v>
      </c>
      <c r="C14">
        <f xml:space="preserve"> - D11</f>
        <v>-3</v>
      </c>
      <c r="D14">
        <f xml:space="preserve"> - C11</f>
        <v>-4</v>
      </c>
      <c r="F14" t="str">
        <v>H-3Z</v>
      </c>
    </row>
    <row r="15" spans="2:6" x14ac:dyDescent="0.2">
      <c r="F15" s="49"/>
    </row>
    <row r="16" spans="2:6" x14ac:dyDescent="0.2">
      <c r="B16" t="s">
        <v>2008</v>
      </c>
      <c r="C16">
        <f xml:space="preserve"> $C$6 - 1</f>
        <v>4</v>
      </c>
      <c r="D16">
        <f xml:space="preserve"> D12 - 2</f>
        <v>-1</v>
      </c>
      <c r="F16" s="49" t="str">
        <f t="array" ref="F16:F19" xml:space="preserve">  svgpath($C16:$C19, $D16:$D19, SDG.DecimalPlaces, 1, -1)</f>
        <v>M4 1</v>
      </c>
    </row>
    <row r="17" spans="2:6" x14ac:dyDescent="0.2">
      <c r="B17" t="s">
        <v>2008</v>
      </c>
      <c r="C17">
        <f xml:space="preserve"> $C$6 - 1</f>
        <v>4</v>
      </c>
      <c r="D17">
        <f xml:space="preserve"> D16 - 2</f>
        <v>-3</v>
      </c>
      <c r="F17" t="str">
        <v>V3</v>
      </c>
    </row>
    <row r="18" spans="2:6" x14ac:dyDescent="0.2">
      <c r="B18" t="s">
        <v>2008</v>
      </c>
      <c r="C18">
        <f xml:space="preserve"> - $D17</f>
        <v>3</v>
      </c>
      <c r="D18">
        <f xml:space="preserve"> - $C16</f>
        <v>-4</v>
      </c>
      <c r="F18" t="str">
        <v>L3 4</v>
      </c>
    </row>
    <row r="19" spans="2:6" x14ac:dyDescent="0.2">
      <c r="B19" t="s">
        <v>2008</v>
      </c>
      <c r="C19">
        <f xml:space="preserve"> - D16</f>
        <v>1</v>
      </c>
      <c r="D19">
        <f xml:space="preserve"> - C16</f>
        <v>-4</v>
      </c>
      <c r="F19" t="str">
        <v>H1Z</v>
      </c>
    </row>
    <row r="21" spans="2:6" x14ac:dyDescent="0.2">
      <c r="B21" t="s">
        <v>2008</v>
      </c>
      <c r="C21">
        <f t="shared" ref="C21:D24" si="0" xml:space="preserve"> - C11</f>
        <v>-4</v>
      </c>
      <c r="D21">
        <f t="shared" si="0"/>
        <v>-3</v>
      </c>
      <c r="F21" s="49" t="str">
        <f t="array" ref="F21:F24" xml:space="preserve">  svgpath($C21:$C24, $D21:$D24, SDG.DecimalPlaces, 1, -1)</f>
        <v>M-4 3</v>
      </c>
    </row>
    <row r="22" spans="2:6" x14ac:dyDescent="0.2">
      <c r="B22" t="s">
        <v>2008</v>
      </c>
      <c r="C22">
        <f t="shared" si="0"/>
        <v>-4</v>
      </c>
      <c r="D22">
        <f t="shared" si="0"/>
        <v>-1</v>
      </c>
      <c r="F22" t="str">
        <v>V1</v>
      </c>
    </row>
    <row r="23" spans="2:6" x14ac:dyDescent="0.2">
      <c r="B23" t="s">
        <v>2008</v>
      </c>
      <c r="C23">
        <f t="shared" si="0"/>
        <v>1</v>
      </c>
      <c r="D23">
        <f t="shared" si="0"/>
        <v>4</v>
      </c>
      <c r="F23" t="str">
        <v>L1 -4</v>
      </c>
    </row>
    <row r="24" spans="2:6" x14ac:dyDescent="0.2">
      <c r="B24" t="s">
        <v>2008</v>
      </c>
      <c r="C24">
        <f t="shared" si="0"/>
        <v>3</v>
      </c>
      <c r="D24">
        <f t="shared" si="0"/>
        <v>4</v>
      </c>
      <c r="F24" t="str">
        <v>H3Z</v>
      </c>
    </row>
    <row r="26" spans="2:6" x14ac:dyDescent="0.2">
      <c r="B26" t="s">
        <v>2008</v>
      </c>
      <c r="C26">
        <f t="shared" ref="C26:D29" si="1" xml:space="preserve"> - C16</f>
        <v>-4</v>
      </c>
      <c r="D26">
        <f t="shared" si="1"/>
        <v>1</v>
      </c>
      <c r="F26" s="49" t="str">
        <f t="array" ref="F26:F29" xml:space="preserve">  svgpath($C26:$C29, $D26:$D29, SDG.DecimalPlaces, 1, -1)</f>
        <v>M-4 -1</v>
      </c>
    </row>
    <row r="27" spans="2:6" x14ac:dyDescent="0.2">
      <c r="B27" t="s">
        <v>2008</v>
      </c>
      <c r="C27">
        <f t="shared" si="1"/>
        <v>-4</v>
      </c>
      <c r="D27">
        <f t="shared" si="1"/>
        <v>3</v>
      </c>
      <c r="F27" t="str">
        <v>V-3</v>
      </c>
    </row>
    <row r="28" spans="2:6" x14ac:dyDescent="0.2">
      <c r="B28" t="s">
        <v>2008</v>
      </c>
      <c r="C28">
        <f t="shared" si="1"/>
        <v>-3</v>
      </c>
      <c r="D28">
        <f t="shared" si="1"/>
        <v>4</v>
      </c>
      <c r="F28" t="str">
        <v>l1 -1</v>
      </c>
    </row>
    <row r="29" spans="2:6" x14ac:dyDescent="0.2">
      <c r="B29" t="s">
        <v>2008</v>
      </c>
      <c r="C29">
        <f t="shared" si="1"/>
        <v>-1</v>
      </c>
      <c r="D29">
        <f t="shared" si="1"/>
        <v>4</v>
      </c>
      <c r="F29" t="str">
        <v>h2Z</v>
      </c>
    </row>
    <row r="32" spans="2:6" x14ac:dyDescent="0.2">
      <c r="E32" s="4" t="s">
        <v>1997</v>
      </c>
      <c r="F32" cm="1">
        <f t="array" ref="F32" xml:space="preserve"> ROUND( MIN(SDG.RawX), SDG.DecimalPlaces)</f>
        <v>-5</v>
      </c>
    </row>
    <row r="33" spans="4:6" x14ac:dyDescent="0.2">
      <c r="E33" s="4" t="s">
        <v>1998</v>
      </c>
      <c r="F33" cm="1">
        <f t="array" ref="F33" xml:space="preserve"> ROUND(MAX(SDG.RawX), SDG.DecimalPlaces)</f>
        <v>5</v>
      </c>
    </row>
    <row r="34" spans="4:6" x14ac:dyDescent="0.2">
      <c r="E34" s="4" t="s">
        <v>1999</v>
      </c>
      <c r="F34" cm="1">
        <f t="array" ref="F34" xml:space="preserve"> ROUND( MIN(SDG.RawY), SDG.DecimalPlaces)</f>
        <v>-5</v>
      </c>
    </row>
    <row r="35" spans="4:6" x14ac:dyDescent="0.2">
      <c r="E35" s="4" t="s">
        <v>2000</v>
      </c>
      <c r="F35" cm="1">
        <f t="array" ref="F35" xml:space="preserve"> ROUND(MAX(SDG.RawY), SDG.DecimalPlaces)</f>
        <v>5</v>
      </c>
    </row>
    <row r="37" spans="4:6" x14ac:dyDescent="0.2">
      <c r="E37" s="4" t="s">
        <v>2001</v>
      </c>
      <c r="F37" s="28">
        <f xml:space="preserve"> MODE(Squares.AreaMultiplier)</f>
        <v>0.85</v>
      </c>
    </row>
    <row r="38" spans="4:6" x14ac:dyDescent="0.2">
      <c r="E38" s="4" t="s">
        <v>2002</v>
      </c>
      <c r="F38" cm="1">
        <f t="array" ref="F38" xml:space="preserve">  MAX(SDG.MaxY, - SDG.MinY)   /   MAX(SDG.MaxX, - SDG.MinX)</f>
        <v>1</v>
      </c>
    </row>
    <row r="39" spans="4:6" x14ac:dyDescent="0.2">
      <c r="E39" s="4" t="s">
        <v>2003</v>
      </c>
      <c r="F39" cm="1">
        <f t="array" ref="F39" xml:space="preserve"> VALUE(TEXT(SQRT(SDG.AreaMultiplier* BasicBBoxArea * SDG.Aspect), SVG.NumberFormatHeight))</f>
        <v>9.1999999999999993</v>
      </c>
    </row>
    <row r="40" spans="4:6" x14ac:dyDescent="0.2">
      <c r="E40" s="4" t="s">
        <v>2004</v>
      </c>
      <c r="F40" cm="1">
        <f t="array" ref="F40" xml:space="preserve"> SDG.Height / SDG.Aspect</f>
        <v>9.1999999999999993</v>
      </c>
    </row>
    <row r="42" spans="4:6" x14ac:dyDescent="0.2">
      <c r="E42" s="4" t="s">
        <v>2005</v>
      </c>
      <c r="F42" t="s">
        <v>726</v>
      </c>
    </row>
    <row r="43" spans="4:6" x14ac:dyDescent="0.2">
      <c r="E43" s="4" t="s">
        <v>2006</v>
      </c>
      <c r="F43" t="s">
        <v>2091</v>
      </c>
    </row>
    <row r="45" spans="4:6" ht="17" thickBot="1" x14ac:dyDescent="0.25">
      <c r="E45" s="5"/>
      <c r="F45" s="3" t="s">
        <v>2007</v>
      </c>
    </row>
    <row r="46" spans="4:6" x14ac:dyDescent="0.2">
      <c r="D46" cm="1">
        <f t="array" ref="D46" xml:space="preserve"> SVG_length(SDG.svg)</f>
        <v>221</v>
      </c>
      <c r="E46" s="5"/>
      <c r="F46" s="18"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x14ac:dyDescent="0.2">
      <c r="E47" s="5"/>
      <c r="F47" s="6" t="str" cm="1">
        <f t="array" ref="F47" xml:space="preserve"> svgPathRect(SDG.DecimalPlaces, SDG.SVG_painting_2, SDG.MaxX, SDG.MaxY)</f>
        <v>&lt;path fill='black' d='M5 5V-5H-5V5Z'/&gt;</v>
      </c>
    </row>
    <row r="48" spans="4:6" x14ac:dyDescent="0.2">
      <c r="E48" s="5"/>
      <c r="F48" s="6"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x14ac:dyDescent="0.2">
      <c r="F49" s="6"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topLeftCell="B1" workbookViewId="0">
      <selection activeCell="B2" sqref="B2"/>
    </sheetView>
  </sheetViews>
  <sheetFormatPr baseColWidth="10" defaultRowHeight="16" x14ac:dyDescent="0.2"/>
  <sheetData>
    <row r="2" spans="2:6" ht="17" thickBot="1" x14ac:dyDescent="0.25">
      <c r="D2" s="3" t="s">
        <v>1688</v>
      </c>
      <c r="F2" s="3" t="s">
        <v>511</v>
      </c>
    </row>
    <row r="3" spans="2:6" x14ac:dyDescent="0.2">
      <c r="D3">
        <v>4</v>
      </c>
      <c r="E3" s="5"/>
      <c r="F3">
        <f xml:space="preserve"> DecimalPlaces - INT(LOG(MXN.Multiplier, 10) + 0.2)</f>
        <v>5</v>
      </c>
    </row>
    <row r="4" spans="2:6" x14ac:dyDescent="0.2">
      <c r="E4" s="5"/>
    </row>
    <row r="5" spans="2:6" ht="17" thickBot="1" x14ac:dyDescent="0.25">
      <c r="B5" s="3" t="s">
        <v>512</v>
      </c>
      <c r="C5" s="3" t="s">
        <v>513</v>
      </c>
      <c r="D5" s="3" t="s">
        <v>514</v>
      </c>
      <c r="F5" s="3" t="s">
        <v>1761</v>
      </c>
    </row>
    <row r="6" spans="2:6" x14ac:dyDescent="0.2">
      <c r="B6" t="s">
        <v>23</v>
      </c>
      <c r="C6" s="41">
        <v>0</v>
      </c>
      <c r="D6" s="41">
        <v>1</v>
      </c>
      <c r="E6" s="5"/>
      <c r="F6" s="5" t="str">
        <f t="array" ref="F6:F21" xml:space="preserve"> svgpath(MXN.RawX, MXN.RawY, MXN.DecimalPlaces)</f>
        <v>M0 1</v>
      </c>
    </row>
    <row r="7" spans="2:6" x14ac:dyDescent="0.2">
      <c r="B7" t="s">
        <v>23</v>
      </c>
      <c r="C7" s="1" cm="1">
        <f t="array" ref="C7" xml:space="preserve"> SqrtHalf - 1/2</f>
        <v>0.20710678118654757</v>
      </c>
      <c r="D7" s="1">
        <v>0.5</v>
      </c>
      <c r="F7" s="5" t="str">
        <v>L.20711 .5</v>
      </c>
    </row>
    <row r="8" spans="2:6" x14ac:dyDescent="0.2">
      <c r="B8" t="s">
        <v>23</v>
      </c>
      <c r="C8" s="1" cm="1">
        <f t="array" ref="C8" xml:space="preserve"> SqrtHalf</f>
        <v>0.70710678118654757</v>
      </c>
      <c r="D8" s="1" cm="1">
        <f t="array" ref="D8" xml:space="preserve"> SqrtHalf</f>
        <v>0.70710678118654757</v>
      </c>
      <c r="F8" s="5" t="str">
        <v>l.5 .20711</v>
      </c>
    </row>
    <row r="9" spans="2:6" x14ac:dyDescent="0.2">
      <c r="B9" t="s">
        <v>23</v>
      </c>
      <c r="C9" s="1">
        <v>0.5</v>
      </c>
      <c r="D9" s="1" cm="1">
        <f t="array" ref="D9" xml:space="preserve"> SqrtHalf - 1/2</f>
        <v>0.20710678118654757</v>
      </c>
      <c r="F9" s="5" t="str">
        <v>L.5 .20711</v>
      </c>
    </row>
    <row r="10" spans="2:6" x14ac:dyDescent="0.2">
      <c r="B10" t="s">
        <v>23</v>
      </c>
      <c r="C10" s="1">
        <v>1</v>
      </c>
      <c r="D10" s="1">
        <v>0</v>
      </c>
      <c r="F10" s="5" t="str">
        <v>L1 0</v>
      </c>
    </row>
    <row r="11" spans="2:6" x14ac:dyDescent="0.2">
      <c r="B11" t="s">
        <v>23</v>
      </c>
      <c r="C11" s="1">
        <v>0.5</v>
      </c>
      <c r="D11" s="1" cm="1">
        <f t="array" ref="D11" xml:space="preserve"> 1/2 - SqrtHalf</f>
        <v>-0.20710678118654757</v>
      </c>
      <c r="F11" s="5" t="str">
        <v>L.5 -.20711</v>
      </c>
    </row>
    <row r="12" spans="2:6" x14ac:dyDescent="0.2">
      <c r="B12" t="s">
        <v>23</v>
      </c>
      <c r="C12" s="1" cm="1">
        <f t="array" ref="C12" xml:space="preserve"> SqrtHalf</f>
        <v>0.70710678118654757</v>
      </c>
      <c r="D12" s="1" cm="1">
        <f t="array" ref="D12" xml:space="preserve"> - SqrtHalf</f>
        <v>-0.70710678118654757</v>
      </c>
      <c r="F12" s="5" t="str">
        <v>l.20711 -.5</v>
      </c>
    </row>
    <row r="13" spans="2:6" x14ac:dyDescent="0.2">
      <c r="B13" t="s">
        <v>23</v>
      </c>
      <c r="C13" cm="1">
        <f t="array" ref="C13" xml:space="preserve"> SqrtHalf - 1/2</f>
        <v>0.20710678118654757</v>
      </c>
      <c r="D13" s="1">
        <v>-0.5</v>
      </c>
      <c r="F13" s="5" t="str">
        <v>L.20711 -.5</v>
      </c>
    </row>
    <row r="14" spans="2:6" x14ac:dyDescent="0.2">
      <c r="B14" t="s">
        <v>23</v>
      </c>
      <c r="C14">
        <v>0</v>
      </c>
      <c r="D14">
        <v>-1</v>
      </c>
      <c r="F14" s="5" t="str">
        <v>L0 -1</v>
      </c>
    </row>
    <row r="15" spans="2:6" x14ac:dyDescent="0.2">
      <c r="B15" t="s">
        <v>23</v>
      </c>
      <c r="C15" cm="1">
        <f t="array" ref="C15" xml:space="preserve"> 1/2 - SqrtHalf</f>
        <v>-0.20710678118654757</v>
      </c>
      <c r="D15">
        <v>-0.5</v>
      </c>
      <c r="F15" s="5" t="str">
        <v>l-.20711 .5</v>
      </c>
    </row>
    <row r="16" spans="2:6" x14ac:dyDescent="0.2">
      <c r="B16" t="s">
        <v>23</v>
      </c>
      <c r="C16" cm="1">
        <f t="array" ref="C16" xml:space="preserve"> - SqrtHalf</f>
        <v>-0.70710678118654757</v>
      </c>
      <c r="D16" cm="1">
        <f t="array" ref="D16" xml:space="preserve"> - SqrtHalf</f>
        <v>-0.70710678118654757</v>
      </c>
      <c r="F16" s="5" t="str">
        <v>l-.5 -.20711</v>
      </c>
    </row>
    <row r="17" spans="2:7" x14ac:dyDescent="0.2">
      <c r="B17" t="s">
        <v>23</v>
      </c>
      <c r="C17">
        <v>-0.5</v>
      </c>
      <c r="D17" cm="1">
        <f t="array" ref="D17" xml:space="preserve"> 1/2 - SqrtHalf</f>
        <v>-0.20710678118654757</v>
      </c>
      <c r="F17" s="5" t="str">
        <v>l.20711 .5</v>
      </c>
    </row>
    <row r="18" spans="2:7" x14ac:dyDescent="0.2">
      <c r="B18" t="s">
        <v>23</v>
      </c>
      <c r="C18">
        <v>-1</v>
      </c>
      <c r="D18">
        <v>0</v>
      </c>
      <c r="F18" s="5" t="str">
        <v>L-1 0</v>
      </c>
    </row>
    <row r="19" spans="2:7" x14ac:dyDescent="0.2">
      <c r="B19" t="s">
        <v>23</v>
      </c>
      <c r="C19">
        <v>-0.5</v>
      </c>
      <c r="D19" cm="1">
        <f t="array" ref="D19" xml:space="preserve"> SqrtHalf - 1/2</f>
        <v>0.20710678118654757</v>
      </c>
      <c r="F19" s="5" t="str">
        <v>l.5 .20711</v>
      </c>
    </row>
    <row r="20" spans="2:7" x14ac:dyDescent="0.2">
      <c r="B20" t="s">
        <v>23</v>
      </c>
      <c r="C20" cm="1">
        <f t="array" ref="C20" xml:space="preserve"> - SqrtHalf</f>
        <v>-0.70710678118654757</v>
      </c>
      <c r="D20" cm="1">
        <f t="array" ref="D20" xml:space="preserve"> SqrtHalf</f>
        <v>0.70710678118654757</v>
      </c>
      <c r="F20" s="5" t="str">
        <v>l-.20711 .5</v>
      </c>
    </row>
    <row r="21" spans="2:7" x14ac:dyDescent="0.2">
      <c r="B21" t="s">
        <v>23</v>
      </c>
      <c r="C21" cm="1">
        <f t="array" ref="C21" xml:space="preserve"> 1/2 - SqrtHalf</f>
        <v>-0.20710678118654757</v>
      </c>
      <c r="D21">
        <v>0.5</v>
      </c>
      <c r="F21" s="5" t="str">
        <v>L-.20711 .5Z</v>
      </c>
    </row>
    <row r="24" spans="2:7" x14ac:dyDescent="0.2">
      <c r="E24" s="4" t="s">
        <v>521</v>
      </c>
      <c r="F24">
        <f xml:space="preserve"> ROUND( MIN(MXN.RawX), MXN.DecimalPlaces)</f>
        <v>-1</v>
      </c>
    </row>
    <row r="25" spans="2:7" x14ac:dyDescent="0.2">
      <c r="E25" s="4" t="s">
        <v>522</v>
      </c>
      <c r="F25">
        <f xml:space="preserve"> ROUND(MAX(MXN.RawX), MXN.DecimalPlaces)</f>
        <v>1</v>
      </c>
    </row>
    <row r="26" spans="2:7" x14ac:dyDescent="0.2">
      <c r="E26" s="4" t="s">
        <v>523</v>
      </c>
      <c r="F26">
        <f xml:space="preserve"> ROUND( MIN(MXN.RawY), MXN.DecimalPlaces)</f>
        <v>-1</v>
      </c>
    </row>
    <row r="27" spans="2:7" x14ac:dyDescent="0.2">
      <c r="E27" s="4" t="s">
        <v>524</v>
      </c>
      <c r="F27">
        <f xml:space="preserve"> ROUND(MAX(MXN.RawY), MXN.DecimalPlaces)</f>
        <v>1</v>
      </c>
    </row>
    <row r="29" spans="2:7" x14ac:dyDescent="0.2">
      <c r="E29" s="4" t="s">
        <v>515</v>
      </c>
      <c r="F29" s="28">
        <v>1.375</v>
      </c>
    </row>
    <row r="30" spans="2:7" x14ac:dyDescent="0.2">
      <c r="E30" s="4" t="s">
        <v>516</v>
      </c>
      <c r="F30">
        <f xml:space="preserve">  MAX(MXN.MaxY, - MXN.MinY)   /   MAX(MXN.MaxX, - MXN.MinX)</f>
        <v>1</v>
      </c>
    </row>
    <row r="31" spans="2:7" x14ac:dyDescent="0.2">
      <c r="E31" s="4" t="s">
        <v>517</v>
      </c>
      <c r="F31">
        <f xml:space="preserve"> VALUE(TEXT(SQRT(MXN.AreaMultiplier * BasicBBoxArea * MXN.Aspect), SVG.NumberFormatHeight))</f>
        <v>11.7</v>
      </c>
      <c r="G31" s="6"/>
    </row>
    <row r="32" spans="2:7" x14ac:dyDescent="0.2">
      <c r="E32" s="4" t="s">
        <v>518</v>
      </c>
      <c r="F32" cm="1">
        <f t="array" ref="F32" xml:space="preserve"> MXN.Height / MXN.Aspect</f>
        <v>11.7</v>
      </c>
    </row>
    <row r="33" spans="3:7" x14ac:dyDescent="0.2">
      <c r="E33" s="4"/>
      <c r="F33" s="6"/>
      <c r="G33" s="5"/>
    </row>
    <row r="34" spans="3:7" x14ac:dyDescent="0.2">
      <c r="E34" s="4" t="s">
        <v>519</v>
      </c>
      <c r="F34" s="6" t="s">
        <v>777</v>
      </c>
      <c r="G34" s="5"/>
    </row>
    <row r="35" spans="3:7" x14ac:dyDescent="0.2">
      <c r="E35" s="4" t="s">
        <v>527</v>
      </c>
      <c r="F35" s="6" t="s">
        <v>2091</v>
      </c>
      <c r="G35" s="5"/>
    </row>
    <row r="36" spans="3:7" x14ac:dyDescent="0.2">
      <c r="E36" s="4" t="s">
        <v>520</v>
      </c>
      <c r="F36" s="6" t="s">
        <v>728</v>
      </c>
      <c r="G36" s="5"/>
    </row>
    <row r="37" spans="3:7" x14ac:dyDescent="0.2">
      <c r="E37" s="5"/>
      <c r="G37" s="5"/>
    </row>
    <row r="38" spans="3:7" ht="17" thickBot="1" x14ac:dyDescent="0.25">
      <c r="E38" s="5"/>
      <c r="F38" s="3" t="s">
        <v>525</v>
      </c>
      <c r="G38" s="5"/>
    </row>
    <row r="39" spans="3:7" x14ac:dyDescent="0.2">
      <c r="C39" cm="1">
        <f t="array" ref="C39" xml:space="preserve"> SVG_length(MXN.svg)</f>
        <v>438</v>
      </c>
      <c r="E39" s="5"/>
      <c r="F39" s="18"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7" x14ac:dyDescent="0.2">
      <c r="E40" s="5"/>
      <c r="F40" s="6"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7" x14ac:dyDescent="0.2">
      <c r="E41" s="5"/>
      <c r="F41" s="6" t="str">
        <f xml:space="preserve"> IF(LEN(_xlfn.SINGLE(MXN.SVG_painting_O))&gt;0, "&lt;use href='#MXN-o' " &amp; TRIM(_xlfn.SINGLE(MXN.SVG_painting_O)) &amp; "/&gt;", "")</f>
        <v>&lt;use href='#MXN-o' fill='#006341'/&gt;</v>
      </c>
    </row>
    <row r="42" spans="3:7" x14ac:dyDescent="0.2">
      <c r="E42" s="5"/>
      <c r="F42" s="6" t="str">
        <f xml:space="preserve"> IF(LEN(_xlfn.SINGLE(MXN.SVG_painting_M))&gt;0, "&lt;use href='#MXN-o' " &amp; TRIM(_xlfn.SINGLE(MXN.SVG_painting_M)) &amp; " transform='scale(" &amp; ROUND(Thirds_M/Thirds_O,2) &amp; ")'/&gt;", "")</f>
        <v>&lt;use href='#MXN-o' fill='#FFF' transform='scale(0.7)'/&gt;</v>
      </c>
    </row>
    <row r="43" spans="3:7" x14ac:dyDescent="0.2">
      <c r="E43" s="5"/>
      <c r="F43" s="6" t="str">
        <f xml:space="preserve"> IF(LEN(_xlfn.SINGLE(MXN.SVG_painting_I))&gt;0, "&lt;use href='#MXN-o' " &amp; TRIM(_xlfn.SINGLE(MXN.SVG_painting_I)) &amp; " transform='scale(" &amp; ROUND(Thirds_I/Thirds_O,2) &amp; ")'/&gt;", "")</f>
        <v>&lt;use href='#MXN-o' fill='#C8102E' transform='scale(0.37)'/&gt;</v>
      </c>
    </row>
    <row r="44" spans="3:7" x14ac:dyDescent="0.2">
      <c r="E44" s="5"/>
      <c r="F44" s="6"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1:G56"/>
  <sheetViews>
    <sheetView topLeftCell="B1" workbookViewId="0">
      <selection activeCell="B2" sqref="B2"/>
    </sheetView>
  </sheetViews>
  <sheetFormatPr baseColWidth="10" defaultRowHeight="16" x14ac:dyDescent="0.2"/>
  <sheetData>
    <row r="1" spans="2:6" x14ac:dyDescent="0.2">
      <c r="E1" s="5"/>
    </row>
    <row r="2" spans="2:6" ht="17" thickBot="1" x14ac:dyDescent="0.25">
      <c r="B2" s="3" t="s">
        <v>529</v>
      </c>
      <c r="C2" s="3" t="s">
        <v>530</v>
      </c>
      <c r="D2" s="3" t="s">
        <v>531</v>
      </c>
      <c r="F2" s="3" t="s">
        <v>532</v>
      </c>
    </row>
    <row r="3" spans="2:6" x14ac:dyDescent="0.2">
      <c r="B3" t="s">
        <v>23</v>
      </c>
      <c r="C3" s="41">
        <v>21</v>
      </c>
      <c r="D3" s="41">
        <v>13</v>
      </c>
      <c r="E3" s="5"/>
      <c r="F3" t="str">
        <f t="array" ref="F3:F30" xml:space="preserve"> svgpath($C3:$C30, $D3:$D30, 5)</f>
        <v>M21 13</v>
      </c>
    </row>
    <row r="4" spans="2:6" x14ac:dyDescent="0.2">
      <c r="B4" t="s">
        <v>23</v>
      </c>
      <c r="C4" s="41">
        <v>34</v>
      </c>
      <c r="D4" s="41">
        <v>13</v>
      </c>
      <c r="F4" t="str">
        <v>H34</v>
      </c>
    </row>
    <row r="5" spans="2:6" x14ac:dyDescent="0.2">
      <c r="B5" t="s">
        <v>23</v>
      </c>
      <c r="C5" s="41">
        <v>34</v>
      </c>
      <c r="D5" s="41">
        <v>21</v>
      </c>
      <c r="F5" t="str">
        <v>v8</v>
      </c>
    </row>
    <row r="6" spans="2:6" x14ac:dyDescent="0.2">
      <c r="B6" t="s">
        <v>23</v>
      </c>
      <c r="C6" s="41">
        <v>21</v>
      </c>
      <c r="D6" s="41">
        <v>21</v>
      </c>
      <c r="F6" t="str">
        <v>H21</v>
      </c>
    </row>
    <row r="7" spans="2:6" x14ac:dyDescent="0.2">
      <c r="B7" t="s">
        <v>23</v>
      </c>
      <c r="C7" s="41">
        <v>21</v>
      </c>
      <c r="D7" s="41">
        <v>34</v>
      </c>
      <c r="F7" t="str">
        <v>V34</v>
      </c>
    </row>
    <row r="8" spans="2:6" x14ac:dyDescent="0.2">
      <c r="B8" t="s">
        <v>23</v>
      </c>
      <c r="C8" s="41">
        <v>13</v>
      </c>
      <c r="D8" s="41">
        <v>34</v>
      </c>
      <c r="F8" t="str">
        <v>H13</v>
      </c>
    </row>
    <row r="9" spans="2:6" x14ac:dyDescent="0.2">
      <c r="B9" t="s">
        <v>23</v>
      </c>
      <c r="C9" s="41">
        <v>13</v>
      </c>
      <c r="D9" s="41">
        <v>21</v>
      </c>
      <c r="F9" t="str">
        <v>V21</v>
      </c>
    </row>
    <row r="10" spans="2:6" x14ac:dyDescent="0.2">
      <c r="B10" t="s">
        <v>23</v>
      </c>
      <c r="C10" s="41">
        <v>-13</v>
      </c>
      <c r="D10" s="41">
        <v>21</v>
      </c>
      <c r="F10" t="str">
        <v>H-13</v>
      </c>
    </row>
    <row r="11" spans="2:6" x14ac:dyDescent="0.2">
      <c r="B11" t="s">
        <v>23</v>
      </c>
      <c r="C11" s="41">
        <v>-13</v>
      </c>
      <c r="D11" s="41">
        <v>34</v>
      </c>
      <c r="F11" t="str">
        <v>V34</v>
      </c>
    </row>
    <row r="12" spans="2:6" x14ac:dyDescent="0.2">
      <c r="B12" t="s">
        <v>23</v>
      </c>
      <c r="C12" s="41">
        <v>-21</v>
      </c>
      <c r="D12" s="41">
        <v>34</v>
      </c>
      <c r="F12" t="str">
        <v>h-8</v>
      </c>
    </row>
    <row r="13" spans="2:6" x14ac:dyDescent="0.2">
      <c r="B13" t="s">
        <v>23</v>
      </c>
      <c r="C13" s="41">
        <v>-21</v>
      </c>
      <c r="D13" s="41">
        <v>21</v>
      </c>
      <c r="F13" t="str">
        <v>V21</v>
      </c>
    </row>
    <row r="14" spans="2:6" x14ac:dyDescent="0.2">
      <c r="B14" t="s">
        <v>23</v>
      </c>
      <c r="C14" s="41">
        <v>-34</v>
      </c>
      <c r="D14" s="41">
        <v>21</v>
      </c>
      <c r="F14" t="str">
        <v>H-34</v>
      </c>
    </row>
    <row r="15" spans="2:6" x14ac:dyDescent="0.2">
      <c r="B15" t="s">
        <v>23</v>
      </c>
      <c r="C15" s="41">
        <v>-34</v>
      </c>
      <c r="D15" s="41">
        <v>13</v>
      </c>
      <c r="F15" t="str">
        <v>V13</v>
      </c>
    </row>
    <row r="16" spans="2:6" x14ac:dyDescent="0.2">
      <c r="B16" t="s">
        <v>23</v>
      </c>
      <c r="C16" s="41">
        <v>-21</v>
      </c>
      <c r="D16" s="41">
        <v>13</v>
      </c>
      <c r="F16" t="str">
        <v>h13</v>
      </c>
    </row>
    <row r="17" spans="2:6" x14ac:dyDescent="0.2">
      <c r="B17" t="s">
        <v>23</v>
      </c>
      <c r="C17" s="41">
        <v>-21</v>
      </c>
      <c r="D17" s="41">
        <v>-13</v>
      </c>
      <c r="F17" t="str">
        <v>V-13</v>
      </c>
    </row>
    <row r="18" spans="2:6" x14ac:dyDescent="0.2">
      <c r="B18" t="s">
        <v>23</v>
      </c>
      <c r="C18" s="41">
        <v>-34</v>
      </c>
      <c r="D18" s="41">
        <v>-13</v>
      </c>
      <c r="F18" t="str">
        <v>H-34</v>
      </c>
    </row>
    <row r="19" spans="2:6" x14ac:dyDescent="0.2">
      <c r="B19" t="s">
        <v>23</v>
      </c>
      <c r="C19" s="41">
        <v>-34</v>
      </c>
      <c r="D19" s="41">
        <v>-21</v>
      </c>
      <c r="F19" t="str">
        <v>v-8</v>
      </c>
    </row>
    <row r="20" spans="2:6" x14ac:dyDescent="0.2">
      <c r="B20" t="s">
        <v>23</v>
      </c>
      <c r="C20" s="41">
        <v>-21</v>
      </c>
      <c r="D20" s="41">
        <v>-21</v>
      </c>
      <c r="F20" t="str">
        <v>h13</v>
      </c>
    </row>
    <row r="21" spans="2:6" x14ac:dyDescent="0.2">
      <c r="B21" t="s">
        <v>23</v>
      </c>
      <c r="C21" s="41">
        <v>-21</v>
      </c>
      <c r="D21" s="41">
        <v>-34</v>
      </c>
      <c r="F21" t="str">
        <v>V-34</v>
      </c>
    </row>
    <row r="22" spans="2:6" x14ac:dyDescent="0.2">
      <c r="B22" t="s">
        <v>23</v>
      </c>
      <c r="C22" s="41">
        <v>-13</v>
      </c>
      <c r="D22" s="41">
        <v>-34</v>
      </c>
      <c r="F22" t="str">
        <v>h8</v>
      </c>
    </row>
    <row r="23" spans="2:6" x14ac:dyDescent="0.2">
      <c r="B23" t="s">
        <v>23</v>
      </c>
      <c r="C23" s="41">
        <v>-13</v>
      </c>
      <c r="D23" s="41">
        <v>-21</v>
      </c>
      <c r="F23" t="str">
        <v>v13</v>
      </c>
    </row>
    <row r="24" spans="2:6" x14ac:dyDescent="0.2">
      <c r="B24" t="s">
        <v>23</v>
      </c>
      <c r="C24" s="41">
        <v>13</v>
      </c>
      <c r="D24" s="41">
        <v>-21</v>
      </c>
      <c r="F24" t="str">
        <v>H13</v>
      </c>
    </row>
    <row r="25" spans="2:6" x14ac:dyDescent="0.2">
      <c r="B25" t="s">
        <v>23</v>
      </c>
      <c r="C25" s="41">
        <v>13</v>
      </c>
      <c r="D25" s="41">
        <v>-34</v>
      </c>
      <c r="F25" t="str">
        <v>V-34</v>
      </c>
    </row>
    <row r="26" spans="2:6" x14ac:dyDescent="0.2">
      <c r="B26" t="s">
        <v>23</v>
      </c>
      <c r="C26" s="41">
        <v>21</v>
      </c>
      <c r="D26" s="41">
        <v>-34</v>
      </c>
      <c r="F26" t="str">
        <v>h8</v>
      </c>
    </row>
    <row r="27" spans="2:6" x14ac:dyDescent="0.2">
      <c r="B27" t="s">
        <v>23</v>
      </c>
      <c r="C27" s="41">
        <v>21</v>
      </c>
      <c r="D27" s="41">
        <v>-21</v>
      </c>
      <c r="F27" t="str">
        <v>v13</v>
      </c>
    </row>
    <row r="28" spans="2:6" x14ac:dyDescent="0.2">
      <c r="B28" t="s">
        <v>23</v>
      </c>
      <c r="C28" s="41">
        <v>34</v>
      </c>
      <c r="D28" s="41">
        <v>-21</v>
      </c>
      <c r="F28" t="str">
        <v>H34</v>
      </c>
    </row>
    <row r="29" spans="2:6" x14ac:dyDescent="0.2">
      <c r="B29" t="s">
        <v>23</v>
      </c>
      <c r="C29" s="41">
        <v>34</v>
      </c>
      <c r="D29" s="41">
        <v>-13</v>
      </c>
      <c r="F29" t="str">
        <v>v8</v>
      </c>
    </row>
    <row r="30" spans="2:6" x14ac:dyDescent="0.2">
      <c r="B30" t="s">
        <v>23</v>
      </c>
      <c r="C30" s="41">
        <v>21</v>
      </c>
      <c r="D30" s="41">
        <v>-13</v>
      </c>
      <c r="F30" t="str">
        <v>H21Z</v>
      </c>
    </row>
    <row r="32" spans="2:6" x14ac:dyDescent="0.2">
      <c r="B32" t="s">
        <v>1068</v>
      </c>
      <c r="C32" s="41">
        <v>13</v>
      </c>
      <c r="D32" s="41">
        <v>13</v>
      </c>
    </row>
    <row r="33" spans="2:7" x14ac:dyDescent="0.2">
      <c r="B33" t="s">
        <v>1068</v>
      </c>
      <c r="C33" s="41">
        <v>-13</v>
      </c>
      <c r="D33" s="41">
        <v>13</v>
      </c>
    </row>
    <row r="34" spans="2:7" x14ac:dyDescent="0.2">
      <c r="B34" t="s">
        <v>1068</v>
      </c>
      <c r="C34" s="41">
        <v>-13</v>
      </c>
      <c r="D34" s="41">
        <v>-13</v>
      </c>
    </row>
    <row r="35" spans="2:7" x14ac:dyDescent="0.2">
      <c r="B35" t="s">
        <v>1068</v>
      </c>
      <c r="C35" s="41">
        <v>13</v>
      </c>
      <c r="D35" s="41">
        <v>-13</v>
      </c>
    </row>
    <row r="38" spans="2:7" x14ac:dyDescent="0.2">
      <c r="E38" s="4" t="s">
        <v>539</v>
      </c>
      <c r="F38">
        <f xml:space="preserve"> MIN(UYU.RawX)</f>
        <v>-34</v>
      </c>
    </row>
    <row r="39" spans="2:7" x14ac:dyDescent="0.2">
      <c r="E39" s="4" t="s">
        <v>540</v>
      </c>
      <c r="F39">
        <f xml:space="preserve"> MAX(UYU.RawX)</f>
        <v>34</v>
      </c>
    </row>
    <row r="40" spans="2:7" x14ac:dyDescent="0.2">
      <c r="E40" s="4" t="s">
        <v>541</v>
      </c>
      <c r="F40">
        <f xml:space="preserve"> MIN(UYU.RawY)</f>
        <v>-34</v>
      </c>
    </row>
    <row r="41" spans="2:7" x14ac:dyDescent="0.2">
      <c r="E41" s="4" t="s">
        <v>542</v>
      </c>
      <c r="F41">
        <f xml:space="preserve"> MAX(UYU.RawY)</f>
        <v>34</v>
      </c>
    </row>
    <row r="43" spans="2:7" x14ac:dyDescent="0.2">
      <c r="E43" s="4" t="s">
        <v>533</v>
      </c>
      <c r="F43" s="28">
        <v>1</v>
      </c>
    </row>
    <row r="44" spans="2:7" x14ac:dyDescent="0.2">
      <c r="E44" s="4" t="s">
        <v>534</v>
      </c>
      <c r="F44">
        <f xml:space="preserve">  MAX(UYU.MaxY, - UYU.MinY)   /   MAX(UYU.MaxX, - UYU.MinX)</f>
        <v>1</v>
      </c>
      <c r="G44" s="6"/>
    </row>
    <row r="45" spans="2:7" x14ac:dyDescent="0.2">
      <c r="E45" s="4" t="s">
        <v>535</v>
      </c>
      <c r="F45">
        <f xml:space="preserve"> VALUE(TEXT(SQRT(UYU.AreaMultiplier * BasicBBoxArea * UYU.Aspect), SVG.NumberFormatHeight))</f>
        <v>10</v>
      </c>
    </row>
    <row r="46" spans="2:7" x14ac:dyDescent="0.2">
      <c r="E46" s="4" t="s">
        <v>536</v>
      </c>
      <c r="F46" cm="1">
        <f t="array" ref="F46" xml:space="preserve"> UYU.Height / UYU.Aspect</f>
        <v>10</v>
      </c>
      <c r="G46" s="5"/>
    </row>
    <row r="47" spans="2:7" x14ac:dyDescent="0.2">
      <c r="E47" s="4"/>
      <c r="F47" s="6"/>
      <c r="G47" s="5"/>
    </row>
    <row r="48" spans="2:7" x14ac:dyDescent="0.2">
      <c r="E48" s="4" t="s">
        <v>537</v>
      </c>
      <c r="F48" s="6" t="s">
        <v>1067</v>
      </c>
      <c r="G48" s="5"/>
    </row>
    <row r="49" spans="3:7" x14ac:dyDescent="0.2">
      <c r="E49" s="4" t="s">
        <v>538</v>
      </c>
      <c r="F49" s="6" t="s">
        <v>2091</v>
      </c>
      <c r="G49" s="5"/>
    </row>
    <row r="50" spans="3:7" x14ac:dyDescent="0.2">
      <c r="E50" s="5"/>
      <c r="G50" s="5"/>
    </row>
    <row r="51" spans="3:7" ht="17" thickBot="1" x14ac:dyDescent="0.25">
      <c r="E51" s="5"/>
      <c r="F51" s="3" t="s">
        <v>543</v>
      </c>
      <c r="G51" s="5"/>
    </row>
    <row r="52" spans="3:7" x14ac:dyDescent="0.2">
      <c r="C52" cm="1">
        <f t="array" ref="C52" xml:space="preserve"> SVG_length(UYU.svg)</f>
        <v>267</v>
      </c>
      <c r="E52" s="5"/>
      <c r="F52" s="18"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7" x14ac:dyDescent="0.2">
      <c r="E53" s="6"/>
      <c r="F53" s="6"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7" x14ac:dyDescent="0.2">
      <c r="E54" s="5"/>
      <c r="F54" s="23" t="str" cm="1">
        <f t="array" ref="F54" xml:space="preserve"> svgPathRect(DecimalPlaces, UYU.SVG_painting_I, $C$32, $D$32)</f>
        <v>&lt;path fill='#FFF' d='M13 13V-13H-13V13Z'/&gt;</v>
      </c>
    </row>
    <row r="55" spans="3:7" x14ac:dyDescent="0.2">
      <c r="E55" s="5"/>
      <c r="F55" s="6" t="s">
        <v>15</v>
      </c>
    </row>
    <row r="56" spans="3:7" x14ac:dyDescent="0.2">
      <c r="E56" s="5"/>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1:G66"/>
  <sheetViews>
    <sheetView topLeftCell="B1" workbookViewId="0">
      <selection activeCell="B2" sqref="B2"/>
    </sheetView>
  </sheetViews>
  <sheetFormatPr baseColWidth="10" defaultRowHeight="16" x14ac:dyDescent="0.2"/>
  <sheetData>
    <row r="1" spans="2:6" x14ac:dyDescent="0.2">
      <c r="E1" s="5"/>
    </row>
    <row r="2" spans="2:6" ht="17" thickBot="1" x14ac:dyDescent="0.25">
      <c r="B2" s="3" t="s">
        <v>1021</v>
      </c>
      <c r="C2" s="3" t="s">
        <v>545</v>
      </c>
      <c r="D2" s="3" t="s">
        <v>546</v>
      </c>
      <c r="F2" s="3" t="s">
        <v>547</v>
      </c>
    </row>
    <row r="3" spans="2:6" x14ac:dyDescent="0.2">
      <c r="B3" s="5" t="s">
        <v>1023</v>
      </c>
      <c r="C3" s="5">
        <v>4</v>
      </c>
      <c r="D3" s="5">
        <v>0</v>
      </c>
      <c r="F3" t="str">
        <f t="array" ref="F3:F22" xml:space="preserve"> svgpath($C3:$C22, $D3:$D22, 5)</f>
        <v>M4 0</v>
      </c>
    </row>
    <row r="4" spans="2:6" x14ac:dyDescent="0.2">
      <c r="B4" s="5" t="s">
        <v>1023</v>
      </c>
      <c r="C4" s="5">
        <v>5</v>
      </c>
      <c r="D4" s="5">
        <v>1</v>
      </c>
      <c r="F4" t="str">
        <v>L5 1</v>
      </c>
    </row>
    <row r="5" spans="2:6" x14ac:dyDescent="0.2">
      <c r="B5" s="5" t="s">
        <v>1023</v>
      </c>
      <c r="C5" s="5">
        <v>5</v>
      </c>
      <c r="D5" s="5">
        <v>3</v>
      </c>
      <c r="F5" t="str">
        <v>V3</v>
      </c>
    </row>
    <row r="6" spans="2:6" x14ac:dyDescent="0.2">
      <c r="B6" s="5" t="s">
        <v>1023</v>
      </c>
      <c r="C6" s="48">
        <v>3</v>
      </c>
      <c r="D6" s="48">
        <v>5</v>
      </c>
      <c r="F6" t="str">
        <v>L3 5</v>
      </c>
    </row>
    <row r="7" spans="2:6" x14ac:dyDescent="0.2">
      <c r="B7" s="5" t="s">
        <v>1023</v>
      </c>
      <c r="C7" s="48">
        <v>1</v>
      </c>
      <c r="D7" s="48">
        <v>5</v>
      </c>
      <c r="F7" t="str">
        <v>H1</v>
      </c>
    </row>
    <row r="8" spans="2:6" x14ac:dyDescent="0.2">
      <c r="B8" s="5" t="s">
        <v>1023</v>
      </c>
      <c r="C8" s="48">
        <v>0</v>
      </c>
      <c r="D8" s="48">
        <v>4</v>
      </c>
      <c r="F8" t="str">
        <v>L0 4</v>
      </c>
    </row>
    <row r="9" spans="2:6" x14ac:dyDescent="0.2">
      <c r="B9" s="5" t="s">
        <v>1023</v>
      </c>
      <c r="C9" s="48">
        <v>-1</v>
      </c>
      <c r="D9" s="48">
        <v>5</v>
      </c>
      <c r="F9" t="str">
        <v>L-1 5</v>
      </c>
    </row>
    <row r="10" spans="2:6" x14ac:dyDescent="0.2">
      <c r="B10" s="5" t="s">
        <v>1023</v>
      </c>
      <c r="C10" s="48">
        <v>-3</v>
      </c>
      <c r="D10" s="48">
        <v>5</v>
      </c>
      <c r="F10" t="str">
        <v>H-3</v>
      </c>
    </row>
    <row r="11" spans="2:6" x14ac:dyDescent="0.2">
      <c r="B11" s="5" t="s">
        <v>1023</v>
      </c>
      <c r="C11" s="48">
        <v>-5</v>
      </c>
      <c r="D11" s="48">
        <v>3</v>
      </c>
      <c r="F11" t="str">
        <v>L-5 3</v>
      </c>
    </row>
    <row r="12" spans="2:6" x14ac:dyDescent="0.2">
      <c r="B12" s="5" t="s">
        <v>1023</v>
      </c>
      <c r="C12" s="48">
        <v>-5</v>
      </c>
      <c r="D12" s="48">
        <v>1</v>
      </c>
      <c r="F12" t="str">
        <v>V1</v>
      </c>
    </row>
    <row r="13" spans="2:6" x14ac:dyDescent="0.2">
      <c r="B13" s="5" t="s">
        <v>1023</v>
      </c>
      <c r="C13" s="48">
        <f xml:space="preserve"> - C3</f>
        <v>-4</v>
      </c>
      <c r="D13" s="48">
        <f xml:space="preserve"> - D3</f>
        <v>0</v>
      </c>
      <c r="F13" t="str">
        <v>L-4 0</v>
      </c>
    </row>
    <row r="14" spans="2:6" x14ac:dyDescent="0.2">
      <c r="B14" s="5" t="s">
        <v>1023</v>
      </c>
      <c r="C14" s="48">
        <f t="shared" ref="C14:D22" si="0" xml:space="preserve"> - C4</f>
        <v>-5</v>
      </c>
      <c r="D14" s="48">
        <f t="shared" si="0"/>
        <v>-1</v>
      </c>
      <c r="F14" t="str">
        <v>L-5 -1</v>
      </c>
    </row>
    <row r="15" spans="2:6" x14ac:dyDescent="0.2">
      <c r="B15" s="5" t="s">
        <v>1023</v>
      </c>
      <c r="C15" s="48">
        <f t="shared" si="0"/>
        <v>-5</v>
      </c>
      <c r="D15" s="48">
        <f t="shared" si="0"/>
        <v>-3</v>
      </c>
      <c r="F15" t="str">
        <v>V-3</v>
      </c>
    </row>
    <row r="16" spans="2:6" x14ac:dyDescent="0.2">
      <c r="B16" s="5" t="s">
        <v>1023</v>
      </c>
      <c r="C16" s="48">
        <f t="shared" si="0"/>
        <v>-3</v>
      </c>
      <c r="D16" s="48">
        <f t="shared" si="0"/>
        <v>-5</v>
      </c>
      <c r="F16" t="str">
        <v>l2 -2</v>
      </c>
    </row>
    <row r="17" spans="2:6" x14ac:dyDescent="0.2">
      <c r="B17" s="5" t="s">
        <v>1023</v>
      </c>
      <c r="C17" s="48">
        <f t="shared" si="0"/>
        <v>-1</v>
      </c>
      <c r="D17" s="48">
        <f t="shared" si="0"/>
        <v>-5</v>
      </c>
      <c r="F17" t="str">
        <v>h2</v>
      </c>
    </row>
    <row r="18" spans="2:6" x14ac:dyDescent="0.2">
      <c r="B18" s="5" t="s">
        <v>1023</v>
      </c>
      <c r="C18" s="48">
        <f t="shared" si="0"/>
        <v>0</v>
      </c>
      <c r="D18" s="48">
        <f t="shared" si="0"/>
        <v>-4</v>
      </c>
      <c r="F18" t="str">
        <v>l1 1</v>
      </c>
    </row>
    <row r="19" spans="2:6" x14ac:dyDescent="0.2">
      <c r="B19" s="5" t="s">
        <v>1023</v>
      </c>
      <c r="C19" s="48">
        <f t="shared" si="0"/>
        <v>1</v>
      </c>
      <c r="D19" s="48">
        <f t="shared" si="0"/>
        <v>-5</v>
      </c>
      <c r="F19" t="str">
        <v>L1 -5</v>
      </c>
    </row>
    <row r="20" spans="2:6" x14ac:dyDescent="0.2">
      <c r="B20" s="5" t="s">
        <v>1023</v>
      </c>
      <c r="C20" s="48">
        <f t="shared" si="0"/>
        <v>3</v>
      </c>
      <c r="D20" s="48">
        <f t="shared" si="0"/>
        <v>-5</v>
      </c>
      <c r="F20" t="str">
        <v>H3</v>
      </c>
    </row>
    <row r="21" spans="2:6" x14ac:dyDescent="0.2">
      <c r="B21" s="5" t="s">
        <v>1023</v>
      </c>
      <c r="C21" s="48">
        <f t="shared" si="0"/>
        <v>5</v>
      </c>
      <c r="D21" s="48">
        <f t="shared" si="0"/>
        <v>-3</v>
      </c>
      <c r="F21" t="str">
        <v>l2 2</v>
      </c>
    </row>
    <row r="22" spans="2:6" x14ac:dyDescent="0.2">
      <c r="B22" s="5" t="s">
        <v>1023</v>
      </c>
      <c r="C22" s="48">
        <f t="shared" si="0"/>
        <v>5</v>
      </c>
      <c r="D22" s="48">
        <f t="shared" si="0"/>
        <v>-1</v>
      </c>
      <c r="F22" t="str">
        <v>v2Z</v>
      </c>
    </row>
    <row r="23" spans="2:6" x14ac:dyDescent="0.2">
      <c r="B23" s="5"/>
      <c r="C23" s="5"/>
      <c r="D23" s="5"/>
      <c r="F23" s="5"/>
    </row>
    <row r="24" spans="2:6" x14ac:dyDescent="0.2">
      <c r="B24" t="s">
        <v>1022</v>
      </c>
      <c r="C24" s="41">
        <v>5</v>
      </c>
      <c r="D24" s="41">
        <v>5</v>
      </c>
      <c r="E24" s="5"/>
      <c r="F24" t="str">
        <f t="array" ref="F24:F35" xml:space="preserve"> svgpath($C24:$C35, $D24:$D35, 5)</f>
        <v>M5 5</v>
      </c>
    </row>
    <row r="25" spans="2:6" x14ac:dyDescent="0.2">
      <c r="B25" t="s">
        <v>1022</v>
      </c>
      <c r="C25" s="1">
        <v>5</v>
      </c>
      <c r="D25" s="1">
        <v>3</v>
      </c>
      <c r="F25" t="str">
        <v>V3</v>
      </c>
    </row>
    <row r="26" spans="2:6" x14ac:dyDescent="0.2">
      <c r="B26" t="s">
        <v>1022</v>
      </c>
      <c r="C26" s="1">
        <v>-5</v>
      </c>
      <c r="D26" s="1">
        <v>3</v>
      </c>
      <c r="F26" t="str">
        <v>H-5</v>
      </c>
    </row>
    <row r="27" spans="2:6" x14ac:dyDescent="0.2">
      <c r="B27" t="s">
        <v>1022</v>
      </c>
      <c r="C27" s="1">
        <v>-5</v>
      </c>
      <c r="D27" s="1">
        <v>5</v>
      </c>
      <c r="F27" t="str">
        <v>V5</v>
      </c>
    </row>
    <row r="28" spans="2:6" x14ac:dyDescent="0.2">
      <c r="B28" t="s">
        <v>1022</v>
      </c>
      <c r="C28" s="1">
        <v>-3</v>
      </c>
      <c r="D28" s="1">
        <v>5</v>
      </c>
      <c r="F28" t="str">
        <v>h2</v>
      </c>
    </row>
    <row r="29" spans="2:6" x14ac:dyDescent="0.2">
      <c r="B29" t="s">
        <v>1022</v>
      </c>
      <c r="C29" s="1">
        <v>-3</v>
      </c>
      <c r="D29" s="1">
        <v>-5</v>
      </c>
      <c r="F29" t="str">
        <v>V-5</v>
      </c>
    </row>
    <row r="30" spans="2:6" x14ac:dyDescent="0.2">
      <c r="B30" t="s">
        <v>1022</v>
      </c>
      <c r="C30" s="1">
        <v>-5</v>
      </c>
      <c r="D30" s="1">
        <v>-5</v>
      </c>
      <c r="F30" t="str">
        <v>H-5</v>
      </c>
    </row>
    <row r="31" spans="2:6" x14ac:dyDescent="0.2">
      <c r="B31" t="s">
        <v>1022</v>
      </c>
      <c r="C31">
        <v>-5</v>
      </c>
      <c r="D31" s="1">
        <v>-3</v>
      </c>
      <c r="F31" t="str">
        <v>v2</v>
      </c>
    </row>
    <row r="32" spans="2:6" x14ac:dyDescent="0.2">
      <c r="B32" t="s">
        <v>1022</v>
      </c>
      <c r="C32">
        <v>5</v>
      </c>
      <c r="D32">
        <v>-3</v>
      </c>
      <c r="F32" t="str">
        <v>H5</v>
      </c>
    </row>
    <row r="33" spans="2:6" x14ac:dyDescent="0.2">
      <c r="B33" t="s">
        <v>1022</v>
      </c>
      <c r="C33">
        <v>5</v>
      </c>
      <c r="D33">
        <v>-5</v>
      </c>
      <c r="F33" t="str">
        <v>V-5</v>
      </c>
    </row>
    <row r="34" spans="2:6" x14ac:dyDescent="0.2">
      <c r="B34" t="s">
        <v>1022</v>
      </c>
      <c r="C34">
        <v>3</v>
      </c>
      <c r="D34">
        <v>-5</v>
      </c>
      <c r="F34" t="str">
        <v>H3</v>
      </c>
    </row>
    <row r="35" spans="2:6" x14ac:dyDescent="0.2">
      <c r="B35" t="s">
        <v>1022</v>
      </c>
      <c r="C35">
        <v>3</v>
      </c>
      <c r="D35">
        <v>5</v>
      </c>
      <c r="F35" t="str">
        <v>V5Z</v>
      </c>
    </row>
    <row r="37" spans="2:6" x14ac:dyDescent="0.2">
      <c r="B37" t="s">
        <v>1022</v>
      </c>
      <c r="C37">
        <v>5</v>
      </c>
      <c r="D37">
        <v>1</v>
      </c>
      <c r="F37" t="str">
        <f t="array" ref="F37:F40" xml:space="preserve"> svgpath($C37:$C40, $D37:$D40, 5)</f>
        <v>M5 1</v>
      </c>
    </row>
    <row r="38" spans="2:6" x14ac:dyDescent="0.2">
      <c r="B38" t="s">
        <v>1022</v>
      </c>
      <c r="C38">
        <v>5</v>
      </c>
      <c r="D38">
        <v>-1</v>
      </c>
      <c r="F38" t="str">
        <v>V-1</v>
      </c>
    </row>
    <row r="39" spans="2:6" x14ac:dyDescent="0.2">
      <c r="B39" t="s">
        <v>1022</v>
      </c>
      <c r="C39">
        <v>-5</v>
      </c>
      <c r="D39">
        <v>-1</v>
      </c>
      <c r="F39" t="str">
        <v>H-5</v>
      </c>
    </row>
    <row r="40" spans="2:6" x14ac:dyDescent="0.2">
      <c r="B40" t="s">
        <v>1022</v>
      </c>
      <c r="C40">
        <v>-5</v>
      </c>
      <c r="D40">
        <v>1</v>
      </c>
      <c r="F40" t="str">
        <v>V1Z</v>
      </c>
    </row>
    <row r="42" spans="2:6" x14ac:dyDescent="0.2">
      <c r="B42" t="s">
        <v>1022</v>
      </c>
      <c r="C42">
        <v>-1</v>
      </c>
      <c r="D42">
        <v>5</v>
      </c>
      <c r="F42" t="str">
        <f t="array" ref="F42:F45" xml:space="preserve"> svgpath($C42:$C45, $D42:$D45, 5)</f>
        <v>M-1 5</v>
      </c>
    </row>
    <row r="43" spans="2:6" x14ac:dyDescent="0.2">
      <c r="B43" t="s">
        <v>1022</v>
      </c>
      <c r="C43">
        <v>1</v>
      </c>
      <c r="D43">
        <v>5</v>
      </c>
      <c r="F43" t="str">
        <v>H1</v>
      </c>
    </row>
    <row r="44" spans="2:6" x14ac:dyDescent="0.2">
      <c r="B44" t="s">
        <v>1022</v>
      </c>
      <c r="C44">
        <v>1</v>
      </c>
      <c r="D44">
        <v>-5</v>
      </c>
      <c r="F44" t="str">
        <v>V-5</v>
      </c>
    </row>
    <row r="45" spans="2:6" x14ac:dyDescent="0.2">
      <c r="B45" t="s">
        <v>1022</v>
      </c>
      <c r="C45">
        <v>-1</v>
      </c>
      <c r="D45">
        <v>-5</v>
      </c>
      <c r="F45" t="str">
        <v>H-1Z</v>
      </c>
    </row>
    <row r="48" spans="2:6" x14ac:dyDescent="0.2">
      <c r="E48" s="4" t="s">
        <v>554</v>
      </c>
      <c r="F48">
        <f xml:space="preserve"> MIN(BOB.RawX)</f>
        <v>-5</v>
      </c>
    </row>
    <row r="49" spans="3:7" x14ac:dyDescent="0.2">
      <c r="E49" s="4" t="s">
        <v>555</v>
      </c>
      <c r="F49">
        <f xml:space="preserve"> MAX(BOB.RawX)</f>
        <v>5</v>
      </c>
    </row>
    <row r="50" spans="3:7" x14ac:dyDescent="0.2">
      <c r="E50" s="4" t="s">
        <v>556</v>
      </c>
      <c r="F50">
        <f xml:space="preserve"> MIN(BOB.RawY)</f>
        <v>-5</v>
      </c>
    </row>
    <row r="51" spans="3:7" x14ac:dyDescent="0.2">
      <c r="E51" s="4" t="s">
        <v>557</v>
      </c>
      <c r="F51">
        <f xml:space="preserve"> MAX(BOB.RawY)</f>
        <v>5</v>
      </c>
    </row>
    <row r="53" spans="3:7" x14ac:dyDescent="0.2">
      <c r="E53" s="4" t="s">
        <v>548</v>
      </c>
      <c r="F53" s="28">
        <f xml:space="preserve"> MODE(Squares.AreaMultiplier)</f>
        <v>0.85</v>
      </c>
    </row>
    <row r="54" spans="3:7" x14ac:dyDescent="0.2">
      <c r="E54" s="4" t="s">
        <v>549</v>
      </c>
      <c r="F54">
        <f xml:space="preserve">  MAX(BOB.MaxY, - BOB.MinY)   /   MAX(BOB.MaxX, - BOB.MinX)</f>
        <v>1</v>
      </c>
      <c r="G54" s="6"/>
    </row>
    <row r="55" spans="3:7" x14ac:dyDescent="0.2">
      <c r="E55" s="4" t="s">
        <v>550</v>
      </c>
      <c r="F55">
        <f xml:space="preserve"> VALUE(TEXT(SQRT(BOB.AreaMultiplier * BasicBBoxArea * BOB.Aspect), SVG.NumberFormatHeight))</f>
        <v>9.1999999999999993</v>
      </c>
    </row>
    <row r="56" spans="3:7" x14ac:dyDescent="0.2">
      <c r="E56" s="4" t="s">
        <v>551</v>
      </c>
      <c r="F56" cm="1">
        <f t="array" ref="F56" xml:space="preserve"> BOB.Height / BOB.Aspect</f>
        <v>9.1999999999999993</v>
      </c>
      <c r="G56" s="5"/>
    </row>
    <row r="57" spans="3:7" x14ac:dyDescent="0.2">
      <c r="E57" s="4"/>
      <c r="F57" s="6"/>
      <c r="G57" s="5"/>
    </row>
    <row r="58" spans="3:7" x14ac:dyDescent="0.2">
      <c r="E58" s="4" t="s">
        <v>552</v>
      </c>
      <c r="F58" s="6" t="str">
        <f>"fill='#FFF'"</f>
        <v>fill='#FFF'</v>
      </c>
      <c r="G58" s="5"/>
    </row>
    <row r="59" spans="3:7" x14ac:dyDescent="0.2">
      <c r="E59" s="4" t="s">
        <v>553</v>
      </c>
      <c r="F59" s="6" t="s">
        <v>726</v>
      </c>
      <c r="G59" s="5"/>
    </row>
    <row r="60" spans="3:7" x14ac:dyDescent="0.2">
      <c r="E60" s="5"/>
      <c r="G60" s="5"/>
    </row>
    <row r="61" spans="3:7" ht="17" thickBot="1" x14ac:dyDescent="0.25">
      <c r="E61" s="5"/>
      <c r="F61" s="3" t="s">
        <v>558</v>
      </c>
      <c r="G61" s="5"/>
    </row>
    <row r="62" spans="3:7" x14ac:dyDescent="0.2">
      <c r="C62" cm="1">
        <f t="array" ref="C62" xml:space="preserve"> SVG_length(BOB.svg)</f>
        <v>278</v>
      </c>
      <c r="E62" s="5"/>
      <c r="F62" s="18"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x14ac:dyDescent="0.2">
      <c r="E63" s="6"/>
      <c r="F63" s="6"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x14ac:dyDescent="0.2">
      <c r="E64" s="5"/>
      <c r="F64" s="6"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5:6" x14ac:dyDescent="0.2">
      <c r="E65" s="5"/>
      <c r="F65" s="6" t="s">
        <v>15</v>
      </c>
    </row>
    <row r="66" spans="5:6" x14ac:dyDescent="0.2">
      <c r="E66" s="5"/>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4"/>
  <sheetViews>
    <sheetView topLeftCell="B1" workbookViewId="0">
      <selection activeCell="B2" sqref="B2"/>
    </sheetView>
  </sheetViews>
  <sheetFormatPr baseColWidth="10" defaultRowHeight="16" x14ac:dyDescent="0.2"/>
  <sheetData>
    <row r="2" spans="2:6" x14ac:dyDescent="0.2">
      <c r="E2" s="4" t="s">
        <v>582</v>
      </c>
      <c r="F2">
        <f xml:space="preserve"> DecimalPlaces - INT(LOG(MIN(  MAX(FR.RawX) - MIN(FR.RawX),  MAX(FR.RawY) - MIN(FR.RawY)  )/2, 10) + 0.2)</f>
        <v>5</v>
      </c>
    </row>
    <row r="3" spans="2:6" x14ac:dyDescent="0.2">
      <c r="E3" s="5"/>
    </row>
    <row r="4" spans="2:6" ht="17" thickBot="1" x14ac:dyDescent="0.25">
      <c r="B4" s="3" t="s">
        <v>583</v>
      </c>
      <c r="C4" s="3" t="s">
        <v>584</v>
      </c>
      <c r="D4" s="3" t="s">
        <v>585</v>
      </c>
      <c r="F4" s="3" t="s">
        <v>1745</v>
      </c>
    </row>
    <row r="5" spans="2:6" x14ac:dyDescent="0.2">
      <c r="B5" t="s">
        <v>23</v>
      </c>
      <c r="C5">
        <v>0</v>
      </c>
      <c r="D5">
        <v>4</v>
      </c>
      <c r="F5" t="str">
        <f t="array" ref="F5:F10" xml:space="preserve"> svgpath(FR.RawX, FR.RawY, FR.DecimalPlaces)</f>
        <v>M0 4</v>
      </c>
    </row>
    <row r="6" spans="2:6" x14ac:dyDescent="0.2">
      <c r="B6" t="s">
        <v>23</v>
      </c>
      <c r="C6" cm="1">
        <f t="array" ref="C6" xml:space="preserve"> Sqrt3 * $D$5/2</f>
        <v>3.4641016151377544</v>
      </c>
      <c r="D6">
        <f xml:space="preserve"> D$5 / 2</f>
        <v>2</v>
      </c>
      <c r="F6" t="str">
        <v>L3.4641 2</v>
      </c>
    </row>
    <row r="7" spans="2:6" x14ac:dyDescent="0.2">
      <c r="B7" t="s">
        <v>23</v>
      </c>
      <c r="C7" cm="1">
        <f t="array" ref="C7" xml:space="preserve"> Sqrt3 * $D$5/2</f>
        <v>3.4641016151377544</v>
      </c>
      <c r="D7">
        <f xml:space="preserve"> D$5 / -2</f>
        <v>-2</v>
      </c>
      <c r="F7" t="str">
        <v>V-2</v>
      </c>
    </row>
    <row r="8" spans="2:6" x14ac:dyDescent="0.2">
      <c r="B8" t="s">
        <v>23</v>
      </c>
      <c r="C8">
        <v>0</v>
      </c>
      <c r="D8">
        <f xml:space="preserve"> - D$5</f>
        <v>-4</v>
      </c>
      <c r="F8" t="str">
        <v>L0 -4</v>
      </c>
    </row>
    <row r="9" spans="2:6" x14ac:dyDescent="0.2">
      <c r="B9" t="s">
        <v>23</v>
      </c>
      <c r="C9" cm="1">
        <f t="array" ref="C9" xml:space="preserve"> Sqrt3 * $D$5/ -2</f>
        <v>-3.4641016151377544</v>
      </c>
      <c r="D9">
        <f xml:space="preserve"> D$5 / -2</f>
        <v>-2</v>
      </c>
      <c r="F9" t="str">
        <v>l-3.4641 2</v>
      </c>
    </row>
    <row r="10" spans="2:6" x14ac:dyDescent="0.2">
      <c r="B10" t="s">
        <v>23</v>
      </c>
      <c r="C10" cm="1">
        <f t="array" ref="C10" xml:space="preserve"> Sqrt3 * $D$5/ -2</f>
        <v>-3.4641016151377544</v>
      </c>
      <c r="D10">
        <f xml:space="preserve"> D$5 / 2</f>
        <v>2</v>
      </c>
      <c r="F10" t="str">
        <v>V2Z</v>
      </c>
    </row>
    <row r="13" spans="2:6" x14ac:dyDescent="0.2">
      <c r="E13" s="4" t="s">
        <v>593</v>
      </c>
      <c r="F13">
        <f xml:space="preserve"> ROUND( MIN(FR.RawX), FR.DecimalPlaces)</f>
        <v>-3.4641000000000002</v>
      </c>
    </row>
    <row r="14" spans="2:6" x14ac:dyDescent="0.2">
      <c r="E14" s="4" t="s">
        <v>594</v>
      </c>
      <c r="F14">
        <f xml:space="preserve"> ROUND(MAX(FR.RawX), FR.DecimalPlaces)</f>
        <v>3.4641000000000002</v>
      </c>
    </row>
    <row r="15" spans="2:6" x14ac:dyDescent="0.2">
      <c r="E15" s="4" t="s">
        <v>595</v>
      </c>
      <c r="F15">
        <f xml:space="preserve"> ROUND( MIN(FR.RawY), FR.DecimalPlaces)</f>
        <v>-4</v>
      </c>
    </row>
    <row r="16" spans="2:6" x14ac:dyDescent="0.2">
      <c r="E16" s="4" t="s">
        <v>596</v>
      </c>
      <c r="F16">
        <f xml:space="preserve"> ROUND(MAX(FR.RawY), FR.DecimalPlaces)</f>
        <v>4</v>
      </c>
    </row>
    <row r="18" spans="2:8" x14ac:dyDescent="0.2">
      <c r="E18" s="4" t="s">
        <v>586</v>
      </c>
      <c r="F18" s="28">
        <f xml:space="preserve"> 17 / 16</f>
        <v>1.0625</v>
      </c>
    </row>
    <row r="19" spans="2:8" x14ac:dyDescent="0.2">
      <c r="E19" s="4" t="s">
        <v>587</v>
      </c>
      <c r="F19">
        <f xml:space="preserve">  MAX(FR.MaxY, - FR.MinY)   /   MAX(FR.MaxX, - FR.MinX)</f>
        <v>1.154701076758754</v>
      </c>
    </row>
    <row r="20" spans="2:8" x14ac:dyDescent="0.2">
      <c r="E20" s="4" t="s">
        <v>588</v>
      </c>
      <c r="F20">
        <f xml:space="preserve"> VALUE(TEXT(SQRT(FR.AreaMultiplier * BasicBBoxArea * FR.Aspect), SVG.NumberFormatHeight))</f>
        <v>11.1</v>
      </c>
    </row>
    <row r="21" spans="2:8" x14ac:dyDescent="0.2">
      <c r="E21" s="4" t="s">
        <v>589</v>
      </c>
      <c r="F21" cm="1">
        <f t="array" ref="F21" xml:space="preserve"> FR.Height / FR.Aspect</f>
        <v>9.6128774999999997</v>
      </c>
    </row>
    <row r="22" spans="2:8" x14ac:dyDescent="0.2">
      <c r="G22" s="5"/>
    </row>
    <row r="23" spans="2:8" x14ac:dyDescent="0.2">
      <c r="E23" s="4" t="s">
        <v>590</v>
      </c>
      <c r="F23" t="s">
        <v>778</v>
      </c>
      <c r="G23" s="5"/>
    </row>
    <row r="24" spans="2:8" x14ac:dyDescent="0.2">
      <c r="E24" s="4" t="s">
        <v>591</v>
      </c>
      <c r="F24" t="s">
        <v>2091</v>
      </c>
      <c r="G24" s="5"/>
    </row>
    <row r="25" spans="2:8" x14ac:dyDescent="0.2">
      <c r="E25" s="4" t="s">
        <v>592</v>
      </c>
      <c r="F25" t="s">
        <v>779</v>
      </c>
      <c r="G25" s="5"/>
    </row>
    <row r="26" spans="2:8" x14ac:dyDescent="0.2">
      <c r="E26" s="5"/>
      <c r="G26" s="5"/>
    </row>
    <row r="27" spans="2:8" ht="17" thickBot="1" x14ac:dyDescent="0.25">
      <c r="E27" s="5"/>
      <c r="F27" s="3" t="s">
        <v>597</v>
      </c>
      <c r="G27" s="5"/>
      <c r="H27" s="3" t="s">
        <v>2273</v>
      </c>
    </row>
    <row r="28" spans="2:8" x14ac:dyDescent="0.2">
      <c r="B28" cm="1">
        <f t="array" ref="B28" xml:space="preserve"> SVG_length(FR.svg)</f>
        <v>334</v>
      </c>
      <c r="E28" s="5"/>
      <c r="F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x14ac:dyDescent="0.2">
      <c r="E29" s="5"/>
      <c r="F29" s="6" t="str" cm="1">
        <f t="array" ref="F29" xml:space="preserve"> "&lt;defs&gt;&lt;path id='FR-h' d='" &amp; _xlfn.TEXTJOIN(" ", TRUE, IF("Outer"=FR.Part,FR.svgWorking,"")) &amp; "Z'/&gt;&lt;/defs&gt;"</f>
        <v>&lt;defs&gt;&lt;path id='FR-h' d='M0 4 L3.4641 2 V-2 L0 -4 l-3.4641 2 V2ZZ'/&gt;&lt;/defs&gt;</v>
      </c>
      <c r="H29" s="6" t="str" cm="1">
        <f t="array" ref="H29" xml:space="preserve"> "&lt;defs&gt;&lt;path id='FR-h' d='" &amp; _xlfn.TEXTJOIN(" ", TRUE, IF("Outer"=FR.Part,FR.svgWorking,"")) &amp; "Z'/&gt;&lt;/defs&gt;"</f>
        <v>&lt;defs&gt;&lt;path id='FR-h' d='M0 4 L3.4641 2 V-2 L0 -4 l-3.4641 2 V2ZZ'/&gt;&lt;/defs&gt;</v>
      </c>
    </row>
    <row r="30" spans="2:8" x14ac:dyDescent="0.2">
      <c r="E30" s="5"/>
      <c r="F30" s="6" t="str">
        <f xml:space="preserve"> "&lt;use href='#FR-h' " &amp; IF(LEN(_xlfn.SINGLE(FR.SVG_painting_Outer))&gt;0, TRIM(_xlfn.SINGLE(FR.SVG_painting_Outer)), "") &amp; "/&gt;"</f>
        <v>&lt;use href='#FR-h' fill='#0055A4'/&gt;</v>
      </c>
      <c r="H30" s="6" t="str">
        <f xml:space="preserve"> "&lt;use href='#FR-h' " &amp; IF(LEN(_xlfn.SINGLE(FR.SVG_painting_Outer))&gt;0, TRIM(_xlfn.SINGLE(FR.SVG_painting_Outer)), "") &amp; "/&gt;"</f>
        <v>&lt;use href='#FR-h' fill='#0055A4'/&gt;</v>
      </c>
    </row>
    <row r="31" spans="2:8" x14ac:dyDescent="0.2">
      <c r="E31" s="6"/>
      <c r="F31" s="6" t="str">
        <f xml:space="preserve"> "&lt;use href='#FR-h' " &amp; IF(LEN(_xlfn.SINGLE(FR.SVG_painting_Middle))&gt;0, TRIM(_xlfn.SINGLE(FR.SVG_painting_Middle)), "") &amp; " transform='scale(" &amp; ROUND(Thirds_M/Thirds_O,2) &amp; ")'/&gt;"</f>
        <v>&lt;use href='#FR-h' fill='#FFF' transform='scale(0.7)'/&gt;</v>
      </c>
      <c r="H31" s="6" t="str">
        <f xml:space="preserve"> "&lt;use href='#FR-h' " &amp; IF(LEN(_xlfn.SINGLE(FR.SVG_painting_Inner))&gt;0, TRIM(_xlfn.SINGLE(FR.SVG_painting_Inner)), "") &amp; " transform='scale(" &amp; ROUND(Thirds_M/Thirds_O,2) &amp; ")'/&gt;"</f>
        <v>&lt;use href='#FR-h' fill='#EF4135' transform='scale(0.7)'/&gt;</v>
      </c>
    </row>
    <row r="32" spans="2:8" x14ac:dyDescent="0.2">
      <c r="E32" s="5"/>
      <c r="F32" s="6" t="str">
        <f xml:space="preserve"> "&lt;use href='#FR-h' " &amp; IF(LEN(_xlfn.SINGLE(FR.SVG_painting_Inner))&gt;0, TRIM(_xlfn.SINGLE(FR.SVG_painting_Inner)), "") &amp; " transform='scale(" &amp; ROUND(Thirds_I/Thirds_O,2) &amp; ")'/&gt;"</f>
        <v>&lt;use href='#FR-h' fill='#EF4135' transform='scale(0.37)'/&gt;</v>
      </c>
      <c r="H32" s="6" t="str">
        <f xml:space="preserve"> "&lt;use href='#FR-h' " &amp; "fill='#000'"&amp; " transform='scale(" &amp; ROUND(Thirds_I/Thirds_O,2) &amp; ")'/&gt;"</f>
        <v>&lt;use href='#FR-h' fill='#000' transform='scale(0.37)'/&gt;</v>
      </c>
    </row>
    <row r="33" spans="5:8" x14ac:dyDescent="0.2">
      <c r="E33" s="5"/>
      <c r="F33" s="6" t="s">
        <v>15</v>
      </c>
      <c r="H33" s="6" t="s">
        <v>15</v>
      </c>
    </row>
    <row r="34" spans="5:8" x14ac:dyDescent="0.2">
      <c r="E34" s="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2"/>
  <sheetViews>
    <sheetView topLeftCell="B1" workbookViewId="0">
      <selection activeCell="B2" sqref="B2"/>
    </sheetView>
  </sheetViews>
  <sheetFormatPr baseColWidth="10" defaultRowHeight="16" x14ac:dyDescent="0.2"/>
  <sheetData>
    <row r="2" spans="2:16" ht="17" thickBot="1" x14ac:dyDescent="0.25">
      <c r="C2" s="2" t="s">
        <v>1718</v>
      </c>
      <c r="D2" s="2" t="s">
        <v>1719</v>
      </c>
      <c r="F2" s="3" t="s">
        <v>1720</v>
      </c>
    </row>
    <row r="3" spans="2:16" x14ac:dyDescent="0.2">
      <c r="C3" t="b">
        <v>1</v>
      </c>
      <c r="D3" t="b" cm="1">
        <f t="array" ref="D3" xml:space="preserve"> NL.ReflectX</f>
        <v>1</v>
      </c>
      <c r="F3">
        <f xml:space="preserve"> DecimalPlaces - INT(LOG(MIN(  MAX(NL.RawX) - MIN(NL.RawX),  MAX(NL.RawY) - MIN(NL.RawY)  )/2, 10) + 0.2)</f>
        <v>4</v>
      </c>
    </row>
    <row r="4" spans="2:16" x14ac:dyDescent="0.2">
      <c r="E4" s="5"/>
    </row>
    <row r="5" spans="2:16" ht="17" thickBot="1" x14ac:dyDescent="0.25">
      <c r="B5" s="3" t="s">
        <v>1721</v>
      </c>
      <c r="C5" s="3" t="s">
        <v>1722</v>
      </c>
      <c r="D5" s="3" t="s">
        <v>1723</v>
      </c>
      <c r="F5" s="3" t="s">
        <v>1744</v>
      </c>
      <c r="K5" s="3" t="s">
        <v>1724</v>
      </c>
      <c r="L5" s="3" t="s">
        <v>1725</v>
      </c>
      <c r="M5" s="3" t="s">
        <v>1726</v>
      </c>
      <c r="N5" s="3" t="s">
        <v>1727</v>
      </c>
      <c r="O5" s="3" t="s">
        <v>1728</v>
      </c>
      <c r="P5" s="3" t="s">
        <v>1729</v>
      </c>
    </row>
    <row r="6" spans="2:16" x14ac:dyDescent="0.2">
      <c r="B6" t="s">
        <v>24</v>
      </c>
      <c r="C6">
        <v>0</v>
      </c>
      <c r="D6">
        <v>0</v>
      </c>
    </row>
    <row r="7" spans="2:16" x14ac:dyDescent="0.2">
      <c r="B7" t="s">
        <v>24</v>
      </c>
      <c r="C7">
        <v>9</v>
      </c>
      <c r="D7">
        <v>2</v>
      </c>
    </row>
    <row r="8" spans="2:16" x14ac:dyDescent="0.2">
      <c r="B8" t="s">
        <v>24</v>
      </c>
      <c r="C8">
        <v>9</v>
      </c>
      <c r="D8">
        <v>6</v>
      </c>
    </row>
    <row r="9" spans="2:16" x14ac:dyDescent="0.2">
      <c r="B9" t="s">
        <v>24</v>
      </c>
      <c r="C9">
        <v>3</v>
      </c>
      <c r="D9">
        <v>6</v>
      </c>
    </row>
    <row r="10" spans="2:16" x14ac:dyDescent="0.2">
      <c r="B10" t="s">
        <v>24</v>
      </c>
      <c r="C10">
        <v>0</v>
      </c>
      <c r="D10">
        <v>0</v>
      </c>
    </row>
    <row r="11" spans="2:16" x14ac:dyDescent="0.2">
      <c r="B11" t="s">
        <v>24</v>
      </c>
      <c r="C11">
        <v>-3</v>
      </c>
      <c r="D11">
        <v>6</v>
      </c>
    </row>
    <row r="12" spans="2:16" x14ac:dyDescent="0.2">
      <c r="B12" t="s">
        <v>24</v>
      </c>
      <c r="C12">
        <v>-9</v>
      </c>
      <c r="D12">
        <v>6</v>
      </c>
    </row>
    <row r="13" spans="2:16" x14ac:dyDescent="0.2">
      <c r="B13" t="s">
        <v>24</v>
      </c>
      <c r="C13">
        <v>-9</v>
      </c>
      <c r="D13">
        <v>2</v>
      </c>
    </row>
    <row r="14" spans="2:16" x14ac:dyDescent="0.2">
      <c r="B14" t="s">
        <v>24</v>
      </c>
      <c r="C14">
        <f xml:space="preserve"> - C6</f>
        <v>0</v>
      </c>
      <c r="D14">
        <f xml:space="preserve"> - D6</f>
        <v>0</v>
      </c>
    </row>
    <row r="15" spans="2:16" x14ac:dyDescent="0.2">
      <c r="B15" t="s">
        <v>24</v>
      </c>
      <c r="C15">
        <f t="shared" ref="C15:D15" si="0" xml:space="preserve"> - C7</f>
        <v>-9</v>
      </c>
      <c r="D15">
        <f t="shared" si="0"/>
        <v>-2</v>
      </c>
    </row>
    <row r="16" spans="2:16" x14ac:dyDescent="0.2">
      <c r="B16" t="s">
        <v>24</v>
      </c>
      <c r="C16">
        <f t="shared" ref="C16:D16" si="1" xml:space="preserve"> - C8</f>
        <v>-9</v>
      </c>
      <c r="D16">
        <f t="shared" si="1"/>
        <v>-6</v>
      </c>
    </row>
    <row r="17" spans="2:16" x14ac:dyDescent="0.2">
      <c r="B17" t="s">
        <v>24</v>
      </c>
      <c r="C17">
        <f t="shared" ref="C17:D17" si="2" xml:space="preserve"> - C9</f>
        <v>-3</v>
      </c>
      <c r="D17">
        <f t="shared" si="2"/>
        <v>-6</v>
      </c>
    </row>
    <row r="18" spans="2:16" x14ac:dyDescent="0.2">
      <c r="B18" t="s">
        <v>24</v>
      </c>
      <c r="C18">
        <f t="shared" ref="C18:D18" si="3" xml:space="preserve"> - C10</f>
        <v>0</v>
      </c>
      <c r="D18">
        <f t="shared" si="3"/>
        <v>0</v>
      </c>
    </row>
    <row r="19" spans="2:16" x14ac:dyDescent="0.2">
      <c r="B19" t="s">
        <v>24</v>
      </c>
      <c r="C19">
        <f t="shared" ref="C19:D19" si="4" xml:space="preserve"> - C11</f>
        <v>3</v>
      </c>
      <c r="D19">
        <f t="shared" si="4"/>
        <v>-6</v>
      </c>
    </row>
    <row r="20" spans="2:16" x14ac:dyDescent="0.2">
      <c r="B20" t="s">
        <v>24</v>
      </c>
      <c r="C20">
        <f t="shared" ref="C20:D20" si="5" xml:space="preserve"> - C12</f>
        <v>9</v>
      </c>
      <c r="D20">
        <f t="shared" si="5"/>
        <v>-6</v>
      </c>
    </row>
    <row r="21" spans="2:16" x14ac:dyDescent="0.2">
      <c r="B21" t="s">
        <v>24</v>
      </c>
      <c r="C21">
        <f t="shared" ref="C21:D21" si="6" xml:space="preserve"> - C13</f>
        <v>9</v>
      </c>
      <c r="D21">
        <f t="shared" si="6"/>
        <v>-2</v>
      </c>
    </row>
    <row r="23" spans="2:16" x14ac:dyDescent="0.2">
      <c r="H23" s="4" t="s">
        <v>1730</v>
      </c>
      <c r="I23">
        <v>-1</v>
      </c>
    </row>
    <row r="24" spans="2:16" x14ac:dyDescent="0.2">
      <c r="H24" s="4" t="s">
        <v>1731</v>
      </c>
      <c r="I24">
        <f xml:space="preserve"> COUNTIFS(NL.Part, "Inner")</f>
        <v>16</v>
      </c>
    </row>
    <row r="26" spans="2:16" x14ac:dyDescent="0.2">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x14ac:dyDescent="0.2">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x14ac:dyDescent="0.2">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x14ac:dyDescent="0.2">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x14ac:dyDescent="0.2">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x14ac:dyDescent="0.2">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x14ac:dyDescent="0.2">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x14ac:dyDescent="0.2">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x14ac:dyDescent="0.2">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x14ac:dyDescent="0.2">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x14ac:dyDescent="0.2">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x14ac:dyDescent="0.2">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x14ac:dyDescent="0.2">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x14ac:dyDescent="0.2">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x14ac:dyDescent="0.2">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x14ac:dyDescent="0.2">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x14ac:dyDescent="0.2">
      <c r="E43" s="4" t="s">
        <v>1732</v>
      </c>
      <c r="F43">
        <f xml:space="preserve"> ROUND( MIN(NL.RawX), NL.DecimalPlaces)</f>
        <v>-10</v>
      </c>
    </row>
    <row r="44" spans="2:16" x14ac:dyDescent="0.2">
      <c r="E44" s="4" t="s">
        <v>1733</v>
      </c>
      <c r="F44">
        <f xml:space="preserve"> ROUND(MAX(NL.RawX), NL.DecimalPlaces)</f>
        <v>10</v>
      </c>
    </row>
    <row r="45" spans="2:16" x14ac:dyDescent="0.2">
      <c r="E45" s="4" t="s">
        <v>1734</v>
      </c>
      <c r="F45">
        <f xml:space="preserve"> ROUND( MIN(NL.RawY), NL.DecimalPlaces)</f>
        <v>-7</v>
      </c>
    </row>
    <row r="46" spans="2:16" x14ac:dyDescent="0.2">
      <c r="E46" s="4" t="s">
        <v>1735</v>
      </c>
      <c r="F46">
        <f xml:space="preserve"> ROUND(MAX(NL.RawY), NL.DecimalPlaces)</f>
        <v>7</v>
      </c>
    </row>
    <row r="48" spans="2:16" x14ac:dyDescent="0.2">
      <c r="E48" s="4" t="s">
        <v>1736</v>
      </c>
      <c r="F48" s="28">
        <v>0.875</v>
      </c>
    </row>
    <row r="49" spans="4:7" x14ac:dyDescent="0.2">
      <c r="E49" s="4" t="s">
        <v>1737</v>
      </c>
      <c r="F49" cm="1">
        <f t="array" ref="F49" xml:space="preserve">  MAX(NL.MaxY, - NL.MinY)   /   MAX(NL.MaxX, - NL.MinX)</f>
        <v>0.7</v>
      </c>
    </row>
    <row r="50" spans="4:7" x14ac:dyDescent="0.2">
      <c r="E50" s="4" t="s">
        <v>1738</v>
      </c>
      <c r="F50" cm="1">
        <f t="array" ref="F50" xml:space="preserve"> VALUE(TEXT(SQRT(NL.AreaMultiplier* BasicBBoxArea * NL.Aspect), SVG.NumberFormatHeight))</f>
        <v>7.8</v>
      </c>
    </row>
    <row r="51" spans="4:7" x14ac:dyDescent="0.2">
      <c r="E51" s="4" t="s">
        <v>1739</v>
      </c>
      <c r="F51" cm="1">
        <f t="array" ref="F51" xml:space="preserve"> NL.Height / NL.Aspect</f>
        <v>11.142857142857144</v>
      </c>
    </row>
    <row r="53" spans="4:7" x14ac:dyDescent="0.2">
      <c r="E53" s="4" t="s">
        <v>1740</v>
      </c>
      <c r="F53" t="s">
        <v>721</v>
      </c>
    </row>
    <row r="54" spans="4:7" x14ac:dyDescent="0.2">
      <c r="E54" s="4" t="s">
        <v>1741</v>
      </c>
      <c r="F54" t="s">
        <v>1743</v>
      </c>
    </row>
    <row r="55" spans="4:7" x14ac:dyDescent="0.2">
      <c r="E55" s="4" t="s">
        <v>2287</v>
      </c>
      <c r="F55" t="s">
        <v>2289</v>
      </c>
    </row>
    <row r="56" spans="4:7" x14ac:dyDescent="0.2">
      <c r="E56" s="5"/>
      <c r="F56" s="5"/>
    </row>
    <row r="57" spans="4:7" ht="17" thickBot="1" x14ac:dyDescent="0.25">
      <c r="E57" s="5"/>
      <c r="F57" s="3" t="s">
        <v>1742</v>
      </c>
      <c r="G57" s="3" t="s">
        <v>2288</v>
      </c>
    </row>
    <row r="58" spans="4:7" x14ac:dyDescent="0.2">
      <c r="D58" cm="1">
        <f t="array" ref="D58" xml:space="preserve"> SVG_length(NL.svg)</f>
        <v>326</v>
      </c>
      <c r="E58" s="5"/>
      <c r="F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x14ac:dyDescent="0.2">
      <c r="E59" s="5"/>
      <c r="F59" s="6"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6"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x14ac:dyDescent="0.2">
      <c r="E60" s="5"/>
      <c r="F60" s="65" t="str">
        <f xml:space="preserve"> "&lt;path " &amp; IF(LEN(_xlfn.SINGLE(NL.SVG_painting_Inner))&gt;0, TRIM(_xlfn.SINGLE(NL.SVG_painting_Inner))&amp;" ", "") &amp; "d='M9 2v4H3L-3 -6h-6v4Z M-9 2v4H-3L3 -6h6v4Z'/&gt;"</f>
        <v>&lt;path fill='#FA9B1E' d='M9 2v4H3L-3 -6h-6v4Z M-9 2v4H-3L3 -6h6v4Z'/&gt;</v>
      </c>
      <c r="G60" s="65" t="str">
        <f xml:space="preserve"> "&lt;path " &amp; IF(LEN(_xlfn.SINGLE(NL.SVG_painting_Inner))&gt;0, TRIM(_xlfn.SINGLE(NL.SVG_painting_Inner))&amp;" ", "") &amp; "d='M9 2v4H3L-3 -6h-6v4Z M-9 2v4H-3L3 -6h6v4Z'/&gt;"</f>
        <v>&lt;path fill='#FA9B1E' d='M9 2v4H3L-3 -6h-6v4Z M-9 2v4H-3L3 -6h6v4Z'/&gt;</v>
      </c>
    </row>
    <row r="61" spans="4:7" x14ac:dyDescent="0.2">
      <c r="E61" s="5"/>
      <c r="F61" s="6" t="s">
        <v>15</v>
      </c>
      <c r="G61" s="6" t="s">
        <v>15</v>
      </c>
    </row>
    <row r="62" spans="4:7" x14ac:dyDescent="0.2">
      <c r="E62" s="5"/>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topLeftCell="B1" workbookViewId="0">
      <selection activeCell="B2" sqref="B2"/>
    </sheetView>
  </sheetViews>
  <sheetFormatPr baseColWidth="10" defaultRowHeight="16" x14ac:dyDescent="0.2"/>
  <cols>
    <col min="6" max="6" width="10.83203125" style="36"/>
  </cols>
  <sheetData>
    <row r="2" spans="2:6" x14ac:dyDescent="0.2">
      <c r="B2" s="4" t="s">
        <v>649</v>
      </c>
      <c r="C2" cm="1">
        <f t="array" ref="C2" xml:space="preserve"> DecimalPlaces - INT(LOG(MIN(  2*BE.RadiusOuter  )/2, 10) + 0.2)</f>
        <v>4</v>
      </c>
    </row>
    <row r="4" spans="2:6" x14ac:dyDescent="0.2">
      <c r="B4" s="4" t="s">
        <v>643</v>
      </c>
      <c r="C4" cm="1">
        <f t="array" ref="C4" xml:space="preserve"> BE.RadiusOuter</f>
        <v>10</v>
      </c>
    </row>
    <row r="5" spans="2:6" x14ac:dyDescent="0.2">
      <c r="B5" s="4" t="s">
        <v>644</v>
      </c>
      <c r="C5" cm="1">
        <f t="array" ref="C5" xml:space="preserve"> BE.MaxX</f>
        <v>10</v>
      </c>
    </row>
    <row r="6" spans="2:6" x14ac:dyDescent="0.2">
      <c r="B6" s="4" t="s">
        <v>645</v>
      </c>
      <c r="C6" cm="1">
        <f t="array" ref="C6" xml:space="preserve"> - BE.MaxX</f>
        <v>-10</v>
      </c>
    </row>
    <row r="7" spans="2:6" x14ac:dyDescent="0.2">
      <c r="B7" s="4" t="s">
        <v>646</v>
      </c>
      <c r="C7" cm="1">
        <f t="array" ref="C7" xml:space="preserve"> - BE.MaxY</f>
        <v>-10</v>
      </c>
    </row>
    <row r="9" spans="2:6" x14ac:dyDescent="0.2">
      <c r="B9" s="4" t="s">
        <v>637</v>
      </c>
      <c r="C9" s="28">
        <f xml:space="preserve"> MODE(Circles.AreaMultiplier)</f>
        <v>1</v>
      </c>
      <c r="F9"/>
    </row>
    <row r="10" spans="2:6" x14ac:dyDescent="0.2">
      <c r="B10" s="4" t="s">
        <v>638</v>
      </c>
      <c r="C10">
        <f xml:space="preserve"> MAX(BE.MaxY, - BE.MinY)   /   MAX(BE.MaxX, - BE.MinX)</f>
        <v>1</v>
      </c>
    </row>
    <row r="11" spans="2:6" x14ac:dyDescent="0.2">
      <c r="B11" s="4" t="s">
        <v>639</v>
      </c>
      <c r="C11">
        <f xml:space="preserve"> VALUE(TEXT(SQRT(BE.AreaMultiplier * BasicBBoxArea * BE.Aspect), SVG.NumberFormatHeight))</f>
        <v>10</v>
      </c>
    </row>
    <row r="12" spans="2:6" x14ac:dyDescent="0.2">
      <c r="B12" s="4" t="s">
        <v>640</v>
      </c>
      <c r="C12" cm="1">
        <f t="array" ref="C12" xml:space="preserve"> BE.Height / BE.Aspect</f>
        <v>10</v>
      </c>
    </row>
    <row r="14" spans="2:6" x14ac:dyDescent="0.2">
      <c r="B14" s="4" t="s">
        <v>641</v>
      </c>
      <c r="C14" t="str">
        <f xml:space="preserve"> "='#FFCC33'"</f>
        <v>='#FFCC33'</v>
      </c>
    </row>
    <row r="15" spans="2:6" x14ac:dyDescent="0.2">
      <c r="B15" s="4" t="s">
        <v>642</v>
      </c>
      <c r="C15" t="str">
        <f xml:space="preserve"> "='#663319'"</f>
        <v>='#663319'</v>
      </c>
    </row>
    <row r="17" spans="2:7" ht="17" thickBot="1" x14ac:dyDescent="0.25">
      <c r="B17" s="3" t="s">
        <v>647</v>
      </c>
      <c r="C17" s="3" t="s">
        <v>648</v>
      </c>
      <c r="D17" s="3" t="s">
        <v>651</v>
      </c>
    </row>
    <row r="18" spans="2:7" x14ac:dyDescent="0.2">
      <c r="B18">
        <v>10</v>
      </c>
      <c r="C18">
        <f xml:space="preserve"> B18 * 0.9</f>
        <v>9</v>
      </c>
      <c r="D18">
        <f xml:space="preserve"> BE.RadiusOuter * 0.366995 / SIN(22.5 * PI() / 180)</f>
        <v>9.5900415058961155</v>
      </c>
      <c r="F18" s="36" cm="1">
        <f t="array" ref="F18" xml:space="preserve"> SVG_length(BE.svg)</f>
        <v>319</v>
      </c>
    </row>
    <row r="20" spans="2:7" ht="17" thickBot="1" x14ac:dyDescent="0.25">
      <c r="B20" s="3" t="s">
        <v>652</v>
      </c>
      <c r="C20" s="3" t="s">
        <v>653</v>
      </c>
      <c r="D20" s="3" t="s">
        <v>654</v>
      </c>
      <c r="E20" s="5"/>
      <c r="F20" s="40" t="s">
        <v>1508</v>
      </c>
    </row>
    <row r="21" spans="2:7" x14ac:dyDescent="0.2">
      <c r="B21">
        <f xml:space="preserve"> CHOOSE(2,    0,   22.5)</f>
        <v>22.5</v>
      </c>
      <c r="C21" cm="1">
        <f t="array" ref="C21" xml:space="preserve"> ROUND(SIN(_xlfn.SINGLE(BE.Ang) * PI() / 180) * BE.RadiusStroke, BE.DecimalPlaces)</f>
        <v>3.67</v>
      </c>
      <c r="D21">
        <f xml:space="preserve"> ROUND(COS(BE.Ang * PI() / 180) * BE.RadiusStroke, BE.DecimalPlaces)</f>
        <v>8.86</v>
      </c>
      <c r="F21" s="36" t="str">
        <f>_xlfn.TEXTJOIN(" ",TRUE, "M", _xlfn.SINGLE(BE.X), _xlfn.SINGLE(BE.Y), "L", - _xlfn.SINGLE(BE.X), - _xlfn.SINGLE(BE.Y))</f>
        <v>M 3.67 8.86 L -3.67 -8.86</v>
      </c>
    </row>
    <row r="22" spans="2:7" x14ac:dyDescent="0.2">
      <c r="B22">
        <f xml:space="preserve"> 45 + B21</f>
        <v>67.5</v>
      </c>
      <c r="C22" cm="1">
        <f t="array" ref="C22" xml:space="preserve"> ROUND(SIN(_xlfn.SINGLE(BE.Ang) * PI() / 180) * BE.RadiusStroke, BE.DecimalPlaces)</f>
        <v>8.86</v>
      </c>
      <c r="D22">
        <f xml:space="preserve"> ROUND(COS(BE.Ang * PI() / 180) * BE.RadiusStroke, BE.DecimalPlaces)</f>
        <v>3.67</v>
      </c>
      <c r="F22" s="36" t="str">
        <f>_xlfn.TEXTJOIN(" ",TRUE, "M", _xlfn.SINGLE(BE.X), _xlfn.SINGLE(BE.Y), "L", - _xlfn.SINGLE(BE.X), - _xlfn.SINGLE(BE.Y))</f>
        <v>M 8.86 3.67 L -8.86 -3.67</v>
      </c>
    </row>
    <row r="23" spans="2:7" x14ac:dyDescent="0.2">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36" t="str">
        <f>_xlfn.TEXTJOIN(" ",TRUE, "M", _xlfn.SINGLE(BE.X), _xlfn.SINGLE(BE.Y), "L", - _xlfn.SINGLE(BE.X), - _xlfn.SINGLE(BE.Y))</f>
        <v>M 8.86 -3.67 L -8.86 3.67</v>
      </c>
    </row>
    <row r="24" spans="2:7" x14ac:dyDescent="0.2">
      <c r="B24">
        <f t="shared" si="0"/>
        <v>157.5</v>
      </c>
      <c r="C24" cm="1">
        <f t="array" ref="C24" xml:space="preserve"> ROUND(SIN(_xlfn.SINGLE(BE.Ang) * PI() / 180) * BE.RadiusStroke, BE.DecimalPlaces)</f>
        <v>3.67</v>
      </c>
      <c r="D24">
        <f xml:space="preserve"> ROUND(COS(BE.Ang * PI() / 180) * BE.RadiusStroke, BE.DecimalPlaces)</f>
        <v>-8.86</v>
      </c>
      <c r="F24" s="36" t="str">
        <f>_xlfn.TEXTJOIN(" ",TRUE, "M", _xlfn.SINGLE(BE.X), _xlfn.SINGLE(BE.Y), "L", - _xlfn.SINGLE(BE.X), - _xlfn.SINGLE(BE.Y))</f>
        <v>M 3.67 -8.86 L -3.67 8.86</v>
      </c>
    </row>
    <row r="27" spans="2:7" ht="17" thickBot="1" x14ac:dyDescent="0.25">
      <c r="F27" s="40" t="s">
        <v>650</v>
      </c>
      <c r="G27" s="40" t="s">
        <v>2291</v>
      </c>
    </row>
    <row r="28" spans="2:7" x14ac:dyDescent="0.2">
      <c r="F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x14ac:dyDescent="0.2">
      <c r="F29" s="36" t="str">
        <f xml:space="preserve"> "&lt;circle fill" &amp; _xlfn.SINGLE(BE.SVG_painting_Outer) &amp; " r='" &amp; ROUND(BE.RadiusOuter, DecimalPlaces) &amp; "'/&gt;"</f>
        <v>&lt;circle fill='#FFCC33' r='10'/&gt;</v>
      </c>
      <c r="G29" s="36" t="str">
        <f xml:space="preserve"> "&lt;circle fill" &amp; _xlfn.SINGLE(BE.SVG_painting_Inner) &amp; " r='" &amp; ROUND(BE.RadiusOuter, DecimalPlaces) &amp; "'/&gt;"</f>
        <v>&lt;circle fill='#663319' r='10'/&gt;</v>
      </c>
    </row>
    <row r="30" spans="2:7" x14ac:dyDescent="0.2">
      <c r="F30" s="36" t="str">
        <f xml:space="preserve"> "&lt;circle fill" &amp; _xlfn.SINGLE(BE.SVG_painting_Inner) &amp; " r='" &amp; ROUND(_xlfn.SINGLE(BE.RadiusInner), DecimalPlaces) &amp; "'/&gt;"</f>
        <v>&lt;circle fill='#663319' r='9'/&gt;</v>
      </c>
      <c r="G30" s="36" t="str">
        <f xml:space="preserve"> "&lt;circle fill" &amp; _xlfn.SINGLE(BE.SVG_painting_Outer) &amp; " r='" &amp; ROUND(_xlfn.SINGLE(BE.RadiusInner), DecimalPlaces) &amp; "'/&gt;"</f>
        <v>&lt;circle fill='#FFCC33' r='9'/&gt;</v>
      </c>
    </row>
    <row r="31" spans="2:7" x14ac:dyDescent="0.2">
      <c r="F31" s="36"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36"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x14ac:dyDescent="0.2">
      <c r="F32" s="6" t="s">
        <v>15</v>
      </c>
      <c r="G32" s="6"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topLeftCell="B1" workbookViewId="0">
      <selection activeCell="B2" sqref="B2"/>
    </sheetView>
  </sheetViews>
  <sheetFormatPr baseColWidth="10" defaultRowHeight="16" x14ac:dyDescent="0.2"/>
  <cols>
    <col min="12" max="12" width="10.83203125" style="36"/>
  </cols>
  <sheetData>
    <row r="2" spans="9:11" x14ac:dyDescent="0.2">
      <c r="I2" s="4" t="s">
        <v>1566</v>
      </c>
      <c r="J2" t="b">
        <v>1</v>
      </c>
    </row>
    <row r="3" spans="9:11" x14ac:dyDescent="0.2">
      <c r="I3" s="4" t="s">
        <v>1493</v>
      </c>
      <c r="J3" s="36" t="s">
        <v>1494</v>
      </c>
      <c r="K3" s="36"/>
    </row>
    <row r="4" spans="9:11" x14ac:dyDescent="0.2">
      <c r="I4" s="4" t="s">
        <v>1567</v>
      </c>
      <c r="J4" s="36" t="s">
        <v>1490</v>
      </c>
    </row>
    <row r="6" spans="9:11" x14ac:dyDescent="0.2">
      <c r="I6" s="4" t="s">
        <v>1564</v>
      </c>
      <c r="J6">
        <f xml:space="preserve"> VALUE("100.6598934115317093127546795530849115415227559341255318889896735120632206040829530102514681")</f>
        <v>100.659893411531</v>
      </c>
    </row>
    <row r="7" spans="9:11" x14ac:dyDescent="0.2">
      <c r="I7" s="4" t="s">
        <v>666</v>
      </c>
      <c r="J7">
        <f xml:space="preserve"> DecimalPlaces - INT(LOG(MIN(  2*IE.RadiusShamrock  )/2, 10) + 0.2)</f>
        <v>3</v>
      </c>
    </row>
    <row r="8" spans="9:11" x14ac:dyDescent="0.2">
      <c r="I8" s="4" t="s">
        <v>1565</v>
      </c>
      <c r="J8">
        <f xml:space="preserve"> IF(IE.BoundingCircle, ROUND(1.083 * IE.RadiusShamrock, IE.DecimalPlaces - 2), #N/A)</f>
        <v>109</v>
      </c>
    </row>
    <row r="10" spans="9:11" x14ac:dyDescent="0.2">
      <c r="I10" s="4" t="s">
        <v>662</v>
      </c>
      <c r="J10" cm="1">
        <f t="array" ref="J10" xml:space="preserve"> IF(IE.BoundingCircle, IE.Radius, CEILING( ( (16315 + 2128*Sqrt3)^1.5  -  458634*Sqrt3  -  2028376 ) / (17019 - 9792*Sqrt3), 10^-IE.DecimalPlaces) )</f>
        <v>109</v>
      </c>
    </row>
    <row r="11" spans="9:11" x14ac:dyDescent="0.2">
      <c r="I11" s="4" t="s">
        <v>663</v>
      </c>
      <c r="J11">
        <f xml:space="preserve"> IF(IE.BoundingCircle, IE.Radius, CEILING(2 * (3817^1.5 - 110510) / 2601, 10^-IE.DecimalPlaces) )</f>
        <v>109</v>
      </c>
    </row>
    <row r="12" spans="9:11" x14ac:dyDescent="0.2">
      <c r="I12" s="4" t="s">
        <v>664</v>
      </c>
      <c r="J12" cm="1">
        <f t="array" ref="J12" xml:space="preserve"> - IE.MaxX</f>
        <v>-109</v>
      </c>
    </row>
    <row r="13" spans="9:11" x14ac:dyDescent="0.2">
      <c r="I13" s="4" t="s">
        <v>665</v>
      </c>
      <c r="J13" cm="1">
        <f t="array" ref="J13" xml:space="preserve"> - IE.MaxY</f>
        <v>-109</v>
      </c>
    </row>
    <row r="15" spans="9:11" x14ac:dyDescent="0.2">
      <c r="I15" s="4" t="s">
        <v>1492</v>
      </c>
      <c r="J15" t="e">
        <f>IF(IE.BoundingCircle, #N/A, (19^1.5 - 28 ) * 2 / 9)</f>
        <v>#N/A</v>
      </c>
    </row>
    <row r="16" spans="9:11" x14ac:dyDescent="0.2">
      <c r="I16" s="5"/>
    </row>
    <row r="17" spans="2:12" x14ac:dyDescent="0.2">
      <c r="I17" s="4" t="s">
        <v>658</v>
      </c>
      <c r="J17" s="28">
        <f xml:space="preserve"> IF(IE.BoundingCircle, MODE(Circles.AreaMultiplier), 1.5)</f>
        <v>1</v>
      </c>
    </row>
    <row r="18" spans="2:12" x14ac:dyDescent="0.2">
      <c r="I18" s="4" t="s">
        <v>659</v>
      </c>
      <c r="J18">
        <f xml:space="preserve"> MAX(IE.MaxY, - IE.MinY)   /   MAX(IE.MaxX, - IE.MinX)</f>
        <v>1</v>
      </c>
    </row>
    <row r="19" spans="2:12" x14ac:dyDescent="0.2">
      <c r="I19" s="4" t="s">
        <v>660</v>
      </c>
      <c r="J19">
        <f xml:space="preserve"> VALUE(TEXT(SQRT(IE.AreaMultiplier * BasicBBoxArea * IE.Aspect), SVG.NumberFormatHeight))</f>
        <v>10</v>
      </c>
    </row>
    <row r="20" spans="2:12" x14ac:dyDescent="0.2">
      <c r="I20" s="4" t="s">
        <v>661</v>
      </c>
      <c r="J20" cm="1">
        <f t="array" ref="J20" xml:space="preserve"> IE.Height / IE.Aspect</f>
        <v>10</v>
      </c>
    </row>
    <row r="22" spans="2:12" ht="17" thickBot="1" x14ac:dyDescent="0.25">
      <c r="B22" s="3" t="s">
        <v>1491</v>
      </c>
      <c r="C22" s="3" t="s">
        <v>668</v>
      </c>
      <c r="D22" s="3"/>
      <c r="E22" s="3" t="s">
        <v>669</v>
      </c>
      <c r="F22" s="3" t="s">
        <v>670</v>
      </c>
      <c r="G22" s="3" t="s">
        <v>671</v>
      </c>
      <c r="H22" s="3" t="s">
        <v>672</v>
      </c>
      <c r="I22" s="3" t="s">
        <v>673</v>
      </c>
      <c r="J22" s="3" t="s">
        <v>674</v>
      </c>
      <c r="K22" s="5"/>
      <c r="L22" s="40" t="s">
        <v>1489</v>
      </c>
    </row>
    <row r="23" spans="2:12" x14ac:dyDescent="0.2">
      <c r="L23" s="6"/>
    </row>
    <row r="24" spans="2:12" x14ac:dyDescent="0.2">
      <c r="B24" t="s">
        <v>23</v>
      </c>
      <c r="C24">
        <v>0</v>
      </c>
      <c r="E24">
        <v>0</v>
      </c>
      <c r="F24">
        <v>0</v>
      </c>
      <c r="L24" s="36" t="str">
        <f>_xlfn.TEXTJOIN(" ",TRUE, "M", ROUND(IE.X1,IE.DecimalPlaces), ROUND(IE.Y1,IE.DecimalPlaces)  )</f>
        <v>M 0 0</v>
      </c>
    </row>
    <row r="25" spans="2:12" x14ac:dyDescent="0.2">
      <c r="B25" t="s">
        <v>23</v>
      </c>
      <c r="C25">
        <f xml:space="preserve"> C24</f>
        <v>0</v>
      </c>
      <c r="E25">
        <v>80</v>
      </c>
      <c r="F25">
        <v>-67</v>
      </c>
      <c r="G25">
        <v>48</v>
      </c>
      <c r="H25">
        <v>-114</v>
      </c>
      <c r="I25">
        <v>0</v>
      </c>
      <c r="J25">
        <v>-90</v>
      </c>
      <c r="L25" s="36" t="str">
        <f t="shared" ref="L25:L30" si="0">_xlfn.TEXTJOIN(" ",TRUE, "C", ROUND(IE.X1,IE.DecimalPlaces), ROUND(IE.Y1,IE.DecimalPlaces), ROUND(IE.X2,IE.DecimalPlaces), ROUND(IE.Y2,IE.DecimalPlaces), ROUND(IE.X3,IE.DecimalPlaces), ROUND(IE.Y3,IE.DecimalPlaces)  )</f>
        <v>C 80 -67 48 -114 0 -90</v>
      </c>
    </row>
    <row r="26" spans="2:12" x14ac:dyDescent="0.2">
      <c r="B26" t="s">
        <v>23</v>
      </c>
      <c r="C26">
        <f xml:space="preserve"> C24</f>
        <v>0</v>
      </c>
      <c r="E26">
        <f xml:space="preserve"> - G25</f>
        <v>-48</v>
      </c>
      <c r="F26">
        <f xml:space="preserve"> H25</f>
        <v>-114</v>
      </c>
      <c r="G26">
        <f xml:space="preserve"> - E25</f>
        <v>-80</v>
      </c>
      <c r="H26">
        <f xml:space="preserve"> F25</f>
        <v>-67</v>
      </c>
      <c r="I26">
        <v>0</v>
      </c>
      <c r="J26">
        <v>0</v>
      </c>
      <c r="L26" s="36" t="str">
        <f t="shared" si="0"/>
        <v>C -48 -114 -80 -67 0 0</v>
      </c>
    </row>
    <row r="27" spans="2:12" x14ac:dyDescent="0.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36" t="str">
        <f t="shared" si="0"/>
        <v>C -98.024 -35.782 -122.727 15.431 -77.942 45</v>
      </c>
    </row>
    <row r="28" spans="2:12" x14ac:dyDescent="0.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36" t="str">
        <f t="shared" si="0"/>
        <v>C -74.727 98.569 -18.024 102.782 0 0</v>
      </c>
    </row>
    <row r="29" spans="2:12" x14ac:dyDescent="0.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36" t="str">
        <f t="shared" si="0"/>
        <v>C 18.024 102.782 74.727 98.569 77.942 45</v>
      </c>
    </row>
    <row r="30" spans="2:12" x14ac:dyDescent="0.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36" t="str">
        <f t="shared" si="0"/>
        <v>C 122.727 15.431 98.024 -35.782 0 0</v>
      </c>
    </row>
    <row r="31" spans="2:12" x14ac:dyDescent="0.2">
      <c r="B31" t="s">
        <v>23</v>
      </c>
      <c r="L31" s="36" t="s">
        <v>559</v>
      </c>
    </row>
    <row r="33" spans="2:12" x14ac:dyDescent="0.2">
      <c r="B33" t="s">
        <v>24</v>
      </c>
      <c r="C33">
        <f xml:space="preserve"> C$24</f>
        <v>0</v>
      </c>
      <c r="E33">
        <v>0</v>
      </c>
      <c r="F33">
        <f xml:space="preserve"> VALUE("-16.15663630245373806333084762609090079669504129685")</f>
        <v>-16.156636302453698</v>
      </c>
      <c r="L33" s="36" t="str">
        <f>_xlfn.TEXTJOIN(" ",TRUE, "M", ROUND(IE.X1,IE.DecimalPlaces), ROUND(IE.Y1,IE.DecimalPlaces)  )</f>
        <v>M 0 -16.157</v>
      </c>
    </row>
    <row r="34" spans="2:12" x14ac:dyDescent="0.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36" t="e">
        <f t="shared" ref="L34:L36" si="2">_xlfn.TEXTJOIN(" ",TRUE, "C", ROUND(IE.X1,IE.DecimalPlaces), ROUND(IE.Y1,IE.DecimalPlaces), ROUND(IE.X2,IE.DecimalPlaces), ROUND(IE.Y2,IE.DecimalPlaces), ROUND(IE.X3,IE.DecimalPlaces), ROUND(IE.Y3,IE.DecimalPlaces)  )</f>
        <v>#N/A</v>
      </c>
    </row>
    <row r="35" spans="2:12" x14ac:dyDescent="0.2">
      <c r="B35" t="s">
        <v>24</v>
      </c>
      <c r="C35">
        <f t="shared" si="1"/>
        <v>0</v>
      </c>
      <c r="E35" t="e">
        <f xml:space="preserve"> - $I34</f>
        <v>#N/A</v>
      </c>
      <c r="F35" t="e">
        <f xml:space="preserve"> J34</f>
        <v>#N/A</v>
      </c>
      <c r="L35" s="36" t="e">
        <f>_xlfn.TEXTJOIN(" ",TRUE, " A ", ROUND(IE.GapWidth,IE.DecimalPlaces), ROUND(IE.GapWidth,IE.DecimalPlaces), 0, 0, 1, ROUND(IE.X1,IE.DecimalPlaces), ROUND(IE.Y1,IE.DecimalPlaces)  )</f>
        <v>#N/A</v>
      </c>
    </row>
    <row r="36" spans="2:12" x14ac:dyDescent="0.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36" t="str">
        <f t="shared" si="2"/>
        <v>C -39.858 -96.309 -53.168 -64.471 0 -16.157</v>
      </c>
    </row>
    <row r="37" spans="2:12" x14ac:dyDescent="0.2">
      <c r="B37" t="s">
        <v>24</v>
      </c>
      <c r="C37">
        <f t="shared" si="1"/>
        <v>0</v>
      </c>
      <c r="L37" s="36" t="s">
        <v>559</v>
      </c>
    </row>
    <row r="39" spans="2:12" x14ac:dyDescent="0.2">
      <c r="B39" t="s">
        <v>24</v>
      </c>
      <c r="C39">
        <f xml:space="preserve"> C$27</f>
        <v>120</v>
      </c>
      <c r="E39">
        <f xml:space="preserve"> E$33 * COS(IE.Ang*PI()/180) + F$33 * SIN(IE.Ang*PI()/180)</f>
        <v>-13.992057477630786</v>
      </c>
      <c r="F39">
        <f xml:space="preserve"> F$33 * COS(IE.Ang*PI()/180) - E$33 * SIN(IE.Ang*PI()/180)</f>
        <v>8.0783181512268456</v>
      </c>
      <c r="L39" s="36" t="str">
        <f>_xlfn.TEXTJOIN(" ",TRUE, "M", ROUND(IE.X1,IE.DecimalPlaces), ROUND(IE.Y1,IE.DecimalPlaces)  )</f>
        <v>M -13.992 8.078</v>
      </c>
    </row>
    <row r="40" spans="2:12" x14ac:dyDescent="0.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36" t="e">
        <f t="shared" ref="L40:L42" si="4">_xlfn.TEXTJOIN(" ",TRUE, "C", ROUND(IE.X1,IE.DecimalPlaces), ROUND(IE.Y1,IE.DecimalPlaces), ROUND(IE.X2,IE.DecimalPlaces), ROUND(IE.Y2,IE.DecimalPlaces), ROUND(IE.X3,IE.DecimalPlaces), ROUND(IE.Y3,IE.DecimalPlaces)  )</f>
        <v>#N/A</v>
      </c>
    </row>
    <row r="41" spans="2:12" x14ac:dyDescent="0.2">
      <c r="B41" t="s">
        <v>24</v>
      </c>
      <c r="C41">
        <f t="shared" si="3"/>
        <v>120</v>
      </c>
      <c r="E41" t="e">
        <f xml:space="preserve"> E$35 * COS(IE.Ang*PI()/180) + F$35 * SIN(IE.Ang*PI()/180)</f>
        <v>#N/A</v>
      </c>
      <c r="F41" t="e">
        <f xml:space="preserve"> F$35 * COS(IE.Ang*PI()/180) - E$35 * SIN(IE.Ang*PI()/180)</f>
        <v>#N/A</v>
      </c>
      <c r="L41" s="36" t="e">
        <f>_xlfn.TEXTJOIN(" ",TRUE, " A ", ROUND(IE.GapWidth,IE.DecimalPlaces), ROUND(IE.GapWidth,IE.DecimalPlaces), 0, 0, 1, ROUND(IE.X1,IE.DecimalPlaces), ROUND(IE.Y1,IE.DecimalPlaces)  )</f>
        <v>#N/A</v>
      </c>
    </row>
    <row r="42" spans="2:12" x14ac:dyDescent="0.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36" t="str">
        <f t="shared" si="4"/>
        <v>C -63.477 82.673 -29.25 78.28 -13.992 8.078</v>
      </c>
    </row>
    <row r="43" spans="2:12" x14ac:dyDescent="0.2">
      <c r="B43" t="s">
        <v>24</v>
      </c>
      <c r="C43">
        <f t="shared" si="3"/>
        <v>120</v>
      </c>
      <c r="L43" s="36" t="s">
        <v>559</v>
      </c>
    </row>
    <row r="45" spans="2:12" x14ac:dyDescent="0.2">
      <c r="B45" t="s">
        <v>24</v>
      </c>
      <c r="C45">
        <f xml:space="preserve"> C$29</f>
        <v>240</v>
      </c>
      <c r="E45">
        <f xml:space="preserve"> E$33 * COS(IE.Ang*PI()/180) + F$33 * SIN(IE.Ang*PI()/180)</f>
        <v>13.99205747763078</v>
      </c>
      <c r="F45">
        <f xml:space="preserve"> F$33 * COS(IE.Ang*PI()/180) - E$33 * SIN(IE.Ang*PI()/180)</f>
        <v>8.0783181512268563</v>
      </c>
      <c r="L45" s="36" t="str">
        <f>_xlfn.TEXTJOIN(" ",TRUE, "M", ROUND(IE.X1,IE.DecimalPlaces), ROUND(IE.Y1,IE.DecimalPlaces)  )</f>
        <v>M 13.992 8.078</v>
      </c>
    </row>
    <row r="46" spans="2:12" x14ac:dyDescent="0.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36" t="e">
        <f t="shared" ref="L46:L48" si="6">_xlfn.TEXTJOIN(" ",TRUE, "C", ROUND(IE.X1,IE.DecimalPlaces), ROUND(IE.Y1,IE.DecimalPlaces), ROUND(IE.X2,IE.DecimalPlaces), ROUND(IE.Y2,IE.DecimalPlaces), ROUND(IE.X3,IE.DecimalPlaces), ROUND(IE.Y3,IE.DecimalPlaces)  )</f>
        <v>#N/A</v>
      </c>
    </row>
    <row r="47" spans="2:12" x14ac:dyDescent="0.2">
      <c r="B47" t="s">
        <v>24</v>
      </c>
      <c r="C47">
        <f t="shared" si="5"/>
        <v>240</v>
      </c>
      <c r="E47" t="e">
        <f xml:space="preserve"> E$35 * COS(IE.Ang*PI()/180) + F$35 * SIN(IE.Ang*PI()/180)</f>
        <v>#N/A</v>
      </c>
      <c r="F47" t="e">
        <f xml:space="preserve"> F$35 * COS(IE.Ang*PI()/180) - E$35 * SIN(IE.Ang*PI()/180)</f>
        <v>#N/A</v>
      </c>
      <c r="L47" s="36" t="e">
        <f>_xlfn.TEXTJOIN(" ",TRUE, " A ", ROUND(IE.GapWidth,IE.DecimalPlaces), ROUND(IE.GapWidth,IE.DecimalPlaces), 0, 0, 1, ROUND(IE.X1,IE.DecimalPlaces), ROUND(IE.Y1,IE.DecimalPlaces)  )</f>
        <v>#N/A</v>
      </c>
    </row>
    <row r="48" spans="2:12" x14ac:dyDescent="0.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36" t="str">
        <f t="shared" si="6"/>
        <v>C 103.335 13.636 82.417 -13.809 13.992 8.078</v>
      </c>
    </row>
    <row r="49" spans="2:13" x14ac:dyDescent="0.2">
      <c r="B49" t="s">
        <v>24</v>
      </c>
      <c r="C49">
        <f t="shared" si="5"/>
        <v>240</v>
      </c>
      <c r="L49" s="36" t="s">
        <v>559</v>
      </c>
    </row>
    <row r="51" spans="2:13" x14ac:dyDescent="0.2">
      <c r="L51" cm="1">
        <f t="array" ref="L51">SVG_length(IE.svg)</f>
        <v>314</v>
      </c>
    </row>
    <row r="53" spans="2:13" ht="17" thickBot="1" x14ac:dyDescent="0.25">
      <c r="L53" s="40" t="s">
        <v>667</v>
      </c>
      <c r="M53" s="40" t="s">
        <v>2286</v>
      </c>
    </row>
    <row r="54" spans="2:13" x14ac:dyDescent="0.2">
      <c r="L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x14ac:dyDescent="0.2">
      <c r="L55" s="6" t="str">
        <f xml:space="preserve"> IF(IE.BoundingCircle, "&lt;circle " &amp; IE.SVG_painting_O &amp; " r='" &amp; IE.Radius &amp; "'/&gt;", "")</f>
        <v>&lt;circle fill='#FF883E' r='109'/&gt;</v>
      </c>
      <c r="M55" s="6" t="str">
        <f xml:space="preserve"> IF(IE.BoundingCircle, "&lt;circle " &amp; IE.SVG_painting_G &amp; " r='" &amp; IE.Radius &amp; "'/&gt;", "")</f>
        <v>&lt;circle fill='#169B62' r='109'/&gt;</v>
      </c>
    </row>
    <row r="56" spans="2:13" x14ac:dyDescent="0.2">
      <c r="L56" s="36" t="str" cm="1">
        <f t="array" ref="L56" xml:space="preserve"> "&lt;path id='IE-o' " &amp; IF(IE.BoundingCircle, IE.SVG_painting_G, IE.SVG_painting_O) &amp; " d='" &amp; _xlfn.TEXTJOIN(" ", TRUE, IF("Outer"=IE.Part, IF(0=IE.Ang, IE.svgWorking, ""), "")) &amp; "'/&gt;"</f>
        <v>&lt;path id='IE-o' fill='#169B62' d='M 0 0 C 80 -67 48 -114 0 -90 C -48 -114 -80 -67 0 0 Z'/&gt;</v>
      </c>
      <c r="M56" s="36"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x14ac:dyDescent="0.2">
      <c r="L57" s="36" t="str">
        <f xml:space="preserve"> "&lt;use href='#IE-o' transform='rotate(" &amp; $C$27 &amp; ")'/&gt;&lt;use href='#IE-o' transform='rotate(" &amp; $C$29 &amp; ")'/&gt;"</f>
        <v>&lt;use href='#IE-o' transform='rotate(120)'/&gt;&lt;use href='#IE-o' transform='rotate(240)'/&gt;</v>
      </c>
      <c r="M57" s="36" t="str">
        <f xml:space="preserve"> "&lt;use href='#IE-g' transform='rotate(" &amp; $C$27 &amp; ")'/&gt;&lt;use href='#IE-g' transform='rotate(" &amp; $C$29 &amp; ")'/&gt;"</f>
        <v>&lt;use href='#IE-g' transform='rotate(120)'/&gt;&lt;use href='#IE-g' transform='rotate(240)'/&gt;</v>
      </c>
    </row>
    <row r="58" spans="2:13" x14ac:dyDescent="0.2">
      <c r="L58" s="36" t="str" cm="1">
        <f t="array" ref="L58" xml:space="preserve"> IF(IE.BoundingCircle, "", "&lt;path id='i' " &amp; IE.SVG_painting_G &amp; " d='" &amp; _xlfn.TEXTJOIN(" ", TRUE, IF("Inner"=IE.Part, IF(0=IE.Ang, IE.svgWorking, ""), "")) &amp; "'/&gt;")</f>
        <v/>
      </c>
      <c r="M58" s="36" t="str" cm="1">
        <f t="array" ref="M58" xml:space="preserve"> IF(IE.BoundingCircle, "", "&lt;path id='i' " &amp; IE.SVG_painting_G &amp; " d='" &amp; _xlfn.TEXTJOIN(" ", TRUE, IF("Inner"=IE.Part, IF(0=IE.Ang, IE.svgWorking, ""), "")) &amp; "'/&gt;")</f>
        <v/>
      </c>
    </row>
    <row r="59" spans="2:13" x14ac:dyDescent="0.2">
      <c r="L59" s="36" t="str">
        <f xml:space="preserve"> IF(IE.BoundingCircle, "", "&lt;use href='#i' transform='rotate(" &amp; $C$27 &amp; ")'/&gt;&lt;use href='#i' transform='rotate(" &amp; $C$29 &amp; ")'/&gt;")</f>
        <v/>
      </c>
      <c r="M59" s="36" t="str">
        <f xml:space="preserve"> IF(IE.BoundingCircle, "", "&lt;use href='#i' transform='rotate(" &amp; $C$27 &amp; ")'/&gt;&lt;use href='#i' transform='rotate(" &amp; $C$29 &amp; ")'/&gt;")</f>
        <v/>
      </c>
    </row>
    <row r="60" spans="2:13" x14ac:dyDescent="0.2">
      <c r="L60" s="6" t="s">
        <v>15</v>
      </c>
      <c r="M60" s="6"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topLeftCell="B1" workbookViewId="0">
      <selection activeCell="B2" sqref="B2"/>
    </sheetView>
  </sheetViews>
  <sheetFormatPr baseColWidth="10" defaultRowHeight="16" x14ac:dyDescent="0.2"/>
  <sheetData>
    <row r="2" spans="2:5" ht="17" thickBot="1" x14ac:dyDescent="0.25">
      <c r="E2" s="3" t="s">
        <v>2136</v>
      </c>
    </row>
    <row r="3" spans="2:5" x14ac:dyDescent="0.2">
      <c r="D3" s="5"/>
      <c r="E3">
        <f xml:space="preserve"> DecimalPlaces - INT(LOG(MIN(  MAX(GR.RawX) - MIN(GR.RawX),  MAX(GR.RawY) - MIN(GR.RawY)  )/2, 10) + 0.2)</f>
        <v>5</v>
      </c>
    </row>
    <row r="4" spans="2:5" x14ac:dyDescent="0.2">
      <c r="D4" s="5"/>
    </row>
    <row r="5" spans="2:5" ht="17" thickBot="1" x14ac:dyDescent="0.25">
      <c r="B5" s="3" t="s">
        <v>2137</v>
      </c>
      <c r="C5" s="3" t="s">
        <v>2138</v>
      </c>
      <c r="E5" s="3" t="s">
        <v>2139</v>
      </c>
    </row>
    <row r="6" spans="2:5" x14ac:dyDescent="0.2">
      <c r="B6" s="41">
        <v>5</v>
      </c>
      <c r="C6" s="41">
        <v>1</v>
      </c>
      <c r="D6" s="5"/>
      <c r="E6" s="5" t="str">
        <f t="array" ref="E6:E17" xml:space="preserve"> svgpath(GR.RawX, GR.RawY, GR.DecimalPlaces)</f>
        <v>M5 1</v>
      </c>
    </row>
    <row r="7" spans="2:5" x14ac:dyDescent="0.2">
      <c r="B7" s="41">
        <v>1</v>
      </c>
      <c r="C7" s="41">
        <v>1</v>
      </c>
      <c r="E7" s="5" t="str">
        <v>H1</v>
      </c>
    </row>
    <row r="8" spans="2:5" x14ac:dyDescent="0.2">
      <c r="B8" s="41">
        <v>1</v>
      </c>
      <c r="C8" s="41">
        <v>5</v>
      </c>
      <c r="E8" s="5" t="str">
        <v>V5</v>
      </c>
    </row>
    <row r="9" spans="2:5" x14ac:dyDescent="0.2">
      <c r="B9" s="41">
        <v>-1</v>
      </c>
      <c r="C9" s="41">
        <v>5</v>
      </c>
      <c r="E9" s="5" t="str">
        <v>H-1</v>
      </c>
    </row>
    <row r="10" spans="2:5" x14ac:dyDescent="0.2">
      <c r="B10" s="41">
        <v>-1</v>
      </c>
      <c r="C10" s="41">
        <v>1</v>
      </c>
      <c r="E10" s="5" t="str">
        <v>V1</v>
      </c>
    </row>
    <row r="11" spans="2:5" x14ac:dyDescent="0.2">
      <c r="B11" s="41">
        <v>-5</v>
      </c>
      <c r="C11" s="41">
        <v>1</v>
      </c>
      <c r="E11" s="5" t="str">
        <v>H-5</v>
      </c>
    </row>
    <row r="12" spans="2:5" x14ac:dyDescent="0.2">
      <c r="B12" s="41">
        <f xml:space="preserve"> - B6</f>
        <v>-5</v>
      </c>
      <c r="C12" s="41">
        <f xml:space="preserve"> - C6</f>
        <v>-1</v>
      </c>
      <c r="E12" s="5" t="str">
        <v>V-1</v>
      </c>
    </row>
    <row r="13" spans="2:5" x14ac:dyDescent="0.2">
      <c r="B13" s="41">
        <f t="shared" ref="B13:C17" si="0" xml:space="preserve"> - B7</f>
        <v>-1</v>
      </c>
      <c r="C13" s="41">
        <f t="shared" si="0"/>
        <v>-1</v>
      </c>
      <c r="E13" s="5" t="str">
        <v>h4</v>
      </c>
    </row>
    <row r="14" spans="2:5" x14ac:dyDescent="0.2">
      <c r="B14" s="41">
        <f t="shared" si="0"/>
        <v>-1</v>
      </c>
      <c r="C14" s="41">
        <f t="shared" si="0"/>
        <v>-5</v>
      </c>
      <c r="E14" s="5" t="str">
        <v>V-5</v>
      </c>
    </row>
    <row r="15" spans="2:5" x14ac:dyDescent="0.2">
      <c r="B15" s="41">
        <f t="shared" si="0"/>
        <v>1</v>
      </c>
      <c r="C15" s="41">
        <f t="shared" si="0"/>
        <v>-5</v>
      </c>
      <c r="E15" s="5" t="str">
        <v>H1</v>
      </c>
    </row>
    <row r="16" spans="2:5" x14ac:dyDescent="0.2">
      <c r="B16" s="41">
        <f t="shared" si="0"/>
        <v>1</v>
      </c>
      <c r="C16" s="41">
        <f t="shared" si="0"/>
        <v>-1</v>
      </c>
      <c r="E16" s="5" t="str">
        <v>v4</v>
      </c>
    </row>
    <row r="17" spans="2:5" x14ac:dyDescent="0.2">
      <c r="B17" s="41">
        <f t="shared" si="0"/>
        <v>5</v>
      </c>
      <c r="C17" s="41">
        <f t="shared" si="0"/>
        <v>-1</v>
      </c>
      <c r="E17" s="5" t="str">
        <v>H5Z</v>
      </c>
    </row>
    <row r="20" spans="2:5" x14ac:dyDescent="0.2">
      <c r="D20" s="4" t="s">
        <v>2141</v>
      </c>
      <c r="E20">
        <f xml:space="preserve"> ROUND(MAX(GR.RawX), GR.DecimalPlaces) + 1</f>
        <v>6</v>
      </c>
    </row>
    <row r="21" spans="2:5" x14ac:dyDescent="0.2">
      <c r="D21" s="4" t="s">
        <v>2143</v>
      </c>
      <c r="E21">
        <f xml:space="preserve"> GR.MaxX</f>
        <v>6</v>
      </c>
    </row>
    <row r="22" spans="2:5" x14ac:dyDescent="0.2">
      <c r="D22" s="4" t="s">
        <v>2140</v>
      </c>
      <c r="E22">
        <f xml:space="preserve"> - GR.MaxX</f>
        <v>-6</v>
      </c>
    </row>
    <row r="23" spans="2:5" x14ac:dyDescent="0.2">
      <c r="D23" s="4" t="s">
        <v>2142</v>
      </c>
      <c r="E23">
        <f xml:space="preserve"> - GR.MaxY</f>
        <v>-6</v>
      </c>
    </row>
    <row r="25" spans="2:5" x14ac:dyDescent="0.2">
      <c r="D25" s="4" t="s">
        <v>2144</v>
      </c>
      <c r="E25" s="28">
        <f xml:space="preserve"> MODE(Squares.AreaMultiplier)</f>
        <v>0.85</v>
      </c>
    </row>
    <row r="26" spans="2:5" x14ac:dyDescent="0.2">
      <c r="D26" s="4" t="s">
        <v>2145</v>
      </c>
      <c r="E26" cm="1">
        <f t="array" ref="E26" xml:space="preserve">  MAX(GR.MaxY, - GR.MinY)   /   MAX(GR.MaxX, - GR.MinX)</f>
        <v>1</v>
      </c>
    </row>
    <row r="27" spans="2:5" x14ac:dyDescent="0.2">
      <c r="D27" s="4" t="s">
        <v>2146</v>
      </c>
      <c r="E27" cm="1">
        <f t="array" ref="E27" xml:space="preserve"> VALUE(TEXT(SQRT(GR.AreaMultiplier * BasicBBoxArea * GR.Aspect), SVG.NumberFormatHeight))</f>
        <v>9.1999999999999993</v>
      </c>
    </row>
    <row r="28" spans="2:5" x14ac:dyDescent="0.2">
      <c r="D28" s="4" t="s">
        <v>2147</v>
      </c>
      <c r="E28" cm="1">
        <f t="array" ref="E28" xml:space="preserve"> GR.Height / GR.Aspect</f>
        <v>9.1999999999999993</v>
      </c>
    </row>
    <row r="29" spans="2:5" x14ac:dyDescent="0.2">
      <c r="D29" s="4"/>
      <c r="E29" s="6"/>
    </row>
    <row r="30" spans="2:5" x14ac:dyDescent="0.2">
      <c r="D30" s="4" t="s">
        <v>2148</v>
      </c>
      <c r="E30" s="6" t="s">
        <v>792</v>
      </c>
    </row>
    <row r="31" spans="2:5" x14ac:dyDescent="0.2">
      <c r="D31" s="4" t="s">
        <v>2149</v>
      </c>
      <c r="E31" s="6" t="s">
        <v>2091</v>
      </c>
    </row>
    <row r="32" spans="2:5" x14ac:dyDescent="0.2">
      <c r="D32" s="4" t="s">
        <v>2298</v>
      </c>
      <c r="E32" s="6" t="s">
        <v>2304</v>
      </c>
    </row>
    <row r="33" spans="4:6" x14ac:dyDescent="0.2">
      <c r="D33" s="5"/>
    </row>
    <row r="34" spans="4:6" x14ac:dyDescent="0.2">
      <c r="D34" s="5"/>
      <c r="E34" cm="1">
        <f t="array" ref="E34" xml:space="preserve"> SVG_length(GR.svg)</f>
        <v>203</v>
      </c>
    </row>
    <row r="35" spans="4:6" x14ac:dyDescent="0.2">
      <c r="D35" s="5"/>
    </row>
    <row r="36" spans="4:6" ht="17" thickBot="1" x14ac:dyDescent="0.25">
      <c r="D36" s="5"/>
      <c r="E36" s="3" t="s">
        <v>2150</v>
      </c>
      <c r="F36" s="3" t="s">
        <v>2299</v>
      </c>
    </row>
    <row r="37" spans="4:6" x14ac:dyDescent="0.2">
      <c r="D37" s="5"/>
      <c r="E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4:6" x14ac:dyDescent="0.2">
      <c r="D38" s="5"/>
      <c r="E38" s="6" t="str" cm="1">
        <f t="array" ref="E38" xml:space="preserve"> svgPathRect(DecimalPlaces, GR.SVG_painting_O, 6, 6)</f>
        <v>&lt;path fill='#004C98' d='M6 6V-6H-6V6Z'/&gt;</v>
      </c>
      <c r="F38" s="6" t="str" cm="1">
        <f t="array" ref="F38" xml:space="preserve"> svgPathRect(DecimalPlaces, GR.SVG_painting_O, 6, 6)</f>
        <v>&lt;path fill='#004C98' d='M6 6V-6H-6V6Z'/&gt;</v>
      </c>
    </row>
    <row r="39" spans="4:6" x14ac:dyDescent="0.2">
      <c r="D39" s="5"/>
      <c r="E39" s="6" t="str">
        <f xml:space="preserve"> "&lt;path " &amp; GR.SVG_painting_I &amp; " d='" &amp; _xlfn.TEXTJOIN(" ", TRUE, GR.PointsWorking) &amp; "'/&gt;"</f>
        <v>&lt;path fill='#FFF' d='M5 1 H1 V5 H-1 V1 H-5 V-1 h4 V-5 H1 v4 H5Z'/&gt;</v>
      </c>
      <c r="F39" s="6" t="str" cm="1">
        <f t="array" ref="F39" xml:space="preserve"> "&lt;path " &amp; GR.SVG_painting_I2 &amp; " d='" &amp; _xlfn.TEXTJOIN(" ", TRUE, GR.PointsWorking) &amp; "'/&gt;"</f>
        <v>&lt;path fill='#0F0' d='M5 1 H1 V5 H-1 V1 H-5 V-1 h4 V-5 H1 v4 H5Z'/&gt;</v>
      </c>
    </row>
    <row r="40" spans="4:6" x14ac:dyDescent="0.2">
      <c r="D40" s="5"/>
      <c r="E40" s="6" t="s">
        <v>15</v>
      </c>
      <c r="F40" s="6"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topLeftCell="B1" workbookViewId="0">
      <selection activeCell="B2" sqref="B2"/>
    </sheetView>
  </sheetViews>
  <sheetFormatPr baseColWidth="10" defaultRowHeight="16" x14ac:dyDescent="0.2"/>
  <sheetData>
    <row r="2" spans="2:6" ht="17" thickBot="1" x14ac:dyDescent="0.25">
      <c r="B2" s="2" t="s">
        <v>616</v>
      </c>
      <c r="C2" s="2" t="s">
        <v>615</v>
      </c>
      <c r="F2" s="3" t="s">
        <v>599</v>
      </c>
    </row>
    <row r="3" spans="2:6" x14ac:dyDescent="0.2">
      <c r="B3">
        <v>8</v>
      </c>
      <c r="C3">
        <f xml:space="preserve"> SI.OuterRadius / 2</f>
        <v>4</v>
      </c>
      <c r="E3" s="5"/>
      <c r="F3">
        <f xml:space="preserve"> DecimalPlaces - INT(LOG(MIN(  MAX(SI.RawX) - MIN(SI.RawX),  MAX(SI.RawY) - MIN(SI.RawY)  )/2, 10) + 0.2)</f>
        <v>4</v>
      </c>
    </row>
    <row r="4" spans="2:6" x14ac:dyDescent="0.2">
      <c r="E4" s="5"/>
    </row>
    <row r="5" spans="2:6" ht="17" thickBot="1" x14ac:dyDescent="0.25">
      <c r="B5" s="3" t="s">
        <v>617</v>
      </c>
      <c r="C5" s="3" t="s">
        <v>600</v>
      </c>
      <c r="D5" s="3" t="s">
        <v>601</v>
      </c>
      <c r="F5" s="3" t="s">
        <v>602</v>
      </c>
    </row>
    <row r="6" spans="2:6" x14ac:dyDescent="0.2">
      <c r="B6">
        <v>0</v>
      </c>
      <c r="C6" s="41">
        <f t="shared" ref="C6:C17" si="0" xml:space="preserve"> IF(MOD(SI.VertexNum,2)=0, SI.OuterRadius, SI.InnerRadius) * SIN(SI.VertexNum * 30 * PI() / 180)</f>
        <v>0</v>
      </c>
      <c r="D6" s="41">
        <f t="shared" ref="D6:D17" si="1" xml:space="preserve"> IF(MOD(SI.VertexNum,2)=0, SI.OuterRadius, SI.InnerRadius) * COS(SI.VertexNum * 30 * PI() / 180)</f>
        <v>8</v>
      </c>
      <c r="E6" s="5"/>
      <c r="F6" s="5" t="str">
        <f t="array" ref="F6:F17" xml:space="preserve"> svgpath(SI.RawX, SI.RawY, SI.DecimalPlaces)</f>
        <v>M0 8</v>
      </c>
    </row>
    <row r="7" spans="2:6" x14ac:dyDescent="0.2">
      <c r="B7">
        <f xml:space="preserve"> 1 + B6</f>
        <v>1</v>
      </c>
      <c r="C7" s="41">
        <f t="shared" si="0"/>
        <v>1.9999999999999998</v>
      </c>
      <c r="D7" s="41">
        <f t="shared" si="1"/>
        <v>3.4641016151377548</v>
      </c>
      <c r="F7" s="5" t="str">
        <v>L2 3.4641</v>
      </c>
    </row>
    <row r="8" spans="2:6" x14ac:dyDescent="0.2">
      <c r="B8">
        <f t="shared" ref="B8:B17" si="2" xml:space="preserve"> 1 + B7</f>
        <v>2</v>
      </c>
      <c r="C8" s="41">
        <f t="shared" si="0"/>
        <v>6.9282032302755088</v>
      </c>
      <c r="D8" s="41">
        <f t="shared" si="1"/>
        <v>4.0000000000000009</v>
      </c>
      <c r="F8" s="5" t="str">
        <v>L6.9282 4</v>
      </c>
    </row>
    <row r="9" spans="2:6" x14ac:dyDescent="0.2">
      <c r="B9">
        <f t="shared" si="2"/>
        <v>3</v>
      </c>
      <c r="C9" s="41">
        <f t="shared" si="0"/>
        <v>4</v>
      </c>
      <c r="D9" s="41">
        <f t="shared" si="1"/>
        <v>2.45029690981724E-16</v>
      </c>
      <c r="F9" s="5" t="str">
        <v>L4 0</v>
      </c>
    </row>
    <row r="10" spans="2:6" x14ac:dyDescent="0.2">
      <c r="B10">
        <f t="shared" si="2"/>
        <v>4</v>
      </c>
      <c r="C10" s="41">
        <f t="shared" si="0"/>
        <v>6.9282032302755097</v>
      </c>
      <c r="D10" s="41">
        <f t="shared" si="1"/>
        <v>-3.9999999999999982</v>
      </c>
      <c r="F10" s="5" t="str">
        <v>L6.9282 -4</v>
      </c>
    </row>
    <row r="11" spans="2:6" x14ac:dyDescent="0.2">
      <c r="B11">
        <f t="shared" si="2"/>
        <v>5</v>
      </c>
      <c r="C11" s="41">
        <f t="shared" si="0"/>
        <v>1.9999999999999998</v>
      </c>
      <c r="D11" s="41">
        <f t="shared" si="1"/>
        <v>-3.4641016151377548</v>
      </c>
      <c r="F11" s="5" t="str">
        <v>L2 -3.4641</v>
      </c>
    </row>
    <row r="12" spans="2:6" x14ac:dyDescent="0.2">
      <c r="B12">
        <f t="shared" si="2"/>
        <v>6</v>
      </c>
      <c r="C12" s="41">
        <f t="shared" si="0"/>
        <v>9.8011876392689601E-16</v>
      </c>
      <c r="D12" s="41">
        <f t="shared" si="1"/>
        <v>-8</v>
      </c>
      <c r="F12" s="5" t="str">
        <v>L0 -8</v>
      </c>
    </row>
    <row r="13" spans="2:6" x14ac:dyDescent="0.2">
      <c r="B13">
        <f t="shared" si="2"/>
        <v>7</v>
      </c>
      <c r="C13" s="41">
        <f t="shared" si="0"/>
        <v>-2.0000000000000004</v>
      </c>
      <c r="D13" s="41">
        <f t="shared" si="1"/>
        <v>-3.4641016151377544</v>
      </c>
      <c r="F13" s="5" t="str">
        <v>l-2 4.5359</v>
      </c>
    </row>
    <row r="14" spans="2:6" x14ac:dyDescent="0.2">
      <c r="B14">
        <f t="shared" si="2"/>
        <v>8</v>
      </c>
      <c r="C14" s="41">
        <f t="shared" si="0"/>
        <v>-6.928203230275507</v>
      </c>
      <c r="D14" s="41">
        <f t="shared" si="1"/>
        <v>-4.0000000000000036</v>
      </c>
      <c r="F14" s="5" t="str">
        <v>L-6.9282 -4</v>
      </c>
    </row>
    <row r="15" spans="2:6" x14ac:dyDescent="0.2">
      <c r="B15">
        <f t="shared" si="2"/>
        <v>9</v>
      </c>
      <c r="C15" s="41">
        <f t="shared" si="0"/>
        <v>-4</v>
      </c>
      <c r="D15" s="41">
        <f t="shared" si="1"/>
        <v>-7.3508907294517201E-16</v>
      </c>
      <c r="F15" s="5" t="str">
        <v>L-4 0</v>
      </c>
    </row>
    <row r="16" spans="2:6" x14ac:dyDescent="0.2">
      <c r="B16">
        <f t="shared" si="2"/>
        <v>10</v>
      </c>
      <c r="C16" s="41">
        <f t="shared" si="0"/>
        <v>-6.9282032302755088</v>
      </c>
      <c r="D16" s="41">
        <f t="shared" si="1"/>
        <v>4.0000000000000009</v>
      </c>
      <c r="F16" s="5" t="str">
        <v>L-6.9282 4</v>
      </c>
    </row>
    <row r="17" spans="2:6" x14ac:dyDescent="0.2">
      <c r="B17">
        <f t="shared" si="2"/>
        <v>11</v>
      </c>
      <c r="C17" s="41">
        <f t="shared" si="0"/>
        <v>-2.0000000000000018</v>
      </c>
      <c r="D17" s="41">
        <f t="shared" si="1"/>
        <v>3.4641016151377535</v>
      </c>
      <c r="F17" s="5" t="str">
        <v>L-2 3.4641Z</v>
      </c>
    </row>
    <row r="20" spans="2:6" x14ac:dyDescent="0.2">
      <c r="E20" s="4" t="s">
        <v>609</v>
      </c>
      <c r="F20">
        <f xml:space="preserve"> ROUND( MIN(SI.RawX), SI.DecimalPlaces)</f>
        <v>-6.9282000000000004</v>
      </c>
    </row>
    <row r="21" spans="2:6" x14ac:dyDescent="0.2">
      <c r="E21" s="4" t="s">
        <v>610</v>
      </c>
      <c r="F21">
        <f xml:space="preserve"> ROUND(MAX(SI.RawX), SI.DecimalPlaces)</f>
        <v>6.9282000000000004</v>
      </c>
    </row>
    <row r="22" spans="2:6" x14ac:dyDescent="0.2">
      <c r="E22" s="4" t="s">
        <v>611</v>
      </c>
      <c r="F22">
        <f xml:space="preserve"> ROUND( MIN(SI.RawY), SI.DecimalPlaces)</f>
        <v>-8</v>
      </c>
    </row>
    <row r="23" spans="2:6" x14ac:dyDescent="0.2">
      <c r="E23" s="4" t="s">
        <v>612</v>
      </c>
      <c r="F23">
        <f xml:space="preserve"> ROUND(MAX(SI.RawY), SI.DecimalPlaces)</f>
        <v>8</v>
      </c>
    </row>
    <row r="25" spans="2:6" x14ac:dyDescent="0.2">
      <c r="E25" s="4" t="s">
        <v>603</v>
      </c>
      <c r="F25" s="28">
        <v>1.125</v>
      </c>
    </row>
    <row r="26" spans="2:6" x14ac:dyDescent="0.2">
      <c r="E26" s="4" t="s">
        <v>604</v>
      </c>
      <c r="F26">
        <f xml:space="preserve">  MAX(SI.MaxY, - SI.MinY)   /   MAX(SI.MaxX, - SI.MinX)</f>
        <v>1.154701076758754</v>
      </c>
    </row>
    <row r="27" spans="2:6" x14ac:dyDescent="0.2">
      <c r="E27" s="4" t="s">
        <v>605</v>
      </c>
      <c r="F27">
        <f xml:space="preserve"> VALUE(TEXT(SQRT(SI.AreaMultiplier * BasicBBoxArea * SI.Aspect), SVG.NumberFormatHeight))</f>
        <v>11.4</v>
      </c>
    </row>
    <row r="28" spans="2:6" x14ac:dyDescent="0.2">
      <c r="E28" s="4" t="s">
        <v>606</v>
      </c>
      <c r="F28" cm="1">
        <f t="array" ref="F28" xml:space="preserve"> SI.Height / SI.Aspect</f>
        <v>9.8726850000000006</v>
      </c>
    </row>
    <row r="29" spans="2:6" x14ac:dyDescent="0.2">
      <c r="E29" s="4"/>
      <c r="F29" s="6"/>
    </row>
    <row r="30" spans="2:6" x14ac:dyDescent="0.2">
      <c r="E30" s="4" t="s">
        <v>607</v>
      </c>
      <c r="F30" s="6" t="s">
        <v>775</v>
      </c>
    </row>
    <row r="31" spans="2:6" x14ac:dyDescent="0.2">
      <c r="E31" s="4" t="s">
        <v>608</v>
      </c>
      <c r="F31" s="6" t="s">
        <v>776</v>
      </c>
    </row>
    <row r="32" spans="2:6" x14ac:dyDescent="0.2">
      <c r="E32" s="5"/>
    </row>
    <row r="33" spans="5:7" x14ac:dyDescent="0.2">
      <c r="E33" s="5"/>
      <c r="F33" cm="1">
        <f t="array" ref="F33" xml:space="preserve"> SVG_length(SI.svg)</f>
        <v>346</v>
      </c>
    </row>
    <row r="34" spans="5:7" x14ac:dyDescent="0.2">
      <c r="E34" s="5"/>
    </row>
    <row r="35" spans="5:7" ht="17" thickBot="1" x14ac:dyDescent="0.25">
      <c r="E35" s="5"/>
      <c r="F35" s="3" t="s">
        <v>613</v>
      </c>
    </row>
    <row r="36" spans="5:7" x14ac:dyDescent="0.2">
      <c r="E36" s="5"/>
      <c r="F36" s="18"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5:7" x14ac:dyDescent="0.2">
      <c r="E37" s="5"/>
      <c r="F37" s="6" t="str">
        <f xml:space="preserve"> "&lt;defs&gt;&lt;path id='SI-s' d='" &amp; _xlfn.TEXTJOIN(" ", TRUE, SI.PointsWorking) &amp; "'/&gt;&lt;/defs&gt;"</f>
        <v>&lt;defs&gt;&lt;path id='SI-s' d='M0 8 L2 3.4641 L6.9282 4 L4 0 L6.9282 -4 L2 -3.4641 L0 -8 l-2 4.5359 L-6.9282 -4 L-4 0 L-6.9282 4 L-2 3.4641Z'/&gt;&lt;/defs&gt;</v>
      </c>
    </row>
    <row r="38" spans="5:7" x14ac:dyDescent="0.2">
      <c r="E38" s="5"/>
      <c r="F38" s="6"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5:7" x14ac:dyDescent="0.2">
      <c r="E39" s="5"/>
      <c r="F39" s="6" t="s">
        <v>15</v>
      </c>
    </row>
    <row r="45" spans="5:7" x14ac:dyDescent="0.2">
      <c r="F45" t="s">
        <v>619</v>
      </c>
      <c r="G45" s="6" t="s">
        <v>620</v>
      </c>
    </row>
    <row r="46" spans="5:7" x14ac:dyDescent="0.2">
      <c r="F46" t="s">
        <v>618</v>
      </c>
      <c r="G46" s="6"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topLeftCell="B1" workbookViewId="0">
      <selection activeCell="B2" sqref="B2"/>
    </sheetView>
  </sheetViews>
  <sheetFormatPr baseColWidth="10" defaultRowHeight="16" x14ac:dyDescent="0.2"/>
  <cols>
    <col min="11" max="11" width="10.83203125" style="36"/>
  </cols>
  <sheetData>
    <row r="2" spans="2:11" x14ac:dyDescent="0.2">
      <c r="H2" s="4" t="s">
        <v>1500</v>
      </c>
      <c r="I2" s="6" t="s">
        <v>1503</v>
      </c>
    </row>
    <row r="3" spans="2:11" x14ac:dyDescent="0.2">
      <c r="H3" s="4" t="s">
        <v>1501</v>
      </c>
      <c r="I3" s="6" t="s">
        <v>1498</v>
      </c>
    </row>
    <row r="5" spans="2:11" x14ac:dyDescent="0.2">
      <c r="H5" s="4" t="s">
        <v>1539</v>
      </c>
      <c r="I5">
        <f xml:space="preserve"> 39*4*10</f>
        <v>1560</v>
      </c>
    </row>
    <row r="6" spans="2:11" x14ac:dyDescent="0.2">
      <c r="H6" s="4" t="s">
        <v>681</v>
      </c>
      <c r="I6">
        <f xml:space="preserve"> DecimalPlaces - INT(LOG(CY.Rescale) + 0.2)</f>
        <v>2</v>
      </c>
    </row>
    <row r="7" spans="2:11" x14ac:dyDescent="0.2">
      <c r="B7" s="4" t="s">
        <v>695</v>
      </c>
      <c r="C7">
        <f xml:space="preserve"> MATCH(MAX(CY.Y1), CY.Y1, 0)</f>
        <v>10</v>
      </c>
      <c r="H7" s="4" t="s">
        <v>1502</v>
      </c>
      <c r="I7">
        <f xml:space="preserve"> CY.Y_Max / 4</f>
        <v>161.77081323372275</v>
      </c>
      <c r="J7" s="6"/>
      <c r="K7" s="6"/>
    </row>
    <row r="8" spans="2:11" x14ac:dyDescent="0.2">
      <c r="B8" s="4" t="s">
        <v>697</v>
      </c>
      <c r="C8" cm="1">
        <f t="array" ref="C8" xml:space="preserve"> INDEX(CY.Y3, CY.Points_RowNum - 1)</f>
        <v>600</v>
      </c>
      <c r="H8" s="4" t="s">
        <v>682</v>
      </c>
      <c r="I8">
        <f xml:space="preserve"> CEILING(MAX($D$26:$D$31, $F$26:$F$31, $H$26:$H$31) + CY.RectExtra, 10^(2-CY.DecimalPlaces))</f>
        <v>882</v>
      </c>
    </row>
    <row r="9" spans="2:11" x14ac:dyDescent="0.2">
      <c r="B9" s="4" t="s">
        <v>698</v>
      </c>
      <c r="C9" cm="1">
        <f t="array" ref="C9" xml:space="preserve"> 3 * INDEX(CY.Y1, CY.Points_RowNum) - 3 * INDEX(CY.Y3, CY.Points_RowNum - 1)</f>
        <v>495</v>
      </c>
      <c r="H9" s="4" t="s">
        <v>683</v>
      </c>
      <c r="I9">
        <f xml:space="preserve"> CEILING( ABS(CY.Y_Max) + CY.RectExtra, 10^(2-CY.DecimalPlaces))</f>
        <v>809</v>
      </c>
    </row>
    <row r="10" spans="2:11" x14ac:dyDescent="0.2">
      <c r="B10" s="4" t="s">
        <v>699</v>
      </c>
      <c r="C10" cm="1">
        <f t="array" ref="C10" xml:space="preserve"> 3 * INDEX(CY.Y2, CY.Points_RowNum)  -  6 * INDEX(CY.Y1, CY.Points_RowNum) + 3 * INDEX(CY.Y3, CY.Points_RowNum - 1)</f>
        <v>-1350</v>
      </c>
      <c r="H10" s="4" t="s">
        <v>684</v>
      </c>
      <c r="I10" cm="1">
        <f t="array" ref="I10" xml:space="preserve"> - CY.MaxX</f>
        <v>-882</v>
      </c>
    </row>
    <row r="11" spans="2:11" x14ac:dyDescent="0.2">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x14ac:dyDescent="0.2">
      <c r="B12" s="4" t="s">
        <v>696</v>
      </c>
      <c r="C12">
        <f xml:space="preserve"> (-2*CY.Y_Coeff2 - SQRT( (2*CY.Y_Coeff2)^2 - 4*CY.Y_Coeff1*3*CY.Y_Coeff3) ) / (2*3*CY.Y_Coeff3)</f>
        <v>0.19399647966838945</v>
      </c>
    </row>
    <row r="13" spans="2:11" x14ac:dyDescent="0.2">
      <c r="B13" s="4" t="s">
        <v>701</v>
      </c>
      <c r="C13">
        <f xml:space="preserve"> ((CY.Y_Coeff3*CY.t_Turn + CY.Y_Coeff2)*CY.t_Turn + CY.Y_Coeff1)*CY.t_Turn + CY.Y_Coeff0</f>
        <v>647.08325293489099</v>
      </c>
      <c r="H13" s="4" t="s">
        <v>677</v>
      </c>
      <c r="I13" s="28">
        <f xml:space="preserve"> MODE(Squares.AreaMultiplier)</f>
        <v>0.85</v>
      </c>
    </row>
    <row r="14" spans="2:11" x14ac:dyDescent="0.2">
      <c r="H14" s="4" t="s">
        <v>678</v>
      </c>
      <c r="I14">
        <f xml:space="preserve"> MAX(CY.MaxY, -CY.MinY) / MAX(CY.MaxX, -CY.MinX)</f>
        <v>0.91723356009070289</v>
      </c>
    </row>
    <row r="15" spans="2:11" x14ac:dyDescent="0.2">
      <c r="H15" s="4" t="s">
        <v>679</v>
      </c>
      <c r="I15">
        <f xml:space="preserve"> VALUE(TEXT(SQRT(CY.AreaMultiplier * BasicBBoxArea * CY.Aspect), SVG.NumberFormatHeight))</f>
        <v>8.8000000000000007</v>
      </c>
    </row>
    <row r="16" spans="2:11" x14ac:dyDescent="0.2">
      <c r="H16" s="4" t="s">
        <v>680</v>
      </c>
      <c r="I16" cm="1">
        <f t="array" ref="I16" xml:space="preserve"> CY.Height / CY.Aspect</f>
        <v>9.5940667490729314</v>
      </c>
    </row>
    <row r="18" spans="2:11" x14ac:dyDescent="0.2">
      <c r="D18">
        <f xml:space="preserve"> CY.Rescale * 0.4</f>
        <v>624</v>
      </c>
      <c r="E18">
        <f xml:space="preserve"> CY.Rescale / 6</f>
        <v>260</v>
      </c>
      <c r="F18">
        <f xml:space="preserve"> CY.Rescale * 0.875</f>
        <v>1365</v>
      </c>
      <c r="G18">
        <f xml:space="preserve"> $E18</f>
        <v>260</v>
      </c>
      <c r="H18">
        <f xml:space="preserve"> CY.Rescale</f>
        <v>1560</v>
      </c>
      <c r="I18">
        <v>0</v>
      </c>
    </row>
    <row r="19" spans="2:11" x14ac:dyDescent="0.2">
      <c r="D19">
        <f xml:space="preserve"> F18</f>
        <v>1365</v>
      </c>
      <c r="E19">
        <f xml:space="preserve"> - G18</f>
        <v>-260</v>
      </c>
      <c r="F19">
        <f xml:space="preserve"> D18</f>
        <v>624</v>
      </c>
      <c r="G19">
        <f xml:space="preserve"> - E18</f>
        <v>-260</v>
      </c>
      <c r="H19">
        <v>0</v>
      </c>
      <c r="I19">
        <v>0</v>
      </c>
    </row>
    <row r="21" spans="2:11" ht="17" thickBot="1" x14ac:dyDescent="0.25">
      <c r="B21" s="3" t="s">
        <v>686</v>
      </c>
      <c r="C21" s="3" t="s">
        <v>1538</v>
      </c>
      <c r="D21" s="3" t="s">
        <v>687</v>
      </c>
      <c r="E21" s="3" t="s">
        <v>688</v>
      </c>
      <c r="F21" s="3" t="s">
        <v>689</v>
      </c>
      <c r="G21" s="3" t="s">
        <v>690</v>
      </c>
      <c r="H21" s="3" t="s">
        <v>691</v>
      </c>
      <c r="I21" s="3" t="s">
        <v>692</v>
      </c>
      <c r="J21" s="5"/>
      <c r="K21" s="40" t="s">
        <v>1499</v>
      </c>
    </row>
    <row r="22" spans="2:11" x14ac:dyDescent="0.2">
      <c r="K22" s="6"/>
    </row>
    <row r="23" spans="2:11" x14ac:dyDescent="0.2">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x14ac:dyDescent="0.2">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x14ac:dyDescent="0.2">
      <c r="C25">
        <f xml:space="preserve"> - AVERAGE( MAX($D$23:$D$24,$F$23:$F$24,$H$23:$H$24), MIN($D$23:$D$24,$F$23:$F$24,$H$23:$H$24) )</f>
        <v>-720</v>
      </c>
      <c r="K25" s="36" t="str">
        <f xml:space="preserve"> "M " &amp; ROUND(CY.OffsetX, CY.DecimalPlaces) &amp; " 0"</f>
        <v>M -720 0</v>
      </c>
    </row>
    <row r="26" spans="2:11" x14ac:dyDescent="0.2">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36" t="str">
        <f t="shared" ref="K26:K31" si="0">_xlfn.TEXTJOIN(" ",TRUE, "C", _xlfn.SINGLE(CY.X1), _xlfn.SINGLE(CY.Y1), _xlfn.SINGLE(CY.X2), _xlfn.SINGLE(CY.Y2), _xlfn.SINGLE(CY.X3), _xlfn.SINGLE(CY.Y3  ))</f>
        <v>C -44 0 640 -285 720 -600</v>
      </c>
    </row>
    <row r="27" spans="2:11" x14ac:dyDescent="0.2">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36" t="str">
        <f t="shared" si="0"/>
        <v>C 440 -765 -244 -480 -720 0</v>
      </c>
    </row>
    <row r="28" spans="2:11" x14ac:dyDescent="0.2">
      <c r="K28" s="36" t="s">
        <v>559</v>
      </c>
    </row>
    <row r="29" spans="2:11" x14ac:dyDescent="0.2">
      <c r="C29">
        <f xml:space="preserve"> - C25</f>
        <v>720</v>
      </c>
      <c r="K29" s="36" t="str">
        <f xml:space="preserve"> "M " &amp; ROUND(CY.OffsetX, CY.DecimalPlaces) &amp; " 0"</f>
        <v>M 720 0</v>
      </c>
    </row>
    <row r="30" spans="2:11" x14ac:dyDescent="0.2">
      <c r="C30">
        <f xml:space="preserve"> C29</f>
        <v>720</v>
      </c>
      <c r="D30">
        <f xml:space="preserve"> - D26</f>
        <v>44</v>
      </c>
      <c r="E30">
        <f t="shared" ref="E30:I30" si="1" xml:space="preserve"> - E26</f>
        <v>0</v>
      </c>
      <c r="F30">
        <f t="shared" si="1"/>
        <v>-640</v>
      </c>
      <c r="G30">
        <f t="shared" si="1"/>
        <v>285</v>
      </c>
      <c r="H30">
        <f t="shared" si="1"/>
        <v>-720</v>
      </c>
      <c r="I30">
        <f t="shared" si="1"/>
        <v>600</v>
      </c>
      <c r="K30" s="36" t="str">
        <f t="shared" si="0"/>
        <v>C 44 0 -640 285 -720 600</v>
      </c>
    </row>
    <row r="31" spans="2:11" x14ac:dyDescent="0.2">
      <c r="C31">
        <f xml:space="preserve"> C29</f>
        <v>720</v>
      </c>
      <c r="D31">
        <f xml:space="preserve"> - D27</f>
        <v>-440</v>
      </c>
      <c r="E31">
        <f t="shared" ref="E31:I31" si="2" xml:space="preserve"> - E27</f>
        <v>765</v>
      </c>
      <c r="F31">
        <f t="shared" si="2"/>
        <v>244</v>
      </c>
      <c r="G31">
        <f t="shared" si="2"/>
        <v>480</v>
      </c>
      <c r="H31">
        <f t="shared" si="2"/>
        <v>720</v>
      </c>
      <c r="I31">
        <f t="shared" si="2"/>
        <v>0</v>
      </c>
      <c r="K31" s="36" t="str">
        <f t="shared" si="0"/>
        <v>C -440 765 244 480 720 0</v>
      </c>
    </row>
    <row r="32" spans="2:11" x14ac:dyDescent="0.2">
      <c r="K32" s="36" t="s">
        <v>559</v>
      </c>
    </row>
    <row r="35" spans="11:11" ht="17" thickBot="1" x14ac:dyDescent="0.25">
      <c r="K35" s="40" t="s">
        <v>693</v>
      </c>
    </row>
    <row r="36" spans="11:11" x14ac:dyDescent="0.2">
      <c r="K36" s="18"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x14ac:dyDescent="0.2">
      <c r="K37" s="36" t="str" cm="1">
        <f t="array" ref="K37" xml:space="preserve"> svgPathRect(CY.DecimalPlaces, CY.SVG_painting_O, CY.MaxX, CY.MaxY)</f>
        <v>&lt;path fill='#D57800' d='M882 809V-809H-882V809Z'/&gt;</v>
      </c>
    </row>
    <row r="38" spans="11:11" x14ac:dyDescent="0.2">
      <c r="K38" s="36"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x14ac:dyDescent="0.2">
      <c r="K39" s="6"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F39"/>
  <sheetViews>
    <sheetView topLeftCell="B1" workbookViewId="0">
      <selection activeCell="B2" sqref="B2"/>
    </sheetView>
  </sheetViews>
  <sheetFormatPr baseColWidth="10" defaultRowHeight="16" x14ac:dyDescent="0.2"/>
  <sheetData>
    <row r="2" spans="2:5" x14ac:dyDescent="0.2">
      <c r="D2" s="4" t="s">
        <v>702</v>
      </c>
      <c r="E2">
        <f xml:space="preserve"> DecimalPlaces - INT(LOG(MIN(  MAX(MT.RawX) - MIN(MT.RawX),  MAX(MT.RawY) - MIN(MT.RawY)  )/2, 10) + 0.2)</f>
        <v>5</v>
      </c>
    </row>
    <row r="3" spans="2:5" x14ac:dyDescent="0.2">
      <c r="D3" s="5"/>
    </row>
    <row r="4" spans="2:5" ht="17" thickBot="1" x14ac:dyDescent="0.25">
      <c r="B4" s="3" t="s">
        <v>703</v>
      </c>
      <c r="C4" s="3" t="s">
        <v>704</v>
      </c>
      <c r="E4" s="3" t="s">
        <v>1762</v>
      </c>
    </row>
    <row r="5" spans="2:5" x14ac:dyDescent="0.2">
      <c r="B5">
        <v>0</v>
      </c>
      <c r="C5">
        <v>0</v>
      </c>
      <c r="E5" t="str">
        <f t="array" ref="E5:E18" xml:space="preserve"> svgpath(MT.RawX, MT.RawY, MT.DecimalPlaces)</f>
        <v>M0 0</v>
      </c>
    </row>
    <row r="6" spans="2:5" x14ac:dyDescent="0.2">
      <c r="B6">
        <v>-1</v>
      </c>
      <c r="C6" cm="1">
        <f t="array" ref="C6" xml:space="preserve"> 1 - Sqrt2</f>
        <v>-0.41421356237309515</v>
      </c>
      <c r="E6" t="str">
        <v>L-1 -.41421</v>
      </c>
    </row>
    <row r="7" spans="2:5" x14ac:dyDescent="0.2">
      <c r="B7" cm="1">
        <f t="array" ref="B7" xml:space="preserve"> Sqrt2- 2</f>
        <v>-0.58578643762690485</v>
      </c>
      <c r="C7">
        <v>0</v>
      </c>
      <c r="E7" t="str">
        <v>L-.58579 0</v>
      </c>
    </row>
    <row r="8" spans="2:5" x14ac:dyDescent="0.2">
      <c r="B8">
        <v>-1</v>
      </c>
      <c r="C8" cm="1">
        <f t="array" ref="C8" xml:space="preserve"> Sqrt2 - 1</f>
        <v>0.41421356237309515</v>
      </c>
      <c r="E8" t="str">
        <v>L-1 .41421</v>
      </c>
    </row>
    <row r="9" spans="2:5" x14ac:dyDescent="0.2">
      <c r="B9">
        <v>1</v>
      </c>
      <c r="C9" cm="1">
        <f t="array" ref="C9" xml:space="preserve"> 1 - Sqrt2</f>
        <v>-0.41421356237309515</v>
      </c>
      <c r="E9" t="str">
        <v>L1 -.41421</v>
      </c>
    </row>
    <row r="10" spans="2:5" x14ac:dyDescent="0.2">
      <c r="B10" cm="1">
        <f t="array" ref="B10" xml:space="preserve"> 2 - Sqrt2</f>
        <v>0.58578643762690485</v>
      </c>
      <c r="C10">
        <v>0</v>
      </c>
      <c r="E10" t="str">
        <v>L.58579 0</v>
      </c>
    </row>
    <row r="11" spans="2:5" x14ac:dyDescent="0.2">
      <c r="B11">
        <v>1</v>
      </c>
      <c r="C11" cm="1">
        <f t="array" ref="C11" xml:space="preserve"> Sqrt2 - 1</f>
        <v>0.41421356237309515</v>
      </c>
      <c r="E11" t="str">
        <v>L1 .41421</v>
      </c>
    </row>
    <row r="12" spans="2:5" x14ac:dyDescent="0.2">
      <c r="B12">
        <f xml:space="preserve"> $C5</f>
        <v>0</v>
      </c>
      <c r="C12">
        <f xml:space="preserve"> $B5</f>
        <v>0</v>
      </c>
      <c r="E12" t="str">
        <v>L0 0</v>
      </c>
    </row>
    <row r="13" spans="2:5" x14ac:dyDescent="0.2">
      <c r="B13">
        <f t="shared" ref="B13:B18" si="0" xml:space="preserve"> $C6</f>
        <v>-0.41421356237309515</v>
      </c>
      <c r="C13">
        <f t="shared" ref="C13:C18" si="1" xml:space="preserve"> $B6</f>
        <v>-1</v>
      </c>
      <c r="E13" t="str">
        <v>L-.41421 -1</v>
      </c>
    </row>
    <row r="14" spans="2:5" x14ac:dyDescent="0.2">
      <c r="B14">
        <f t="shared" si="0"/>
        <v>0</v>
      </c>
      <c r="C14">
        <f t="shared" si="1"/>
        <v>-0.58578643762690485</v>
      </c>
      <c r="E14" t="str">
        <v>L0 -.58579</v>
      </c>
    </row>
    <row r="15" spans="2:5" x14ac:dyDescent="0.2">
      <c r="B15">
        <f t="shared" si="0"/>
        <v>0.41421356237309515</v>
      </c>
      <c r="C15">
        <f t="shared" si="1"/>
        <v>-1</v>
      </c>
      <c r="E15" t="str">
        <v>L.41421 -1</v>
      </c>
    </row>
    <row r="16" spans="2:5" x14ac:dyDescent="0.2">
      <c r="B16">
        <f t="shared" si="0"/>
        <v>-0.41421356237309515</v>
      </c>
      <c r="C16">
        <f t="shared" si="1"/>
        <v>1</v>
      </c>
      <c r="E16" t="str">
        <v>L-.41421 1</v>
      </c>
    </row>
    <row r="17" spans="2:6" x14ac:dyDescent="0.2">
      <c r="B17">
        <f t="shared" si="0"/>
        <v>0</v>
      </c>
      <c r="C17">
        <f t="shared" si="1"/>
        <v>0.58578643762690485</v>
      </c>
      <c r="E17" t="str">
        <v>L0 .58579</v>
      </c>
    </row>
    <row r="18" spans="2:6" x14ac:dyDescent="0.2">
      <c r="B18">
        <f t="shared" si="0"/>
        <v>0.41421356237309515</v>
      </c>
      <c r="C18">
        <f t="shared" si="1"/>
        <v>1</v>
      </c>
      <c r="E18" t="str">
        <v>L.41421 1Z</v>
      </c>
    </row>
    <row r="21" spans="2:6" x14ac:dyDescent="0.2">
      <c r="D21" s="4" t="s">
        <v>709</v>
      </c>
      <c r="E21">
        <f xml:space="preserve"> ROUND( MIN(MT.RawX), MT.DecimalPlaces)</f>
        <v>-1</v>
      </c>
    </row>
    <row r="22" spans="2:6" x14ac:dyDescent="0.2">
      <c r="D22" s="4" t="s">
        <v>710</v>
      </c>
      <c r="E22">
        <f xml:space="preserve"> ROUND(MAX(MT.RawX), MT.DecimalPlaces)</f>
        <v>1</v>
      </c>
    </row>
    <row r="23" spans="2:6" x14ac:dyDescent="0.2">
      <c r="D23" s="4" t="s">
        <v>711</v>
      </c>
      <c r="E23">
        <f xml:space="preserve"> ROUND( MIN(MT.RawY), MT.DecimalPlaces)</f>
        <v>-1</v>
      </c>
    </row>
    <row r="24" spans="2:6" x14ac:dyDescent="0.2">
      <c r="D24" s="4" t="s">
        <v>712</v>
      </c>
      <c r="E24">
        <f xml:space="preserve"> ROUND(MAX(MT.RawY), MT.DecimalPlaces)</f>
        <v>1</v>
      </c>
    </row>
    <row r="26" spans="2:6" x14ac:dyDescent="0.2">
      <c r="D26" s="4" t="s">
        <v>705</v>
      </c>
      <c r="E26" s="28">
        <f xml:space="preserve"> MODE(Squares.AreaMultiplier)</f>
        <v>0.85</v>
      </c>
    </row>
    <row r="27" spans="2:6" x14ac:dyDescent="0.2">
      <c r="D27" s="4" t="s">
        <v>706</v>
      </c>
      <c r="E27">
        <f xml:space="preserve"> MAX(MT.MaxY, - MT.MinY) / MAX(MT.MaxX, - MT.MinX)</f>
        <v>1</v>
      </c>
    </row>
    <row r="28" spans="2:6" x14ac:dyDescent="0.2">
      <c r="D28" s="4" t="s">
        <v>707</v>
      </c>
      <c r="E28">
        <f xml:space="preserve"> VALUE(TEXT(SQRT(MT.AreaMultiplier * BasicBBoxArea * MT.Aspect), SVG.NumberFormatHeight))</f>
        <v>9.1999999999999993</v>
      </c>
    </row>
    <row r="29" spans="2:6" x14ac:dyDescent="0.2">
      <c r="D29" s="4" t="s">
        <v>708</v>
      </c>
      <c r="E29" cm="1">
        <f t="array" ref="E29" xml:space="preserve"> MT.Height / MT.Aspect</f>
        <v>9.1999999999999993</v>
      </c>
      <c r="F29" s="5"/>
    </row>
    <row r="30" spans="2:6" x14ac:dyDescent="0.2">
      <c r="F30" s="5"/>
    </row>
    <row r="31" spans="2:6" x14ac:dyDescent="0.2">
      <c r="D31" s="4" t="s">
        <v>1495</v>
      </c>
      <c r="E31" s="6" t="s">
        <v>1497</v>
      </c>
      <c r="F31" s="5"/>
    </row>
    <row r="32" spans="2:6" x14ac:dyDescent="0.2">
      <c r="D32" s="4" t="s">
        <v>1496</v>
      </c>
      <c r="E32" s="6" t="s">
        <v>2091</v>
      </c>
      <c r="F32" s="5"/>
    </row>
    <row r="33" spans="3:6" x14ac:dyDescent="0.2">
      <c r="D33" s="5"/>
      <c r="F33" s="5"/>
    </row>
    <row r="34" spans="3:6" ht="17" thickBot="1" x14ac:dyDescent="0.25">
      <c r="D34" s="5"/>
      <c r="E34" s="3" t="s">
        <v>713</v>
      </c>
      <c r="F34" s="5"/>
    </row>
    <row r="35" spans="3:6" x14ac:dyDescent="0.2">
      <c r="C35" cm="1">
        <f t="array" ref="C35" xml:space="preserve"> SVG_length(MT.svg)</f>
        <v>297</v>
      </c>
      <c r="D35" s="5"/>
      <c r="E35" s="18"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6" x14ac:dyDescent="0.2">
      <c r="D36" s="5"/>
      <c r="E36" s="6" t="str" cm="1">
        <f t="array" ref="E36" xml:space="preserve"> svgPathRect(MT.DecimalPlaces, MT.SVG_painting_O, MT.MaxX, MT.MaxY)</f>
        <v>&lt;path fill='#CF142B' d='M1 1V-1H-1V1Z'/&gt;</v>
      </c>
    </row>
    <row r="37" spans="3:6" x14ac:dyDescent="0.2">
      <c r="D37" s="5"/>
      <c r="E37" s="6"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6" x14ac:dyDescent="0.2">
      <c r="D38" s="5"/>
      <c r="E38" s="6" t="s">
        <v>15</v>
      </c>
    </row>
    <row r="39" spans="3:6" x14ac:dyDescent="0.2">
      <c r="D39" s="5"/>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topLeftCell="B1" workbookViewId="0">
      <selection activeCell="B2" sqref="B2"/>
    </sheetView>
  </sheetViews>
  <sheetFormatPr baseColWidth="10" defaultRowHeight="16" x14ac:dyDescent="0.2"/>
  <sheetData>
    <row r="5" spans="2:8" ht="17" thickBot="1" x14ac:dyDescent="0.25">
      <c r="G5" s="3" t="s">
        <v>1512</v>
      </c>
      <c r="H5" s="3" t="s">
        <v>1511</v>
      </c>
    </row>
    <row r="6" spans="2:8" x14ac:dyDescent="0.2">
      <c r="B6" s="4" t="s">
        <v>959</v>
      </c>
      <c r="C6">
        <v>8</v>
      </c>
      <c r="G6" t="s">
        <v>23</v>
      </c>
      <c r="H6" s="6" t="str">
        <f xml:space="preserve"> "M 0 " &amp; _EBRD.yIntersection</f>
        <v>M 0 10.3923</v>
      </c>
    </row>
    <row r="7" spans="2:8" x14ac:dyDescent="0.2">
      <c r="B7" s="4" t="s">
        <v>960</v>
      </c>
      <c r="C7">
        <v>12</v>
      </c>
      <c r="G7" t="s">
        <v>23</v>
      </c>
      <c r="H7" s="6" t="str">
        <f xml:space="preserve"> "A " &amp; _EBRD.OvalHalfWidth &amp; " " &amp; _EBRD.OvalHalfHeight &amp; " 0 1 0 0 " &amp; (- _EBRD.yIntersection)</f>
        <v>A 8 12 0 1 0 0 -10.3923</v>
      </c>
    </row>
    <row r="8" spans="2:8" x14ac:dyDescent="0.2">
      <c r="B8" s="4" t="s">
        <v>961</v>
      </c>
      <c r="C8">
        <v>4</v>
      </c>
      <c r="G8" t="s">
        <v>23</v>
      </c>
      <c r="H8" s="6" t="str">
        <f xml:space="preserve"> "A " &amp; _EBRD.OvalHalfWidth &amp; " " &amp; _EBRD.OvalHalfHeight &amp; " 0 1 0 0 " &amp; (_EBRD.yIntersection)</f>
        <v>A 8 12 0 1 0 0 10.3923</v>
      </c>
    </row>
    <row r="9" spans="2:8" x14ac:dyDescent="0.2">
      <c r="G9" t="s">
        <v>23</v>
      </c>
      <c r="H9" s="6" t="s">
        <v>559</v>
      </c>
    </row>
    <row r="10" spans="2:8" x14ac:dyDescent="0.2">
      <c r="B10" s="4" t="s">
        <v>963</v>
      </c>
      <c r="C10">
        <f xml:space="preserve"> DecimalPlaces - INT(LOG(MAX(_EBRD.OvalHalfHeight, _EBRD.OvalHalfWidth+_EBRD.OvalHalfSeparation), 10) + 0.2)</f>
        <v>4</v>
      </c>
    </row>
    <row r="11" spans="2:8" x14ac:dyDescent="0.2">
      <c r="G11" t="s">
        <v>24</v>
      </c>
      <c r="H11" s="6" t="str">
        <f xml:space="preserve"> "M 0 " &amp; _EBRD.yIntersection</f>
        <v>M 0 10.3923</v>
      </c>
    </row>
    <row r="12" spans="2:8" x14ac:dyDescent="0.2">
      <c r="B12" s="4" t="s">
        <v>962</v>
      </c>
      <c r="C12">
        <f xml:space="preserve"> ROUND( _EBRD.OvalHalfHeight * SQRT( 1 - (_EBRD.OvalHalfSeparation / _EBRD.OvalHalfWidth)^2 ), _EBRD.DecimalPlaces )</f>
        <v>10.392300000000001</v>
      </c>
      <c r="G12" t="s">
        <v>24</v>
      </c>
      <c r="H12" s="6" t="str">
        <f xml:space="preserve"> "A " &amp; _EBRD.OvalHalfWidth &amp; " " &amp; _EBRD.OvalHalfHeight &amp; " 0 0 0 0 " &amp; (- _EBRD.yIntersection)</f>
        <v>A 8 12 0 0 0 0 -10.3923</v>
      </c>
    </row>
    <row r="13" spans="2:8" x14ac:dyDescent="0.2">
      <c r="C13" cm="1">
        <f t="array" ref="C13" xml:space="preserve"> 6 * Sqrt3</f>
        <v>10.392304845413264</v>
      </c>
      <c r="G13" t="s">
        <v>24</v>
      </c>
      <c r="H13" s="6" t="str">
        <f xml:space="preserve"> "A " &amp; _EBRD.OvalHalfWidth &amp; " " &amp; _EBRD.OvalHalfHeight &amp; " 0 0 0 0 " &amp; (_EBRD.yIntersection)</f>
        <v>A 8 12 0 0 0 0 10.3923</v>
      </c>
    </row>
    <row r="14" spans="2:8" x14ac:dyDescent="0.2">
      <c r="G14" t="s">
        <v>24</v>
      </c>
      <c r="H14" s="6" t="s">
        <v>559</v>
      </c>
    </row>
    <row r="15" spans="2:8" x14ac:dyDescent="0.2">
      <c r="B15" s="4" t="s">
        <v>969</v>
      </c>
      <c r="C15">
        <f xml:space="preserve"> _EBRD.OvalHalfSeparation + _EBRD.OvalHalfWidth</f>
        <v>12</v>
      </c>
    </row>
    <row r="16" spans="2:8" x14ac:dyDescent="0.2">
      <c r="B16" s="4" t="s">
        <v>971</v>
      </c>
      <c r="C16">
        <f xml:space="preserve"> _EBRD.OvalHalfHeight</f>
        <v>12</v>
      </c>
    </row>
    <row r="17" spans="2:3" x14ac:dyDescent="0.2">
      <c r="B17" s="4" t="s">
        <v>968</v>
      </c>
      <c r="C17">
        <f xml:space="preserve"> - _EBRD.MaxX</f>
        <v>-12</v>
      </c>
    </row>
    <row r="18" spans="2:3" x14ac:dyDescent="0.2">
      <c r="B18" s="4" t="s">
        <v>970</v>
      </c>
      <c r="C18">
        <f xml:space="preserve"> - _EBRD.MaxY</f>
        <v>-12</v>
      </c>
    </row>
    <row r="20" spans="2:3" x14ac:dyDescent="0.2">
      <c r="B20" s="4" t="s">
        <v>964</v>
      </c>
      <c r="C20" s="28">
        <f xml:space="preserve"> MODE(Circles.AreaMultiplier)</f>
        <v>1</v>
      </c>
    </row>
    <row r="21" spans="2:3" x14ac:dyDescent="0.2">
      <c r="B21" s="4" t="s">
        <v>965</v>
      </c>
      <c r="C21">
        <f xml:space="preserve"> MAX( _EBRD.MaxY, -  _EBRD.MinY) / MAX( _EBRD.MaxX, -  _EBRD.MinX)</f>
        <v>1</v>
      </c>
    </row>
    <row r="22" spans="2:3" x14ac:dyDescent="0.2">
      <c r="B22" s="4" t="s">
        <v>966</v>
      </c>
      <c r="C22">
        <f xml:space="preserve"> VALUE(TEXT(SQRT(_EBRD.AreaMultiplier * BasicBBoxArea * _EBRD.Aspect), SVG.NumberFormatHeight))</f>
        <v>10</v>
      </c>
    </row>
    <row r="23" spans="2:3" x14ac:dyDescent="0.2">
      <c r="B23" s="4" t="s">
        <v>967</v>
      </c>
      <c r="C23" cm="1">
        <f t="array" ref="C23" xml:space="preserve"> _EBRD.Height / _EBRD.Aspect</f>
        <v>10</v>
      </c>
    </row>
    <row r="25" spans="2:3" x14ac:dyDescent="0.2">
      <c r="B25" s="4" t="s">
        <v>974</v>
      </c>
      <c r="C25" s="6" t="s">
        <v>1504</v>
      </c>
    </row>
    <row r="26" spans="2:3" x14ac:dyDescent="0.2">
      <c r="B26" s="4" t="s">
        <v>975</v>
      </c>
      <c r="C26" s="6" t="s">
        <v>2091</v>
      </c>
    </row>
    <row r="29" spans="2:3" ht="17" thickBot="1" x14ac:dyDescent="0.25">
      <c r="B29" s="5"/>
      <c r="C29" s="3" t="s">
        <v>972</v>
      </c>
    </row>
    <row r="30" spans="2:3" x14ac:dyDescent="0.2">
      <c r="B30" s="5"/>
      <c r="C30" s="18"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x14ac:dyDescent="0.2">
      <c r="C31" s="6" t="str" cm="1">
        <f t="array" ref="C31" xml:space="preserve"> "&lt;path d='" &amp; _xlfn.TEXTJOIN(" ", TRUE, IF("Outer"=_EBRD.Part, _EBRD.svgWorking, "")) &amp; "' " &amp; _EBRD.SVG_painting_O &amp; "/&gt;"</f>
        <v>&lt;path d='M 0 10.3923 A 8 12 0 1 0 0 -10.3923 A 8 12 0 1 0 0 10.3923 Z' fill='#0A6AAA'/&gt;</v>
      </c>
    </row>
    <row r="32" spans="2:3" x14ac:dyDescent="0.2">
      <c r="C32" s="6" t="str" cm="1">
        <f t="array" ref="C32" xml:space="preserve"> "&lt;path d='" &amp; _xlfn.TEXTJOIN(" ", TRUE, IF("Inner"=_EBRD.Part, _EBRD.svgWorking, "")) &amp; "' " &amp; _EBRD.SVG_painting_I &amp; "/&gt;"</f>
        <v>&lt;path d='M 0 10.3923 A 8 12 0 0 0 0 -10.3923 A 8 12 0 0 0 0 10.3923 Z' fill='#FFF'/&gt;</v>
      </c>
    </row>
    <row r="33" spans="3:3" x14ac:dyDescent="0.2">
      <c r="C33" s="6"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52"/>
  <sheetViews>
    <sheetView topLeftCell="B1" workbookViewId="0">
      <selection activeCell="B2" sqref="B2"/>
    </sheetView>
  </sheetViews>
  <sheetFormatPr baseColWidth="10" defaultRowHeight="16" x14ac:dyDescent="0.2"/>
  <sheetData>
    <row r="2" spans="2:16" ht="17" thickBot="1" x14ac:dyDescent="0.25">
      <c r="F2" s="3" t="s">
        <v>995</v>
      </c>
    </row>
    <row r="3" spans="2:16" x14ac:dyDescent="0.2">
      <c r="F3">
        <f xml:space="preserve"> DecimalPlaces - INT(LOG(MIN(  MAX(_NIB.RawX) - MIN(_NIB.RawX),  MAX(_NIB.RawY) - MIN(_NIB.RawY)  )/2, 10) + 0.2)</f>
        <v>4</v>
      </c>
    </row>
    <row r="4" spans="2:16" x14ac:dyDescent="0.2">
      <c r="E4" s="5"/>
    </row>
    <row r="5" spans="2:16" ht="17" thickBot="1" x14ac:dyDescent="0.25">
      <c r="B5" s="3" t="s">
        <v>996</v>
      </c>
      <c r="C5" s="3" t="s">
        <v>997</v>
      </c>
      <c r="D5" s="3" t="s">
        <v>998</v>
      </c>
      <c r="F5" s="3" t="s">
        <v>1763</v>
      </c>
      <c r="K5" s="3" t="s">
        <v>1008</v>
      </c>
      <c r="L5" s="3" t="s">
        <v>1009</v>
      </c>
      <c r="M5" s="3" t="s">
        <v>1010</v>
      </c>
      <c r="N5" s="3" t="s">
        <v>1011</v>
      </c>
      <c r="O5" s="3" t="s">
        <v>1012</v>
      </c>
      <c r="P5" s="3" t="s">
        <v>1013</v>
      </c>
    </row>
    <row r="6" spans="2:16" x14ac:dyDescent="0.2">
      <c r="B6" t="s">
        <v>23</v>
      </c>
      <c r="C6">
        <v>9</v>
      </c>
      <c r="D6">
        <v>9</v>
      </c>
      <c r="F6" t="str">
        <f t="array" ref="F6:F15" xml:space="preserve"> svgpath($C6:$C15, $D6:$D15, _NIB.DecimalPlaces)</f>
        <v>M9 9</v>
      </c>
    </row>
    <row r="7" spans="2:16" x14ac:dyDescent="0.2">
      <c r="B7" t="s">
        <v>23</v>
      </c>
      <c r="C7">
        <v>3</v>
      </c>
      <c r="D7">
        <v>9</v>
      </c>
      <c r="F7" t="str">
        <v>H3</v>
      </c>
    </row>
    <row r="8" spans="2:16" x14ac:dyDescent="0.2">
      <c r="B8" t="s">
        <v>23</v>
      </c>
      <c r="C8">
        <v>-3</v>
      </c>
      <c r="D8">
        <v>1</v>
      </c>
      <c r="F8" t="str">
        <v>L-3 1</v>
      </c>
    </row>
    <row r="9" spans="2:16" x14ac:dyDescent="0.2">
      <c r="B9" t="s">
        <v>23</v>
      </c>
      <c r="C9">
        <v>-3</v>
      </c>
      <c r="D9">
        <v>9</v>
      </c>
      <c r="F9" t="str">
        <v>V9</v>
      </c>
    </row>
    <row r="10" spans="2:16" x14ac:dyDescent="0.2">
      <c r="B10" t="s">
        <v>23</v>
      </c>
      <c r="C10">
        <v>-9</v>
      </c>
      <c r="D10">
        <v>9</v>
      </c>
      <c r="F10" t="str">
        <v>H-9</v>
      </c>
    </row>
    <row r="11" spans="2:16" x14ac:dyDescent="0.2">
      <c r="B11" t="s">
        <v>23</v>
      </c>
      <c r="C11">
        <v>-9</v>
      </c>
      <c r="D11">
        <v>-9</v>
      </c>
      <c r="F11" t="str">
        <v>V-9</v>
      </c>
    </row>
    <row r="12" spans="2:16" x14ac:dyDescent="0.2">
      <c r="B12" t="s">
        <v>23</v>
      </c>
      <c r="C12">
        <v>-3</v>
      </c>
      <c r="D12">
        <v>-9</v>
      </c>
      <c r="F12" t="str">
        <v>h6</v>
      </c>
    </row>
    <row r="13" spans="2:16" x14ac:dyDescent="0.2">
      <c r="B13" t="s">
        <v>23</v>
      </c>
      <c r="C13">
        <v>3</v>
      </c>
      <c r="D13">
        <v>-1</v>
      </c>
      <c r="F13" t="str">
        <v>l6 8</v>
      </c>
    </row>
    <row r="14" spans="2:16" x14ac:dyDescent="0.2">
      <c r="B14" t="s">
        <v>23</v>
      </c>
      <c r="C14">
        <v>3</v>
      </c>
      <c r="D14">
        <v>-9</v>
      </c>
      <c r="F14" t="str">
        <v>V-9</v>
      </c>
    </row>
    <row r="15" spans="2:16" x14ac:dyDescent="0.2">
      <c r="B15" t="s">
        <v>23</v>
      </c>
      <c r="C15">
        <v>9</v>
      </c>
      <c r="D15">
        <v>-9</v>
      </c>
      <c r="F15" t="str">
        <v>H9Z</v>
      </c>
    </row>
    <row r="17" spans="2:16" x14ac:dyDescent="0.2">
      <c r="H17" s="4" t="s">
        <v>1014</v>
      </c>
      <c r="I17">
        <v>1</v>
      </c>
    </row>
    <row r="18" spans="2:16" x14ac:dyDescent="0.2">
      <c r="H18" s="4" t="s">
        <v>1015</v>
      </c>
      <c r="I18" cm="1">
        <f t="array" ref="I18" xml:space="preserve"> COUNTIFS(_NIB.Part, "Outer")</f>
        <v>10</v>
      </c>
    </row>
    <row r="20" spans="2:16" x14ac:dyDescent="0.2">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x14ac:dyDescent="0.2">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x14ac:dyDescent="0.2">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x14ac:dyDescent="0.2">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x14ac:dyDescent="0.2">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x14ac:dyDescent="0.2">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x14ac:dyDescent="0.2">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x14ac:dyDescent="0.2">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x14ac:dyDescent="0.2">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x14ac:dyDescent="0.2">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x14ac:dyDescent="0.2">
      <c r="E32" s="4" t="s">
        <v>1003</v>
      </c>
      <c r="F32">
        <f xml:space="preserve"> ROUND( MIN(_NIB.RawX), _NIB.DecimalPlaces)</f>
        <v>-9</v>
      </c>
    </row>
    <row r="33" spans="4:6" x14ac:dyDescent="0.2">
      <c r="E33" s="4" t="s">
        <v>1004</v>
      </c>
      <c r="F33">
        <f xml:space="preserve"> ROUND(MAX(_NIB.RawX), _NIB.DecimalPlaces)</f>
        <v>9</v>
      </c>
    </row>
    <row r="34" spans="4:6" x14ac:dyDescent="0.2">
      <c r="E34" s="4" t="s">
        <v>1005</v>
      </c>
      <c r="F34">
        <f xml:space="preserve"> ROUND( MIN(_NIB.RawY), _NIB.DecimalPlaces)</f>
        <v>-9</v>
      </c>
    </row>
    <row r="35" spans="4:6" x14ac:dyDescent="0.2">
      <c r="E35" s="4" t="s">
        <v>1006</v>
      </c>
      <c r="F35">
        <f xml:space="preserve"> ROUND(MAX(_NIB.RawY), _NIB.DecimalPlaces)</f>
        <v>9</v>
      </c>
    </row>
    <row r="37" spans="4:6" x14ac:dyDescent="0.2">
      <c r="E37" s="4" t="s">
        <v>999</v>
      </c>
      <c r="F37" s="28">
        <f xml:space="preserve"> MODE(Squares.AreaMultiplier)</f>
        <v>0.85</v>
      </c>
    </row>
    <row r="38" spans="4:6" x14ac:dyDescent="0.2">
      <c r="E38" s="4" t="s">
        <v>1000</v>
      </c>
      <c r="F38">
        <f xml:space="preserve"> MAX( _NIB.MaxY, -  _NIB.MinY) / MAX( _NIB.MaxX, -  _NIB.MinX)</f>
        <v>1</v>
      </c>
    </row>
    <row r="39" spans="4:6" x14ac:dyDescent="0.2">
      <c r="E39" s="4" t="s">
        <v>1001</v>
      </c>
      <c r="F39">
        <f xml:space="preserve"> VALUE(TEXT(SQRT(_NIB.AreaMultiplier* BasicBBoxArea * _NIB.Aspect), SVG.NumberFormatHeight))</f>
        <v>9.1999999999999993</v>
      </c>
    </row>
    <row r="40" spans="4:6" x14ac:dyDescent="0.2">
      <c r="E40" s="4" t="s">
        <v>1002</v>
      </c>
      <c r="F40" cm="1">
        <f t="array" ref="F40" xml:space="preserve"> _NIB.Height / _NIB.Aspect</f>
        <v>9.1999999999999993</v>
      </c>
    </row>
    <row r="42" spans="4:6" x14ac:dyDescent="0.2">
      <c r="E42" s="4" t="s">
        <v>1016</v>
      </c>
      <c r="F42" t="s">
        <v>1018</v>
      </c>
    </row>
    <row r="43" spans="4:6" x14ac:dyDescent="0.2">
      <c r="E43" s="4" t="s">
        <v>1017</v>
      </c>
      <c r="F43" t="s">
        <v>1019</v>
      </c>
    </row>
    <row r="44" spans="4:6" x14ac:dyDescent="0.2">
      <c r="E44" s="5"/>
      <c r="F44" s="5"/>
    </row>
    <row r="45" spans="4:6" ht="17" thickBot="1" x14ac:dyDescent="0.25">
      <c r="E45" s="5"/>
      <c r="F45" s="3" t="s">
        <v>1007</v>
      </c>
    </row>
    <row r="46" spans="4:6" x14ac:dyDescent="0.2">
      <c r="D46" cm="1">
        <f t="array" ref="D46" xml:space="preserve"> SVG_length(_NIB.svg)</f>
        <v>229</v>
      </c>
      <c r="E46" s="5"/>
      <c r="F46" s="18"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x14ac:dyDescent="0.2">
      <c r="E47" s="5"/>
      <c r="F47" s="6"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x14ac:dyDescent="0.2">
      <c r="E48" s="5"/>
      <c r="F48" s="6"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5:6" x14ac:dyDescent="0.2">
      <c r="E49" s="5"/>
      <c r="F49" s="6" t="s">
        <v>15</v>
      </c>
    </row>
    <row r="50" spans="5:6" x14ac:dyDescent="0.2">
      <c r="E50" s="5"/>
    </row>
    <row r="51" spans="5:6" x14ac:dyDescent="0.2">
      <c r="E51" s="5"/>
    </row>
    <row r="52" spans="5:6" x14ac:dyDescent="0.2">
      <c r="E52" s="5"/>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topLeftCell="B1" workbookViewId="0">
      <selection activeCell="B2" sqref="B2"/>
    </sheetView>
  </sheetViews>
  <sheetFormatPr baseColWidth="10" defaultRowHeight="16" x14ac:dyDescent="0.2"/>
  <sheetData>
    <row r="2" spans="2:3" x14ac:dyDescent="0.2">
      <c r="B2" s="4" t="s">
        <v>1695</v>
      </c>
      <c r="C2">
        <v>6</v>
      </c>
    </row>
    <row r="3" spans="2:3" x14ac:dyDescent="0.2">
      <c r="B3" s="4" t="s">
        <v>1696</v>
      </c>
      <c r="C3">
        <f xml:space="preserve"> _AIIB.RadiusOuter - 1</f>
        <v>5</v>
      </c>
    </row>
    <row r="5" spans="2:3" x14ac:dyDescent="0.2">
      <c r="B5" s="4" t="s">
        <v>976</v>
      </c>
      <c r="C5">
        <f xml:space="preserve"> DecimalPlaces - INT(LOG(_AIIB.RadiusOuter, 10) + 0.2)</f>
        <v>5</v>
      </c>
    </row>
    <row r="7" spans="2:3" x14ac:dyDescent="0.2">
      <c r="B7" s="4" t="s">
        <v>989</v>
      </c>
      <c r="C7">
        <v>1</v>
      </c>
    </row>
    <row r="8" spans="2:3" x14ac:dyDescent="0.2">
      <c r="B8" s="4" t="s">
        <v>990</v>
      </c>
      <c r="C8">
        <f xml:space="preserve"> _AIIB.X1 + _AIIB.RadiusOuter - _AIIB.RadiusInner</f>
        <v>2</v>
      </c>
    </row>
    <row r="9" spans="2:3" x14ac:dyDescent="0.2">
      <c r="B9" s="4" t="s">
        <v>991</v>
      </c>
      <c r="C9">
        <f xml:space="preserve"> ROUND(SQRT( AVERAGE(_AIIB.RadiusOuter, _AIIB.RadiusInner)^2 - _AIIB.X1^2 ), _AIIB.DecimalPlaces - 4)</f>
        <v>5.4</v>
      </c>
    </row>
    <row r="10" spans="2:3" x14ac:dyDescent="0.2">
      <c r="B10" s="4" t="s">
        <v>992</v>
      </c>
      <c r="C10">
        <f xml:space="preserve"> ROUND(SQRT( AVERAGE(_AIIB.RadiusOuter, _AIIB.RadiusInner)^2 - _AIIB.X2^2 ), _AIIB.DecimalPlaces - 4)</f>
        <v>5.0999999999999996</v>
      </c>
    </row>
    <row r="12" spans="2:3" x14ac:dyDescent="0.2">
      <c r="B12" s="4" t="s">
        <v>983</v>
      </c>
      <c r="C12">
        <f xml:space="preserve"> _AIIB.RadiusOuter</f>
        <v>6</v>
      </c>
    </row>
    <row r="13" spans="2:3" x14ac:dyDescent="0.2">
      <c r="B13" s="4" t="s">
        <v>984</v>
      </c>
      <c r="C13">
        <f xml:space="preserve"> _AIIB.MaxX</f>
        <v>6</v>
      </c>
    </row>
    <row r="14" spans="2:3" x14ac:dyDescent="0.2">
      <c r="B14" s="4" t="s">
        <v>985</v>
      </c>
      <c r="C14" cm="1">
        <f t="array" ref="C14" xml:space="preserve"> - _AIIB.MaxX</f>
        <v>-6</v>
      </c>
    </row>
    <row r="15" spans="2:3" x14ac:dyDescent="0.2">
      <c r="B15" s="4" t="s">
        <v>986</v>
      </c>
      <c r="C15" cm="1">
        <f t="array" ref="C15" xml:space="preserve"> - _AIIB.MaxY</f>
        <v>-6</v>
      </c>
    </row>
    <row r="17" spans="2:3" x14ac:dyDescent="0.2">
      <c r="B17" s="4" t="s">
        <v>977</v>
      </c>
      <c r="C17" s="28">
        <f xml:space="preserve"> MODE(Circles.AreaMultiplier)</f>
        <v>1</v>
      </c>
    </row>
    <row r="18" spans="2:3" x14ac:dyDescent="0.2">
      <c r="B18" s="4" t="s">
        <v>978</v>
      </c>
      <c r="C18">
        <f xml:space="preserve"> MAX( _AIIB.MaxY, -  _AIIB.MinY) / MAX( _AIIB.MaxX, -  _AIIB.MinX)</f>
        <v>1</v>
      </c>
    </row>
    <row r="19" spans="2:3" x14ac:dyDescent="0.2">
      <c r="B19" s="4" t="s">
        <v>979</v>
      </c>
      <c r="C19">
        <f xml:space="preserve"> VALUE(TEXT(SQRT(_AIIB.AreaMultiplier * BasicBBoxArea * _AIIB.Aspect), SVG.NumberFormatHeight))</f>
        <v>10</v>
      </c>
    </row>
    <row r="20" spans="2:3" x14ac:dyDescent="0.2">
      <c r="B20" s="4" t="s">
        <v>980</v>
      </c>
      <c r="C20" cm="1">
        <f t="array" ref="C20" xml:space="preserve"> _AIIB.Height / _AIIB.Aspect</f>
        <v>10</v>
      </c>
    </row>
    <row r="22" spans="2:3" x14ac:dyDescent="0.2">
      <c r="B22" s="4" t="s">
        <v>981</v>
      </c>
      <c r="C22" s="6" t="s">
        <v>988</v>
      </c>
    </row>
    <row r="23" spans="2:3" x14ac:dyDescent="0.2">
      <c r="B23" s="4" t="s">
        <v>982</v>
      </c>
      <c r="C23" s="6" t="s">
        <v>2091</v>
      </c>
    </row>
    <row r="25" spans="2:3" ht="17" thickBot="1" x14ac:dyDescent="0.25">
      <c r="B25" s="5"/>
      <c r="C25" s="3" t="s">
        <v>987</v>
      </c>
    </row>
    <row r="26" spans="2:3" x14ac:dyDescent="0.2">
      <c r="B26" s="5"/>
      <c r="C26" s="18"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x14ac:dyDescent="0.2">
      <c r="C27" s="6" t="str">
        <f xml:space="preserve"> "&lt;circle " &amp; _AIIB.SVG_painting_O &amp; " r='" &amp; _AIIB.RadiusOuter &amp; "'/&gt;"</f>
        <v>&lt;circle fill='#860C14' r='6'/&gt;</v>
      </c>
    </row>
    <row r="28" spans="2:3" x14ac:dyDescent="0.2">
      <c r="C28" s="6" t="str">
        <f xml:space="preserve"> "&lt;circle " &amp; _AIIB.SVG_painting_I &amp; " r='" &amp; _AIIB.RadiusInner &amp; "'/&gt;"</f>
        <v>&lt;circle fill='#FFF' r='5'/&gt;</v>
      </c>
    </row>
    <row r="29" spans="2:3" x14ac:dyDescent="0.2">
      <c r="C29" s="6"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x14ac:dyDescent="0.2">
      <c r="C30" s="6"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F34"/>
  <sheetViews>
    <sheetView topLeftCell="B1" workbookViewId="0">
      <selection activeCell="B2" sqref="B2"/>
    </sheetView>
  </sheetViews>
  <sheetFormatPr baseColWidth="10" defaultRowHeight="16" x14ac:dyDescent="0.2"/>
  <sheetData>
    <row r="2" spans="2:5" ht="17" thickBot="1" x14ac:dyDescent="0.25">
      <c r="B2" t="s">
        <v>1676</v>
      </c>
      <c r="E2" t="s">
        <v>943</v>
      </c>
    </row>
    <row r="3" spans="2:5" x14ac:dyDescent="0.2">
      <c r="B3" s="38">
        <v>6</v>
      </c>
      <c r="D3" s="5"/>
      <c r="E3" s="38">
        <f xml:space="preserve"> DecimalPlaces - INT(LOG(MIN(  MAX(_IsDB.RawX) - MIN(_IsDB.RawX),  MAX(_IsDB.RawY) - MIN(_IsDB.RawY)  )/2, 10) + 0.2)</f>
        <v>5</v>
      </c>
    </row>
    <row r="4" spans="2:5" x14ac:dyDescent="0.2">
      <c r="D4" s="5"/>
    </row>
    <row r="5" spans="2:5" ht="17" thickBot="1" x14ac:dyDescent="0.25">
      <c r="B5" s="3" t="s">
        <v>944</v>
      </c>
      <c r="C5" s="3" t="s">
        <v>945</v>
      </c>
      <c r="E5" s="3" t="s">
        <v>1764</v>
      </c>
    </row>
    <row r="6" spans="2:5" x14ac:dyDescent="0.2">
      <c r="B6">
        <f xml:space="preserve"> _IsDB.Multiplier * Sqrt3 * 2 / 3</f>
        <v>6.9282032302755097</v>
      </c>
      <c r="C6">
        <v>0</v>
      </c>
      <c r="E6" t="str">
        <f t="array" ref="E6:E11" xml:space="preserve"> svgpath(_IsDB.RawX, _IsDB.RawY, _IsDB.DecimalPlaces)</f>
        <v>M6.9282 0</v>
      </c>
    </row>
    <row r="7" spans="2:5" x14ac:dyDescent="0.2">
      <c r="B7">
        <f xml:space="preserve"> _IsDB.Multiplier * Sqrt3 / 3</f>
        <v>3.4641016151377548</v>
      </c>
      <c r="C7">
        <f xml:space="preserve"> _IsDB.Multiplier</f>
        <v>6</v>
      </c>
      <c r="E7" t="str">
        <v>L3.4641 6</v>
      </c>
    </row>
    <row r="8" spans="2:5" x14ac:dyDescent="0.2">
      <c r="B8">
        <f xml:space="preserve"> _IsDB.Multiplier * - Sqrt3 / 3</f>
        <v>-3.4641016151377548</v>
      </c>
      <c r="C8">
        <f xml:space="preserve"> _IsDB.Multiplier</f>
        <v>6</v>
      </c>
      <c r="E8" t="str">
        <v>H-3.4641</v>
      </c>
    </row>
    <row r="9" spans="2:5" x14ac:dyDescent="0.2">
      <c r="B9">
        <f xml:space="preserve"> _IsDB.Multiplier * - Sqrt3 * 2 / 3</f>
        <v>-6.9282032302755097</v>
      </c>
      <c r="C9">
        <v>0</v>
      </c>
      <c r="E9" t="str">
        <v>L-6.9282 0</v>
      </c>
    </row>
    <row r="10" spans="2:5" x14ac:dyDescent="0.2">
      <c r="B10">
        <f xml:space="preserve"> _IsDB.Multiplier * - Sqrt3 / 3</f>
        <v>-3.4641016151377548</v>
      </c>
      <c r="C10">
        <f xml:space="preserve"> - _IsDB.Multiplier</f>
        <v>-6</v>
      </c>
      <c r="E10" t="str">
        <v>l3.4641 -6</v>
      </c>
    </row>
    <row r="11" spans="2:5" x14ac:dyDescent="0.2">
      <c r="B11">
        <f xml:space="preserve"> _IsDB.Multiplier * Sqrt3 / 3</f>
        <v>3.4641016151377548</v>
      </c>
      <c r="C11">
        <f xml:space="preserve"> - _IsDB.Multiplier</f>
        <v>-6</v>
      </c>
      <c r="E11" t="str">
        <v>H3.4641Z</v>
      </c>
    </row>
    <row r="14" spans="2:5" x14ac:dyDescent="0.2">
      <c r="D14" s="4" t="s">
        <v>952</v>
      </c>
      <c r="E14">
        <f xml:space="preserve"> ROUND( MIN(_IsDB.RawX), _IsDB.DecimalPlaces)</f>
        <v>-6.9282000000000004</v>
      </c>
    </row>
    <row r="15" spans="2:5" x14ac:dyDescent="0.2">
      <c r="D15" s="4" t="s">
        <v>953</v>
      </c>
      <c r="E15">
        <f xml:space="preserve"> ROUND(MAX(_IsDB.RawX), _IsDB.DecimalPlaces)</f>
        <v>6.9282000000000004</v>
      </c>
    </row>
    <row r="16" spans="2:5" x14ac:dyDescent="0.2">
      <c r="D16" s="4" t="s">
        <v>954</v>
      </c>
      <c r="E16">
        <f xml:space="preserve"> ROUND( MIN(_IsDB.RawY), _IsDB.DecimalPlaces)</f>
        <v>-6</v>
      </c>
    </row>
    <row r="17" spans="3:6" x14ac:dyDescent="0.2">
      <c r="D17" s="4" t="s">
        <v>955</v>
      </c>
      <c r="E17">
        <f xml:space="preserve"> ROUND(MAX(_IsDB.RawY), _IsDB.DecimalPlaces)</f>
        <v>6</v>
      </c>
    </row>
    <row r="19" spans="3:6" x14ac:dyDescent="0.2">
      <c r="D19" s="4" t="s">
        <v>946</v>
      </c>
      <c r="E19" s="28">
        <f xml:space="preserve"> FR.AreaMultiplier</f>
        <v>1.0625</v>
      </c>
    </row>
    <row r="20" spans="3:6" x14ac:dyDescent="0.2">
      <c r="D20" s="4" t="s">
        <v>947</v>
      </c>
      <c r="E20">
        <f xml:space="preserve"> MAX( _IsDB.MaxY, -  _IsDB.MinY) / MAX( _IsDB.MaxX, -  _IsDB.MinX)</f>
        <v>0.86602580756906555</v>
      </c>
    </row>
    <row r="21" spans="3:6" x14ac:dyDescent="0.2">
      <c r="D21" s="4" t="s">
        <v>948</v>
      </c>
      <c r="E21">
        <f xml:space="preserve"> VALUE(TEXT(SQRT(_IsDB.AreaMultiplier * BasicBBoxArea * _IsDB.Aspect), SVG.NumberFormatHeight))</f>
        <v>9.6</v>
      </c>
    </row>
    <row r="22" spans="3:6" x14ac:dyDescent="0.2">
      <c r="D22" s="4" t="s">
        <v>949</v>
      </c>
      <c r="E22" cm="1">
        <f t="array" ref="E22" xml:space="preserve"> _IsDB.Height / _IsDB.Aspect</f>
        <v>11.08512</v>
      </c>
    </row>
    <row r="23" spans="3:6" x14ac:dyDescent="0.2">
      <c r="F23" s="5"/>
    </row>
    <row r="24" spans="3:6" x14ac:dyDescent="0.2">
      <c r="D24" s="4" t="s">
        <v>950</v>
      </c>
      <c r="E24" t="s">
        <v>737</v>
      </c>
      <c r="F24" s="5"/>
    </row>
    <row r="25" spans="3:6" x14ac:dyDescent="0.2">
      <c r="D25" s="4" t="s">
        <v>951</v>
      </c>
      <c r="E25" t="s">
        <v>2091</v>
      </c>
      <c r="F25" s="5"/>
    </row>
    <row r="26" spans="3:6" x14ac:dyDescent="0.2">
      <c r="D26" s="5"/>
      <c r="F26" s="5"/>
    </row>
    <row r="27" spans="3:6" x14ac:dyDescent="0.2">
      <c r="D27" s="4" t="s">
        <v>958</v>
      </c>
      <c r="E27" cm="1">
        <f t="array" ref="E27" xml:space="preserve"> ROUND( MAX(_IsDB.MaxX,_IsDB.MaxY) * (Sqrt3 / 2) * (2/3), _IsDB.DecimalPlaces )</f>
        <v>4</v>
      </c>
      <c r="F27" s="5"/>
    </row>
    <row r="28" spans="3:6" x14ac:dyDescent="0.2">
      <c r="D28" s="5"/>
      <c r="F28" s="5"/>
    </row>
    <row r="29" spans="3:6" x14ac:dyDescent="0.2">
      <c r="D29" s="5"/>
    </row>
    <row r="30" spans="3:6" ht="17" thickBot="1" x14ac:dyDescent="0.25">
      <c r="D30" s="5"/>
      <c r="E30" s="3" t="s">
        <v>956</v>
      </c>
    </row>
    <row r="31" spans="3:6" x14ac:dyDescent="0.2">
      <c r="C31" cm="1">
        <f t="array" ref="C31" xml:space="preserve"> SVG_length(_IsDB.svg)</f>
        <v>231</v>
      </c>
      <c r="D31" s="5"/>
      <c r="E31" s="18"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6" x14ac:dyDescent="0.2">
      <c r="D32" s="5"/>
      <c r="E32" s="6" t="str">
        <f xml:space="preserve"> "&lt;path " &amp; IF(LEN(_xlfn.SINGLE(_IsDB.SVG_painting_Outer))&gt;0, TRIM(_xlfn.SINGLE(_IsDB.SVG_painting_Outer))&amp;" ", "") &amp; "d='" &amp; _xlfn.TEXTJOIN(" ", TRUE, _IsDB.svgWorking) &amp; "'/&gt;"</f>
        <v>&lt;path fill='#039355' d='M6.9282 0 L3.4641 6 H-3.4641 L-6.9282 0 l3.4641 -6 H3.4641Z'/&gt;</v>
      </c>
    </row>
    <row r="33" spans="5:5" x14ac:dyDescent="0.2">
      <c r="E33" s="6" t="str">
        <f xml:space="preserve"> "&lt;circle " &amp; _IsDB.SVG_painting_Inner &amp; " r='" &amp; _IsDB.CircleRadius &amp; "'/&gt;"</f>
        <v>&lt;circle fill='#FFF' r='4'/&gt;</v>
      </c>
    </row>
    <row r="34" spans="5:5" x14ac:dyDescent="0.2">
      <c r="E34" s="6"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topLeftCell="B1" workbookViewId="0">
      <selection activeCell="B2" sqref="B2"/>
    </sheetView>
  </sheetViews>
  <sheetFormatPr baseColWidth="10" defaultRowHeight="16" x14ac:dyDescent="0.2"/>
  <cols>
    <col min="15" max="15" width="10.83203125" style="6"/>
  </cols>
  <sheetData>
    <row r="2" spans="2:15" ht="17" thickBot="1" x14ac:dyDescent="0.25">
      <c r="F2" s="3" t="s">
        <v>1031</v>
      </c>
      <c r="G2" s="3" t="s">
        <v>1049</v>
      </c>
      <c r="H2" s="3" t="s">
        <v>1033</v>
      </c>
      <c r="I2" s="3" t="s">
        <v>1032</v>
      </c>
      <c r="K2" s="3" t="s">
        <v>1029</v>
      </c>
      <c r="L2" s="3" t="s">
        <v>1030</v>
      </c>
      <c r="M2" s="3" t="s">
        <v>1035</v>
      </c>
      <c r="O2" s="39" t="s">
        <v>1044</v>
      </c>
    </row>
    <row r="3" spans="2:15" x14ac:dyDescent="0.2">
      <c r="B3" s="4" t="s">
        <v>1050</v>
      </c>
      <c r="C3">
        <v>90</v>
      </c>
    </row>
    <row r="4" spans="2:15" x14ac:dyDescent="0.2">
      <c r="B4" s="4" t="s">
        <v>1046</v>
      </c>
      <c r="C4">
        <f xml:space="preserve"> _NDB.RadiusMaster * 8/3</f>
        <v>240</v>
      </c>
      <c r="F4" t="s">
        <v>1047</v>
      </c>
      <c r="K4">
        <f xml:space="preserve"> _NDB.TriangleEdge / 2 -_NDB.Radius</f>
        <v>30</v>
      </c>
      <c r="L4" cm="1">
        <f t="array" ref="L4" xml:space="preserve"> - _NDB.TriangleEdge * Sqrt3 / 6</f>
        <v>-69.282032302755084</v>
      </c>
      <c r="M4">
        <f xml:space="preserve"> _NDB.RadiusMaster</f>
        <v>90</v>
      </c>
    </row>
    <row r="5" spans="2:15" x14ac:dyDescent="0.2">
      <c r="B5" s="4" t="s">
        <v>1059</v>
      </c>
      <c r="C5">
        <f xml:space="preserve"> _NDB.TriangleEdge^2 / _NDB.RadiusMaster / 8  -  _NDB.RadiusMaster / 2</f>
        <v>35</v>
      </c>
      <c r="F5" t="s">
        <v>1047</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x14ac:dyDescent="0.2">
      <c r="B6" s="4" t="s">
        <v>1060</v>
      </c>
      <c r="C6">
        <f xml:space="preserve"> _NDB.RadiusExtra2 * 2 / 5</f>
        <v>14</v>
      </c>
    </row>
    <row r="7" spans="2:15" x14ac:dyDescent="0.2">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6" t="str">
        <f xml:space="preserve"> _xlfn.TEXTJOIN(" ", TRUE, "M", ROUND(_NDB.RawX, _NDB.DecimalPlaces), ROUND(_NDB.RawY, _NDB.DecimalPlaces) )</f>
        <v>M -11.046 74.686</v>
      </c>
    </row>
    <row r="8" spans="2:15" x14ac:dyDescent="0.2">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6" t="str">
        <f xml:space="preserve"> _xlfn.TEXTJOIN(" ", TRUE, " A ", ROUND(_NDB.Radius, _NDB.DecimalPlaces), ROUND(_NDB.Radius, _NDB.DecimalPlaces), 0, 0, 0, ROUND(_NDB.RawX, _NDB.DecimalPlaces), ROUND(_NDB.RawY, _NDB.DecimalPlaces) )</f>
        <v xml:space="preserve"> A  90 90 0 0 0 -74.686 11.046</v>
      </c>
    </row>
    <row r="9" spans="2:15" x14ac:dyDescent="0.2">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6"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x14ac:dyDescent="0.2">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6" t="str">
        <f xml:space="preserve"> _xlfn.TEXTJOIN(" ", TRUE, " A ", ROUND(_NDB.Radius, _NDB.DecimalPlaces), ROUND(_NDB.Radius, _NDB.DecimalPlaces), 0, 0, 0, ROUND(_NDB.RawX, _NDB.DecimalPlaces), ROUND(_NDB.RawY, _NDB.DecimalPlaces) )</f>
        <v xml:space="preserve"> A  90 90 0 0 0 27.777 -70.203</v>
      </c>
    </row>
    <row r="11" spans="2:15" x14ac:dyDescent="0.2">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6"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x14ac:dyDescent="0.2">
      <c r="B12" s="4" t="s">
        <v>1034</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6" t="str">
        <f xml:space="preserve"> _xlfn.TEXTJOIN(" ", TRUE, " A ", ROUND(_NDB.Radius, _NDB.DecimalPlaces), ROUND(_NDB.Radius, _NDB.DecimalPlaces), 0, 0, 0, ROUND(_NDB.RawX, _NDB.DecimalPlaces), ROUND(_NDB.RawY, _NDB.DecimalPlaces),  "Z")</f>
        <v xml:space="preserve"> A  90 90 0 0 0 46.909 59.157 Z</v>
      </c>
    </row>
    <row r="14" spans="2:15" x14ac:dyDescent="0.2">
      <c r="B14" s="4" t="s">
        <v>1056</v>
      </c>
      <c r="C14" s="6" t="s">
        <v>1053</v>
      </c>
    </row>
    <row r="15" spans="2:15" x14ac:dyDescent="0.2">
      <c r="B15" s="4" t="s">
        <v>1057</v>
      </c>
      <c r="C15" s="6" t="s">
        <v>1054</v>
      </c>
    </row>
    <row r="16" spans="2:15" x14ac:dyDescent="0.2">
      <c r="F16" t="s">
        <v>1058</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x14ac:dyDescent="0.2">
      <c r="B17" s="4" t="s">
        <v>1040</v>
      </c>
      <c r="C17">
        <f xml:space="preserve"> CEILING( _xlfn.MAXIFS(_NDB.RawX,   _NDB.Part,"Outer"), 10^-_NDB.DecimalPlaces )</f>
        <v>70.203000000000003</v>
      </c>
      <c r="F17" t="s">
        <v>1058</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x14ac:dyDescent="0.2">
      <c r="B18" s="4" t="s">
        <v>1041</v>
      </c>
      <c r="C18">
        <f xml:space="preserve"> CEILING(_xlfn.MAXIFS(_NDB.RawY,   _NDB.Part,"Outer"), 10^-_NDB.DecimalPlaces)</f>
        <v>74.686000000000007</v>
      </c>
    </row>
    <row r="19" spans="2:17" x14ac:dyDescent="0.2">
      <c r="B19" s="4" t="s">
        <v>1042</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6" t="str">
        <f xml:space="preserve"> _xlfn.TEXTJOIN(" ", TRUE, "M", ROUND(_NDB.RawX, _NDB.DecimalPlaces), ROUND(_NDB.RawY, _NDB.DecimalPlaces) )</f>
        <v>M -2.061 57.784</v>
      </c>
    </row>
    <row r="20" spans="2:17" x14ac:dyDescent="0.2">
      <c r="B20" s="4" t="s">
        <v>1043</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6" t="str">
        <f xml:space="preserve"> _xlfn.TEXTJOIN(" ", TRUE, " A ", ROUND(_NDB.Radius, _NDB.DecimalPlaces), ROUND(_NDB.Radius, _NDB.DecimalPlaces), 0, 0, 0, ROUND(_NDB.RawX, _NDB.DecimalPlaces), ROUND(_NDB.RawY, _NDB.DecimalPlaces) )</f>
        <v xml:space="preserve"> A  104 104 0 0 0 -57.784 2.061</v>
      </c>
    </row>
    <row r="21" spans="2:17" x14ac:dyDescent="0.2">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6"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6"/>
    </row>
    <row r="22" spans="2:17" x14ac:dyDescent="0.2">
      <c r="B22" s="4" t="s">
        <v>1036</v>
      </c>
      <c r="C22" s="28">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6" t="str">
        <f xml:space="preserve"> _xlfn.TEXTJOIN(" ", TRUE, " A ", ROUND(_NDB.Radius, _NDB.DecimalPlaces), ROUND(_NDB.Radius, _NDB.DecimalPlaces), 0, 0, 0, ROUND(_NDB.RawX, _NDB.DecimalPlaces), ROUND(_NDB.RawY, _NDB.DecimalPlaces) )</f>
        <v xml:space="preserve"> A  104 104 0 0 0 27.107 -51.073</v>
      </c>
      <c r="Q22" s="6"/>
    </row>
    <row r="23" spans="2:17" x14ac:dyDescent="0.2">
      <c r="B23" s="4" t="s">
        <v>1037</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6"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6"/>
    </row>
    <row r="24" spans="2:17" x14ac:dyDescent="0.2">
      <c r="B24" s="4" t="s">
        <v>1038</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6" t="str">
        <f xml:space="preserve"> _xlfn.TEXTJOIN(" ", TRUE, " A ", ROUND(_NDB.Radius, _NDB.DecimalPlaces), ROUND(_NDB.Radius, _NDB.DecimalPlaces), 0, 0, 0, ROUND(_NDB.RawX, _NDB.DecimalPlaces), ROUND(_NDB.RawY, _NDB.DecimalPlaces),  "Z")</f>
        <v xml:space="preserve"> A  104 104 0 0 0 30.677 49.012 Z</v>
      </c>
      <c r="Q24" s="6"/>
    </row>
    <row r="25" spans="2:17" x14ac:dyDescent="0.2">
      <c r="B25" s="4" t="s">
        <v>1039</v>
      </c>
      <c r="C25">
        <f xml:space="preserve"> _NDB.Height / _NDB.Aspect</f>
        <v>11.2</v>
      </c>
    </row>
    <row r="28" spans="2:17" x14ac:dyDescent="0.2">
      <c r="C28" cm="1">
        <f t="array" ref="C28" xml:space="preserve"> SVG_length(_NDB.svg)</f>
        <v>568</v>
      </c>
      <c r="F28" t="s">
        <v>1048</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x14ac:dyDescent="0.2">
      <c r="F29" t="s">
        <v>1048</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x14ac:dyDescent="0.2">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6" t="str">
        <f xml:space="preserve"> _xlfn.TEXTJOIN(" ", TRUE, "M", ROUND(_NDB.RawX, _NDB.DecimalPlaces), ROUND(_NDB.RawY, _NDB.DecimalPlaces) )</f>
        <v>M 8.873 33.114</v>
      </c>
    </row>
    <row r="32" spans="2:17" x14ac:dyDescent="0.2">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6" t="str">
        <f xml:space="preserve"> _xlfn.TEXTJOIN(" ", TRUE, " A ", ROUND(_NDB.Radius, _NDB.DecimalPlaces), ROUND(_NDB.Radius, _NDB.DecimalPlaces), 0, 0, 0, ROUND(_NDB.RawX, _NDB.DecimalPlaces), ROUND(_NDB.RawY, _NDB.DecimalPlaces) )</f>
        <v xml:space="preserve"> A  125 125 0 0 0 -33.114 -8.873</v>
      </c>
    </row>
    <row r="33" spans="6:15" x14ac:dyDescent="0.2">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6"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x14ac:dyDescent="0.2">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6" t="str">
        <f xml:space="preserve"> _xlfn.TEXTJOIN(" ", TRUE, " A ", ROUND(_NDB.Radius, _NDB.DecimalPlaces), ROUND(_NDB.Radius, _NDB.DecimalPlaces), 0, 0, 0, ROUND(_NDB.RawX, _NDB.DecimalPlaces), ROUND(_NDB.RawY, _NDB.DecimalPlaces) )</f>
        <v xml:space="preserve"> A  125 125 0 0 0 24.241 -24.241</v>
      </c>
    </row>
    <row r="35" spans="6:15" x14ac:dyDescent="0.2">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6"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x14ac:dyDescent="0.2">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6" t="str">
        <f xml:space="preserve"> _xlfn.TEXTJOIN(" ", TRUE, " A ", ROUND(_NDB.Radius, _NDB.DecimalPlaces), ROUND(_NDB.Radius, _NDB.DecimalPlaces), 0, 0, 0, ROUND(_NDB.RawX, _NDB.DecimalPlaces), ROUND(_NDB.RawY, _NDB.DecimalPlaces),  "Z")</f>
        <v xml:space="preserve"> A  125 125 0 0 0 8.873 33.114 Z</v>
      </c>
    </row>
    <row r="38" spans="6:15" x14ac:dyDescent="0.2">
      <c r="F38" t="s">
        <v>1055</v>
      </c>
      <c r="G38" t="e">
        <f xml:space="preserve"> NA()</f>
        <v>#N/A</v>
      </c>
      <c r="H38" t="e">
        <f t="shared" si="5"/>
        <v>#N/A</v>
      </c>
      <c r="I38" t="e">
        <f t="shared" si="6"/>
        <v>#N/A</v>
      </c>
      <c r="M38" s="49" t="e">
        <f xml:space="preserve"> NA()</f>
        <v>#N/A</v>
      </c>
    </row>
    <row r="41" spans="6:15" ht="17" thickBot="1" x14ac:dyDescent="0.25">
      <c r="O41" s="39" t="s">
        <v>1051</v>
      </c>
    </row>
    <row r="42" spans="6:15" x14ac:dyDescent="0.2">
      <c r="O42" s="18"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width='11.2' height='11.2' viewBox='-74.686 -74.686 149.372 149.372'  id='%thisID%' xmlns='http://www.w3.org/2000/svg'&gt;</v>
      </c>
    </row>
    <row r="43" spans="6:15" x14ac:dyDescent="0.2">
      <c r="O43" s="6"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x14ac:dyDescent="0.2">
      <c r="O44" s="6"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x14ac:dyDescent="0.2">
      <c r="O45" s="6"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x14ac:dyDescent="0.2">
      <c r="O46" s="6"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topLeftCell="B1" workbookViewId="0">
      <selection activeCell="B2" sqref="B2"/>
    </sheetView>
  </sheetViews>
  <sheetFormatPr baseColWidth="10" defaultRowHeight="16" x14ac:dyDescent="0.2"/>
  <sheetData>
    <row r="2" spans="3:36" ht="17" thickBot="1" x14ac:dyDescent="0.25">
      <c r="C2" s="3" t="s">
        <v>2183</v>
      </c>
      <c r="D2" s="3" t="s">
        <v>2184</v>
      </c>
      <c r="E2" s="3" t="s">
        <v>2215</v>
      </c>
      <c r="I2" t="s">
        <v>2167</v>
      </c>
    </row>
    <row r="3" spans="3:36" x14ac:dyDescent="0.2">
      <c r="C3">
        <v>60</v>
      </c>
      <c r="D3">
        <f xml:space="preserve"> FLOOR(_IADB.RadiusI * 6/5, 1)</f>
        <v>72</v>
      </c>
      <c r="E3">
        <f xml:space="preserve"> _IADB.RadiusI * -0.073722838915784</f>
        <v>-4.4233703349470401</v>
      </c>
      <c r="H3" s="5"/>
      <c r="I3" s="38">
        <f xml:space="preserve"> DecimalPlaces - INT(LOG(_IADB.RadiusO, 10) + 0.2)</f>
        <v>3</v>
      </c>
      <c r="T3" s="4" t="s">
        <v>2190</v>
      </c>
      <c r="U3">
        <f t="array" ref="U3:V5" xml:space="preserve"> $D$22:$E$24</f>
        <v>34.778228978880634</v>
      </c>
      <c r="V3">
        <v>17.493275692479227</v>
      </c>
      <c r="Z3" s="4" t="s">
        <v>2200</v>
      </c>
      <c r="AA3" cm="1">
        <f t="array" ref="AA3:AB6" xml:space="preserve"> D25:E28</f>
        <v>17.693481339788161</v>
      </c>
      <c r="AB3">
        <v>0</v>
      </c>
    </row>
    <row r="4" spans="3:36" x14ac:dyDescent="0.2">
      <c r="T4" s="4" t="s">
        <v>2191</v>
      </c>
      <c r="U4">
        <v>43.759270416190446</v>
      </c>
      <c r="V4">
        <v>6.5164472691005715</v>
      </c>
      <c r="Z4" s="4" t="s">
        <v>2201</v>
      </c>
      <c r="AA4">
        <v>0</v>
      </c>
      <c r="AB4">
        <v>-4.4233703349470401</v>
      </c>
    </row>
    <row r="5" spans="3:36" x14ac:dyDescent="0.2">
      <c r="T5" s="4" t="s">
        <v>2192</v>
      </c>
      <c r="U5">
        <v>30.000000000000004</v>
      </c>
      <c r="V5">
        <v>3.0766296650529608</v>
      </c>
      <c r="Z5" s="4" t="s">
        <v>2202</v>
      </c>
      <c r="AA5">
        <v>0</v>
      </c>
      <c r="AB5">
        <v>-4.4233703349470401</v>
      </c>
    </row>
    <row r="6" spans="3:36" x14ac:dyDescent="0.2">
      <c r="E6">
        <v>-6.1629474202226898E-2</v>
      </c>
      <c r="F6">
        <v>5.0115259951281468</v>
      </c>
      <c r="Z6" s="4" t="s">
        <v>2211</v>
      </c>
      <c r="AA6">
        <v>0</v>
      </c>
      <c r="AB6">
        <v>-22.700000000000003</v>
      </c>
    </row>
    <row r="7" spans="3:36" x14ac:dyDescent="0.2">
      <c r="E7">
        <v>-7.4999999999999997E-2</v>
      </c>
      <c r="F7">
        <v>6.1043176067272302</v>
      </c>
    </row>
    <row r="8" spans="3:36" x14ac:dyDescent="0.2">
      <c r="E8">
        <f xml:space="preserve"> ( (F7-6)*E6 + (6-F6)*E7 ) / (F7 - F6)</f>
        <v>-7.3723653039514642E-2</v>
      </c>
      <c r="F8">
        <v>6.0000523400182324</v>
      </c>
      <c r="T8" s="4" t="s">
        <v>2193</v>
      </c>
      <c r="U8" cm="1">
        <f t="array" ref="U8:V8" xml:space="preserve"> _IADB.Quartic_Z0</f>
        <v>34.778228978880634</v>
      </c>
      <c r="V8">
        <v>17.493275692479227</v>
      </c>
      <c r="Z8" s="4" t="s">
        <v>2203</v>
      </c>
      <c r="AA8" cm="1">
        <f t="array" ref="AA8:AB8" xml:space="preserve"> _IADB.Cubic_Z0</f>
        <v>17.693481339788161</v>
      </c>
      <c r="AB8">
        <v>0</v>
      </c>
    </row>
    <row r="9" spans="3:36" x14ac:dyDescent="0.2">
      <c r="E9">
        <f xml:space="preserve"> ( (F8-6)*E7 + (6-F7)*E8 ) / (F8 - F7)</f>
        <v>-7.3723012327364834E-2</v>
      </c>
      <c r="F9">
        <v>6.0000111486410219</v>
      </c>
      <c r="T9" s="4" t="s">
        <v>2194</v>
      </c>
      <c r="U9" cm="1">
        <f t="array" ref="U9:V9" xml:space="preserve"> 2 * (_IADB.Quartic_Z1 - _IADB.Quartic_Z0)</f>
        <v>17.962082874619625</v>
      </c>
      <c r="V9">
        <v>-21.953656846757312</v>
      </c>
      <c r="Z9" s="4" t="s">
        <v>2204</v>
      </c>
      <c r="AA9" cm="1">
        <f t="array" ref="AA9:AB9" xml:space="preserve"> 3 * (_IADB.Cubic_Z1 - _IADB.Cubic_Z0)</f>
        <v>-53.080444019364478</v>
      </c>
      <c r="AB9">
        <v>-13.270111004841119</v>
      </c>
    </row>
    <row r="10" spans="3:36" x14ac:dyDescent="0.2">
      <c r="E10">
        <f xml:space="preserve"> ( (F9-6)*E8 + (6-F8)*E9 ) / (F9 - F8)</f>
        <v>-7.3722838915591796E-2</v>
      </c>
      <c r="F10">
        <v>5.999999999987641</v>
      </c>
      <c r="H10" s="5"/>
      <c r="T10" s="4" t="s">
        <v>2195</v>
      </c>
      <c r="U10" cm="1">
        <f t="array" ref="U10:V10" xml:space="preserve"> _IADB.Quartic_Z2 + _IADB.Quartic_Z0 - 2*_IADB.Quartic_Z1</f>
        <v>-22.740311853500259</v>
      </c>
      <c r="V10">
        <v>7.5370108193310426</v>
      </c>
      <c r="Z10" s="4" t="s">
        <v>2205</v>
      </c>
      <c r="AA10" cm="1">
        <f t="array" ref="AA10:AB10" xml:space="preserve"> 3 * (_IADB.Cubic_Z0 - 2*_IADB.Cubic_Z1 + _IADB.Cubic_Z2)</f>
        <v>53.080444019364478</v>
      </c>
      <c r="AB10">
        <v>13.270111004841119</v>
      </c>
    </row>
    <row r="11" spans="3:36" x14ac:dyDescent="0.2">
      <c r="E11">
        <f xml:space="preserve"> ( (F10-6)*E9 + (6-F9)*E10 ) / (F10 - F9)</f>
        <v>-7.3722838915784045E-2</v>
      </c>
      <c r="F11">
        <v>5.9999999999999982</v>
      </c>
      <c r="H11" s="5"/>
      <c r="R11" s="5"/>
      <c r="X11" s="5"/>
      <c r="Z11" s="4" t="s">
        <v>2212</v>
      </c>
      <c r="AA11" cm="1">
        <f t="array" ref="AA11:AB11" xml:space="preserve"> -_IADB.Cubic_Z0 +3*_IADB.Cubic_Z1 - 3*_IADB.Cubic_Z2 + _IADB.Cubic_Z3</f>
        <v>-17.693481339788161</v>
      </c>
      <c r="AB11">
        <v>-22.700000000000003</v>
      </c>
      <c r="AG11">
        <f xml:space="preserve"> MATCH(0, _IADB.CubicClosest_dDist, 0)</f>
        <v>4</v>
      </c>
    </row>
    <row r="12" spans="3:36" x14ac:dyDescent="0.2">
      <c r="H12" s="5"/>
      <c r="R12" s="5"/>
      <c r="X12" s="5"/>
      <c r="Z12" s="5"/>
    </row>
    <row r="13" spans="3:36" ht="17" thickBot="1" x14ac:dyDescent="0.25">
      <c r="H13" s="5"/>
      <c r="R13" s="5"/>
      <c r="X13" s="5"/>
      <c r="Y13" s="3" t="s">
        <v>2221</v>
      </c>
      <c r="Z13" s="3" t="s">
        <v>2222</v>
      </c>
      <c r="AA13" s="3" t="s">
        <v>2223</v>
      </c>
      <c r="AB13" s="3" t="s">
        <v>2224</v>
      </c>
      <c r="AC13" s="3" t="s">
        <v>2225</v>
      </c>
      <c r="AG13" s="3" t="s">
        <v>2228</v>
      </c>
      <c r="AJ13" s="3" t="s">
        <v>2227</v>
      </c>
    </row>
    <row r="14" spans="3:36" x14ac:dyDescent="0.2">
      <c r="H14" s="5"/>
      <c r="R14" s="5"/>
      <c r="X14" s="5"/>
      <c r="Y14">
        <f xml:space="preserve"> MATCH(MIN(_IADB.Cubic_Dist), _IADB.Cubic_Dist, 0)</f>
        <v>14</v>
      </c>
      <c r="Z14" s="7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x14ac:dyDescent="0.2">
      <c r="H15" s="5"/>
      <c r="R15" s="5"/>
      <c r="X15" s="5"/>
      <c r="Z15" s="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x14ac:dyDescent="0.2">
      <c r="H16" s="5"/>
      <c r="R16" s="5"/>
      <c r="X16" s="5"/>
      <c r="Z16" s="5">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x14ac:dyDescent="0.2">
      <c r="H17" s="5"/>
      <c r="R17" s="5"/>
      <c r="X17" s="5"/>
      <c r="Z17" s="5">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x14ac:dyDescent="0.2">
      <c r="H18" s="5"/>
      <c r="R18" s="5"/>
      <c r="X18" s="5"/>
      <c r="Z18" s="5">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19" spans="2:36" x14ac:dyDescent="0.2">
      <c r="H19" s="5"/>
      <c r="R19" s="5"/>
      <c r="X19" s="5"/>
    </row>
    <row r="20" spans="2:36" ht="17" thickBot="1" x14ac:dyDescent="0.25">
      <c r="C20" s="3" t="s">
        <v>2182</v>
      </c>
      <c r="D20" s="3" t="s">
        <v>2168</v>
      </c>
      <c r="E20" s="3" t="s">
        <v>2169</v>
      </c>
      <c r="F20" s="3" t="s">
        <v>2189</v>
      </c>
      <c r="G20" s="5"/>
      <c r="I20" s="3" t="s">
        <v>2170</v>
      </c>
      <c r="S20" s="3" t="s">
        <v>2199</v>
      </c>
      <c r="T20" s="3" t="s">
        <v>2198</v>
      </c>
      <c r="U20" s="3" t="s">
        <v>2196</v>
      </c>
      <c r="V20" s="3" t="s">
        <v>2197</v>
      </c>
      <c r="Y20" s="3" t="s">
        <v>2206</v>
      </c>
      <c r="Z20" s="3" t="s">
        <v>2207</v>
      </c>
      <c r="AA20" s="3" t="s">
        <v>2208</v>
      </c>
      <c r="AB20" s="3" t="s">
        <v>2209</v>
      </c>
      <c r="AC20" s="3" t="s">
        <v>2210</v>
      </c>
    </row>
    <row r="21" spans="2:36" x14ac:dyDescent="0.2">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x14ac:dyDescent="0.2">
      <c r="B22">
        <f xml:space="preserve"> $F$24 / SQRT( ($D23 - $D37)^2 + ($E23 - $E37)^2 )</f>
        <v>0.20523745830065127</v>
      </c>
      <c r="C22" t="s">
        <v>2185</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x14ac:dyDescent="0.2">
      <c r="C23" t="s">
        <v>2186</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x14ac:dyDescent="0.2">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x14ac:dyDescent="0.2">
      <c r="C25" t="s">
        <v>2187</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x14ac:dyDescent="0.2">
      <c r="C26" t="s">
        <v>2188</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x14ac:dyDescent="0.2">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x14ac:dyDescent="0.2">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x14ac:dyDescent="0.2">
      <c r="C29" t="s">
        <v>2226</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x14ac:dyDescent="0.2">
      <c r="C30" t="s">
        <v>2187</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x14ac:dyDescent="0.2">
      <c r="C31" t="s">
        <v>2186</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x14ac:dyDescent="0.2">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x14ac:dyDescent="0.2">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x14ac:dyDescent="0.2">
      <c r="C34" t="s">
        <v>2188</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x14ac:dyDescent="0.2">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x14ac:dyDescent="0.2">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x14ac:dyDescent="0.2">
      <c r="C37" t="s">
        <v>2226</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x14ac:dyDescent="0.2">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x14ac:dyDescent="0.2">
      <c r="H39" s="4" t="s">
        <v>2172</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x14ac:dyDescent="0.2">
      <c r="D40">
        <f xml:space="preserve"> D$37</f>
        <v>0</v>
      </c>
      <c r="E40">
        <f xml:space="preserve"> E$37</f>
        <v>60</v>
      </c>
      <c r="H40" s="4" t="s">
        <v>2174</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x14ac:dyDescent="0.2">
      <c r="D41">
        <f xml:space="preserve"> D$22</f>
        <v>34.778228978880634</v>
      </c>
      <c r="E41">
        <f xml:space="preserve"> E$22</f>
        <v>17.493275692479227</v>
      </c>
      <c r="H41" s="4" t="s">
        <v>2171</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x14ac:dyDescent="0.2">
      <c r="H42" s="4" t="s">
        <v>2173</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x14ac:dyDescent="0.2">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x14ac:dyDescent="0.2">
      <c r="H44" s="4" t="s">
        <v>2175</v>
      </c>
      <c r="I44" s="28">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x14ac:dyDescent="0.2">
      <c r="H45" s="4" t="s">
        <v>2176</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x14ac:dyDescent="0.2">
      <c r="H46" s="4" t="s">
        <v>2177</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x14ac:dyDescent="0.2">
      <c r="H47" s="4" t="s">
        <v>2178</v>
      </c>
      <c r="I47" cm="1">
        <f t="array" ref="I47" xml:space="preserve"> _IADB.Height / _IADB.Aspect</f>
        <v>10</v>
      </c>
      <c r="J47" s="5"/>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x14ac:dyDescent="0.2">
      <c r="J48" s="5"/>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x14ac:dyDescent="0.2">
      <c r="H49" s="4" t="s">
        <v>2179</v>
      </c>
      <c r="I49" s="6" t="s">
        <v>993</v>
      </c>
      <c r="J49" s="5"/>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x14ac:dyDescent="0.2">
      <c r="H50" s="4" t="s">
        <v>2180</v>
      </c>
      <c r="I50" s="6" t="s">
        <v>2091</v>
      </c>
      <c r="J50" s="5"/>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x14ac:dyDescent="0.2">
      <c r="C51" t="s">
        <v>2214</v>
      </c>
      <c r="H51" s="5"/>
      <c r="J51" s="5"/>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x14ac:dyDescent="0.25">
      <c r="H52" s="5"/>
      <c r="I52" s="3" t="s">
        <v>2181</v>
      </c>
      <c r="J52" s="5"/>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x14ac:dyDescent="0.2">
      <c r="C53" t="s">
        <v>2213</v>
      </c>
      <c r="E53" cm="1">
        <f t="array" ref="E53" xml:space="preserve"> SVG_length(_IADB.svg)</f>
        <v>340</v>
      </c>
      <c r="H53" s="5"/>
      <c r="I53" s="18"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x14ac:dyDescent="0.2">
      <c r="C54" t="s">
        <v>2216</v>
      </c>
      <c r="H54" s="5"/>
      <c r="I54" s="6" t="str">
        <f xml:space="preserve"> "&lt;circle " &amp; _IADB.SVG_painting_O &amp; " r='" &amp; _IADB.RadiusO &amp; "'/&gt;"</f>
        <v>&lt;circle fill='#005073' r='72'/&gt;</v>
      </c>
    </row>
    <row r="55" spans="3:29" x14ac:dyDescent="0.2">
      <c r="H55" s="5"/>
      <c r="I55" s="6" t="str">
        <f xml:space="preserve"> "&lt;circle " &amp; _IADB.SVG_painting_I &amp; " r='" &amp; _IADB.RadiusI &amp; "'/&gt;"</f>
        <v>&lt;circle fill='#FFF' r='60'/&gt;</v>
      </c>
    </row>
    <row r="56" spans="3:29" x14ac:dyDescent="0.2">
      <c r="C56" t="s">
        <v>2217</v>
      </c>
      <c r="H56" s="5"/>
      <c r="I56" s="6"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x14ac:dyDescent="0.2">
      <c r="C57" t="s">
        <v>2218</v>
      </c>
      <c r="H57" s="5"/>
      <c r="I57" s="6" t="s">
        <v>15</v>
      </c>
    </row>
    <row r="58" spans="3:29" x14ac:dyDescent="0.2">
      <c r="C58" t="s">
        <v>2218</v>
      </c>
    </row>
    <row r="59" spans="3:29" x14ac:dyDescent="0.2">
      <c r="C59" t="s">
        <v>2219</v>
      </c>
    </row>
    <row r="62" spans="3:29" x14ac:dyDescent="0.2">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x14ac:dyDescent="0.2">
      <c r="C63" t="str">
        <f xml:space="preserve"> "Max[x] = "</f>
        <v xml:space="preserve">Max[x] = </v>
      </c>
      <c r="E63">
        <f xml:space="preserve"> MAX(_IADB.Quartic_X)</f>
        <v>38.322285397435536</v>
      </c>
      <c r="F63">
        <f xml:space="preserve"> E63 / _IADB.RadiusI</f>
        <v>0.63870475662392556</v>
      </c>
    </row>
    <row r="65" spans="3:5" x14ac:dyDescent="0.2">
      <c r="C65" t="s">
        <v>2220</v>
      </c>
      <c r="E65">
        <f xml:space="preserve"> ($E23 - $E21) / ($D23 - $D21)</f>
        <v>0.14891581160113579</v>
      </c>
    </row>
    <row r="66" spans="3:5" x14ac:dyDescent="0.2">
      <c r="C66" t="s">
        <v>2220</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topLeftCell="B1" workbookViewId="0">
      <selection activeCell="B2" sqref="B2"/>
    </sheetView>
  </sheetViews>
  <sheetFormatPr baseColWidth="10" defaultRowHeight="16" x14ac:dyDescent="0.2"/>
  <cols>
    <col min="16" max="16" width="10.83203125" style="6"/>
  </cols>
  <sheetData>
    <row r="2" spans="2:16" ht="17" thickBot="1" x14ac:dyDescent="0.25">
      <c r="F2" s="3" t="s">
        <v>1520</v>
      </c>
      <c r="G2" s="3" t="s">
        <v>1521</v>
      </c>
      <c r="H2" s="3" t="s">
        <v>1522</v>
      </c>
      <c r="I2" s="3" t="s">
        <v>1523</v>
      </c>
      <c r="J2" s="3" t="s">
        <v>1524</v>
      </c>
      <c r="K2" s="3" t="s">
        <v>1525</v>
      </c>
      <c r="L2" s="3" t="s">
        <v>1526</v>
      </c>
      <c r="M2" s="3" t="s">
        <v>1527</v>
      </c>
      <c r="O2" s="3" t="s">
        <v>1533</v>
      </c>
      <c r="P2" s="39" t="s">
        <v>1519</v>
      </c>
    </row>
    <row r="3" spans="2:16" x14ac:dyDescent="0.2">
      <c r="B3" s="4" t="s">
        <v>1528</v>
      </c>
      <c r="C3">
        <v>400</v>
      </c>
    </row>
    <row r="4" spans="2:16" x14ac:dyDescent="0.2">
      <c r="B4" s="4" t="s">
        <v>1529</v>
      </c>
      <c r="C4" cm="1">
        <f t="array" ref="C4" xml:space="preserve"> _IBRD.MaxX</f>
        <v>400</v>
      </c>
      <c r="F4">
        <v>530</v>
      </c>
      <c r="G4">
        <v>0</v>
      </c>
      <c r="H4">
        <v>650</v>
      </c>
      <c r="I4" s="30">
        <f xml:space="preserve"> - ( _xlfn.SINGLE(_IBRD.CentreY)^2 + _IBRD.RadiusMidEdge^2 - _xlfn.SINGLE(_IBRD.Radius)^2 ) / (2 * _xlfn.SINGLE(_IBRD.CentreY))</f>
        <v>-219.41615384615383</v>
      </c>
      <c r="J4" s="30">
        <f xml:space="preserve"> ROUND( SQRT( _IBRD.RadiusMidEdge^2 - _xlfn.SINGLE(_IBRD.Working)^2 ), _IBRD.DecimalPlaces )</f>
        <v>309.02699999999999</v>
      </c>
      <c r="K4" s="30">
        <f xml:space="preserve"> ROUND( ( _xlfn.SINGLE(_IBRD.CentreY)^2 + _IBRD.RadiusMidEdge^2 - _xlfn.SINGLE(_IBRD.Radius)^2 ) / (2 * _xlfn.SINGLE(_IBRD.CentreY)), _IBRD.DecimalPlaces )</f>
        <v>219.416</v>
      </c>
      <c r="L4" s="30">
        <f xml:space="preserve"> - _xlfn.SINGLE(_IBRD.X1)</f>
        <v>-309.02699999999999</v>
      </c>
      <c r="M4" s="30">
        <f xml:space="preserve"> _xlfn.SINGLE(_IBRD.Y1)</f>
        <v>219.416</v>
      </c>
      <c r="O4" t="s">
        <v>1534</v>
      </c>
      <c r="P4" s="6" t="str">
        <f xml:space="preserve"> _xlfn.TEXTJOIN(" ",TRUE, "M", _xlfn.SINGLE(_IBRD.X1), _xlfn.SINGLE(_IBRD.Y1), " A ", _xlfn.SINGLE(_IBRD.Radius), _xlfn.SINGLE(_IBRD.Radius), 0, 0, 0, _xlfn.SINGLE(_IBRD.X2), _xlfn.SINGLE(_IBRD.Y2))</f>
        <v>M 309.027 219.416  A  530 530 0 0 0 -309.027 219.416</v>
      </c>
    </row>
    <row r="5" spans="2:16" x14ac:dyDescent="0.2">
      <c r="B5" s="4" t="s">
        <v>1530</v>
      </c>
      <c r="C5" cm="1">
        <f t="array" ref="C5" xml:space="preserve"> - _IBRD.MaxX</f>
        <v>-400</v>
      </c>
      <c r="F5">
        <f xml:space="preserve"> F4 - _IBRD.LineThickness</f>
        <v>488</v>
      </c>
      <c r="G5">
        <f xml:space="preserve"> G4</f>
        <v>0</v>
      </c>
      <c r="H5">
        <f xml:space="preserve"> H4</f>
        <v>650</v>
      </c>
      <c r="I5" s="30">
        <f xml:space="preserve"> - ( _xlfn.SINGLE(_IBRD.CentreY)^2 + _IBRD.RadiusMidEdge^2 - _xlfn.SINGLE(_IBRD.Radius)^2 ) / (2 * _xlfn.SINGLE(_IBRD.CentreY))</f>
        <v>-252.30538461538461</v>
      </c>
      <c r="J5" s="30">
        <f xml:space="preserve"> ROUND( - SQRT( _IBRD.RadiusMidEdge^2 - _xlfn.SINGLE(_IBRD.Working)^2 ), _IBRD.DecimalPlaces )</f>
        <v>-282.81299999999999</v>
      </c>
      <c r="K5" s="30">
        <f xml:space="preserve"> ROUND( ( _xlfn.SINGLE(_IBRD.CentreY)^2 + _IBRD.RadiusMidEdge^2 - _xlfn.SINGLE(_IBRD.Radius)^2 ) / (2 * _xlfn.SINGLE(_IBRD.CentreY)), _IBRD.DecimalPlaces )</f>
        <v>252.30500000000001</v>
      </c>
      <c r="L5" s="30">
        <f xml:space="preserve"> - _xlfn.SINGLE(_IBRD.X1)</f>
        <v>282.81299999999999</v>
      </c>
      <c r="M5" s="30">
        <f xml:space="preserve"> _xlfn.SINGLE(_IBRD.Y1)</f>
        <v>252.30500000000001</v>
      </c>
      <c r="O5" t="s">
        <v>1534</v>
      </c>
      <c r="P5" s="6" t="str">
        <f xml:space="preserve"> _xlfn.TEXTJOIN(" ",TRUE, "L", _xlfn.SINGLE(_IBRD.X1), _xlfn.SINGLE(_IBRD.Y1), " A ", _xlfn.SINGLE(_IBRD.Radius), _xlfn.SINGLE(_IBRD.Radius), 0, 0, 1, _xlfn.SINGLE(_IBRD.X2), _xlfn.SINGLE(_IBRD.Y2), "Z")</f>
        <v>L -282.813 252.305  A  488 488 0 0 1 282.813 252.305 Z</v>
      </c>
    </row>
    <row r="6" spans="2:16" x14ac:dyDescent="0.2">
      <c r="B6" s="4" t="s">
        <v>1531</v>
      </c>
      <c r="C6">
        <f xml:space="preserve"> - _IBRD.MaxY</f>
        <v>-400</v>
      </c>
      <c r="P6" s="47"/>
    </row>
    <row r="7" spans="2:16" x14ac:dyDescent="0.2">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1534</v>
      </c>
      <c r="P7" s="6" t="str">
        <f xml:space="preserve"> _xlfn.TEXTJOIN(" ",TRUE, "M", _xlfn.SINGLE(_IBRD.X1), _xlfn.SINGLE(_IBRD.Y1), " A ", _xlfn.SINGLE(_IBRD.Radius), _xlfn.SINGLE(_IBRD.Radius), 0, 0, 1, _xlfn.SINGLE(_IBRD.X2), _xlfn.SINGLE(_IBRD.Y2))</f>
        <v>M 309.027 -219.416  A  530 530 0 0 1 -309.027 -219.416</v>
      </c>
    </row>
    <row r="8" spans="2:16" x14ac:dyDescent="0.2">
      <c r="B8" s="4" t="s">
        <v>924</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1534</v>
      </c>
      <c r="P8" s="6" t="str">
        <f xml:space="preserve"> _xlfn.TEXTJOIN(" ",TRUE, "L", _xlfn.SINGLE(_IBRD.X1), _xlfn.SINGLE(_IBRD.Y1), " A ", _xlfn.SINGLE(_IBRD.Radius), _xlfn.SINGLE(_IBRD.Radius), 0, 0, 0, _xlfn.SINGLE(_IBRD.X2), _xlfn.SINGLE(_IBRD.Y2), "Z")</f>
        <v>L -282.813 -252.305  A  488 488 0 0 0 282.813 -252.305 Z</v>
      </c>
    </row>
    <row r="9" spans="2:16" x14ac:dyDescent="0.2">
      <c r="B9" s="5"/>
    </row>
    <row r="10" spans="2:16" x14ac:dyDescent="0.2">
      <c r="B10" s="4" t="s">
        <v>925</v>
      </c>
      <c r="C10" s="28">
        <f xml:space="preserve"> MODE(Circles.AreaMultiplier)</f>
        <v>1</v>
      </c>
      <c r="F10">
        <v>518</v>
      </c>
      <c r="G10">
        <v>300</v>
      </c>
      <c r="H10">
        <v>0</v>
      </c>
      <c r="I10" s="46">
        <f xml:space="preserve"> ( _xlfn.SINGLE(_IBRD.CentreX)^2 + _IBRD.RadiusMidEdge^2 - _xlfn.SINGLE(_IBRD.Radius)^2 ) / (2 * _xlfn.SINGLE(_IBRD.CentreX))</f>
        <v>-57.805</v>
      </c>
      <c r="J10" s="46">
        <f xml:space="preserve"> ROUND( ( _xlfn.SINGLE(_IBRD.CentreX)^2 + _IBRD.RadiusMidEdge^2 - _xlfn.SINGLE(_IBRD.Radius)^2 ) / (2 * _xlfn.SINGLE(_IBRD.CentreX)), _IBRD.DecimalPlaces )</f>
        <v>-57.805</v>
      </c>
      <c r="K10" s="46">
        <f xml:space="preserve"> ROUND( SQRT( _IBRD.RadiusMidEdge^2 - _xlfn.SINGLE(_IBRD.Working)^2 ), _IBRD.DecimalPlaces )</f>
        <v>374.56599999999997</v>
      </c>
      <c r="L10" s="46">
        <f xml:space="preserve"> _xlfn.SINGLE(_IBRD.X1)</f>
        <v>-57.805</v>
      </c>
      <c r="M10" s="46">
        <f xml:space="preserve"> - _xlfn.SINGLE(_IBRD.Y1)</f>
        <v>-374.56599999999997</v>
      </c>
      <c r="O10" t="s">
        <v>1535</v>
      </c>
      <c r="P10" s="6" t="str">
        <f xml:space="preserve"> _xlfn.TEXTJOIN(" ",TRUE, "M", _xlfn.SINGLE(_IBRD.X1), _xlfn.SINGLE(_IBRD.Y1), " A ", _xlfn.SINGLE(_IBRD.Radius), _xlfn.SINGLE(_IBRD.Radius), 0, 0, 1, _xlfn.SINGLE(_IBRD.X2), _xlfn.SINGLE(_IBRD.Y2))</f>
        <v>M -57.805 374.566  A  518 518 0 0 1 -57.805 -374.566</v>
      </c>
    </row>
    <row r="11" spans="2:16" x14ac:dyDescent="0.2">
      <c r="B11" s="4" t="s">
        <v>926</v>
      </c>
      <c r="C11">
        <f xml:space="preserve"> MAX( _IBRD.MaxY, -  _IBRD.MinY) / MAX( _IBRD.MaxX, -  _IBRD.MinX)</f>
        <v>1</v>
      </c>
      <c r="F11">
        <f xml:space="preserve"> F10 - _IBRD.LineThickness</f>
        <v>476</v>
      </c>
      <c r="G11">
        <f xml:space="preserve"> G10</f>
        <v>300</v>
      </c>
      <c r="H11">
        <f xml:space="preserve"> H10</f>
        <v>0</v>
      </c>
      <c r="I11" s="46">
        <f xml:space="preserve"> ( _xlfn.SINGLE(_IBRD.CentreX)^2 + _IBRD.RadiusMidEdge^2 - _xlfn.SINGLE(_IBRD.Radius)^2 ) / (2 * _xlfn.SINGLE(_IBRD.CentreX))</f>
        <v>11.775</v>
      </c>
      <c r="J11" s="46">
        <f xml:space="preserve"> ROUND( ( _xlfn.SINGLE(_IBRD.CentreX)^2 + _IBRD.RadiusMidEdge^2 - _xlfn.SINGLE(_IBRD.Radius)^2 ) / (2 * _xlfn.SINGLE(_IBRD.CentreX)), _IBRD.DecimalPlaces )</f>
        <v>11.775</v>
      </c>
      <c r="K11" s="46">
        <f xml:space="preserve"> ROUND( - SQRT( _IBRD.RadiusMidEdge^2 - _xlfn.SINGLE(_IBRD.Working)^2 ), _IBRD.DecimalPlaces )</f>
        <v>-378.81700000000001</v>
      </c>
      <c r="L11" s="46">
        <f xml:space="preserve"> _xlfn.SINGLE(_IBRD.X1)</f>
        <v>11.775</v>
      </c>
      <c r="M11" s="46">
        <f xml:space="preserve"> - _xlfn.SINGLE(_IBRD.Y1)</f>
        <v>378.81700000000001</v>
      </c>
      <c r="O11" t="s">
        <v>1535</v>
      </c>
      <c r="P11" s="6" t="str">
        <f xml:space="preserve"> _xlfn.TEXTJOIN(" ",TRUE, "L", _xlfn.SINGLE(_IBRD.X1), _xlfn.SINGLE(_IBRD.Y1), " A ", _xlfn.SINGLE(_IBRD.Radius), _xlfn.SINGLE(_IBRD.Radius), 0, 0, 0, _xlfn.SINGLE(_IBRD.X2), _xlfn.SINGLE(_IBRD.Y2), "Z")</f>
        <v>L 11.775 -378.817  A  476 476 0 0 0 11.775 378.817 Z</v>
      </c>
    </row>
    <row r="12" spans="2:16" x14ac:dyDescent="0.2">
      <c r="B12" s="4" t="s">
        <v>927</v>
      </c>
      <c r="C12" s="31">
        <f xml:space="preserve"> VALUE(TEXT(SQRT(_IBRD.AreaMultiplier* BasicBBoxArea * _IBRD.Aspect), SVG.NumberFormatHeight))</f>
        <v>10</v>
      </c>
    </row>
    <row r="13" spans="2:16" x14ac:dyDescent="0.2">
      <c r="B13" s="4" t="s">
        <v>928</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1535</v>
      </c>
      <c r="P13" s="6" t="str">
        <f xml:space="preserve"> _xlfn.TEXTJOIN(" ",TRUE, "M", _xlfn.SINGLE(_IBRD.X1), _xlfn.SINGLE(_IBRD.Y1), " A ", _xlfn.SINGLE(_IBRD.Radius), _xlfn.SINGLE(_IBRD.Radius), 0, 0, 0, _xlfn.SINGLE(_IBRD.X2), _xlfn.SINGLE(_IBRD.Y2))</f>
        <v>M 57.805 374.566  A  518 518 0 0 0 57.805 -374.566</v>
      </c>
    </row>
    <row r="14" spans="2:16" x14ac:dyDescent="0.2">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1535</v>
      </c>
      <c r="P14" s="6" t="str">
        <f xml:space="preserve"> _xlfn.TEXTJOIN(" ",TRUE, "L", _xlfn.SINGLE(_IBRD.X1), _xlfn.SINGLE(_IBRD.Y1), " A ", _xlfn.SINGLE(_IBRD.Radius), _xlfn.SINGLE(_IBRD.Radius), 0, 0, 1, _xlfn.SINGLE(_IBRD.X2), _xlfn.SINGLE(_IBRD.Y2), "Z")</f>
        <v>L -11.775 -378.817  A  476 476 0 0 1 -11.775 378.817 Z</v>
      </c>
    </row>
    <row r="16" spans="2:16" x14ac:dyDescent="0.2">
      <c r="B16" s="4" t="s">
        <v>930</v>
      </c>
      <c r="C16">
        <v>42</v>
      </c>
      <c r="P16" s="47"/>
    </row>
    <row r="17" spans="2:16" ht="17" thickBot="1" x14ac:dyDescent="0.25">
      <c r="B17" s="4" t="s">
        <v>929</v>
      </c>
      <c r="C17">
        <f xml:space="preserve"> CEILING(400 - _IBRD.LineThickness / 2, 1)</f>
        <v>379</v>
      </c>
      <c r="M17" s="3" t="s">
        <v>1518</v>
      </c>
      <c r="P17" s="39" t="s">
        <v>1532</v>
      </c>
    </row>
    <row r="18" spans="2:16" x14ac:dyDescent="0.2">
      <c r="P18" s="18"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x14ac:dyDescent="0.2">
      <c r="M19" s="6" t="str">
        <f xml:space="preserve"> "fill='black'"</f>
        <v>fill='black'</v>
      </c>
      <c r="P19" s="6" t="str">
        <f xml:space="preserve"> "&lt;circle " &amp; _xlfn.SINGLE(_IBRD.Painting) &amp; " r='" &amp; 400 &amp; "'/&gt;"</f>
        <v>&lt;circle fill='black' r='400'/&gt;</v>
      </c>
    </row>
    <row r="20" spans="2:16" x14ac:dyDescent="0.2">
      <c r="M20" s="6" t="str">
        <f xml:space="preserve"> "fill='#FFF'"</f>
        <v>fill='#FFF'</v>
      </c>
      <c r="P20" s="6" t="str">
        <f xml:space="preserve"> "&lt;circle " &amp; _xlfn.SINGLE(_IBRD.Painting) &amp; " r='" &amp; 358 &amp; "'/&gt;"</f>
        <v>&lt;circle fill='#FFF' r='358'/&gt;</v>
      </c>
    </row>
    <row r="22" spans="2:16" x14ac:dyDescent="0.2">
      <c r="M22" s="6" t="str">
        <f xml:space="preserve"> "fill='black'"</f>
        <v>fill='black'</v>
      </c>
      <c r="P22" s="6" t="str">
        <f xml:space="preserve"> "&lt;path " &amp; _xlfn.SINGLE(_IBRD.Painting) &amp; " d='M -21 -378  H 21  V 378  H -21 Z   M -378 -21  H 378  V 21  H -378 Z'/&gt;"</f>
        <v>&lt;path fill='black' d='M -21 -378  H 21  V 378  H -21 Z   M -378 -21  H 378  V 21  H -378 Z'/&gt;</v>
      </c>
    </row>
    <row r="24" spans="2:16" x14ac:dyDescent="0.2">
      <c r="M24" s="6" t="str">
        <f xml:space="preserve"> "fill='black'"</f>
        <v>fill='black'</v>
      </c>
      <c r="P24" s="6"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x14ac:dyDescent="0.2">
      <c r="M25" s="6" t="str">
        <f xml:space="preserve"> "fill='black'"</f>
        <v>fill='black'</v>
      </c>
      <c r="P25" s="6"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x14ac:dyDescent="0.2">
      <c r="P26" s="6"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H45"/>
  <sheetViews>
    <sheetView topLeftCell="B1" workbookViewId="0">
      <selection activeCell="B2" sqref="B2"/>
    </sheetView>
  </sheetViews>
  <sheetFormatPr baseColWidth="10" defaultRowHeight="16" x14ac:dyDescent="0.2"/>
  <sheetData>
    <row r="2" spans="2:7" ht="17" thickBot="1" x14ac:dyDescent="0.25">
      <c r="C2" t="s">
        <v>2242</v>
      </c>
      <c r="D2" t="s">
        <v>2243</v>
      </c>
      <c r="E2" t="s">
        <v>2244</v>
      </c>
      <c r="G2" t="s">
        <v>2229</v>
      </c>
    </row>
    <row r="3" spans="2:7" x14ac:dyDescent="0.2">
      <c r="C3" s="38">
        <v>8</v>
      </c>
      <c r="D3" s="38">
        <v>7</v>
      </c>
      <c r="E3" s="38">
        <v>2.5</v>
      </c>
      <c r="F3" s="5"/>
      <c r="G3" s="38">
        <f xml:space="preserve"> DecimalPlaces - INT(LOG(_CoEDB.Radius_1, 10) + 0.2)</f>
        <v>4</v>
      </c>
    </row>
    <row r="4" spans="2:7" x14ac:dyDescent="0.2">
      <c r="F4" s="5"/>
    </row>
    <row r="5" spans="2:7" ht="17" thickBot="1" x14ac:dyDescent="0.25">
      <c r="B5" s="3" t="s">
        <v>2245</v>
      </c>
      <c r="C5" s="3" t="s">
        <v>2246</v>
      </c>
      <c r="D5" s="3" t="s">
        <v>2230</v>
      </c>
      <c r="E5" s="3" t="s">
        <v>2231</v>
      </c>
      <c r="G5" s="3" t="s">
        <v>2232</v>
      </c>
    </row>
    <row r="6" spans="2:7" x14ac:dyDescent="0.2">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x14ac:dyDescent="0.2">
      <c r="B7" cm="1">
        <f t="array" ref="B7" xml:space="preserve"> 1 + ROW() - _xlfn.SINGLE(ROW(_CoEDB.RowNum))</f>
        <v>2</v>
      </c>
      <c r="C7">
        <v>0.69813170079773179</v>
      </c>
      <c r="D7">
        <v>4.4995132678057743</v>
      </c>
      <c r="E7">
        <v>5.3623111018328462</v>
      </c>
      <c r="G7" t="str">
        <v>L4.4995 -5.3623</v>
      </c>
    </row>
    <row r="8" spans="2:7" x14ac:dyDescent="0.2">
      <c r="B8" cm="1">
        <f t="array" ref="B8" xml:space="preserve"> 1 + ROW() - _xlfn.SINGLE(ROW(_CoEDB.RowNum))</f>
        <v>3</v>
      </c>
      <c r="C8">
        <v>1.0471975511965976</v>
      </c>
      <c r="D8">
        <v>2.1650635094610964</v>
      </c>
      <c r="E8">
        <v>1.2500000000000002</v>
      </c>
      <c r="G8" t="str">
        <v>L2.1651 -1.25</v>
      </c>
    </row>
    <row r="9" spans="2:7" x14ac:dyDescent="0.2">
      <c r="B9" cm="1">
        <f t="array" ref="B9" xml:space="preserve"> 1 + ROW() - _xlfn.SINGLE(ROW(_CoEDB.RowNum))</f>
        <v>4</v>
      </c>
      <c r="C9">
        <v>1.3962634015954636</v>
      </c>
      <c r="D9">
        <v>6.893654271085456</v>
      </c>
      <c r="E9">
        <v>1.2155372436685128</v>
      </c>
      <c r="G9" t="str">
        <v>l4.7286 .0345</v>
      </c>
    </row>
    <row r="10" spans="2:7" x14ac:dyDescent="0.2">
      <c r="B10" cm="1">
        <f t="array" ref="B10" xml:space="preserve"> 1 + ROW() - _xlfn.SINGLE(ROW(_CoEDB.RowNum))</f>
        <v>5</v>
      </c>
      <c r="C10">
        <v>1.7453292519943295</v>
      </c>
      <c r="D10">
        <v>2.4620193825305199</v>
      </c>
      <c r="E10">
        <v>-0.43412044416732576</v>
      </c>
      <c r="G10" t="str">
        <v>L2.462 .4341</v>
      </c>
    </row>
    <row r="11" spans="2:7" x14ac:dyDescent="0.2">
      <c r="B11" cm="1">
        <f t="array" ref="B11" xml:space="preserve"> 1 + ROW() - _xlfn.SINGLE(ROW(_CoEDB.RowNum))</f>
        <v>6</v>
      </c>
      <c r="C11">
        <v>2.0943951023931953</v>
      </c>
      <c r="D11">
        <v>6.0621778264910713</v>
      </c>
      <c r="E11">
        <v>-3.4999999999999982</v>
      </c>
      <c r="G11" t="str">
        <v>L6.0622 3.5</v>
      </c>
    </row>
    <row r="12" spans="2:7" x14ac:dyDescent="0.2">
      <c r="B12" cm="1">
        <f t="array" ref="B12" xml:space="preserve"> 1 + ROW() - _xlfn.SINGLE(ROW(_CoEDB.RowNum))</f>
        <v>7</v>
      </c>
      <c r="C12">
        <v>2.4434609527920612</v>
      </c>
      <c r="D12">
        <v>1.6069690242163488</v>
      </c>
      <c r="E12">
        <v>-1.9151111077974448</v>
      </c>
      <c r="G12" t="str">
        <v>L1.607 1.9151</v>
      </c>
    </row>
    <row r="13" spans="2:7" x14ac:dyDescent="0.2">
      <c r="B13" cm="1">
        <f t="array" ref="B13" xml:space="preserve"> 1 + ROW() - _xlfn.SINGLE(ROW(_CoEDB.RowNum))</f>
        <v>8</v>
      </c>
      <c r="C13">
        <v>2.7925268031909272</v>
      </c>
      <c r="D13">
        <v>2.3941410032796822</v>
      </c>
      <c r="E13">
        <v>-6.5778483455013586</v>
      </c>
      <c r="G13" t="str">
        <v>l.7871 4.6627</v>
      </c>
    </row>
    <row r="14" spans="2:7" x14ac:dyDescent="0.2">
      <c r="B14" cm="1">
        <f t="array" ref="B14" xml:space="preserve"> 1 + ROW() - _xlfn.SINGLE(ROW(_CoEDB.RowNum))</f>
        <v>9</v>
      </c>
      <c r="C14">
        <v>3.1415926535897931</v>
      </c>
      <c r="D14">
        <v>3.06287113727155E-16</v>
      </c>
      <c r="E14">
        <v>-2.5</v>
      </c>
      <c r="G14" t="str">
        <v>L0 2.5</v>
      </c>
    </row>
    <row r="15" spans="2:7" x14ac:dyDescent="0.2">
      <c r="B15" cm="1">
        <f t="array" ref="B15" xml:space="preserve"> 1 + ROW() - _xlfn.SINGLE(ROW(_CoEDB.RowNum))</f>
        <v>10</v>
      </c>
      <c r="C15">
        <v>3.4906585039886591</v>
      </c>
      <c r="D15">
        <v>-2.3941410032796808</v>
      </c>
      <c r="E15">
        <v>-6.5778483455013586</v>
      </c>
      <c r="G15" t="str">
        <v>L-2.3941 6.5778</v>
      </c>
    </row>
    <row r="16" spans="2:7" x14ac:dyDescent="0.2">
      <c r="B16" cm="1">
        <f t="array" ref="B16" xml:space="preserve"> 1 + ROW() - _xlfn.SINGLE(ROW(_CoEDB.RowNum))</f>
        <v>11</v>
      </c>
      <c r="C16">
        <v>3.8397243543875246</v>
      </c>
      <c r="D16">
        <v>-1.6069690242163472</v>
      </c>
      <c r="E16">
        <v>-1.9151111077974459</v>
      </c>
      <c r="G16" t="str">
        <v>L-1.607 1.9151</v>
      </c>
    </row>
    <row r="17" spans="2:7" x14ac:dyDescent="0.2">
      <c r="B17" cm="1">
        <f t="array" ref="B17" xml:space="preserve"> 1 + ROW() - _xlfn.SINGLE(ROW(_CoEDB.RowNum))</f>
        <v>12</v>
      </c>
      <c r="C17">
        <v>4.1887902047863905</v>
      </c>
      <c r="D17">
        <v>-6.0621778264910686</v>
      </c>
      <c r="E17">
        <v>-3.5000000000000031</v>
      </c>
      <c r="G17" t="str">
        <v>L-6.0622 3.5</v>
      </c>
    </row>
    <row r="18" spans="2:7" x14ac:dyDescent="0.2">
      <c r="B18" cm="1">
        <f t="array" ref="B18" xml:space="preserve"> 1 + ROW() - _xlfn.SINGLE(ROW(_CoEDB.RowNum))</f>
        <v>13</v>
      </c>
      <c r="C18">
        <v>4.5378560551852569</v>
      </c>
      <c r="D18">
        <v>-2.4620193825305199</v>
      </c>
      <c r="E18">
        <v>-0.43412044416732581</v>
      </c>
      <c r="G18" t="str">
        <v>L-2.462 .4341</v>
      </c>
    </row>
    <row r="19" spans="2:7" x14ac:dyDescent="0.2">
      <c r="B19" cm="1">
        <f t="array" ref="B19" xml:space="preserve"> 1 + ROW() - _xlfn.SINGLE(ROW(_CoEDB.RowNum))</f>
        <v>14</v>
      </c>
      <c r="C19">
        <v>4.8869219055841224</v>
      </c>
      <c r="D19">
        <v>-6.8936542710854569</v>
      </c>
      <c r="E19">
        <v>1.2155372436685097</v>
      </c>
      <c r="G19" t="str">
        <v>L-6.8937 -1.2155</v>
      </c>
    </row>
    <row r="20" spans="2:7" x14ac:dyDescent="0.2">
      <c r="B20" cm="1">
        <f t="array" ref="B20" xml:space="preserve"> 1 + ROW() - _xlfn.SINGLE(ROW(_CoEDB.RowNum))</f>
        <v>15</v>
      </c>
      <c r="C20">
        <v>5.2359877559829879</v>
      </c>
      <c r="D20">
        <v>-2.1650635094610977</v>
      </c>
      <c r="E20">
        <v>1.2499999999999982</v>
      </c>
      <c r="G20" t="str">
        <v>L-2.1651 -1.25</v>
      </c>
    </row>
    <row r="21" spans="2:7" x14ac:dyDescent="0.2">
      <c r="B21" cm="1">
        <f t="array" ref="B21" xml:space="preserve"> 1 + ROW() - _xlfn.SINGLE(ROW(_CoEDB.RowNum))</f>
        <v>16</v>
      </c>
      <c r="C21">
        <v>5.5850536063818543</v>
      </c>
      <c r="D21">
        <v>-4.499513267805777</v>
      </c>
      <c r="E21">
        <v>5.3623111018328444</v>
      </c>
      <c r="G21" t="str">
        <v>L-4.4995 -5.3623</v>
      </c>
    </row>
    <row r="22" spans="2:7" x14ac:dyDescent="0.2">
      <c r="B22" cm="1">
        <f t="array" ref="B22" xml:space="preserve"> 1 + ROW() - _xlfn.SINGLE(ROW(_CoEDB.RowNum))</f>
        <v>17</v>
      </c>
      <c r="C22">
        <v>5.9341194567807207</v>
      </c>
      <c r="D22">
        <v>-0.85505035831417153</v>
      </c>
      <c r="E22">
        <v>2.3492315519647713</v>
      </c>
      <c r="G22" t="str">
        <v>l3.6444 3.0131</v>
      </c>
    </row>
    <row r="23" spans="2:7" x14ac:dyDescent="0.2">
      <c r="B23" cm="1">
        <f t="array" ref="B23" xml:space="preserve"> 1 + ROW() - _xlfn.SINGLE(ROW(_CoEDB.RowNum))</f>
        <v>18</v>
      </c>
      <c r="C23">
        <v>6.2831853071795862</v>
      </c>
      <c r="D23">
        <v>-1.715207836872068E-15</v>
      </c>
      <c r="E23">
        <v>7</v>
      </c>
      <c r="G23" t="str">
        <v>L0 -7Z</v>
      </c>
    </row>
    <row r="26" spans="2:7" x14ac:dyDescent="0.2">
      <c r="F26" s="4" t="s">
        <v>2234</v>
      </c>
      <c r="G26">
        <f xml:space="preserve"> _CoEDB.Radius_1</f>
        <v>8</v>
      </c>
    </row>
    <row r="27" spans="2:7" x14ac:dyDescent="0.2">
      <c r="F27" s="4" t="s">
        <v>2236</v>
      </c>
      <c r="G27">
        <f xml:space="preserve"> _CoEDB.MaxX</f>
        <v>8</v>
      </c>
    </row>
    <row r="28" spans="2:7" x14ac:dyDescent="0.2">
      <c r="F28" s="4" t="s">
        <v>2233</v>
      </c>
      <c r="G28">
        <f xml:space="preserve"> - G26</f>
        <v>-8</v>
      </c>
    </row>
    <row r="29" spans="2:7" x14ac:dyDescent="0.2">
      <c r="F29" s="4" t="s">
        <v>2235</v>
      </c>
      <c r="G29">
        <f xml:space="preserve"> - G27</f>
        <v>-8</v>
      </c>
    </row>
    <row r="31" spans="2:7" x14ac:dyDescent="0.2">
      <c r="F31" s="4" t="s">
        <v>2237</v>
      </c>
      <c r="G31" s="28">
        <f xml:space="preserve"> MODE(Circles.AreaMultiplier)</f>
        <v>1</v>
      </c>
    </row>
    <row r="32" spans="2:7" x14ac:dyDescent="0.2">
      <c r="F32" s="4" t="s">
        <v>2238</v>
      </c>
      <c r="G32" cm="1">
        <f t="array" ref="G32" xml:space="preserve">  MAX(_CoEDB.MaxY, - _CoEDB.MinY)   /   MAX(_CoEDB.MaxX, - _CoEDB.MinX)</f>
        <v>1</v>
      </c>
    </row>
    <row r="33" spans="5:8" x14ac:dyDescent="0.2">
      <c r="F33" s="4" t="s">
        <v>2239</v>
      </c>
      <c r="G33" cm="1">
        <f t="array" ref="G33" xml:space="preserve"> VALUE(TEXT(SQRT(_CoEDB.AreaMultiplier * BasicBBoxArea * _CoEDB.Aspect), SVG.NumberFormatHeight))</f>
        <v>10</v>
      </c>
    </row>
    <row r="34" spans="5:8" x14ac:dyDescent="0.2">
      <c r="F34" s="4" t="s">
        <v>2240</v>
      </c>
      <c r="G34" cm="1">
        <f t="array" ref="G34" xml:space="preserve"> _CoEDB.Height / _CoEDB.Aspect</f>
        <v>10</v>
      </c>
    </row>
    <row r="35" spans="5:8" x14ac:dyDescent="0.2">
      <c r="H35" s="5"/>
    </row>
    <row r="36" spans="5:8" x14ac:dyDescent="0.2">
      <c r="F36" s="4" t="s">
        <v>2247</v>
      </c>
      <c r="G36" s="6" t="s">
        <v>2249</v>
      </c>
      <c r="H36" s="5"/>
    </row>
    <row r="37" spans="5:8" x14ac:dyDescent="0.2">
      <c r="F37" s="4" t="s">
        <v>2248</v>
      </c>
      <c r="G37" s="6" t="s">
        <v>2091</v>
      </c>
      <c r="H37" s="5"/>
    </row>
    <row r="38" spans="5:8" x14ac:dyDescent="0.2">
      <c r="F38" s="5"/>
      <c r="H38" s="5"/>
    </row>
    <row r="39" spans="5:8" ht="17" thickBot="1" x14ac:dyDescent="0.25">
      <c r="F39" s="5"/>
      <c r="G39" s="3" t="s">
        <v>2241</v>
      </c>
      <c r="H39" s="5"/>
    </row>
    <row r="40" spans="5:8" x14ac:dyDescent="0.2">
      <c r="E40" cm="1">
        <f t="array" ref="E40" xml:space="preserve"> SVG_length(_CoEDB.svg)</f>
        <v>449</v>
      </c>
      <c r="F40" s="5"/>
      <c r="G40" s="18"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viewBox='-8 -8 16 16'  id='%thisID%' xmlns='http://www.w3.org/2000/svg'&gt;</v>
      </c>
    </row>
    <row r="41" spans="5:8" x14ac:dyDescent="0.2">
      <c r="F41" s="5"/>
      <c r="G41" s="6" t="str">
        <f xml:space="preserve"> "&lt;circle " &amp; _CoEDB.SVG_painting_1 &amp; " r='" &amp; _CoEDB.Radius_1 &amp; "'/&gt;"</f>
        <v>&lt;circle fill='#092251' r='8'/&gt;</v>
      </c>
    </row>
    <row r="42" spans="5:8" x14ac:dyDescent="0.2">
      <c r="F42" s="5"/>
      <c r="G42" s="6" t="str">
        <f xml:space="preserve"> "&lt;circle " &amp; _CoEDB.SVG_painting_2 &amp; " r='" &amp; _CoEDB.Radius_2&amp; "'/&gt;"</f>
        <v>&lt;circle fill='#FFF' r='7'/&gt;</v>
      </c>
    </row>
    <row r="43" spans="5:8" x14ac:dyDescent="0.2">
      <c r="G43" s="6"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8" x14ac:dyDescent="0.2">
      <c r="G44" s="6" t="str">
        <f xml:space="preserve"> "&lt;circle " &amp; _CoEDB.SVG_painting_2 &amp; " r='" &amp; _CoEDB.Radius_3&amp; "'/&gt;"</f>
        <v>&lt;circle fill='#FFF' r='2.5'/&gt;</v>
      </c>
    </row>
    <row r="45" spans="5:8" x14ac:dyDescent="0.2">
      <c r="G45" s="6"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G53"/>
  <sheetViews>
    <sheetView topLeftCell="B1" workbookViewId="0">
      <selection activeCell="B2" sqref="B2"/>
    </sheetView>
  </sheetViews>
  <sheetFormatPr baseColWidth="10" defaultRowHeight="16" x14ac:dyDescent="0.2"/>
  <sheetData>
    <row r="2" spans="2:6" ht="17" thickBot="1" x14ac:dyDescent="0.25">
      <c r="B2" s="3" t="s">
        <v>1702</v>
      </c>
      <c r="F2" t="s">
        <v>831</v>
      </c>
    </row>
    <row r="3" spans="2:6" x14ac:dyDescent="0.2">
      <c r="B3" s="56">
        <v>2</v>
      </c>
      <c r="E3" s="5"/>
      <c r="F3" s="38">
        <f xml:space="preserve"> DecimalPlaces - INT(LOG(MIN(  MAX(XDR.RawX) - MIN(XDR.RawX),  MAX(XDR.RawY) - MIN(XDR.RawY)  )/2, 10) + 0.2)</f>
        <v>4</v>
      </c>
    </row>
    <row r="4" spans="2:6" x14ac:dyDescent="0.2">
      <c r="E4" s="5"/>
    </row>
    <row r="5" spans="2:6" ht="17" thickBot="1" x14ac:dyDescent="0.25">
      <c r="B5" s="3" t="s">
        <v>832</v>
      </c>
      <c r="C5" s="3" t="s">
        <v>833</v>
      </c>
      <c r="D5" s="3" t="s">
        <v>834</v>
      </c>
      <c r="F5" s="3" t="s">
        <v>1703</v>
      </c>
    </row>
    <row r="6" spans="2:6" x14ac:dyDescent="0.2">
      <c r="B6" t="s">
        <v>23</v>
      </c>
      <c r="C6" s="56">
        <v>12</v>
      </c>
      <c r="D6" s="56">
        <v>14</v>
      </c>
      <c r="F6" t="str">
        <f t="array" ref="F6:F17" xml:space="preserve"> svgpath($C6:$C17, $D6:$D17, XDR.DecimalPlaces)</f>
        <v>M12 14</v>
      </c>
    </row>
    <row r="7" spans="2:6" x14ac:dyDescent="0.2">
      <c r="B7" t="s">
        <v>23</v>
      </c>
      <c r="C7">
        <f xml:space="preserve"> C6</f>
        <v>12</v>
      </c>
      <c r="D7" s="56">
        <v>4</v>
      </c>
      <c r="F7" t="str">
        <v>V4</v>
      </c>
    </row>
    <row r="8" spans="2:6" x14ac:dyDescent="0.2">
      <c r="B8" t="s">
        <v>23</v>
      </c>
      <c r="C8" s="56">
        <f xml:space="preserve"> C$6 / 2</f>
        <v>6</v>
      </c>
      <c r="D8">
        <f xml:space="preserve"> D$7</f>
        <v>4</v>
      </c>
      <c r="F8" t="str">
        <v>H6</v>
      </c>
    </row>
    <row r="9" spans="2:6" x14ac:dyDescent="0.2">
      <c r="B9" t="s">
        <v>23</v>
      </c>
      <c r="C9">
        <f xml:space="preserve"> C8</f>
        <v>6</v>
      </c>
      <c r="D9">
        <f xml:space="preserve"> - D8</f>
        <v>-4</v>
      </c>
      <c r="F9" t="str">
        <v>V-4</v>
      </c>
    </row>
    <row r="10" spans="2:6" x14ac:dyDescent="0.2">
      <c r="B10" t="s">
        <v>23</v>
      </c>
      <c r="C10">
        <f xml:space="preserve"> C$6</f>
        <v>12</v>
      </c>
      <c r="D10">
        <f xml:space="preserve"> D9</f>
        <v>-4</v>
      </c>
      <c r="F10" t="str">
        <v>h6</v>
      </c>
    </row>
    <row r="11" spans="2:6" x14ac:dyDescent="0.2">
      <c r="B11" t="s">
        <v>23</v>
      </c>
      <c r="C11">
        <f xml:space="preserve"> C10</f>
        <v>12</v>
      </c>
      <c r="D11">
        <f xml:space="preserve"> - D$6</f>
        <v>-14</v>
      </c>
      <c r="F11" t="str">
        <v>V-14</v>
      </c>
    </row>
    <row r="12" spans="2:6" x14ac:dyDescent="0.2">
      <c r="B12" t="s">
        <v>23</v>
      </c>
      <c r="C12">
        <f xml:space="preserve"> - C11</f>
        <v>-12</v>
      </c>
      <c r="D12">
        <f xml:space="preserve"> D11</f>
        <v>-14</v>
      </c>
      <c r="F12" t="str">
        <v>H-12</v>
      </c>
    </row>
    <row r="13" spans="2:6" x14ac:dyDescent="0.2">
      <c r="B13" t="s">
        <v>23</v>
      </c>
      <c r="C13">
        <f xml:space="preserve"> C12</f>
        <v>-12</v>
      </c>
      <c r="D13">
        <f xml:space="preserve"> D10</f>
        <v>-4</v>
      </c>
      <c r="F13" t="str">
        <v>V-4</v>
      </c>
    </row>
    <row r="14" spans="2:6" x14ac:dyDescent="0.2">
      <c r="B14" t="s">
        <v>23</v>
      </c>
      <c r="C14">
        <f xml:space="preserve"> - C9</f>
        <v>-6</v>
      </c>
      <c r="D14">
        <f xml:space="preserve"> D13</f>
        <v>-4</v>
      </c>
      <c r="F14" t="str">
        <v>h6</v>
      </c>
    </row>
    <row r="15" spans="2:6" x14ac:dyDescent="0.2">
      <c r="B15" t="s">
        <v>23</v>
      </c>
      <c r="C15">
        <f xml:space="preserve"> C14</f>
        <v>-6</v>
      </c>
      <c r="D15">
        <f xml:space="preserve"> - D14</f>
        <v>4</v>
      </c>
      <c r="F15" t="str">
        <v>V4</v>
      </c>
    </row>
    <row r="16" spans="2:6" x14ac:dyDescent="0.2">
      <c r="B16" t="s">
        <v>23</v>
      </c>
      <c r="C16">
        <f xml:space="preserve"> C12</f>
        <v>-12</v>
      </c>
      <c r="D16">
        <f xml:space="preserve"> D15</f>
        <v>4</v>
      </c>
      <c r="F16" t="str">
        <v>h-6</v>
      </c>
    </row>
    <row r="17" spans="2:6" x14ac:dyDescent="0.2">
      <c r="B17" t="s">
        <v>23</v>
      </c>
      <c r="C17">
        <f xml:space="preserve"> C16</f>
        <v>-12</v>
      </c>
      <c r="D17">
        <f xml:space="preserve"> D6</f>
        <v>14</v>
      </c>
      <c r="F17" t="str">
        <v>V14Z</v>
      </c>
    </row>
    <row r="20" spans="2:6" x14ac:dyDescent="0.2">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x14ac:dyDescent="0.2">
      <c r="B21" t="s">
        <v>24</v>
      </c>
      <c r="C21">
        <f t="shared" si="0"/>
        <v>10</v>
      </c>
      <c r="D21">
        <f t="shared" si="1"/>
        <v>6</v>
      </c>
      <c r="F21" t="str">
        <v>V6</v>
      </c>
    </row>
    <row r="22" spans="2:6" x14ac:dyDescent="0.2">
      <c r="B22" t="s">
        <v>24</v>
      </c>
      <c r="C22">
        <f t="shared" si="0"/>
        <v>4</v>
      </c>
      <c r="D22">
        <f t="shared" si="1"/>
        <v>6</v>
      </c>
      <c r="F22" t="str">
        <v>H4</v>
      </c>
    </row>
    <row r="23" spans="2:6" x14ac:dyDescent="0.2">
      <c r="B23" t="s">
        <v>24</v>
      </c>
      <c r="C23">
        <f t="shared" si="0"/>
        <v>4</v>
      </c>
      <c r="D23">
        <f t="shared" si="1"/>
        <v>-6</v>
      </c>
      <c r="F23" t="str">
        <v>V-6</v>
      </c>
    </row>
    <row r="24" spans="2:6" x14ac:dyDescent="0.2">
      <c r="B24" t="s">
        <v>24</v>
      </c>
      <c r="C24">
        <f t="shared" si="0"/>
        <v>10</v>
      </c>
      <c r="D24">
        <f t="shared" si="1"/>
        <v>-6</v>
      </c>
      <c r="F24" t="str">
        <v>h6</v>
      </c>
    </row>
    <row r="25" spans="2:6" x14ac:dyDescent="0.2">
      <c r="B25" t="s">
        <v>24</v>
      </c>
      <c r="C25">
        <f t="shared" si="0"/>
        <v>10</v>
      </c>
      <c r="D25">
        <f t="shared" si="1"/>
        <v>-12</v>
      </c>
      <c r="F25" t="str">
        <v>v-6</v>
      </c>
    </row>
    <row r="26" spans="2:6" x14ac:dyDescent="0.2">
      <c r="B26" t="s">
        <v>24</v>
      </c>
      <c r="C26">
        <f t="shared" si="0"/>
        <v>-10</v>
      </c>
      <c r="D26">
        <f t="shared" si="1"/>
        <v>-12</v>
      </c>
      <c r="F26" t="str">
        <v>H-10</v>
      </c>
    </row>
    <row r="27" spans="2:6" x14ac:dyDescent="0.2">
      <c r="B27" t="s">
        <v>24</v>
      </c>
      <c r="C27">
        <f t="shared" si="0"/>
        <v>-10</v>
      </c>
      <c r="D27">
        <f t="shared" si="1"/>
        <v>-6</v>
      </c>
      <c r="F27" t="str">
        <v>v6</v>
      </c>
    </row>
    <row r="28" spans="2:6" x14ac:dyDescent="0.2">
      <c r="B28" t="s">
        <v>24</v>
      </c>
      <c r="C28">
        <f t="shared" si="0"/>
        <v>-4</v>
      </c>
      <c r="D28">
        <f t="shared" si="1"/>
        <v>-6</v>
      </c>
      <c r="F28" t="str">
        <v>h6</v>
      </c>
    </row>
    <row r="29" spans="2:6" x14ac:dyDescent="0.2">
      <c r="B29" t="s">
        <v>24</v>
      </c>
      <c r="C29">
        <f t="shared" si="0"/>
        <v>-4</v>
      </c>
      <c r="D29">
        <f t="shared" si="1"/>
        <v>6</v>
      </c>
      <c r="F29" t="str">
        <v>V6</v>
      </c>
    </row>
    <row r="30" spans="2:6" x14ac:dyDescent="0.2">
      <c r="B30" t="s">
        <v>24</v>
      </c>
      <c r="C30">
        <f t="shared" si="0"/>
        <v>-10</v>
      </c>
      <c r="D30">
        <f t="shared" si="1"/>
        <v>6</v>
      </c>
      <c r="F30" t="str">
        <v>h-6</v>
      </c>
    </row>
    <row r="31" spans="2:6" x14ac:dyDescent="0.2">
      <c r="B31" t="s">
        <v>24</v>
      </c>
      <c r="C31">
        <f t="shared" si="0"/>
        <v>-10</v>
      </c>
      <c r="D31">
        <f t="shared" si="1"/>
        <v>12</v>
      </c>
      <c r="F31" t="str">
        <v>v6Z</v>
      </c>
    </row>
    <row r="34" spans="4:7" x14ac:dyDescent="0.2">
      <c r="E34" s="4" t="s">
        <v>841</v>
      </c>
      <c r="F34">
        <f xml:space="preserve"> MIN(XDR.RawX)</f>
        <v>-12</v>
      </c>
      <c r="G34" s="5"/>
    </row>
    <row r="35" spans="4:7" x14ac:dyDescent="0.2">
      <c r="E35" s="4" t="s">
        <v>842</v>
      </c>
      <c r="F35">
        <f xml:space="preserve"> MAX(XDR.RawX)</f>
        <v>12</v>
      </c>
      <c r="G35" s="5"/>
    </row>
    <row r="36" spans="4:7" x14ac:dyDescent="0.2">
      <c r="E36" s="4" t="s">
        <v>843</v>
      </c>
      <c r="F36">
        <f xml:space="preserve"> MIN(XDR.RawY)</f>
        <v>-14</v>
      </c>
      <c r="G36" s="5"/>
    </row>
    <row r="37" spans="4:7" x14ac:dyDescent="0.2">
      <c r="E37" s="4" t="s">
        <v>844</v>
      </c>
      <c r="F37">
        <f xml:space="preserve"> MAX(XDR.RawY)</f>
        <v>14</v>
      </c>
      <c r="G37" s="5"/>
    </row>
    <row r="39" spans="4:7" x14ac:dyDescent="0.2">
      <c r="E39" s="4" t="s">
        <v>835</v>
      </c>
      <c r="F39" s="28">
        <v>0.875</v>
      </c>
    </row>
    <row r="40" spans="4:7" x14ac:dyDescent="0.2">
      <c r="E40" s="4" t="s">
        <v>836</v>
      </c>
      <c r="F40">
        <f xml:space="preserve">  MAX(XDR.MaxY, - XDR.MinY)   /   MAX(XDR.MaxX, - XDR.MinX)</f>
        <v>1.1666666666666667</v>
      </c>
    </row>
    <row r="41" spans="4:7" x14ac:dyDescent="0.2">
      <c r="E41" s="4" t="s">
        <v>837</v>
      </c>
      <c r="F41">
        <f xml:space="preserve"> VALUE(TEXT(SQRT(XDR.AreaMultiplier * BasicBBoxArea * XDR.Aspect), SVG.NumberFormatHeight))</f>
        <v>10.1</v>
      </c>
    </row>
    <row r="42" spans="4:7" x14ac:dyDescent="0.2">
      <c r="E42" s="4" t="s">
        <v>838</v>
      </c>
      <c r="F42" cm="1">
        <f t="array" ref="F42" xml:space="preserve"> XDR.Height / XDR.Aspect</f>
        <v>8.6571428571428566</v>
      </c>
    </row>
    <row r="44" spans="4:7" x14ac:dyDescent="0.2">
      <c r="E44" s="4" t="s">
        <v>839</v>
      </c>
      <c r="F44" t="s">
        <v>1704</v>
      </c>
    </row>
    <row r="45" spans="4:7" x14ac:dyDescent="0.2">
      <c r="E45" s="4" t="s">
        <v>840</v>
      </c>
      <c r="F45" t="s">
        <v>2092</v>
      </c>
    </row>
    <row r="46" spans="4:7" x14ac:dyDescent="0.2">
      <c r="E46" s="5"/>
    </row>
    <row r="47" spans="4:7" ht="17" thickBot="1" x14ac:dyDescent="0.25">
      <c r="E47" s="5"/>
      <c r="F47" s="3" t="s">
        <v>845</v>
      </c>
      <c r="G47" s="5"/>
    </row>
    <row r="48" spans="4:7" x14ac:dyDescent="0.2">
      <c r="D48" cm="1">
        <f t="array" ref="D48" xml:space="preserve"> SVG_length(XDR.svg)</f>
        <v>237</v>
      </c>
      <c r="E48" s="5"/>
      <c r="F48" s="18"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c r="G48" s="5"/>
    </row>
    <row r="49" spans="5:6" x14ac:dyDescent="0.2">
      <c r="E49" s="5"/>
      <c r="F49" s="6"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5:6" x14ac:dyDescent="0.2">
      <c r="E50" s="5"/>
      <c r="F50" s="6"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5:6" x14ac:dyDescent="0.2">
      <c r="E51" s="5"/>
      <c r="F51" s="6" t="s">
        <v>15</v>
      </c>
    </row>
    <row r="53" spans="5:6" x14ac:dyDescent="0.2">
      <c r="E53" s="5"/>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9"/>
  <sheetViews>
    <sheetView topLeftCell="B1" workbookViewId="0">
      <selection activeCell="B2" sqref="B2"/>
    </sheetView>
  </sheetViews>
  <sheetFormatPr baseColWidth="10" defaultRowHeight="16" x14ac:dyDescent="0.2"/>
  <sheetData>
    <row r="2" spans="2:16" ht="17" thickBot="1" x14ac:dyDescent="0.25">
      <c r="B2" s="3" t="s">
        <v>824</v>
      </c>
      <c r="C2" s="3" t="s">
        <v>846</v>
      </c>
      <c r="D2" s="3" t="s">
        <v>825</v>
      </c>
      <c r="F2" s="3" t="s">
        <v>801</v>
      </c>
    </row>
    <row r="3" spans="2:16" x14ac:dyDescent="0.2">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4" spans="2:16" x14ac:dyDescent="0.2">
      <c r="E4" s="5"/>
    </row>
    <row r="5" spans="2:16" ht="17" thickBot="1" x14ac:dyDescent="0.25">
      <c r="B5" s="3" t="s">
        <v>802</v>
      </c>
      <c r="C5" s="3" t="s">
        <v>803</v>
      </c>
      <c r="D5" s="3" t="s">
        <v>804</v>
      </c>
      <c r="F5" s="3" t="s">
        <v>1765</v>
      </c>
      <c r="K5" s="3" t="s">
        <v>805</v>
      </c>
      <c r="L5" s="3" t="s">
        <v>806</v>
      </c>
      <c r="M5" s="3" t="s">
        <v>807</v>
      </c>
      <c r="N5" s="3" t="s">
        <v>808</v>
      </c>
      <c r="O5" s="3" t="s">
        <v>809</v>
      </c>
      <c r="P5" s="3" t="s">
        <v>810</v>
      </c>
    </row>
    <row r="6" spans="2:16" x14ac:dyDescent="0.2">
      <c r="B6" t="s">
        <v>827</v>
      </c>
      <c r="C6">
        <v>41</v>
      </c>
      <c r="D6">
        <v>0</v>
      </c>
      <c r="F6" t="str">
        <f t="shared" ref="F6:F9" si="0" xml:space="preserve"> ROUND(XAU.RawX, XAU.DecimalPlaces) &amp; " " &amp; ROUND(XAU.RawY, XAU.DecimalPlaces)</f>
        <v>41 0</v>
      </c>
    </row>
    <row r="7" spans="2:16" x14ac:dyDescent="0.2">
      <c r="B7" t="s">
        <v>827</v>
      </c>
      <c r="C7">
        <f xml:space="preserve"> - C6</f>
        <v>-41</v>
      </c>
      <c r="D7">
        <f xml:space="preserve"> D6</f>
        <v>0</v>
      </c>
      <c r="F7" t="str">
        <f t="shared" si="0"/>
        <v>-41 0</v>
      </c>
    </row>
    <row r="8" spans="2:16" x14ac:dyDescent="0.2">
      <c r="B8" t="s">
        <v>827</v>
      </c>
      <c r="C8">
        <v>-56</v>
      </c>
      <c r="D8">
        <v>56</v>
      </c>
      <c r="F8" t="str">
        <f t="shared" si="0"/>
        <v>-56 56</v>
      </c>
    </row>
    <row r="9" spans="2:16" x14ac:dyDescent="0.2">
      <c r="B9" t="s">
        <v>827</v>
      </c>
      <c r="C9">
        <v>56</v>
      </c>
      <c r="D9">
        <v>56</v>
      </c>
      <c r="F9" t="str">
        <f t="shared" si="0"/>
        <v>56 56</v>
      </c>
    </row>
    <row r="11" spans="2:16" x14ac:dyDescent="0.2">
      <c r="B11" t="s">
        <v>23</v>
      </c>
      <c r="C11">
        <v>41</v>
      </c>
      <c r="D11">
        <v>0</v>
      </c>
      <c r="F11" t="str">
        <f t="array" ref="F11:F16" xml:space="preserve"> svgpath($C11:$C16, $D11:$D16, XAU.DecimalPlaces)</f>
        <v>M41 0</v>
      </c>
    </row>
    <row r="12" spans="2:16" x14ac:dyDescent="0.2">
      <c r="B12" t="s">
        <v>23</v>
      </c>
      <c r="C12">
        <v>56</v>
      </c>
      <c r="D12">
        <v>-56</v>
      </c>
      <c r="F12" t="str">
        <v>L56 -56</v>
      </c>
    </row>
    <row r="13" spans="2:16" x14ac:dyDescent="0.2">
      <c r="B13" t="s">
        <v>23</v>
      </c>
      <c r="C13">
        <v>-56</v>
      </c>
      <c r="D13">
        <v>-56</v>
      </c>
      <c r="F13" t="str">
        <v>H-56</v>
      </c>
    </row>
    <row r="14" spans="2:16" x14ac:dyDescent="0.2">
      <c r="B14" t="s">
        <v>23</v>
      </c>
      <c r="C14">
        <v>-41</v>
      </c>
      <c r="D14">
        <v>0</v>
      </c>
      <c r="F14" t="str">
        <v>L-41 0</v>
      </c>
    </row>
    <row r="15" spans="2:16" x14ac:dyDescent="0.2">
      <c r="B15" t="s">
        <v>23</v>
      </c>
      <c r="C15">
        <v>-56</v>
      </c>
      <c r="D15">
        <v>56</v>
      </c>
      <c r="F15" t="str">
        <v>L-56 56</v>
      </c>
    </row>
    <row r="16" spans="2:16" x14ac:dyDescent="0.2">
      <c r="B16" t="s">
        <v>23</v>
      </c>
      <c r="C16">
        <v>56</v>
      </c>
      <c r="D16">
        <v>56</v>
      </c>
      <c r="F16" t="str">
        <v>H56Z</v>
      </c>
    </row>
    <row r="17" spans="2:16" x14ac:dyDescent="0.2">
      <c r="H17" s="4" t="s">
        <v>811</v>
      </c>
      <c r="I17">
        <f xml:space="preserve"> ROUND( -$D$8 / 8, 0 )</f>
        <v>-7</v>
      </c>
    </row>
    <row r="18" spans="2:16" x14ac:dyDescent="0.2">
      <c r="H18" s="4" t="s">
        <v>812</v>
      </c>
      <c r="I18">
        <f xml:space="preserve"> COUNTIFS(XAU.Part, "OuterT")</f>
        <v>4</v>
      </c>
    </row>
    <row r="20" spans="2:16" x14ac:dyDescent="0.2">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x14ac:dyDescent="0.2">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x14ac:dyDescent="0.2">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x14ac:dyDescent="0.2">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x14ac:dyDescent="0.2">
      <c r="B25" t="s">
        <v>24</v>
      </c>
      <c r="C25">
        <f xml:space="preserve"> - C20</f>
        <v>-35.62823347968213</v>
      </c>
      <c r="D25">
        <f xml:space="preserve"> - D20</f>
        <v>-7</v>
      </c>
      <c r="F25" t="str">
        <f t="array" ref="F25:F28" xml:space="preserve"> svgpath($C25:$C28, $D25:$D28, XAU.DecimalPlaces)</f>
        <v>M-35.6282 -7</v>
      </c>
    </row>
    <row r="26" spans="2:16" x14ac:dyDescent="0.2">
      <c r="B26" t="s">
        <v>24</v>
      </c>
      <c r="C26">
        <f t="shared" ref="C26:D28" si="1" xml:space="preserve"> - C21</f>
        <v>35.62823347968213</v>
      </c>
      <c r="D26">
        <f t="shared" si="1"/>
        <v>-7</v>
      </c>
      <c r="F26" t="str">
        <v>H35.6282</v>
      </c>
    </row>
    <row r="27" spans="2:16" x14ac:dyDescent="0.2">
      <c r="B27" t="s">
        <v>24</v>
      </c>
      <c r="C27">
        <f t="shared" si="1"/>
        <v>46.878233479682123</v>
      </c>
      <c r="D27">
        <f t="shared" si="1"/>
        <v>-49</v>
      </c>
      <c r="F27" t="str">
        <v>l11.25 -42</v>
      </c>
    </row>
    <row r="28" spans="2:16" x14ac:dyDescent="0.2">
      <c r="B28" t="s">
        <v>24</v>
      </c>
      <c r="C28">
        <f t="shared" si="1"/>
        <v>-46.878233479682123</v>
      </c>
      <c r="D28">
        <f t="shared" si="1"/>
        <v>-49</v>
      </c>
      <c r="F28" t="str">
        <v>H-46.8782Z</v>
      </c>
    </row>
    <row r="31" spans="2:16" x14ac:dyDescent="0.2">
      <c r="B31" t="s">
        <v>826</v>
      </c>
      <c r="E31" s="4" t="s">
        <v>819</v>
      </c>
      <c r="F31">
        <f xml:space="preserve"> ROUND( MIN(XAU.RawX), XAU.DecimalPlaces)</f>
        <v>-56</v>
      </c>
    </row>
    <row r="32" spans="2:16" x14ac:dyDescent="0.2">
      <c r="B32" t="s">
        <v>828</v>
      </c>
      <c r="E32" s="4" t="s">
        <v>820</v>
      </c>
      <c r="F32">
        <f xml:space="preserve"> ROUND(MAX(XAU.RawX), XAU.DecimalPlaces)</f>
        <v>56</v>
      </c>
    </row>
    <row r="33" spans="2:6" x14ac:dyDescent="0.2">
      <c r="B33" t="s">
        <v>847</v>
      </c>
      <c r="E33" s="4" t="s">
        <v>821</v>
      </c>
      <c r="F33">
        <f xml:space="preserve"> ROUND( MIN(XAU.RawY), XAU.DecimalPlaces)</f>
        <v>-56</v>
      </c>
    </row>
    <row r="34" spans="2:6" x14ac:dyDescent="0.2">
      <c r="E34" s="4" t="s">
        <v>822</v>
      </c>
      <c r="F34">
        <f xml:space="preserve"> ROUND(MAX(XAU.RawY), XAU.DecimalPlaces)</f>
        <v>56</v>
      </c>
    </row>
    <row r="36" spans="2:6" x14ac:dyDescent="0.2">
      <c r="E36" s="4" t="s">
        <v>813</v>
      </c>
      <c r="F36" s="28">
        <f xml:space="preserve"> MODE(Squares.AreaMultiplier)</f>
        <v>0.85</v>
      </c>
    </row>
    <row r="37" spans="2:6" x14ac:dyDescent="0.2">
      <c r="E37" s="4" t="s">
        <v>814</v>
      </c>
      <c r="F37">
        <f xml:space="preserve">  MAX(XAU.MaxY, - XAU.MinY)   /   MAX(XAU.MaxX, - XAU.MinX)</f>
        <v>1</v>
      </c>
    </row>
    <row r="38" spans="2:6" x14ac:dyDescent="0.2">
      <c r="E38" s="4" t="s">
        <v>815</v>
      </c>
      <c r="F38">
        <f xml:space="preserve"> VALUE(TEXT(SQRT(XAU.AreaMultiplier* BasicBBoxArea * XAU.Aspect), SVG.NumberFormatHeight))</f>
        <v>9.1999999999999993</v>
      </c>
    </row>
    <row r="39" spans="2:6" x14ac:dyDescent="0.2">
      <c r="E39" s="4" t="s">
        <v>816</v>
      </c>
      <c r="F39" cm="1">
        <f t="array" ref="F39" xml:space="preserve"> XAU.Height / XAU.Aspect</f>
        <v>9.1999999999999993</v>
      </c>
    </row>
    <row r="41" spans="2:6" x14ac:dyDescent="0.2">
      <c r="E41" s="4" t="s">
        <v>817</v>
      </c>
      <c r="F41" t="s">
        <v>830</v>
      </c>
    </row>
    <row r="42" spans="2:6" x14ac:dyDescent="0.2">
      <c r="E42" s="4" t="s">
        <v>818</v>
      </c>
      <c r="F42" t="s">
        <v>829</v>
      </c>
    </row>
    <row r="43" spans="2:6" x14ac:dyDescent="0.2">
      <c r="E43" s="5"/>
      <c r="F43" s="5"/>
    </row>
    <row r="44" spans="2:6" ht="17" thickBot="1" x14ac:dyDescent="0.25">
      <c r="E44" s="5"/>
      <c r="F44" s="3" t="s">
        <v>823</v>
      </c>
    </row>
    <row r="45" spans="2:6" x14ac:dyDescent="0.2">
      <c r="D45" cm="1">
        <f t="array" ref="D45" xml:space="preserve"> SVG_length(XAU.svg)</f>
        <v>278</v>
      </c>
      <c r="E45" s="5"/>
      <c r="F45" s="18"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x14ac:dyDescent="0.2">
      <c r="E46" s="5"/>
      <c r="F46" s="6"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x14ac:dyDescent="0.2">
      <c r="E47" s="5"/>
      <c r="F47" s="6"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x14ac:dyDescent="0.2">
      <c r="E48" s="5"/>
      <c r="F48" s="6" t="s">
        <v>15</v>
      </c>
    </row>
    <row r="49" spans="5:5" x14ac:dyDescent="0.2">
      <c r="E49" s="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50"/>
  <sheetViews>
    <sheetView topLeftCell="B1" workbookViewId="0">
      <selection activeCell="B2" sqref="B2"/>
    </sheetView>
  </sheetViews>
  <sheetFormatPr baseColWidth="10" defaultRowHeight="16" x14ac:dyDescent="0.2"/>
  <sheetData>
    <row r="2" spans="2:16" ht="17" thickBot="1" x14ac:dyDescent="0.25">
      <c r="B2" s="3" t="s">
        <v>848</v>
      </c>
      <c r="C2" s="3" t="s">
        <v>849</v>
      </c>
      <c r="D2" s="3" t="s">
        <v>850</v>
      </c>
      <c r="F2" s="3" t="s">
        <v>851</v>
      </c>
    </row>
    <row r="3" spans="2:16" x14ac:dyDescent="0.2">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4" spans="2:16" x14ac:dyDescent="0.2">
      <c r="E4" s="5"/>
    </row>
    <row r="5" spans="2:16" ht="17" thickBot="1" x14ac:dyDescent="0.25">
      <c r="B5" s="3" t="s">
        <v>852</v>
      </c>
      <c r="C5" s="3" t="s">
        <v>853</v>
      </c>
      <c r="D5" s="3" t="s">
        <v>854</v>
      </c>
      <c r="F5" s="3" t="s">
        <v>855</v>
      </c>
      <c r="K5" s="3" t="s">
        <v>856</v>
      </c>
      <c r="L5" s="3" t="s">
        <v>857</v>
      </c>
      <c r="M5" s="3" t="s">
        <v>858</v>
      </c>
      <c r="N5" s="3" t="s">
        <v>859</v>
      </c>
      <c r="O5" s="3" t="s">
        <v>860</v>
      </c>
      <c r="P5" s="3" t="s">
        <v>861</v>
      </c>
    </row>
    <row r="6" spans="2:16" x14ac:dyDescent="0.2">
      <c r="B6" t="s">
        <v>827</v>
      </c>
      <c r="C6">
        <v>173</v>
      </c>
      <c r="D6">
        <v>0</v>
      </c>
      <c r="F6" t="str" cm="1">
        <f t="array" ref="F6" xml:space="preserve"> ROUND(_xlfn.SINGLE(XAG.RawX), XAG.DecimalPlaces) &amp; " " &amp; ROUND(_xlfn.SINGLE(XAG.RawY), XAG.DecimalPlaces)</f>
        <v>173 0</v>
      </c>
    </row>
    <row r="7" spans="2:16" x14ac:dyDescent="0.2">
      <c r="B7" t="s">
        <v>827</v>
      </c>
      <c r="C7">
        <f xml:space="preserve"> - C6</f>
        <v>-173</v>
      </c>
      <c r="D7">
        <v>0</v>
      </c>
      <c r="F7" t="str" cm="1">
        <f t="array" ref="F7" xml:space="preserve"> ROUND(_xlfn.SINGLE(XAG.RawX), XAG.DecimalPlaces) &amp; " " &amp; ROUND(_xlfn.SINGLE(XAG.RawY), XAG.DecimalPlaces)</f>
        <v>-173 0</v>
      </c>
    </row>
    <row r="8" spans="2:16" x14ac:dyDescent="0.2">
      <c r="B8" t="s">
        <v>827</v>
      </c>
      <c r="C8">
        <v>-221</v>
      </c>
      <c r="D8">
        <v>272</v>
      </c>
      <c r="F8" t="str" cm="1">
        <f t="array" ref="F8" xml:space="preserve"> ROUND(_xlfn.SINGLE(XAG.RawX), XAG.DecimalPlaces) &amp; " " &amp; ROUND(_xlfn.SINGLE(XAG.RawY), XAG.DecimalPlaces)</f>
        <v>-221 272</v>
      </c>
    </row>
    <row r="9" spans="2:16" x14ac:dyDescent="0.2">
      <c r="B9" t="s">
        <v>827</v>
      </c>
      <c r="C9">
        <f xml:space="preserve"> - C8</f>
        <v>221</v>
      </c>
      <c r="D9">
        <f xml:space="preserve"> D8</f>
        <v>272</v>
      </c>
      <c r="F9" t="str" cm="1">
        <f t="array" ref="F9" xml:space="preserve"> ROUND(_xlfn.SINGLE(XAG.RawX), XAG.DecimalPlaces) &amp; " " &amp; ROUND(_xlfn.SINGLE(XAG.RawY), XAG.DecimalPlaces)</f>
        <v>221 272</v>
      </c>
    </row>
    <row r="11" spans="2:16" x14ac:dyDescent="0.2">
      <c r="B11" t="s">
        <v>23</v>
      </c>
      <c r="C11">
        <v>173</v>
      </c>
      <c r="D11">
        <v>0</v>
      </c>
      <c r="F11" t="str">
        <f t="array" ref="F11:F16" xml:space="preserve"> svgpath($C11:$C16, $D11:$D16, XAG.DecimalPlaces)</f>
        <v>M173 0</v>
      </c>
    </row>
    <row r="12" spans="2:16" x14ac:dyDescent="0.2">
      <c r="B12" t="s">
        <v>23</v>
      </c>
      <c r="C12">
        <v>221</v>
      </c>
      <c r="D12">
        <v>272</v>
      </c>
      <c r="F12" t="str">
        <v>l48 272</v>
      </c>
    </row>
    <row r="13" spans="2:16" x14ac:dyDescent="0.2">
      <c r="B13" t="s">
        <v>23</v>
      </c>
      <c r="C13">
        <f xml:space="preserve"> - C12</f>
        <v>-221</v>
      </c>
      <c r="D13">
        <f xml:space="preserve"> D12</f>
        <v>272</v>
      </c>
      <c r="F13" t="str">
        <v>H-221</v>
      </c>
    </row>
    <row r="14" spans="2:16" x14ac:dyDescent="0.2">
      <c r="B14" t="s">
        <v>23</v>
      </c>
      <c r="C14">
        <f xml:space="preserve"> - C11</f>
        <v>-173</v>
      </c>
      <c r="D14">
        <f xml:space="preserve"> D11</f>
        <v>0</v>
      </c>
      <c r="F14" t="str">
        <v>L-173 0</v>
      </c>
    </row>
    <row r="15" spans="2:16" x14ac:dyDescent="0.2">
      <c r="B15" t="s">
        <v>23</v>
      </c>
      <c r="C15">
        <f xml:space="preserve"> C13</f>
        <v>-221</v>
      </c>
      <c r="D15">
        <f xml:space="preserve"> - D13</f>
        <v>-272</v>
      </c>
      <c r="F15" t="str">
        <v>l-48 -272</v>
      </c>
    </row>
    <row r="16" spans="2:16" x14ac:dyDescent="0.2">
      <c r="B16" t="s">
        <v>23</v>
      </c>
      <c r="C16">
        <f xml:space="preserve"> - C15</f>
        <v>221</v>
      </c>
      <c r="D16">
        <f xml:space="preserve"> D15</f>
        <v>-272</v>
      </c>
      <c r="F16" t="str">
        <v>H221Z</v>
      </c>
    </row>
    <row r="17" spans="2:16" x14ac:dyDescent="0.2">
      <c r="H17" s="4" t="s">
        <v>862</v>
      </c>
      <c r="I17">
        <f xml:space="preserve"> ROUND( -$D$9 / 8, 0 )</f>
        <v>-34</v>
      </c>
    </row>
    <row r="18" spans="2:16" x14ac:dyDescent="0.2">
      <c r="H18" s="4" t="s">
        <v>863</v>
      </c>
      <c r="I18" cm="1">
        <f t="array" ref="I18" xml:space="preserve"> COUNTIFS(XAG.Part, "OuterT")</f>
        <v>4</v>
      </c>
    </row>
    <row r="20" spans="2:16" x14ac:dyDescent="0.2">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x14ac:dyDescent="0.2">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x14ac:dyDescent="0.2">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x14ac:dyDescent="0.2">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x14ac:dyDescent="0.2">
      <c r="B25" t="s">
        <v>24</v>
      </c>
      <c r="C25">
        <f xml:space="preserve"> - C20</f>
        <v>-144.47464699673586</v>
      </c>
      <c r="D25">
        <f xml:space="preserve"> - D20</f>
        <v>-34</v>
      </c>
      <c r="F25" t="str">
        <f t="array" ref="F25:F28" xml:space="preserve"> svgpath($C25:$C28, $D25:$D28, XAG.DecimalPlaces)</f>
        <v>M-144.475 -34</v>
      </c>
    </row>
    <row r="26" spans="2:16" x14ac:dyDescent="0.2">
      <c r="B26" t="s">
        <v>24</v>
      </c>
      <c r="C26">
        <f t="shared" ref="C26" si="0" xml:space="preserve"> - C21</f>
        <v>144.47464699673586</v>
      </c>
      <c r="D26">
        <f t="shared" ref="D26:D28" si="1" xml:space="preserve"> - D21</f>
        <v>-34</v>
      </c>
      <c r="F26" t="str">
        <v>h288.95</v>
      </c>
    </row>
    <row r="27" spans="2:16" x14ac:dyDescent="0.2">
      <c r="B27" t="s">
        <v>24</v>
      </c>
      <c r="C27">
        <f t="shared" ref="C27" si="2" xml:space="preserve"> - C22</f>
        <v>180.47464699673586</v>
      </c>
      <c r="D27">
        <f t="shared" si="1"/>
        <v>-238</v>
      </c>
      <c r="F27" t="str">
        <v>l36 -204</v>
      </c>
    </row>
    <row r="28" spans="2:16" x14ac:dyDescent="0.2">
      <c r="B28" t="s">
        <v>24</v>
      </c>
      <c r="C28">
        <f t="shared" ref="C28" si="3" xml:space="preserve"> - C23</f>
        <v>-180.47464699673586</v>
      </c>
      <c r="D28">
        <f t="shared" si="1"/>
        <v>-238</v>
      </c>
      <c r="F28" t="str">
        <v>h-360.95Z</v>
      </c>
    </row>
    <row r="31" spans="2:16" x14ac:dyDescent="0.2">
      <c r="B31" t="s">
        <v>826</v>
      </c>
      <c r="E31" s="4" t="s">
        <v>870</v>
      </c>
      <c r="F31">
        <f xml:space="preserve"> ROUND( MIN(XAG.RawX), XAG.DecimalPlaces)</f>
        <v>-221</v>
      </c>
    </row>
    <row r="32" spans="2:16" x14ac:dyDescent="0.2">
      <c r="B32" t="s">
        <v>828</v>
      </c>
      <c r="E32" s="4" t="s">
        <v>871</v>
      </c>
      <c r="F32">
        <f xml:space="preserve"> ROUND(MAX(XAG.RawX), XAG.DecimalPlaces)</f>
        <v>221</v>
      </c>
    </row>
    <row r="33" spans="2:6" x14ac:dyDescent="0.2">
      <c r="B33" t="s">
        <v>847</v>
      </c>
      <c r="E33" s="4" t="s">
        <v>872</v>
      </c>
      <c r="F33">
        <f xml:space="preserve"> ROUND( MIN(XAG.RawY), XAG.DecimalPlaces)</f>
        <v>-272</v>
      </c>
    </row>
    <row r="34" spans="2:6" x14ac:dyDescent="0.2">
      <c r="E34" s="4" t="s">
        <v>873</v>
      </c>
      <c r="F34">
        <f xml:space="preserve"> ROUND(MAX(XAG.RawY), XAG.DecimalPlaces)</f>
        <v>272</v>
      </c>
    </row>
    <row r="36" spans="2:6" x14ac:dyDescent="0.2">
      <c r="E36" s="4" t="s">
        <v>864</v>
      </c>
      <c r="F36" s="28">
        <f xml:space="preserve"> MODE(Squares.AreaMultiplier)</f>
        <v>0.85</v>
      </c>
    </row>
    <row r="37" spans="2:6" x14ac:dyDescent="0.2">
      <c r="E37" s="4" t="s">
        <v>865</v>
      </c>
      <c r="F37">
        <f xml:space="preserve">  MAX(XAG.MaxY, - XAG.MinY)   /   MAX(XAG.MaxX, - XAG.MinX)</f>
        <v>1.2307692307692308</v>
      </c>
    </row>
    <row r="38" spans="2:6" x14ac:dyDescent="0.2">
      <c r="E38" s="4" t="s">
        <v>866</v>
      </c>
      <c r="F38">
        <f xml:space="preserve"> VALUE(TEXT(SQRT(XAG.AreaMultiplier* BasicBBoxArea * XAG.Aspect), SVG.NumberFormatHeight))</f>
        <v>10.199999999999999</v>
      </c>
    </row>
    <row r="39" spans="2:6" x14ac:dyDescent="0.2">
      <c r="E39" s="4" t="s">
        <v>867</v>
      </c>
      <c r="F39" cm="1">
        <f t="array" ref="F39" xml:space="preserve"> XAG.Height / XAG.Aspect</f>
        <v>8.2874999999999996</v>
      </c>
    </row>
    <row r="41" spans="2:6" x14ac:dyDescent="0.2">
      <c r="E41" s="4" t="s">
        <v>868</v>
      </c>
      <c r="F41" t="s">
        <v>876</v>
      </c>
    </row>
    <row r="42" spans="2:6" x14ac:dyDescent="0.2">
      <c r="E42" s="4" t="s">
        <v>869</v>
      </c>
      <c r="F42" t="s">
        <v>875</v>
      </c>
    </row>
    <row r="43" spans="2:6" x14ac:dyDescent="0.2">
      <c r="E43" s="5"/>
      <c r="F43" s="5"/>
    </row>
    <row r="44" spans="2:6" ht="17" thickBot="1" x14ac:dyDescent="0.25">
      <c r="E44" s="5"/>
      <c r="F44" s="3" t="s">
        <v>874</v>
      </c>
    </row>
    <row r="45" spans="2:6" x14ac:dyDescent="0.2">
      <c r="E45" s="5"/>
      <c r="F45" s="18"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x14ac:dyDescent="0.2">
      <c r="E46" s="5"/>
      <c r="F46" s="6"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x14ac:dyDescent="0.2">
      <c r="E47" s="5"/>
      <c r="F47" s="6"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x14ac:dyDescent="0.2">
      <c r="E48" s="5"/>
      <c r="F48" s="6" t="s">
        <v>15</v>
      </c>
    </row>
    <row r="49" spans="5:5" x14ac:dyDescent="0.2">
      <c r="E49" s="5"/>
    </row>
    <row r="50" spans="5:5" x14ac:dyDescent="0.2">
      <c r="E50" s="5"/>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2"/>
  <sheetViews>
    <sheetView topLeftCell="B1" workbookViewId="0">
      <pane ySplit="2" topLeftCell="A3" activePane="bottomLeft" state="frozenSplit"/>
      <selection pane="bottomLeft" activeCell="B2" sqref="B2"/>
    </sheetView>
  </sheetViews>
  <sheetFormatPr baseColWidth="10" defaultRowHeight="16" x14ac:dyDescent="0.2"/>
  <sheetData>
    <row r="2" spans="2:17" ht="17" thickBot="1" x14ac:dyDescent="0.25">
      <c r="B2" s="3" t="s">
        <v>1830</v>
      </c>
      <c r="C2" s="3" t="s">
        <v>1831</v>
      </c>
      <c r="E2" s="3" t="s">
        <v>1832</v>
      </c>
      <c r="F2" s="3" t="s">
        <v>1833</v>
      </c>
      <c r="G2" s="3" t="s">
        <v>1987</v>
      </c>
      <c r="H2" s="3" t="s">
        <v>1834</v>
      </c>
      <c r="I2" s="3" t="s">
        <v>1835</v>
      </c>
      <c r="J2" s="3" t="s">
        <v>1836</v>
      </c>
      <c r="K2" s="3" t="s">
        <v>1837</v>
      </c>
    </row>
    <row r="3" spans="2:17" x14ac:dyDescent="0.2">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x14ac:dyDescent="0.2">
      <c r="B4" t="s">
        <v>1838</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x14ac:dyDescent="0.2">
      <c r="B5" t="s">
        <v>405</v>
      </c>
      <c r="C5" t="s">
        <v>1839</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x14ac:dyDescent="0.2">
      <c r="B6" t="s">
        <v>1838</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x14ac:dyDescent="0.2">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1985</v>
      </c>
      <c r="N7" t="s">
        <v>23</v>
      </c>
      <c r="O7" t="s">
        <v>24</v>
      </c>
      <c r="P7" t="s">
        <v>1989</v>
      </c>
      <c r="Q7" t="s">
        <v>1990</v>
      </c>
    </row>
    <row r="8" spans="2:17" x14ac:dyDescent="0.2">
      <c r="B8" t="s">
        <v>1838</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1986</v>
      </c>
      <c r="N8">
        <v>3.6</v>
      </c>
      <c r="O8">
        <v>1.2</v>
      </c>
      <c r="P8">
        <f xml:space="preserve"> $N8 - $O8</f>
        <v>2.4000000000000004</v>
      </c>
      <c r="Q8">
        <f xml:space="preserve"> MAX($N8:$P8)</f>
        <v>3.6</v>
      </c>
    </row>
    <row r="9" spans="2:17" x14ac:dyDescent="0.2">
      <c r="B9" t="s">
        <v>2258</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1991</v>
      </c>
      <c r="N9">
        <v>3</v>
      </c>
      <c r="O9">
        <v>1</v>
      </c>
      <c r="P9">
        <f xml:space="preserve"> $N9 - $O9</f>
        <v>2</v>
      </c>
      <c r="Q9">
        <f xml:space="preserve"> MAX($N9:$P9)</f>
        <v>3</v>
      </c>
    </row>
    <row r="10" spans="2:17" x14ac:dyDescent="0.2">
      <c r="B10" t="s">
        <v>2258</v>
      </c>
      <c r="C10" t="s">
        <v>1842</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x14ac:dyDescent="0.2">
      <c r="B11" t="s">
        <v>2259</v>
      </c>
      <c r="C11" t="s">
        <v>1860</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1988</v>
      </c>
      <c r="N11">
        <f xml:space="preserve"> _xlfn.MAXIFS(ChartLines_Thicknesses.StrokeWidth,   ChartLines_Thicknesses.StrokeWidth,"&gt;0")</f>
        <v>3.6</v>
      </c>
    </row>
    <row r="12" spans="2:17" x14ac:dyDescent="0.2">
      <c r="B12" t="s">
        <v>2259</v>
      </c>
      <c r="C12" t="s">
        <v>1943</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1962</v>
      </c>
      <c r="N12" s="6"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x14ac:dyDescent="0.2">
      <c r="B13" t="s">
        <v>2260</v>
      </c>
      <c r="C13" t="s">
        <v>1847</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1959</v>
      </c>
      <c r="N13" s="6" t="s">
        <v>1960</v>
      </c>
    </row>
    <row r="14" spans="2:17" x14ac:dyDescent="0.2">
      <c r="B14" t="s">
        <v>2260</v>
      </c>
      <c r="C14" t="s">
        <v>1842</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1961</v>
      </c>
      <c r="N14" s="6" t="s">
        <v>15</v>
      </c>
    </row>
    <row r="15" spans="2:17" x14ac:dyDescent="0.2">
      <c r="B15" t="s">
        <v>2261</v>
      </c>
      <c r="C15" t="s">
        <v>2257</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x14ac:dyDescent="0.2">
      <c r="B16" t="s">
        <v>2261</v>
      </c>
      <c r="C16" t="s">
        <v>1847</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x14ac:dyDescent="0.2">
      <c r="B17" t="s">
        <v>2262</v>
      </c>
      <c r="C17" t="s">
        <v>1847</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x14ac:dyDescent="0.2">
      <c r="B18" t="s">
        <v>2262</v>
      </c>
      <c r="C18" t="s">
        <v>2257</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x14ac:dyDescent="0.2">
      <c r="B19" t="s">
        <v>7</v>
      </c>
      <c r="C19" t="s">
        <v>1840</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x14ac:dyDescent="0.2">
      <c r="B20" t="s">
        <v>1838</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x14ac:dyDescent="0.2">
      <c r="B21" t="s">
        <v>1541</v>
      </c>
      <c r="C21" t="s">
        <v>1841</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x14ac:dyDescent="0.2">
      <c r="B22" t="s">
        <v>1541</v>
      </c>
      <c r="C22" t="s">
        <v>1842</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x14ac:dyDescent="0.2">
      <c r="B23" t="s">
        <v>2285</v>
      </c>
      <c r="C23" t="s">
        <v>1841</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x14ac:dyDescent="0.2">
      <c r="B24" t="s">
        <v>2285</v>
      </c>
      <c r="C24" t="s">
        <v>2292</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x14ac:dyDescent="0.2">
      <c r="B25" t="s">
        <v>1843</v>
      </c>
      <c r="C25" t="s">
        <v>1841</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x14ac:dyDescent="0.2">
      <c r="B26" t="s">
        <v>1843</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x14ac:dyDescent="0.2">
      <c r="B27" t="s">
        <v>2303</v>
      </c>
      <c r="C27" t="s">
        <v>1841</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x14ac:dyDescent="0.2">
      <c r="B28" t="s">
        <v>2303</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x14ac:dyDescent="0.2">
      <c r="B29" t="s">
        <v>1844</v>
      </c>
      <c r="C29" t="s">
        <v>1845</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x14ac:dyDescent="0.2">
      <c r="B30" t="s">
        <v>1844</v>
      </c>
      <c r="C30" t="s">
        <v>1846</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x14ac:dyDescent="0.2">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x14ac:dyDescent="0.2">
      <c r="B32" t="s">
        <v>122</v>
      </c>
      <c r="C32" t="s">
        <v>1847</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x14ac:dyDescent="0.2">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x14ac:dyDescent="0.2">
      <c r="B34" t="s">
        <v>126</v>
      </c>
      <c r="C34" t="s">
        <v>1848</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x14ac:dyDescent="0.2">
      <c r="B35" t="s">
        <v>128</v>
      </c>
      <c r="C35" t="s">
        <v>1849</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x14ac:dyDescent="0.2">
      <c r="B36" t="s">
        <v>128</v>
      </c>
      <c r="C36" t="s">
        <v>1850</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x14ac:dyDescent="0.2">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x14ac:dyDescent="0.2">
      <c r="B38" t="s">
        <v>796</v>
      </c>
      <c r="C38" t="s">
        <v>1839</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x14ac:dyDescent="0.2">
      <c r="B39" t="s">
        <v>796</v>
      </c>
      <c r="C39" t="s">
        <v>1842</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x14ac:dyDescent="0.2">
      <c r="B40" t="s">
        <v>798</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x14ac:dyDescent="0.2">
      <c r="B41" t="s">
        <v>798</v>
      </c>
      <c r="C41" t="s">
        <v>1839</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x14ac:dyDescent="0.2">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x14ac:dyDescent="0.2">
      <c r="B43" t="s">
        <v>581</v>
      </c>
      <c r="C43" t="s">
        <v>1842</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x14ac:dyDescent="0.2">
      <c r="B44" t="s">
        <v>2278</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x14ac:dyDescent="0.2">
      <c r="B45" t="s">
        <v>2278</v>
      </c>
      <c r="C45" t="s">
        <v>1841</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x14ac:dyDescent="0.2">
      <c r="B46" t="s">
        <v>598</v>
      </c>
      <c r="C46" t="s">
        <v>1851</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x14ac:dyDescent="0.2">
      <c r="B47" t="s">
        <v>598</v>
      </c>
      <c r="C47" t="s">
        <v>1852</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x14ac:dyDescent="0.2">
      <c r="B48" t="s">
        <v>2280</v>
      </c>
      <c r="C48" t="s">
        <v>1851</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x14ac:dyDescent="0.2">
      <c r="B49" t="s">
        <v>2280</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x14ac:dyDescent="0.2">
      <c r="B50" t="s">
        <v>635</v>
      </c>
      <c r="C50" t="s">
        <v>1853</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x14ac:dyDescent="0.2">
      <c r="B51" t="s">
        <v>635</v>
      </c>
      <c r="C51" t="s">
        <v>1854</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x14ac:dyDescent="0.2">
      <c r="B52" t="s">
        <v>2281</v>
      </c>
      <c r="C52" t="s">
        <v>1853</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x14ac:dyDescent="0.2">
      <c r="B53" t="s">
        <v>2281</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x14ac:dyDescent="0.2">
      <c r="B54" t="s">
        <v>170</v>
      </c>
      <c r="C54" t="s">
        <v>2151</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x14ac:dyDescent="0.2">
      <c r="B55" t="s">
        <v>170</v>
      </c>
      <c r="C55" t="s">
        <v>2152</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x14ac:dyDescent="0.2">
      <c r="B56" t="s">
        <v>2282</v>
      </c>
      <c r="C56" t="s">
        <v>2151</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x14ac:dyDescent="0.2">
      <c r="B57" t="s">
        <v>2282</v>
      </c>
      <c r="C57" t="s">
        <v>2292</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x14ac:dyDescent="0.2">
      <c r="B58" t="s">
        <v>636</v>
      </c>
      <c r="C58" t="s">
        <v>1855</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x14ac:dyDescent="0.2">
      <c r="B59" t="s">
        <v>636</v>
      </c>
      <c r="C59" t="s">
        <v>1856</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x14ac:dyDescent="0.2">
      <c r="B60" t="s">
        <v>2293</v>
      </c>
      <c r="C60" t="s">
        <v>2294</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x14ac:dyDescent="0.2">
      <c r="B61" t="s">
        <v>2293</v>
      </c>
      <c r="C61" t="s">
        <v>1856</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x14ac:dyDescent="0.2">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x14ac:dyDescent="0.2">
      <c r="B63" t="s">
        <v>655</v>
      </c>
      <c r="C63" t="s">
        <v>1857</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x14ac:dyDescent="0.2">
      <c r="B64" t="s">
        <v>2295</v>
      </c>
      <c r="C64" t="s">
        <v>1857</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x14ac:dyDescent="0.2">
      <c r="B65" t="s">
        <v>2295</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x14ac:dyDescent="0.2">
      <c r="B66" t="s">
        <v>656</v>
      </c>
      <c r="C66" t="s">
        <v>1847</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x14ac:dyDescent="0.2">
      <c r="B67" t="s">
        <v>656</v>
      </c>
      <c r="C67" t="s">
        <v>1842</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x14ac:dyDescent="0.2">
      <c r="B68" t="s">
        <v>2284</v>
      </c>
      <c r="C68" t="s">
        <v>1847</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x14ac:dyDescent="0.2">
      <c r="B69" t="s">
        <v>2284</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x14ac:dyDescent="0.2">
      <c r="B70" t="s">
        <v>657</v>
      </c>
      <c r="C70" t="s">
        <v>1858</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x14ac:dyDescent="0.2">
      <c r="B71" t="s">
        <v>1838</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x14ac:dyDescent="0.2">
      <c r="B72" t="s">
        <v>2296</v>
      </c>
      <c r="C72" t="s">
        <v>1858</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x14ac:dyDescent="0.2">
      <c r="B73" t="s">
        <v>2296</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x14ac:dyDescent="0.2">
      <c r="B74" t="s">
        <v>171</v>
      </c>
      <c r="C74" t="s">
        <v>1859</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x14ac:dyDescent="0.2">
      <c r="B75" t="s">
        <v>171</v>
      </c>
      <c r="C75" t="s">
        <v>1842</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x14ac:dyDescent="0.2">
      <c r="B76" t="s">
        <v>2300</v>
      </c>
      <c r="C76" t="s">
        <v>1859</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x14ac:dyDescent="0.2">
      <c r="B77" t="s">
        <v>2300</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x14ac:dyDescent="0.2">
      <c r="B78" t="s">
        <v>103</v>
      </c>
      <c r="C78" t="s">
        <v>1860</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x14ac:dyDescent="0.2">
      <c r="B79" t="s">
        <v>1838</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x14ac:dyDescent="0.2">
      <c r="B80" t="s">
        <v>2301</v>
      </c>
      <c r="C80" t="s">
        <v>1860</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x14ac:dyDescent="0.2">
      <c r="B81" t="s">
        <v>2301</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x14ac:dyDescent="0.2">
      <c r="B82" t="s">
        <v>675</v>
      </c>
      <c r="C82" t="s">
        <v>1861</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x14ac:dyDescent="0.2">
      <c r="B83" t="s">
        <v>675</v>
      </c>
      <c r="C83" t="s">
        <v>1862</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x14ac:dyDescent="0.2">
      <c r="B84" t="s">
        <v>2302</v>
      </c>
      <c r="C84" t="s">
        <v>1862</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x14ac:dyDescent="0.2">
      <c r="B85" t="s">
        <v>2302</v>
      </c>
      <c r="C85" t="s">
        <v>1861</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x14ac:dyDescent="0.2">
      <c r="B86" t="s">
        <v>358</v>
      </c>
      <c r="C86" t="s">
        <v>1840</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x14ac:dyDescent="0.2">
      <c r="B87" t="s">
        <v>358</v>
      </c>
      <c r="C87" t="s">
        <v>1863</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x14ac:dyDescent="0.2">
      <c r="B88" t="s">
        <v>2297</v>
      </c>
      <c r="C88" t="s">
        <v>1863</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x14ac:dyDescent="0.2">
      <c r="B89" t="s">
        <v>2297</v>
      </c>
      <c r="C89" t="s">
        <v>1840</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x14ac:dyDescent="0.2">
      <c r="B90" t="s">
        <v>614</v>
      </c>
      <c r="C90" t="s">
        <v>2166</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x14ac:dyDescent="0.2">
      <c r="B91" t="s">
        <v>614</v>
      </c>
      <c r="C91" t="s">
        <v>1864</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x14ac:dyDescent="0.2">
      <c r="B92" t="s">
        <v>104</v>
      </c>
      <c r="C92" t="s">
        <v>1865</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x14ac:dyDescent="0.2">
      <c r="B93" t="s">
        <v>1838</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x14ac:dyDescent="0.2">
      <c r="B94" t="s">
        <v>1668</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x14ac:dyDescent="0.2">
      <c r="B95" t="s">
        <v>1838</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x14ac:dyDescent="0.2">
      <c r="B96" t="s">
        <v>359</v>
      </c>
      <c r="C96" t="s">
        <v>1866</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x14ac:dyDescent="0.2">
      <c r="B97" t="s">
        <v>359</v>
      </c>
      <c r="C97" t="s">
        <v>1867</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x14ac:dyDescent="0.2">
      <c r="B98" t="s">
        <v>676</v>
      </c>
      <c r="C98" t="s">
        <v>1868</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x14ac:dyDescent="0.2">
      <c r="B99" t="s">
        <v>676</v>
      </c>
      <c r="C99" t="s">
        <v>1842</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x14ac:dyDescent="0.2">
      <c r="B100" t="s">
        <v>105</v>
      </c>
      <c r="C100" t="s">
        <v>1869</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x14ac:dyDescent="0.2">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x14ac:dyDescent="0.2">
      <c r="B102" t="s">
        <v>694</v>
      </c>
      <c r="C102" t="s">
        <v>1870</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x14ac:dyDescent="0.2">
      <c r="B103" t="s">
        <v>694</v>
      </c>
      <c r="C103" t="s">
        <v>1871</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x14ac:dyDescent="0.2">
      <c r="B104" t="s">
        <v>714</v>
      </c>
      <c r="C104" t="s">
        <v>1872</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x14ac:dyDescent="0.2">
      <c r="B105" t="s">
        <v>714</v>
      </c>
      <c r="C105" t="s">
        <v>2164</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x14ac:dyDescent="0.2">
      <c r="B106" t="s">
        <v>715</v>
      </c>
      <c r="C106" t="s">
        <v>1873</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x14ac:dyDescent="0.2">
      <c r="B107" t="s">
        <v>715</v>
      </c>
      <c r="C107" t="s">
        <v>1874</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x14ac:dyDescent="0.2">
      <c r="B108" t="s">
        <v>1707</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x14ac:dyDescent="0.2">
      <c r="B109" t="s">
        <v>1707</v>
      </c>
      <c r="C109" t="s">
        <v>1875</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x14ac:dyDescent="0.2">
      <c r="B110" t="s">
        <v>797</v>
      </c>
      <c r="C110" t="s">
        <v>1876</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x14ac:dyDescent="0.2">
      <c r="B111" t="s">
        <v>797</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x14ac:dyDescent="0.2">
      <c r="B112" t="s">
        <v>2135</v>
      </c>
      <c r="C112" t="s">
        <v>1865</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x14ac:dyDescent="0.2">
      <c r="B113" t="s">
        <v>2135</v>
      </c>
      <c r="C113" t="s">
        <v>1840</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x14ac:dyDescent="0.2">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x14ac:dyDescent="0.2">
      <c r="B115" t="s">
        <v>132</v>
      </c>
      <c r="C115" t="s">
        <v>1860</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x14ac:dyDescent="0.2">
      <c r="B116" t="s">
        <v>132</v>
      </c>
      <c r="C116" t="s">
        <v>1842</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x14ac:dyDescent="0.2">
      <c r="B117" t="s">
        <v>1542</v>
      </c>
      <c r="C117" t="s">
        <v>1877</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x14ac:dyDescent="0.2">
      <c r="B118" t="s">
        <v>1542</v>
      </c>
      <c r="C118" t="s">
        <v>1878</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x14ac:dyDescent="0.2">
      <c r="B119" t="s">
        <v>326</v>
      </c>
      <c r="C119" t="s">
        <v>1984</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x14ac:dyDescent="0.2">
      <c r="B120" t="s">
        <v>1838</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x14ac:dyDescent="0.2">
      <c r="B121" t="s">
        <v>372</v>
      </c>
      <c r="C121" t="s">
        <v>1880</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x14ac:dyDescent="0.2">
      <c r="B122" t="s">
        <v>372</v>
      </c>
      <c r="C122" t="s">
        <v>1879</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x14ac:dyDescent="0.2">
      <c r="B123" t="s">
        <v>357</v>
      </c>
      <c r="C123" t="s">
        <v>1845</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x14ac:dyDescent="0.2">
      <c r="B124" t="s">
        <v>357</v>
      </c>
      <c r="C124" t="s">
        <v>1881</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x14ac:dyDescent="0.2">
      <c r="B125" t="s">
        <v>376</v>
      </c>
      <c r="C125" t="s">
        <v>1882</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x14ac:dyDescent="0.2">
      <c r="B126" t="s">
        <v>376</v>
      </c>
      <c r="C126" t="s">
        <v>1883</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x14ac:dyDescent="0.2">
      <c r="B127" t="s">
        <v>393</v>
      </c>
      <c r="C127" t="s">
        <v>1884</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x14ac:dyDescent="0.2">
      <c r="B128" t="s">
        <v>393</v>
      </c>
      <c r="C128" t="s">
        <v>1842</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x14ac:dyDescent="0.2">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x14ac:dyDescent="0.2">
      <c r="B130" t="s">
        <v>133</v>
      </c>
      <c r="C130" t="s">
        <v>1885</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x14ac:dyDescent="0.2">
      <c r="B131" t="s">
        <v>133</v>
      </c>
      <c r="C131" t="s">
        <v>1886</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x14ac:dyDescent="0.2">
      <c r="B132" t="s">
        <v>1887</v>
      </c>
      <c r="C132" t="s">
        <v>1841</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x14ac:dyDescent="0.2">
      <c r="B133" t="s">
        <v>1838</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x14ac:dyDescent="0.2">
      <c r="B134" t="s">
        <v>203</v>
      </c>
      <c r="C134" t="s">
        <v>1888</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x14ac:dyDescent="0.2">
      <c r="B135" t="s">
        <v>203</v>
      </c>
      <c r="C135" t="s">
        <v>1842</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x14ac:dyDescent="0.2">
      <c r="B136" t="s">
        <v>1889</v>
      </c>
      <c r="C136" t="s">
        <v>1890</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x14ac:dyDescent="0.2">
      <c r="B137" t="s">
        <v>1889</v>
      </c>
      <c r="C137" t="s">
        <v>1891</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x14ac:dyDescent="0.2">
      <c r="B138" t="s">
        <v>136</v>
      </c>
      <c r="C138" t="s">
        <v>1892</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x14ac:dyDescent="0.2">
      <c r="B139" t="s">
        <v>1838</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x14ac:dyDescent="0.2">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x14ac:dyDescent="0.2">
      <c r="B141" t="s">
        <v>235</v>
      </c>
      <c r="C141" t="s">
        <v>1893</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x14ac:dyDescent="0.2">
      <c r="B142" t="s">
        <v>162</v>
      </c>
      <c r="C142" t="s">
        <v>1841</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x14ac:dyDescent="0.2">
      <c r="B143" t="s">
        <v>162</v>
      </c>
      <c r="C143" t="s">
        <v>1842</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x14ac:dyDescent="0.2">
      <c r="B144" t="s">
        <v>163</v>
      </c>
      <c r="C144" t="s">
        <v>1894</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x14ac:dyDescent="0.2">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x14ac:dyDescent="0.2">
      <c r="B146" t="s">
        <v>2383</v>
      </c>
      <c r="C146" t="s">
        <v>2412</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x14ac:dyDescent="0.2">
      <c r="B147" t="s">
        <v>2383</v>
      </c>
      <c r="C147" t="s">
        <v>2411</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x14ac:dyDescent="0.2">
      <c r="B148" t="s">
        <v>248</v>
      </c>
      <c r="C148" t="s">
        <v>1895</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x14ac:dyDescent="0.2">
      <c r="B149" t="s">
        <v>248</v>
      </c>
      <c r="C149" t="s">
        <v>1883</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x14ac:dyDescent="0.2">
      <c r="B150" t="s">
        <v>261</v>
      </c>
      <c r="C150" t="s">
        <v>1896</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x14ac:dyDescent="0.2">
      <c r="B151" t="s">
        <v>261</v>
      </c>
      <c r="C151" t="s">
        <v>1897</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x14ac:dyDescent="0.2">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x14ac:dyDescent="0.2">
      <c r="B153" t="s">
        <v>296</v>
      </c>
      <c r="C153" t="s">
        <v>1842</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x14ac:dyDescent="0.2">
      <c r="B154" t="s">
        <v>135</v>
      </c>
      <c r="C154" t="s">
        <v>1898</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x14ac:dyDescent="0.2">
      <c r="B155" t="s">
        <v>135</v>
      </c>
      <c r="C155" t="s">
        <v>1842</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x14ac:dyDescent="0.2">
      <c r="B156" t="s">
        <v>97</v>
      </c>
      <c r="C156" t="s">
        <v>1899</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x14ac:dyDescent="0.2">
      <c r="B157" t="s">
        <v>97</v>
      </c>
      <c r="C157" t="s">
        <v>1900</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x14ac:dyDescent="0.2">
      <c r="B158" t="s">
        <v>164</v>
      </c>
      <c r="C158" t="s">
        <v>1901</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x14ac:dyDescent="0.2">
      <c r="B159" t="s">
        <v>164</v>
      </c>
      <c r="C159" t="s">
        <v>1902</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x14ac:dyDescent="0.2">
      <c r="B160" t="s">
        <v>1903</v>
      </c>
      <c r="C160" t="s">
        <v>1904</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x14ac:dyDescent="0.2">
      <c r="B161" t="s">
        <v>1903</v>
      </c>
      <c r="C161" t="s">
        <v>1905</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x14ac:dyDescent="0.2">
      <c r="B162" t="s">
        <v>2315</v>
      </c>
      <c r="C162" t="s">
        <v>2410</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x14ac:dyDescent="0.2">
      <c r="B163" t="s">
        <v>2315</v>
      </c>
      <c r="C163" t="s">
        <v>2409</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x14ac:dyDescent="0.2">
      <c r="B164" t="s">
        <v>2413</v>
      </c>
      <c r="C164" t="s">
        <v>1943</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x14ac:dyDescent="0.2">
      <c r="B165" t="s">
        <v>2413</v>
      </c>
      <c r="C165" t="s">
        <v>2414</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x14ac:dyDescent="0.2">
      <c r="B166" t="s">
        <v>1616</v>
      </c>
      <c r="C166" t="s">
        <v>1906</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x14ac:dyDescent="0.2">
      <c r="B167" t="s">
        <v>1616</v>
      </c>
      <c r="C167" t="s">
        <v>1907</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x14ac:dyDescent="0.2">
      <c r="B168" t="s">
        <v>2424</v>
      </c>
      <c r="C168" t="s">
        <v>2426</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x14ac:dyDescent="0.2">
      <c r="B169" t="s">
        <v>2424</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x14ac:dyDescent="0.2">
      <c r="B170" t="s">
        <v>2272</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x14ac:dyDescent="0.2">
      <c r="B171" t="s">
        <v>2272</v>
      </c>
      <c r="C171" t="s">
        <v>2305</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x14ac:dyDescent="0.2">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x14ac:dyDescent="0.2">
      <c r="B173" t="s">
        <v>881</v>
      </c>
      <c r="C173" t="s">
        <v>1908</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x14ac:dyDescent="0.2">
      <c r="B174" t="s">
        <v>881</v>
      </c>
      <c r="C174" t="s">
        <v>1909</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x14ac:dyDescent="0.2">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x14ac:dyDescent="0.2">
      <c r="B176" t="s">
        <v>394</v>
      </c>
      <c r="C176" t="s">
        <v>1860</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x14ac:dyDescent="0.2">
      <c r="B177" t="s">
        <v>406</v>
      </c>
      <c r="C177" t="s">
        <v>1910</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x14ac:dyDescent="0.2">
      <c r="B178" t="s">
        <v>406</v>
      </c>
      <c r="C178" t="s">
        <v>1911</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x14ac:dyDescent="0.2">
      <c r="B179" t="s">
        <v>1672</v>
      </c>
      <c r="C179" t="s">
        <v>1912</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x14ac:dyDescent="0.2">
      <c r="B180" t="s">
        <v>1672</v>
      </c>
      <c r="C180" t="s">
        <v>1913</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x14ac:dyDescent="0.2">
      <c r="B181" t="s">
        <v>165</v>
      </c>
      <c r="C181" t="s">
        <v>1914</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x14ac:dyDescent="0.2">
      <c r="B182" t="s">
        <v>165</v>
      </c>
      <c r="C182" t="s">
        <v>1983</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x14ac:dyDescent="0.2">
      <c r="B183" t="s">
        <v>1915</v>
      </c>
      <c r="C183" t="s">
        <v>1841</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x14ac:dyDescent="0.2">
      <c r="B184" t="s">
        <v>1915</v>
      </c>
      <c r="C184" t="s">
        <v>1842</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x14ac:dyDescent="0.2">
      <c r="B185" t="s">
        <v>2418</v>
      </c>
      <c r="C185" t="s">
        <v>2420</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x14ac:dyDescent="0.2">
      <c r="B186" t="s">
        <v>2418</v>
      </c>
      <c r="C186" t="s">
        <v>1842</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x14ac:dyDescent="0.2">
      <c r="B187" t="s">
        <v>2419</v>
      </c>
      <c r="C187" t="s">
        <v>1937</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x14ac:dyDescent="0.2">
      <c r="B188" t="s">
        <v>2419</v>
      </c>
      <c r="C188" t="s">
        <v>2421</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x14ac:dyDescent="0.2">
      <c r="B189" t="s">
        <v>2158</v>
      </c>
      <c r="C189" t="s">
        <v>1916</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x14ac:dyDescent="0.2">
      <c r="B190" t="s">
        <v>2158</v>
      </c>
      <c r="C190" t="s">
        <v>1842</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x14ac:dyDescent="0.2">
      <c r="B191" t="s">
        <v>407</v>
      </c>
      <c r="C191" t="s">
        <v>2081</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x14ac:dyDescent="0.2">
      <c r="B192" t="s">
        <v>407</v>
      </c>
      <c r="C192" t="s">
        <v>2072</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x14ac:dyDescent="0.2">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x14ac:dyDescent="0.2">
      <c r="B194" t="s">
        <v>134</v>
      </c>
      <c r="C194" t="s">
        <v>1917</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x14ac:dyDescent="0.2">
      <c r="B195" t="s">
        <v>1838</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x14ac:dyDescent="0.2">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x14ac:dyDescent="0.2">
      <c r="B197" t="s">
        <v>166</v>
      </c>
      <c r="C197" t="s">
        <v>1842</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x14ac:dyDescent="0.2">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x14ac:dyDescent="0.2">
      <c r="B199" t="s">
        <v>459</v>
      </c>
      <c r="C199" t="s">
        <v>1840</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x14ac:dyDescent="0.2">
      <c r="B200" t="s">
        <v>1982</v>
      </c>
      <c r="C200" t="s">
        <v>1847</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x14ac:dyDescent="0.2">
      <c r="B201" t="s">
        <v>1982</v>
      </c>
      <c r="C201" t="s">
        <v>1983</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x14ac:dyDescent="0.2">
      <c r="B202" t="s">
        <v>473</v>
      </c>
      <c r="C202" t="s">
        <v>1918</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x14ac:dyDescent="0.2">
      <c r="B203" t="s">
        <v>473</v>
      </c>
      <c r="C203" t="s">
        <v>1842</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x14ac:dyDescent="0.2">
      <c r="B204" t="s">
        <v>2417</v>
      </c>
      <c r="C204" t="s">
        <v>1860</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x14ac:dyDescent="0.2">
      <c r="B205" t="s">
        <v>1919</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x14ac:dyDescent="0.2">
      <c r="B206" t="s">
        <v>1919</v>
      </c>
      <c r="C206" t="s">
        <v>1920</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x14ac:dyDescent="0.2">
      <c r="B207" t="s">
        <v>2030</v>
      </c>
      <c r="C207" t="s">
        <v>2029</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x14ac:dyDescent="0.2">
      <c r="B208" t="s">
        <v>2030</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x14ac:dyDescent="0.2">
      <c r="B209" t="s">
        <v>2314</v>
      </c>
      <c r="C209" t="s">
        <v>2408</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x14ac:dyDescent="0.2">
      <c r="B210" t="s">
        <v>2314</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x14ac:dyDescent="0.2">
      <c r="B211" t="s">
        <v>491</v>
      </c>
      <c r="C211" t="s">
        <v>1920</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x14ac:dyDescent="0.2">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x14ac:dyDescent="0.2">
      <c r="B213" t="s">
        <v>167</v>
      </c>
      <c r="C213" t="s">
        <v>1840</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x14ac:dyDescent="0.2">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x14ac:dyDescent="0.2">
      <c r="B215" t="s">
        <v>2310</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x14ac:dyDescent="0.2">
      <c r="B216" t="s">
        <v>2310</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x14ac:dyDescent="0.2">
      <c r="B217" t="s">
        <v>1921</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x14ac:dyDescent="0.2">
      <c r="B218" t="s">
        <v>1921</v>
      </c>
      <c r="C218" t="s">
        <v>1842</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x14ac:dyDescent="0.2">
      <c r="B219" t="s">
        <v>137</v>
      </c>
      <c r="C219" t="s">
        <v>1922</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x14ac:dyDescent="0.2">
      <c r="B220" t="s">
        <v>137</v>
      </c>
      <c r="C220" t="s">
        <v>1842</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x14ac:dyDescent="0.2">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x14ac:dyDescent="0.2">
      <c r="B222" t="s">
        <v>138</v>
      </c>
      <c r="C222" t="s">
        <v>1923</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x14ac:dyDescent="0.2">
      <c r="B223" t="s">
        <v>1626</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x14ac:dyDescent="0.2">
      <c r="B224" t="s">
        <v>1626</v>
      </c>
      <c r="C224" t="s">
        <v>1842</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x14ac:dyDescent="0.2">
      <c r="B225" t="s">
        <v>492</v>
      </c>
      <c r="C225" t="s">
        <v>1924</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x14ac:dyDescent="0.2">
      <c r="B226" t="s">
        <v>492</v>
      </c>
      <c r="C226" t="s">
        <v>1842</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x14ac:dyDescent="0.2">
      <c r="B227" t="s">
        <v>902</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x14ac:dyDescent="0.2">
      <c r="B228" t="s">
        <v>902</v>
      </c>
      <c r="C228" t="s">
        <v>1925</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x14ac:dyDescent="0.2">
      <c r="B229" t="s">
        <v>510</v>
      </c>
      <c r="C229" t="s">
        <v>1926</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x14ac:dyDescent="0.2">
      <c r="B230" t="s">
        <v>510</v>
      </c>
      <c r="C230" t="s">
        <v>1842</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x14ac:dyDescent="0.2">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x14ac:dyDescent="0.2">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x14ac:dyDescent="0.2">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x14ac:dyDescent="0.2">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x14ac:dyDescent="0.2">
      <c r="B235" t="s">
        <v>168</v>
      </c>
      <c r="C235" t="s">
        <v>1842</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x14ac:dyDescent="0.2">
      <c r="B236" t="s">
        <v>1619</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x14ac:dyDescent="0.2">
      <c r="B237" t="s">
        <v>1619</v>
      </c>
      <c r="C237" t="s">
        <v>1927</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x14ac:dyDescent="0.2">
      <c r="B238" t="s">
        <v>2009</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x14ac:dyDescent="0.2">
      <c r="B239" t="s">
        <v>2009</v>
      </c>
      <c r="C239" t="s">
        <v>1842</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x14ac:dyDescent="0.2">
      <c r="B240" t="s">
        <v>1629</v>
      </c>
      <c r="C240" t="s">
        <v>1928</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x14ac:dyDescent="0.2">
      <c r="B241" t="s">
        <v>1629</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x14ac:dyDescent="0.2">
      <c r="B242" t="s">
        <v>1625</v>
      </c>
      <c r="C242" t="s">
        <v>1883</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x14ac:dyDescent="0.2">
      <c r="B243" t="s">
        <v>1625</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x14ac:dyDescent="0.2">
      <c r="B244" t="s">
        <v>1639</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x14ac:dyDescent="0.2">
      <c r="B245" t="s">
        <v>1639</v>
      </c>
      <c r="C245" t="s">
        <v>1929</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x14ac:dyDescent="0.2">
      <c r="B246" t="s">
        <v>1622</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x14ac:dyDescent="0.2">
      <c r="B247" t="s">
        <v>1622</v>
      </c>
      <c r="C247" t="s">
        <v>1930</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x14ac:dyDescent="0.2">
      <c r="B248" t="s">
        <v>1963</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x14ac:dyDescent="0.2">
      <c r="B249" t="s">
        <v>1963</v>
      </c>
      <c r="C249" t="s">
        <v>1848</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x14ac:dyDescent="0.2">
      <c r="B250" t="s">
        <v>139</v>
      </c>
      <c r="C250" t="s">
        <v>1932</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x14ac:dyDescent="0.2">
      <c r="B251" t="s">
        <v>139</v>
      </c>
      <c r="C251" t="s">
        <v>1931</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x14ac:dyDescent="0.2">
      <c r="B252" t="s">
        <v>99</v>
      </c>
      <c r="C252" t="s">
        <v>1855</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x14ac:dyDescent="0.2">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x14ac:dyDescent="0.2">
      <c r="B254" t="s">
        <v>98</v>
      </c>
      <c r="C254" t="s">
        <v>1933</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x14ac:dyDescent="0.2">
      <c r="B255" t="s">
        <v>98</v>
      </c>
      <c r="C255" t="s">
        <v>1934</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x14ac:dyDescent="0.2">
      <c r="B256" t="s">
        <v>2422</v>
      </c>
      <c r="C256" t="s">
        <v>1883</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x14ac:dyDescent="0.2">
      <c r="B257" t="s">
        <v>2422</v>
      </c>
      <c r="C257" t="s">
        <v>1920</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x14ac:dyDescent="0.2">
      <c r="B258" t="s">
        <v>2155</v>
      </c>
      <c r="C258" t="s">
        <v>1847</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x14ac:dyDescent="0.2">
      <c r="B259" t="s">
        <v>2155</v>
      </c>
      <c r="C259" t="s">
        <v>1846</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x14ac:dyDescent="0.2">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x14ac:dyDescent="0.2">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x14ac:dyDescent="0.2">
      <c r="B262" t="s">
        <v>526</v>
      </c>
      <c r="C262" t="s">
        <v>1847</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x14ac:dyDescent="0.2">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x14ac:dyDescent="0.2">
      <c r="B264" t="s">
        <v>528</v>
      </c>
      <c r="C264" t="s">
        <v>1935</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x14ac:dyDescent="0.2">
      <c r="B265" t="s">
        <v>140</v>
      </c>
      <c r="C265" t="s">
        <v>1936</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x14ac:dyDescent="0.2">
      <c r="B266" t="s">
        <v>140</v>
      </c>
      <c r="C266" t="s">
        <v>1937</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x14ac:dyDescent="0.2">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x14ac:dyDescent="0.2">
      <c r="B268" t="s">
        <v>100</v>
      </c>
      <c r="C268" t="s">
        <v>1846</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x14ac:dyDescent="0.2">
      <c r="B269" t="s">
        <v>101</v>
      </c>
      <c r="C269" t="s">
        <v>1847</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x14ac:dyDescent="0.2">
      <c r="B270" t="s">
        <v>101</v>
      </c>
      <c r="C270" t="s">
        <v>1842</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x14ac:dyDescent="0.2">
      <c r="B271" t="s">
        <v>544</v>
      </c>
      <c r="C271" t="s">
        <v>2165</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x14ac:dyDescent="0.2">
      <c r="B272" t="s">
        <v>544</v>
      </c>
      <c r="C272" t="s">
        <v>1842</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x14ac:dyDescent="0.2">
      <c r="B273" t="s">
        <v>102</v>
      </c>
      <c r="C273" t="s">
        <v>1938</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x14ac:dyDescent="0.2">
      <c r="B274" t="s">
        <v>102</v>
      </c>
      <c r="C274" t="s">
        <v>1842</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x14ac:dyDescent="0.2">
      <c r="B275" t="s">
        <v>1939</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x14ac:dyDescent="0.2">
      <c r="B276" t="s">
        <v>1939</v>
      </c>
      <c r="C276" t="s">
        <v>1842</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x14ac:dyDescent="0.2">
      <c r="B277" t="s">
        <v>560</v>
      </c>
      <c r="C277" t="s">
        <v>1940</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x14ac:dyDescent="0.2">
      <c r="B278" t="s">
        <v>560</v>
      </c>
      <c r="C278" t="s">
        <v>1847</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x14ac:dyDescent="0.2">
      <c r="B279" t="s">
        <v>563</v>
      </c>
      <c r="C279" t="s">
        <v>1869</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x14ac:dyDescent="0.2">
      <c r="B280" t="s">
        <v>563</v>
      </c>
      <c r="C280" t="s">
        <v>1848</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x14ac:dyDescent="0.2">
      <c r="B281" t="s">
        <v>2318</v>
      </c>
      <c r="C281" t="s">
        <v>2415</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x14ac:dyDescent="0.2">
      <c r="B282" t="s">
        <v>2318</v>
      </c>
      <c r="C282" t="s">
        <v>2416</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x14ac:dyDescent="0.2">
      <c r="B283" t="s">
        <v>2313</v>
      </c>
      <c r="C283" t="s">
        <v>1941</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x14ac:dyDescent="0.2">
      <c r="B284" t="s">
        <v>2313</v>
      </c>
      <c r="C284" t="s">
        <v>1855</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x14ac:dyDescent="0.2">
      <c r="B285" t="s">
        <v>169</v>
      </c>
      <c r="C285" t="s">
        <v>1926</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x14ac:dyDescent="0.2">
      <c r="B286" t="s">
        <v>169</v>
      </c>
      <c r="C286" t="s">
        <v>1842</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x14ac:dyDescent="0.2">
      <c r="B287" t="s">
        <v>2361</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x14ac:dyDescent="0.2">
      <c r="B288" t="s">
        <v>2361</v>
      </c>
      <c r="C288" t="s">
        <v>1860</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x14ac:dyDescent="0.2">
      <c r="B289" t="s">
        <v>2381</v>
      </c>
      <c r="C289" t="s">
        <v>2407</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x14ac:dyDescent="0.2">
      <c r="B290" t="s">
        <v>2381</v>
      </c>
      <c r="C290" t="s">
        <v>1842</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x14ac:dyDescent="0.2">
      <c r="B291" t="s">
        <v>1710</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x14ac:dyDescent="0.2">
      <c r="B292" t="s">
        <v>1710</v>
      </c>
      <c r="C292" t="s">
        <v>1942</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x14ac:dyDescent="0.2">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x14ac:dyDescent="0.2">
      <c r="B294" t="s">
        <v>578</v>
      </c>
      <c r="C294" t="s">
        <v>1920</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x14ac:dyDescent="0.2">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x14ac:dyDescent="0.2">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x14ac:dyDescent="0.2">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x14ac:dyDescent="0.2">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x14ac:dyDescent="0.2">
      <c r="B299" t="s">
        <v>1779</v>
      </c>
      <c r="C299" t="s">
        <v>1943</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x14ac:dyDescent="0.2">
      <c r="B300" t="s">
        <v>1779</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x14ac:dyDescent="0.2">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x14ac:dyDescent="0.2">
      <c r="B302" t="s">
        <v>172</v>
      </c>
      <c r="C302" t="s">
        <v>1944</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8</v>
      </c>
      <c r="I302">
        <f t="shared" ref="I302" si="948" xml:space="preserve"> IF(LEN(ChartLines.Hex6)=6, HEX2DEC(MID(ChartLines.Hex6, 3, 2)), "·")</f>
        <v>82</v>
      </c>
      <c r="J302">
        <f t="shared" ref="J302" si="949" xml:space="preserve"> IF(LEN(ChartLines.Hex6)=6, HEX2DEC(RIGHT(ChartLines.Hex6, 2)), "·")</f>
        <v>140</v>
      </c>
      <c r="K302" cm="1">
        <f t="array" ref="K302" xml:space="preserve"> 1 + ROW() - _xlfn.SINGLE(ROW(ChartLines.RowNum))</f>
        <v>300</v>
      </c>
    </row>
    <row r="303" spans="2:11" x14ac:dyDescent="0.2">
      <c r="B303" t="s">
        <v>172</v>
      </c>
      <c r="C303" t="str">
        <f xml:space="preserve"> "949494"</f>
        <v>949494</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148</v>
      </c>
      <c r="I303">
        <f t="shared" ref="I303" si="953" xml:space="preserve"> IF(LEN(ChartLines.Hex6)=6, HEX2DEC(MID(ChartLines.Hex6, 3, 2)), "·")</f>
        <v>148</v>
      </c>
      <c r="J303">
        <f t="shared" ref="J303" si="954" xml:space="preserve"> IF(LEN(ChartLines.Hex6)=6, HEX2DEC(RIGHT(ChartLines.Hex6, 2)), "·")</f>
        <v>148</v>
      </c>
      <c r="K303" cm="1">
        <f t="array" ref="K303" xml:space="preserve"> 1 + ROW() - _xlfn.SINGLE(ROW(ChartLines.RowNum))</f>
        <v>301</v>
      </c>
    </row>
    <row r="304" spans="2:11" x14ac:dyDescent="0.2">
      <c r="B304" t="s">
        <v>973</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x14ac:dyDescent="0.2">
      <c r="B305" t="s">
        <v>973</v>
      </c>
      <c r="C305" t="s">
        <v>1842</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x14ac:dyDescent="0.2">
      <c r="B306" t="s">
        <v>2250</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x14ac:dyDescent="0.2">
      <c r="B307" t="s">
        <v>2250</v>
      </c>
      <c r="C307" t="s">
        <v>1842</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x14ac:dyDescent="0.2">
      <c r="B308" t="s">
        <v>1945</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x14ac:dyDescent="0.2">
      <c r="B309" t="s">
        <v>1945</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x14ac:dyDescent="0.2">
      <c r="B310" t="s">
        <v>800</v>
      </c>
      <c r="C310" t="s">
        <v>2134</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x14ac:dyDescent="0.2">
      <c r="B311" t="s">
        <v>2251</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x14ac:dyDescent="0.2">
      <c r="B312" t="s">
        <v>2251</v>
      </c>
      <c r="C312" t="s">
        <v>2254</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x14ac:dyDescent="0.2">
      <c r="B313" t="s">
        <v>1838</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x14ac:dyDescent="0.2">
      <c r="B314" t="s">
        <v>173</v>
      </c>
      <c r="C314" t="s">
        <v>1946</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x14ac:dyDescent="0.2">
      <c r="B315" t="s">
        <v>1838</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x14ac:dyDescent="0.2">
      <c r="B316" t="s">
        <v>1947</v>
      </c>
      <c r="C316" t="s">
        <v>1948</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x14ac:dyDescent="0.2">
      <c r="B317" t="s">
        <v>1947</v>
      </c>
      <c r="C317" t="s">
        <v>1842</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x14ac:dyDescent="0.2">
      <c r="B318" t="s">
        <v>957</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x14ac:dyDescent="0.2">
      <c r="B319" t="s">
        <v>957</v>
      </c>
      <c r="C319" t="s">
        <v>1842</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x14ac:dyDescent="0.2">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x14ac:dyDescent="0.2">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x14ac:dyDescent="0.2">
      <c r="B322" t="s">
        <v>2046</v>
      </c>
      <c r="C322" t="s">
        <v>2047</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x14ac:dyDescent="0.2">
      <c r="B323" t="s">
        <v>2046</v>
      </c>
      <c r="C323" t="s">
        <v>2048</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x14ac:dyDescent="0.2">
      <c r="B324" t="s">
        <v>994</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x14ac:dyDescent="0.2">
      <c r="B325" t="s">
        <v>994</v>
      </c>
      <c r="C325" t="s">
        <v>1842</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x14ac:dyDescent="0.2">
      <c r="B326" t="s">
        <v>2036</v>
      </c>
      <c r="C326" t="s">
        <v>2039</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x14ac:dyDescent="0.2">
      <c r="B327" t="s">
        <v>2036</v>
      </c>
      <c r="C327" t="s">
        <v>2040</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x14ac:dyDescent="0.2">
      <c r="B328" t="s">
        <v>2041</v>
      </c>
      <c r="C328" t="s">
        <v>2044</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x14ac:dyDescent="0.2">
      <c r="B329" t="s">
        <v>2041</v>
      </c>
      <c r="C329" t="s">
        <v>2045</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x14ac:dyDescent="0.2">
      <c r="B330" t="s">
        <v>1052</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x14ac:dyDescent="0.2">
      <c r="B331" t="s">
        <v>1052</v>
      </c>
      <c r="C331" t="s">
        <v>1949</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x14ac:dyDescent="0.2">
      <c r="B332" t="s">
        <v>1950</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x14ac:dyDescent="0.2">
      <c r="B333" t="s">
        <v>1950</v>
      </c>
      <c r="C333" t="s">
        <v>1842</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x14ac:dyDescent="0.2">
      <c r="B334" t="s">
        <v>1951</v>
      </c>
      <c r="C334" t="s">
        <v>1952</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x14ac:dyDescent="0.2">
      <c r="B335" t="s">
        <v>1838</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x14ac:dyDescent="0.2">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x14ac:dyDescent="0.2">
      <c r="B337" t="s">
        <v>1953</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x14ac:dyDescent="0.2">
      <c r="B338" t="s">
        <v>1953</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x14ac:dyDescent="0.2">
      <c r="B339" t="s">
        <v>1954</v>
      </c>
      <c r="C339" t="s">
        <v>1955</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x14ac:dyDescent="0.2">
      <c r="B340" t="s">
        <v>1954</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x14ac:dyDescent="0.2">
      <c r="B341" t="s">
        <v>931</v>
      </c>
      <c r="C341" t="s">
        <v>1956</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x14ac:dyDescent="0.2">
      <c r="B342" t="s">
        <v>931</v>
      </c>
      <c r="C342" t="s">
        <v>1957</v>
      </c>
      <c r="E342">
        <f t="shared" ref="E342" si="1090" xml:space="preserve"> IF(AND(LEN(ChartLines.ID)&gt;0,"Unused"&lt;&gt;ChartLines.ID), COUNTIFS(ChartLines.ID,ChartLines.ID), "·")</f>
        <v>2</v>
      </c>
      <c r="F342">
        <f t="shared" ref="F342"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 si="1092" xml:space="preserve"> IF(LEN(ChartLines.Hex6)=6, HEX2DEC(LEFT(ChartLines.Hex6, 2)), "·")</f>
        <v>199</v>
      </c>
      <c r="I342">
        <f t="shared" ref="I342" si="1093" xml:space="preserve"> IF(LEN(ChartLines.Hex6)=6, HEX2DEC(MID(ChartLines.Hex6, 3, 2)), "·")</f>
        <v>199</v>
      </c>
      <c r="J342">
        <f t="shared" ref="J342" si="1094" xml:space="preserve"> IF(LEN(ChartLines.Hex6)=6, HEX2DEC(RIGHT(ChartLines.Hex6, 2)), "·")</f>
        <v>199</v>
      </c>
      <c r="K342" cm="1">
        <f t="array" ref="K342" xml:space="preserve"> 1 + ROW() - _xlfn.SINGLE(ROW(ChartLines.RowNum))</f>
        <v>340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C459"/>
  <sheetViews>
    <sheetView tabSelected="1" workbookViewId="0">
      <pane ySplit="5" topLeftCell="A6" activePane="bottomLeft" state="frozenSplit"/>
      <selection pane="bottomLeft" activeCell="B2" sqref="B2"/>
    </sheetView>
  </sheetViews>
  <sheetFormatPr baseColWidth="10" defaultRowHeight="16" x14ac:dyDescent="0.2"/>
  <cols>
    <col min="3" max="3" width="20.83203125" customWidth="1"/>
    <col min="5" max="5" width="11.1640625" customWidth="1"/>
    <col min="14" max="14" width="18.6640625" bestFit="1" customWidth="1"/>
    <col min="29" max="29" width="10.83203125" style="36"/>
  </cols>
  <sheetData>
    <row r="2" spans="2:29" ht="17" thickBot="1" x14ac:dyDescent="0.25">
      <c r="R2" s="3" t="s">
        <v>1076</v>
      </c>
      <c r="S2" s="3" t="s">
        <v>1077</v>
      </c>
      <c r="T2" s="3" t="s">
        <v>1536</v>
      </c>
      <c r="W2" s="3" t="s">
        <v>2160</v>
      </c>
      <c r="X2" s="5"/>
      <c r="AA2" s="3" t="s">
        <v>1826</v>
      </c>
      <c r="AC2" s="40" t="s">
        <v>96</v>
      </c>
    </row>
    <row r="3" spans="2:29" x14ac:dyDescent="0.2">
      <c r="K3" cm="1">
        <f t="array" ref="K3" xml:space="preserve"> 1 + _xlfn.SINGLE(ROW()) - _xlfn.SINGLE(ROW(ExportSubstitutions.RowNum))</f>
        <v>-2</v>
      </c>
      <c r="L3" t="str">
        <f xml:space="preserve">  " -"</f>
        <v xml:space="preserve"> -</v>
      </c>
      <c r="M3" t="str">
        <f xml:space="preserve"> "-"</f>
        <v>-</v>
      </c>
      <c r="N3" t="s">
        <v>1717</v>
      </c>
      <c r="R3" t="str">
        <f t="shared" ref="R3" si="0" xml:space="preserve"> " d='"</f>
        <v xml:space="preserve"> d='</v>
      </c>
      <c r="S3" t="str">
        <f t="shared" ref="S3" si="1" xml:space="preserve"> "'"</f>
        <v>'</v>
      </c>
      <c r="T3" t="b">
        <v>1</v>
      </c>
      <c r="W3">
        <v>5</v>
      </c>
      <c r="AA3">
        <f xml:space="preserve"> 10^2</f>
        <v>100</v>
      </c>
      <c r="AC3" s="36" t="str" cm="1">
        <f t="array" aca="1" ref="AC3" ca="1" xml:space="preserve"> LEFT(CELL("filename"),FIND("[",CELL("filename"))-1)</f>
        <v>/Users/JDAW/Documents/programming/SVG/CurrencySymbols/</v>
      </c>
    </row>
    <row r="5" spans="2:29" ht="17" thickBot="1" x14ac:dyDescent="0.25">
      <c r="K5" s="3" t="s">
        <v>131</v>
      </c>
      <c r="L5" s="3" t="s">
        <v>129</v>
      </c>
      <c r="M5" s="3" t="s">
        <v>130</v>
      </c>
      <c r="N5" s="3" t="s">
        <v>179</v>
      </c>
      <c r="R5" s="3" t="s">
        <v>1075</v>
      </c>
      <c r="S5" s="3" t="s">
        <v>1078</v>
      </c>
      <c r="T5" s="3" t="s">
        <v>1079</v>
      </c>
      <c r="W5" s="3" t="s">
        <v>934</v>
      </c>
      <c r="X5" s="3" t="s">
        <v>2306</v>
      </c>
      <c r="Y5" s="3" t="s">
        <v>1958</v>
      </c>
      <c r="Z5" s="3" t="s">
        <v>2159</v>
      </c>
      <c r="AA5" s="3" t="s">
        <v>936</v>
      </c>
      <c r="AB5" s="3" t="s">
        <v>937</v>
      </c>
      <c r="AC5" s="40" t="s">
        <v>935</v>
      </c>
    </row>
    <row r="6" spans="2:29" x14ac:dyDescent="0.2">
      <c r="K6" cm="1">
        <f t="array" ref="K6" xml:space="preserve"> 1 + _xlfn.SINGLE(ROW()) - _xlfn.SINGLE(ROW(ExportSubstitutions.RowNum))</f>
        <v>1</v>
      </c>
      <c r="L6" t="s">
        <v>726</v>
      </c>
      <c r="M6" t="str">
        <f xml:space="preserve"> REPT(" ", 1)</f>
        <v xml:space="preserve"> </v>
      </c>
      <c r="N6" t="s">
        <v>1706</v>
      </c>
      <c r="R6" cm="1">
        <f t="array" ref="R6" xml:space="preserve"> 1 + _xlfn.SINGLE(ROW()) - _xlfn.SINGLE(ROW(ExportSubstitutions_Within.RowNum))</f>
        <v>1</v>
      </c>
      <c r="S6" t="s">
        <v>1080</v>
      </c>
      <c r="T6" t="str">
        <f t="shared" ref="T6:T69" si="2" xml:space="preserve"> SUBSTITUTE(ExportSubstitutions_Within.From, " ", "")</f>
        <v>0A</v>
      </c>
      <c r="W6" cm="1">
        <f t="array" ref="W6" xml:space="preserve"> 1 + _xlfn.SINGLE(ROW()) - _xlfn.SINGLE(ROW(ExportControl.RowNum))</f>
        <v>1</v>
      </c>
      <c r="X6" t="b">
        <v>0</v>
      </c>
      <c r="Y6" t="b">
        <v>1</v>
      </c>
      <c r="Z6" t="b">
        <v>0</v>
      </c>
      <c r="AA6">
        <f xml:space="preserve"> ExportControl.BasicBBoxArea_Base * 8^2</f>
        <v>6400</v>
      </c>
      <c r="AB6" t="str">
        <f xml:space="preserve"> "_enlarged"</f>
        <v>_enlarged</v>
      </c>
      <c r="AC6" s="36" t="str">
        <f ca="1" xml:space="preserve"> Path.ThisWorkbook &amp; "ChartMarkers_enlarged/"</f>
        <v>/Users/JDAW/Documents/programming/SVG/CurrencySymbols/ChartMarkers_enlarged/</v>
      </c>
    </row>
    <row r="7" spans="2:29" x14ac:dyDescent="0.2">
      <c r="B7" s="4" t="s">
        <v>1061</v>
      </c>
      <c r="C7" s="35">
        <f ca="1" xml:space="preserve"> NOW()</f>
        <v>45325.684294212966</v>
      </c>
      <c r="K7" cm="1">
        <f t="array" ref="K7" xml:space="preserve"> 1 + _xlfn.SINGLE(ROW()) - _xlfn.SINGLE(ROW(ExportSubstitutions.RowNum))</f>
        <v>2</v>
      </c>
      <c r="L7" t="s">
        <v>2131</v>
      </c>
      <c r="N7" t="s">
        <v>1706</v>
      </c>
      <c r="R7" cm="1">
        <f t="array" ref="R7" xml:space="preserve"> 1 + _xlfn.SINGLE(ROW()) - _xlfn.SINGLE(ROW(ExportSubstitutions_Within.RowNum))</f>
        <v>2</v>
      </c>
      <c r="S7" t="s">
        <v>1081</v>
      </c>
      <c r="T7" t="str">
        <f t="shared" si="2"/>
        <v>1A</v>
      </c>
      <c r="W7" cm="1">
        <f t="array" ref="W7" xml:space="preserve"> 1 + _xlfn.SINGLE(ROW()) - _xlfn.SINGLE(ROW(ExportControl.RowNum))</f>
        <v>2</v>
      </c>
      <c r="X7" t="b">
        <v>0</v>
      </c>
      <c r="Y7" t="b">
        <v>1</v>
      </c>
      <c r="Z7" t="b">
        <v>0</v>
      </c>
      <c r="AA7">
        <f xml:space="preserve"> ExportControl.BasicBBoxArea_Base</f>
        <v>100</v>
      </c>
      <c r="AB7" t="str">
        <f xml:space="preserve"> ""</f>
        <v/>
      </c>
      <c r="AC7" s="36" t="str">
        <f ca="1" xml:space="preserve"> Path.ThisWorkbook &amp; "ChartMarkers/"</f>
        <v>/Users/JDAW/Documents/programming/SVG/CurrencySymbols/ChartMarkers/</v>
      </c>
    </row>
    <row r="8" spans="2:29" x14ac:dyDescent="0.2">
      <c r="B8" s="4" t="s">
        <v>1062</v>
      </c>
      <c r="C8" s="50">
        <f ca="1" xml:space="preserve"> INT(Now)</f>
        <v>45325</v>
      </c>
      <c r="K8" cm="1">
        <f t="array" ref="K8" xml:space="preserve"> 1 + _xlfn.SINGLE(ROW()) - _xlfn.SINGLE(ROW(ExportSubstitutions.RowNum))</f>
        <v>3</v>
      </c>
      <c r="L8" t="s">
        <v>2132</v>
      </c>
      <c r="N8" t="s">
        <v>1706</v>
      </c>
      <c r="R8" cm="1">
        <f t="array" ref="R8" xml:space="preserve"> 1 + _xlfn.SINGLE(ROW()) - _xlfn.SINGLE(ROW(ExportSubstitutions_Within.RowNum))</f>
        <v>3</v>
      </c>
      <c r="S8" t="s">
        <v>1082</v>
      </c>
      <c r="T8" t="str">
        <f t="shared" si="2"/>
        <v>2A</v>
      </c>
      <c r="W8" cm="1">
        <f t="array" ref="W8" xml:space="preserve"> 1 + _xlfn.SINGLE(ROW()) - _xlfn.SINGLE(ROW(ExportControl.RowNum))</f>
        <v>3</v>
      </c>
      <c r="X8" t="b">
        <v>0</v>
      </c>
      <c r="Y8" t="b">
        <v>1</v>
      </c>
      <c r="Z8" t="b">
        <v>1</v>
      </c>
      <c r="AA8">
        <f xml:space="preserve"> ExportControl.BasicBBoxArea_Base * 1.5^2</f>
        <v>225</v>
      </c>
      <c r="AB8" t="str">
        <f xml:space="preserve"> "_Excel"</f>
        <v>_Excel</v>
      </c>
      <c r="AC8" s="36" t="str">
        <f ca="1" xml:space="preserve"> Path.ThisWorkbook &amp; "ChartMarkers_Excel/"</f>
        <v>/Users/JDAW/Documents/programming/SVG/CurrencySymbols/ChartMarkers_Excel/</v>
      </c>
    </row>
    <row r="9" spans="2:29" x14ac:dyDescent="0.2">
      <c r="K9" cm="1">
        <f t="array" ref="K9" xml:space="preserve"> 1 + _xlfn.SINGLE(ROW()) - _xlfn.SINGLE(ROW(ExportSubstitutions.RowNum))</f>
        <v>4</v>
      </c>
      <c r="L9" t="s">
        <v>1713</v>
      </c>
      <c r="M9" t="str">
        <f xml:space="preserve"> REPT(" ", 1)</f>
        <v xml:space="preserve"> </v>
      </c>
      <c r="N9" t="s">
        <v>1714</v>
      </c>
      <c r="R9" cm="1">
        <f t="array" ref="R9" xml:space="preserve"> 1 + _xlfn.SINGLE(ROW()) - _xlfn.SINGLE(ROW(ExportSubstitutions_Within.RowNum))</f>
        <v>4</v>
      </c>
      <c r="S9" t="s">
        <v>1083</v>
      </c>
      <c r="T9" t="str">
        <f t="shared" si="2"/>
        <v>3A</v>
      </c>
      <c r="W9" cm="1">
        <f t="array" ref="W9" xml:space="preserve"> 1 + _xlfn.SINGLE(ROW()) - _xlfn.SINGLE(ROW(ExportControl.RowNum))</f>
        <v>4</v>
      </c>
      <c r="X9" t="b">
        <v>0</v>
      </c>
      <c r="Y9" t="b">
        <v>0</v>
      </c>
      <c r="Z9" t="b">
        <v>0</v>
      </c>
      <c r="AB9" t="str">
        <f xml:space="preserve"> "_line"</f>
        <v>_line</v>
      </c>
      <c r="AC9" s="36" t="str">
        <f ca="1" xml:space="preserve"> Path.ThisWorkbook &amp; "ChartLines/"</f>
        <v>/Users/JDAW/Documents/programming/SVG/CurrencySymbols/ChartLines/</v>
      </c>
    </row>
    <row r="10" spans="2:29" x14ac:dyDescent="0.2">
      <c r="K10" cm="1">
        <f t="array" ref="K10" xml:space="preserve"> 1 + _xlfn.SINGLE(ROW()) - _xlfn.SINGLE(ROW(ExportSubstitutions.RowNum))</f>
        <v>5</v>
      </c>
      <c r="L10" t="s">
        <v>1715</v>
      </c>
      <c r="M10" t="str">
        <f xml:space="preserve"> REPT(" ", 1)</f>
        <v xml:space="preserve"> </v>
      </c>
      <c r="N10" t="s">
        <v>1714</v>
      </c>
      <c r="R10" cm="1">
        <f t="array" ref="R10" xml:space="preserve"> 1 + _xlfn.SINGLE(ROW()) - _xlfn.SINGLE(ROW(ExportSubstitutions_Within.RowNum))</f>
        <v>5</v>
      </c>
      <c r="S10" t="s">
        <v>1084</v>
      </c>
      <c r="T10" t="str">
        <f t="shared" si="2"/>
        <v>4A</v>
      </c>
      <c r="W10" cm="1">
        <f t="array" ref="W10" xml:space="preserve"> 1 + _xlfn.SINGLE(ROW()) - _xlfn.SINGLE(ROW(ExportControl.RowNum))</f>
        <v>5</v>
      </c>
      <c r="X10" t="b">
        <v>1</v>
      </c>
      <c r="Y10" t="b">
        <v>1</v>
      </c>
      <c r="Z10" t="b">
        <v>0</v>
      </c>
      <c r="AA10">
        <f xml:space="preserve"> ExportControl.BasicBBoxArea_Base</f>
        <v>100</v>
      </c>
      <c r="AB10" t="str">
        <f xml:space="preserve"> ""</f>
        <v/>
      </c>
      <c r="AC10" s="36" t="str">
        <f ca="1" xml:space="preserve"> Path.ThisWorkbook &amp; "ChartMarkers_every.svg"</f>
        <v>/Users/JDAW/Documents/programming/SVG/CurrencySymbols/ChartMarkers_every.svg</v>
      </c>
    </row>
    <row r="11" spans="2:29" x14ac:dyDescent="0.2">
      <c r="B11" s="4" t="s">
        <v>10</v>
      </c>
      <c r="C11" cm="1">
        <f t="array" ref="C11" xml:space="preserve"> INDEX(ExportControl.BasicBBoxArea, ExportControl.Num)</f>
        <v>100</v>
      </c>
      <c r="K11" cm="1">
        <f t="array" ref="K11" xml:space="preserve"> 1 + _xlfn.SINGLE(ROW()) - _xlfn.SINGLE(ROW(ExportSubstitutions.RowNum))</f>
        <v>6</v>
      </c>
      <c r="L11" t="s">
        <v>1716</v>
      </c>
      <c r="N11" t="s">
        <v>1714</v>
      </c>
      <c r="R11" cm="1">
        <f t="array" ref="R11" xml:space="preserve"> 1 + _xlfn.SINGLE(ROW()) - _xlfn.SINGLE(ROW(ExportSubstitutions_Within.RowNum))</f>
        <v>6</v>
      </c>
      <c r="S11" t="s">
        <v>1085</v>
      </c>
      <c r="T11" t="str">
        <f t="shared" si="2"/>
        <v>5A</v>
      </c>
    </row>
    <row r="12" spans="2:29" x14ac:dyDescent="0.2">
      <c r="B12" s="4" t="s">
        <v>2161</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1086</v>
      </c>
      <c r="T12" t="str">
        <f t="shared" si="2"/>
        <v>6A</v>
      </c>
    </row>
    <row r="13" spans="2:29" x14ac:dyDescent="0.2">
      <c r="B13" s="4" t="s">
        <v>2163</v>
      </c>
      <c r="C13" s="6"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1087</v>
      </c>
      <c r="T13" t="str">
        <f t="shared" si="2"/>
        <v>7A</v>
      </c>
    </row>
    <row r="14" spans="2:29" x14ac:dyDescent="0.2">
      <c r="B14" s="4" t="s">
        <v>2162</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1088</v>
      </c>
      <c r="T14" t="str">
        <f t="shared" si="2"/>
        <v>8A</v>
      </c>
    </row>
    <row r="15" spans="2:29" x14ac:dyDescent="0.2">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1089</v>
      </c>
      <c r="T15" t="str">
        <f t="shared" si="2"/>
        <v>9A</v>
      </c>
    </row>
    <row r="16" spans="2:29" x14ac:dyDescent="0.2">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1090</v>
      </c>
      <c r="T16" t="str">
        <f t="shared" si="2"/>
        <v>A0</v>
      </c>
    </row>
    <row r="17" spans="2:29" x14ac:dyDescent="0.2">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1091</v>
      </c>
      <c r="T17" t="str">
        <f t="shared" si="2"/>
        <v>A1</v>
      </c>
      <c r="W17" cm="1">
        <f t="array" ref="W17" xml:space="preserve"> 1 + _xlfn.SINGLE(ROW()) - _xlfn.SINGLE(ROW(ExportControl.RowNum))</f>
        <v>12</v>
      </c>
      <c r="AA17">
        <f xml:space="preserve"> ExportControl.BasicBBoxArea_Base * 1000^2</f>
        <v>100000000</v>
      </c>
      <c r="AB17" t="str">
        <f xml:space="preserve"> "_hugeForExcel"</f>
        <v>_hugeForExcel</v>
      </c>
      <c r="AC17" s="36" t="str">
        <f ca="1" xml:space="preserve"> Path.ThisWorkbook &amp; "ChartMarkers_hugeForExcel/"</f>
        <v>/Users/JDAW/Documents/programming/SVG/CurrencySymbols/ChartMarkers_hugeForExcel/</v>
      </c>
    </row>
    <row r="18" spans="2:29" x14ac:dyDescent="0.2">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1092</v>
      </c>
      <c r="T18" t="str">
        <f t="shared" si="2"/>
        <v>A2</v>
      </c>
    </row>
    <row r="19" spans="2:29" x14ac:dyDescent="0.2">
      <c r="B19" s="4" t="s">
        <v>1507</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1093</v>
      </c>
      <c r="T19" t="str">
        <f t="shared" si="2"/>
        <v>A3</v>
      </c>
    </row>
    <row r="20" spans="2:29" x14ac:dyDescent="0.2">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1094</v>
      </c>
      <c r="T20" t="str">
        <f t="shared" si="2"/>
        <v>A4</v>
      </c>
    </row>
    <row r="21" spans="2:29" x14ac:dyDescent="0.2">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1095</v>
      </c>
      <c r="T21" t="str">
        <f t="shared" si="2"/>
        <v>A5</v>
      </c>
    </row>
    <row r="22" spans="2:29" x14ac:dyDescent="0.2">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1096</v>
      </c>
      <c r="T22" t="str">
        <f t="shared" si="2"/>
        <v>A6</v>
      </c>
    </row>
    <row r="23" spans="2:29" x14ac:dyDescent="0.2">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1097</v>
      </c>
      <c r="T23" t="str">
        <f t="shared" si="2"/>
        <v>A7</v>
      </c>
    </row>
    <row r="24" spans="2:29" x14ac:dyDescent="0.2">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1098</v>
      </c>
      <c r="T24" t="str">
        <f t="shared" si="2"/>
        <v>A8</v>
      </c>
    </row>
    <row r="25" spans="2:29" x14ac:dyDescent="0.2">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1099</v>
      </c>
      <c r="T25" t="str">
        <f t="shared" si="2"/>
        <v>A9</v>
      </c>
    </row>
    <row r="26" spans="2:29" x14ac:dyDescent="0.2">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1582</v>
      </c>
      <c r="T26" t="str">
        <f t="shared" si="2"/>
        <v>A.</v>
      </c>
    </row>
    <row r="27" spans="2:29" x14ac:dyDescent="0.2">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1591</v>
      </c>
      <c r="T27" t="str">
        <f t="shared" si="2"/>
        <v>A-</v>
      </c>
    </row>
    <row r="28" spans="2:29" x14ac:dyDescent="0.2">
      <c r="B28" s="4" t="s">
        <v>575</v>
      </c>
      <c r="C28" s="43">
        <v>194818</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1100</v>
      </c>
      <c r="T28" t="str">
        <f t="shared" si="2"/>
        <v>0a</v>
      </c>
    </row>
    <row r="29" spans="2:29" x14ac:dyDescent="0.2">
      <c r="B29" s="4" t="s">
        <v>186</v>
      </c>
      <c r="C29" s="6" t="s">
        <v>2446</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1101</v>
      </c>
      <c r="T29" t="str">
        <f t="shared" si="2"/>
        <v>1a</v>
      </c>
    </row>
    <row r="30" spans="2:29" x14ac:dyDescent="0.2">
      <c r="B30" s="4" t="s">
        <v>187</v>
      </c>
      <c r="C30" s="35">
        <v>45325.683935185189</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1102</v>
      </c>
      <c r="T30" t="str">
        <f t="shared" si="2"/>
        <v>2a</v>
      </c>
    </row>
    <row r="31" spans="2:29" x14ac:dyDescent="0.2">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1103</v>
      </c>
      <c r="T31" t="str">
        <f t="shared" si="2"/>
        <v>3a</v>
      </c>
    </row>
    <row r="32" spans="2:29" x14ac:dyDescent="0.2">
      <c r="B32" s="4" t="s">
        <v>360</v>
      </c>
      <c r="C32" s="6"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1104</v>
      </c>
      <c r="T32" t="str">
        <f t="shared" si="2"/>
        <v>4a</v>
      </c>
    </row>
    <row r="33" spans="2:20" x14ac:dyDescent="0.2">
      <c r="B33" s="4" t="s">
        <v>1579</v>
      </c>
      <c r="C33" t="s">
        <v>1578</v>
      </c>
      <c r="K33" cm="1">
        <f t="array" ref="K33" xml:space="preserve"> 1 + _xlfn.SINGLE(ROW()) - _xlfn.SINGLE(ROW(ExportSubstitutions.RowNum))</f>
        <v>28</v>
      </c>
      <c r="L33" t="str">
        <f xml:space="preserve"> REPT(" ", 2)</f>
        <v xml:space="preserve">  </v>
      </c>
      <c r="M33" t="str">
        <f t="shared" ref="M33" si="7" xml:space="preserve"> REPT(" ", 1)</f>
        <v xml:space="preserve"> </v>
      </c>
      <c r="N33" t="s">
        <v>1020</v>
      </c>
      <c r="R33" cm="1">
        <f t="array" ref="R33" xml:space="preserve"> 1 + _xlfn.SINGLE(ROW()) - _xlfn.SINGLE(ROW(ExportSubstitutions_Within.RowNum))</f>
        <v>28</v>
      </c>
      <c r="S33" t="s">
        <v>1105</v>
      </c>
      <c r="T33" t="str">
        <f t="shared" si="2"/>
        <v>5a</v>
      </c>
    </row>
    <row r="34" spans="2:20" x14ac:dyDescent="0.2">
      <c r="K34" cm="1">
        <f t="array" ref="K34" xml:space="preserve"> 1 + _xlfn.SINGLE(ROW()) - _xlfn.SINGLE(ROW(ExportSubstitutions.RowNum))</f>
        <v>29</v>
      </c>
      <c r="R34" cm="1">
        <f t="array" ref="R34" xml:space="preserve"> 1 + _xlfn.SINGLE(ROW()) - _xlfn.SINGLE(ROW(ExportSubstitutions_Within.RowNum))</f>
        <v>29</v>
      </c>
      <c r="S34" t="s">
        <v>1106</v>
      </c>
      <c r="T34" t="str">
        <f t="shared" si="2"/>
        <v>6a</v>
      </c>
    </row>
    <row r="35" spans="2:20" x14ac:dyDescent="0.2">
      <c r="K35" cm="1">
        <f t="array" ref="K35" xml:space="preserve"> 1 + _xlfn.SINGLE(ROW()) - _xlfn.SINGLE(ROW(ExportSubstitutions.RowNum))</f>
        <v>30</v>
      </c>
      <c r="L35" t="s">
        <v>2098</v>
      </c>
      <c r="M35" t="s">
        <v>2127</v>
      </c>
      <c r="N35" t="s">
        <v>2130</v>
      </c>
      <c r="R35" cm="1">
        <f t="array" ref="R35" xml:space="preserve"> 1 + _xlfn.SINGLE(ROW()) - _xlfn.SINGLE(ROW(ExportSubstitutions_Within.RowNum))</f>
        <v>30</v>
      </c>
      <c r="S35" t="s">
        <v>1107</v>
      </c>
      <c r="T35" t="str">
        <f t="shared" si="2"/>
        <v>7a</v>
      </c>
    </row>
    <row r="36" spans="2:20" x14ac:dyDescent="0.2">
      <c r="C36">
        <v>1</v>
      </c>
      <c r="K36" cm="1">
        <f t="array" ref="K36" xml:space="preserve"> 1 + _xlfn.SINGLE(ROW()) - _xlfn.SINGLE(ROW(ExportSubstitutions.RowNum))</f>
        <v>31</v>
      </c>
      <c r="L36" t="s">
        <v>47</v>
      </c>
      <c r="M36" t="s">
        <v>46</v>
      </c>
      <c r="N36" t="s">
        <v>2130</v>
      </c>
      <c r="R36" cm="1">
        <f t="array" ref="R36" xml:space="preserve"> 1 + _xlfn.SINGLE(ROW()) - _xlfn.SINGLE(ROW(ExportSubstitutions_Within.RowNum))</f>
        <v>31</v>
      </c>
      <c r="S36" t="s">
        <v>1108</v>
      </c>
      <c r="T36" t="str">
        <f t="shared" si="2"/>
        <v>8a</v>
      </c>
    </row>
    <row r="37" spans="2:20" x14ac:dyDescent="0.2">
      <c r="B37" s="4" t="s">
        <v>1699</v>
      </c>
      <c r="C37">
        <v>10</v>
      </c>
      <c r="K37" cm="1">
        <f t="array" ref="K37" xml:space="preserve"> 1 + _xlfn.SINGLE(ROW()) - _xlfn.SINGLE(ROW(ExportSubstitutions.RowNum))</f>
        <v>32</v>
      </c>
      <c r="L37" t="s">
        <v>2095</v>
      </c>
      <c r="M37" t="s">
        <v>2124</v>
      </c>
      <c r="N37" t="s">
        <v>2130</v>
      </c>
      <c r="R37" cm="1">
        <f t="array" ref="R37" xml:space="preserve"> 1 + _xlfn.SINGLE(ROW()) - _xlfn.SINGLE(ROW(ExportSubstitutions_Within.RowNum))</f>
        <v>32</v>
      </c>
      <c r="S37" t="s">
        <v>1109</v>
      </c>
      <c r="T37" t="str">
        <f t="shared" si="2"/>
        <v>9a</v>
      </c>
    </row>
    <row r="38" spans="2:20" x14ac:dyDescent="0.2">
      <c r="B38" s="4" t="s">
        <v>1698</v>
      </c>
      <c r="C38">
        <f xml:space="preserve"> Thirds_I * 2 - C$36</f>
        <v>19</v>
      </c>
      <c r="K38" cm="1">
        <f t="array" ref="K38" xml:space="preserve"> 1 + _xlfn.SINGLE(ROW()) - _xlfn.SINGLE(ROW(ExportSubstitutions.RowNum))</f>
        <v>33</v>
      </c>
      <c r="L38" t="s">
        <v>38</v>
      </c>
      <c r="M38" t="s">
        <v>37</v>
      </c>
      <c r="N38" t="s">
        <v>2130</v>
      </c>
      <c r="R38" cm="1">
        <f t="array" ref="R38" xml:space="preserve"> 1 + _xlfn.SINGLE(ROW()) - _xlfn.SINGLE(ROW(ExportSubstitutions_Within.RowNum))</f>
        <v>33</v>
      </c>
      <c r="S38" t="s">
        <v>1110</v>
      </c>
      <c r="T38" t="str">
        <f t="shared" si="2"/>
        <v>a0</v>
      </c>
    </row>
    <row r="39" spans="2:20" x14ac:dyDescent="0.2">
      <c r="B39" s="4" t="s">
        <v>1697</v>
      </c>
      <c r="C39">
        <f xml:space="preserve"> 2 * Thirds_M - Thirds_I - C$36</f>
        <v>27</v>
      </c>
      <c r="K39" cm="1">
        <f t="array" ref="K39" xml:space="preserve"> 1 + _xlfn.SINGLE(ROW()) - _xlfn.SINGLE(ROW(ExportSubstitutions.RowNum))</f>
        <v>34</v>
      </c>
      <c r="L39" t="s">
        <v>61</v>
      </c>
      <c r="M39" t="s">
        <v>60</v>
      </c>
      <c r="N39" t="s">
        <v>2130</v>
      </c>
      <c r="R39" cm="1">
        <f t="array" ref="R39" xml:space="preserve"> 1 + _xlfn.SINGLE(ROW()) - _xlfn.SINGLE(ROW(ExportSubstitutions_Within.RowNum))</f>
        <v>34</v>
      </c>
      <c r="S39" t="s">
        <v>1111</v>
      </c>
      <c r="T39" t="str">
        <f t="shared" si="2"/>
        <v>a1</v>
      </c>
    </row>
    <row r="40" spans="2:20" x14ac:dyDescent="0.2">
      <c r="K40" cm="1">
        <f t="array" ref="K40" xml:space="preserve"> 1 + _xlfn.SINGLE(ROW()) - _xlfn.SINGLE(ROW(ExportSubstitutions.RowNum))</f>
        <v>35</v>
      </c>
      <c r="L40" t="s">
        <v>2096</v>
      </c>
      <c r="M40" t="s">
        <v>2125</v>
      </c>
      <c r="N40" t="s">
        <v>2130</v>
      </c>
      <c r="R40" cm="1">
        <f t="array" ref="R40" xml:space="preserve"> 1 + _xlfn.SINGLE(ROW()) - _xlfn.SINGLE(ROW(ExportSubstitutions_Within.RowNum))</f>
        <v>35</v>
      </c>
      <c r="S40" t="s">
        <v>1112</v>
      </c>
      <c r="T40" t="str">
        <f t="shared" si="2"/>
        <v>a2</v>
      </c>
    </row>
    <row r="41" spans="2:20" x14ac:dyDescent="0.2">
      <c r="K41" cm="1">
        <f t="array" ref="K41" xml:space="preserve"> 1 + _xlfn.SINGLE(ROW()) - _xlfn.SINGLE(ROW(ExportSubstitutions.RowNum))</f>
        <v>36</v>
      </c>
      <c r="L41" t="s">
        <v>2097</v>
      </c>
      <c r="M41" t="s">
        <v>2126</v>
      </c>
      <c r="N41" t="s">
        <v>2130</v>
      </c>
      <c r="R41" cm="1">
        <f t="array" ref="R41" xml:space="preserve"> 1 + _xlfn.SINGLE(ROW()) - _xlfn.SINGLE(ROW(ExportSubstitutions_Within.RowNum))</f>
        <v>36</v>
      </c>
      <c r="S41" t="s">
        <v>1113</v>
      </c>
      <c r="T41" t="str">
        <f t="shared" si="2"/>
        <v>a3</v>
      </c>
    </row>
    <row r="42" spans="2:20" x14ac:dyDescent="0.2">
      <c r="B42" s="4" t="s">
        <v>1631</v>
      </c>
      <c r="C42">
        <f xml:space="preserve"> SQRT(2)</f>
        <v>1.4142135623730951</v>
      </c>
      <c r="K42" cm="1">
        <f t="array" ref="K42" xml:space="preserve"> 1 + _xlfn.SINGLE(ROW()) - _xlfn.SINGLE(ROW(ExportSubstitutions.RowNum))</f>
        <v>37</v>
      </c>
      <c r="L42" t="s">
        <v>2100</v>
      </c>
      <c r="M42" t="s">
        <v>2112</v>
      </c>
      <c r="N42" t="s">
        <v>2130</v>
      </c>
      <c r="R42" cm="1">
        <f t="array" ref="R42" xml:space="preserve"> 1 + _xlfn.SINGLE(ROW()) - _xlfn.SINGLE(ROW(ExportSubstitutions_Within.RowNum))</f>
        <v>37</v>
      </c>
      <c r="S42" t="s">
        <v>1114</v>
      </c>
      <c r="T42" t="str">
        <f t="shared" si="2"/>
        <v>a4</v>
      </c>
    </row>
    <row r="43" spans="2:20" x14ac:dyDescent="0.2">
      <c r="B43" s="4" t="s">
        <v>1632</v>
      </c>
      <c r="C43">
        <f xml:space="preserve"> SQRT(3)</f>
        <v>1.7320508075688772</v>
      </c>
      <c r="K43" cm="1">
        <f t="array" ref="K43" xml:space="preserve"> 1 + _xlfn.SINGLE(ROW()) - _xlfn.SINGLE(ROW(ExportSubstitutions.RowNum))</f>
        <v>38</v>
      </c>
      <c r="L43" t="s">
        <v>2307</v>
      </c>
      <c r="M43" t="s">
        <v>2308</v>
      </c>
      <c r="N43" t="s">
        <v>2130</v>
      </c>
      <c r="R43" cm="1">
        <f t="array" ref="R43" xml:space="preserve"> 1 + _xlfn.SINGLE(ROW()) - _xlfn.SINGLE(ROW(ExportSubstitutions_Within.RowNum))</f>
        <v>38</v>
      </c>
      <c r="S43" t="s">
        <v>1115</v>
      </c>
      <c r="T43" t="str">
        <f t="shared" si="2"/>
        <v>a5</v>
      </c>
    </row>
    <row r="44" spans="2:20" x14ac:dyDescent="0.2">
      <c r="B44" s="4" t="s">
        <v>1633</v>
      </c>
      <c r="C44">
        <f xml:space="preserve"> SQRT(5)</f>
        <v>2.2360679774997898</v>
      </c>
      <c r="K44" cm="1">
        <f t="array" ref="K44" xml:space="preserve"> 1 + _xlfn.SINGLE(ROW()) - _xlfn.SINGLE(ROW(ExportSubstitutions.RowNum))</f>
        <v>39</v>
      </c>
      <c r="L44" t="s">
        <v>2101</v>
      </c>
      <c r="M44" t="s">
        <v>2113</v>
      </c>
      <c r="N44" t="s">
        <v>2130</v>
      </c>
      <c r="R44" cm="1">
        <f t="array" ref="R44" xml:space="preserve"> 1 + _xlfn.SINGLE(ROW()) - _xlfn.SINGLE(ROW(ExportSubstitutions_Within.RowNum))</f>
        <v>39</v>
      </c>
      <c r="S44" t="s">
        <v>1116</v>
      </c>
      <c r="T44" t="str">
        <f t="shared" si="2"/>
        <v>a6</v>
      </c>
    </row>
    <row r="45" spans="2:20" x14ac:dyDescent="0.2">
      <c r="B45" s="4" t="s">
        <v>1671</v>
      </c>
      <c r="C45">
        <f xml:space="preserve"> SQRT(13)</f>
        <v>3.6055512754639891</v>
      </c>
      <c r="K45" cm="1">
        <f t="array" ref="K45" xml:space="preserve"> 1 + _xlfn.SINGLE(ROW()) - _xlfn.SINGLE(ROW(ExportSubstitutions.RowNum))</f>
        <v>40</v>
      </c>
      <c r="L45" t="s">
        <v>2102</v>
      </c>
      <c r="M45" t="s">
        <v>2114</v>
      </c>
      <c r="N45" t="s">
        <v>2130</v>
      </c>
      <c r="R45" cm="1">
        <f t="array" ref="R45" xml:space="preserve"> 1 + _xlfn.SINGLE(ROW()) - _xlfn.SINGLE(ROW(ExportSubstitutions_Within.RowNum))</f>
        <v>40</v>
      </c>
      <c r="S45" t="s">
        <v>1117</v>
      </c>
      <c r="T45" t="str">
        <f t="shared" si="2"/>
        <v>a7</v>
      </c>
    </row>
    <row r="46" spans="2:20" x14ac:dyDescent="0.2">
      <c r="B46" s="4" t="s">
        <v>1634</v>
      </c>
      <c r="C46">
        <f xml:space="preserve"> SQRT(15)</f>
        <v>3.872983346207417</v>
      </c>
      <c r="K46" cm="1">
        <f t="array" ref="K46" xml:space="preserve"> 1 + _xlfn.SINGLE(ROW()) - _xlfn.SINGLE(ROW(ExportSubstitutions.RowNum))</f>
        <v>41</v>
      </c>
      <c r="L46" t="s">
        <v>49</v>
      </c>
      <c r="M46" t="s">
        <v>48</v>
      </c>
      <c r="N46" t="s">
        <v>2130</v>
      </c>
      <c r="R46" cm="1">
        <f t="array" ref="R46" xml:space="preserve"> 1 + _xlfn.SINGLE(ROW()) - _xlfn.SINGLE(ROW(ExportSubstitutions_Within.RowNum))</f>
        <v>41</v>
      </c>
      <c r="S46" t="s">
        <v>1118</v>
      </c>
      <c r="T46" t="str">
        <f t="shared" si="2"/>
        <v>a8</v>
      </c>
    </row>
    <row r="47" spans="2:20" x14ac:dyDescent="0.2">
      <c r="B47" s="4" t="s">
        <v>1635</v>
      </c>
      <c r="C47">
        <f xml:space="preserve"> SQRT(30)</f>
        <v>5.4772255750516612</v>
      </c>
      <c r="K47" cm="1">
        <f t="array" ref="K47" xml:space="preserve"> 1 + _xlfn.SINGLE(ROW()) - _xlfn.SINGLE(ROW(ExportSubstitutions.RowNum))</f>
        <v>42</v>
      </c>
      <c r="L47" t="s">
        <v>36</v>
      </c>
      <c r="M47" t="s">
        <v>39</v>
      </c>
      <c r="N47" t="s">
        <v>2130</v>
      </c>
      <c r="R47" cm="1">
        <f t="array" ref="R47" xml:space="preserve"> 1 + _xlfn.SINGLE(ROW()) - _xlfn.SINGLE(ROW(ExportSubstitutions_Within.RowNum))</f>
        <v>42</v>
      </c>
      <c r="S47" t="s">
        <v>1119</v>
      </c>
      <c r="T47" t="str">
        <f t="shared" si="2"/>
        <v>a9</v>
      </c>
    </row>
    <row r="48" spans="2:20" x14ac:dyDescent="0.2">
      <c r="B48" s="4" t="s">
        <v>1636</v>
      </c>
      <c r="C48">
        <f xml:space="preserve"> SQRT(1/2)</f>
        <v>0.70710678118654757</v>
      </c>
      <c r="K48" cm="1">
        <f t="array" ref="K48" xml:space="preserve"> 1 + _xlfn.SINGLE(ROW()) - _xlfn.SINGLE(ROW(ExportSubstitutions.RowNum))</f>
        <v>43</v>
      </c>
      <c r="L48" t="s">
        <v>2103</v>
      </c>
      <c r="M48" t="s">
        <v>2115</v>
      </c>
      <c r="N48" t="s">
        <v>2130</v>
      </c>
      <c r="R48" cm="1">
        <f t="array" ref="R48" xml:space="preserve"> 1 + _xlfn.SINGLE(ROW()) - _xlfn.SINGLE(ROW(ExportSubstitutions_Within.RowNum))</f>
        <v>43</v>
      </c>
      <c r="S48" t="s">
        <v>1583</v>
      </c>
      <c r="T48" t="str">
        <f t="shared" si="2"/>
        <v>a.</v>
      </c>
    </row>
    <row r="49" spans="2:20" x14ac:dyDescent="0.2">
      <c r="B49" s="4" t="s">
        <v>1637</v>
      </c>
      <c r="C49" cm="1">
        <f t="array" ref="C49" xml:space="preserve"> (Sqrt5 + 1) / 2</f>
        <v>1.6180339887498949</v>
      </c>
      <c r="K49" cm="1">
        <f t="array" ref="K49" xml:space="preserve"> 1 + _xlfn.SINGLE(ROW()) - _xlfn.SINGLE(ROW(ExportSubstitutions.RowNum))</f>
        <v>44</v>
      </c>
      <c r="L49" t="s">
        <v>30</v>
      </c>
      <c r="M49" t="s">
        <v>29</v>
      </c>
      <c r="N49" t="s">
        <v>2130</v>
      </c>
      <c r="R49" cm="1">
        <f t="array" ref="R49" xml:space="preserve"> 1 + _xlfn.SINGLE(ROW()) - _xlfn.SINGLE(ROW(ExportSubstitutions_Within.RowNum))</f>
        <v>44</v>
      </c>
      <c r="S49" t="s">
        <v>1592</v>
      </c>
      <c r="T49" t="str">
        <f t="shared" si="2"/>
        <v>a-</v>
      </c>
    </row>
    <row r="50" spans="2:20" x14ac:dyDescent="0.2">
      <c r="B50" s="63" t="s">
        <v>1638</v>
      </c>
      <c r="C50">
        <v>0.79295350639999995</v>
      </c>
      <c r="K50" cm="1">
        <f t="array" ref="K50" xml:space="preserve"> 1 + _xlfn.SINGLE(ROW()) - _xlfn.SINGLE(ROW(ExportSubstitutions.RowNum))</f>
        <v>45</v>
      </c>
      <c r="L50" t="s">
        <v>2104</v>
      </c>
      <c r="M50" t="s">
        <v>2116</v>
      </c>
      <c r="N50" t="s">
        <v>2130</v>
      </c>
      <c r="R50" cm="1">
        <f t="array" ref="R50" xml:space="preserve"> 1 + _xlfn.SINGLE(ROW()) - _xlfn.SINGLE(ROW(ExportSubstitutions_Within.RowNum))</f>
        <v>45</v>
      </c>
      <c r="S50" t="s">
        <v>1120</v>
      </c>
      <c r="T50" t="str">
        <f t="shared" si="2"/>
        <v>0C</v>
      </c>
    </row>
    <row r="51" spans="2:20" x14ac:dyDescent="0.2">
      <c r="K51" cm="1">
        <f t="array" ref="K51" xml:space="preserve"> 1 + _xlfn.SINGLE(ROW()) - _xlfn.SINGLE(ROW(ExportSubstitutions.RowNum))</f>
        <v>46</v>
      </c>
      <c r="L51" t="s">
        <v>51</v>
      </c>
      <c r="M51" t="s">
        <v>50</v>
      </c>
      <c r="N51" t="s">
        <v>2130</v>
      </c>
      <c r="R51" cm="1">
        <f t="array" ref="R51" xml:space="preserve"> 1 + _xlfn.SINGLE(ROW()) - _xlfn.SINGLE(ROW(ExportSubstitutions_Within.RowNum))</f>
        <v>46</v>
      </c>
      <c r="S51" t="s">
        <v>1121</v>
      </c>
      <c r="T51" t="str">
        <f t="shared" si="2"/>
        <v>1C</v>
      </c>
    </row>
    <row r="52" spans="2:20" x14ac:dyDescent="0.2">
      <c r="K52" cm="1">
        <f t="array" ref="K52" xml:space="preserve"> 1 + _xlfn.SINGLE(ROW()) - _xlfn.SINGLE(ROW(ExportSubstitutions.RowNum))</f>
        <v>47</v>
      </c>
      <c r="L52" t="s">
        <v>59</v>
      </c>
      <c r="M52" t="s">
        <v>58</v>
      </c>
      <c r="N52" t="s">
        <v>2130</v>
      </c>
      <c r="R52" cm="1">
        <f t="array" ref="R52" xml:space="preserve"> 1 + _xlfn.SINGLE(ROW()) - _xlfn.SINGLE(ROW(ExportSubstitutions_Within.RowNum))</f>
        <v>47</v>
      </c>
      <c r="S52" t="s">
        <v>1122</v>
      </c>
      <c r="T52" t="str">
        <f t="shared" si="2"/>
        <v>2C</v>
      </c>
    </row>
    <row r="53" spans="2:20" x14ac:dyDescent="0.2">
      <c r="K53" cm="1">
        <f t="array" ref="K53" xml:space="preserve"> 1 + _xlfn.SINGLE(ROW()) - _xlfn.SINGLE(ROW(ExportSubstitutions.RowNum))</f>
        <v>48</v>
      </c>
      <c r="L53" t="s">
        <v>2105</v>
      </c>
      <c r="M53" t="s">
        <v>2117</v>
      </c>
      <c r="N53" t="s">
        <v>2130</v>
      </c>
      <c r="R53" cm="1">
        <f t="array" ref="R53" xml:space="preserve"> 1 + _xlfn.SINGLE(ROW()) - _xlfn.SINGLE(ROW(ExportSubstitutions_Within.RowNum))</f>
        <v>48</v>
      </c>
      <c r="S53" t="s">
        <v>1123</v>
      </c>
      <c r="T53" t="str">
        <f t="shared" si="2"/>
        <v>3C</v>
      </c>
    </row>
    <row r="54" spans="2:20" x14ac:dyDescent="0.2">
      <c r="K54" cm="1">
        <f t="array" ref="K54" xml:space="preserve"> 1 + _xlfn.SINGLE(ROW()) - _xlfn.SINGLE(ROW(ExportSubstitutions.RowNum))</f>
        <v>49</v>
      </c>
      <c r="L54" t="s">
        <v>55</v>
      </c>
      <c r="M54" t="s">
        <v>54</v>
      </c>
      <c r="N54" t="s">
        <v>2130</v>
      </c>
      <c r="R54" cm="1">
        <f t="array" ref="R54" xml:space="preserve"> 1 + _xlfn.SINGLE(ROW()) - _xlfn.SINGLE(ROW(ExportSubstitutions_Within.RowNum))</f>
        <v>49</v>
      </c>
      <c r="S54" t="s">
        <v>1124</v>
      </c>
      <c r="T54" t="str">
        <f t="shared" si="2"/>
        <v>4C</v>
      </c>
    </row>
    <row r="55" spans="2:20" x14ac:dyDescent="0.2">
      <c r="K55" cm="1">
        <f t="array" ref="K55" xml:space="preserve"> 1 + _xlfn.SINGLE(ROW()) - _xlfn.SINGLE(ROW(ExportSubstitutions.RowNum))</f>
        <v>50</v>
      </c>
      <c r="L55" t="s">
        <v>2106</v>
      </c>
      <c r="M55" t="s">
        <v>2118</v>
      </c>
      <c r="N55" t="s">
        <v>2130</v>
      </c>
      <c r="R55" cm="1">
        <f t="array" ref="R55" xml:space="preserve"> 1 + _xlfn.SINGLE(ROW()) - _xlfn.SINGLE(ROW(ExportSubstitutions_Within.RowNum))</f>
        <v>50</v>
      </c>
      <c r="S55" t="s">
        <v>1125</v>
      </c>
      <c r="T55" t="str">
        <f t="shared" si="2"/>
        <v>5C</v>
      </c>
    </row>
    <row r="56" spans="2:20" x14ac:dyDescent="0.2">
      <c r="K56" cm="1">
        <f t="array" ref="K56" xml:space="preserve"> 1 + _xlfn.SINGLE(ROW()) - _xlfn.SINGLE(ROW(ExportSubstitutions.RowNum))</f>
        <v>51</v>
      </c>
      <c r="L56" t="s">
        <v>43</v>
      </c>
      <c r="M56" t="s">
        <v>42</v>
      </c>
      <c r="N56" t="s">
        <v>2130</v>
      </c>
      <c r="R56" cm="1">
        <f t="array" ref="R56" xml:space="preserve"> 1 + _xlfn.SINGLE(ROW()) - _xlfn.SINGLE(ROW(ExportSubstitutions_Within.RowNum))</f>
        <v>51</v>
      </c>
      <c r="S56" t="s">
        <v>1126</v>
      </c>
      <c r="T56" t="str">
        <f t="shared" si="2"/>
        <v>6C</v>
      </c>
    </row>
    <row r="57" spans="2:20" x14ac:dyDescent="0.2">
      <c r="K57" cm="1">
        <f t="array" ref="K57" xml:space="preserve"> 1 + _xlfn.SINGLE(ROW()) - _xlfn.SINGLE(ROW(ExportSubstitutions.RowNum))</f>
        <v>52</v>
      </c>
      <c r="L57" t="s">
        <v>26</v>
      </c>
      <c r="M57" t="s">
        <v>25</v>
      </c>
      <c r="N57" t="s">
        <v>2130</v>
      </c>
      <c r="R57" cm="1">
        <f t="array" ref="R57" xml:space="preserve"> 1 + _xlfn.SINGLE(ROW()) - _xlfn.SINGLE(ROW(ExportSubstitutions_Within.RowNum))</f>
        <v>52</v>
      </c>
      <c r="S57" t="s">
        <v>1127</v>
      </c>
      <c r="T57" t="str">
        <f t="shared" si="2"/>
        <v>7C</v>
      </c>
    </row>
    <row r="58" spans="2:20" x14ac:dyDescent="0.2">
      <c r="K58" cm="1">
        <f t="array" ref="K58" xml:space="preserve"> 1 + _xlfn.SINGLE(ROW()) - _xlfn.SINGLE(ROW(ExportSubstitutions.RowNum))</f>
        <v>53</v>
      </c>
      <c r="L58" t="s">
        <v>63</v>
      </c>
      <c r="M58" t="s">
        <v>62</v>
      </c>
      <c r="N58" t="s">
        <v>2130</v>
      </c>
      <c r="R58" cm="1">
        <f t="array" ref="R58" xml:space="preserve"> 1 + _xlfn.SINGLE(ROW()) - _xlfn.SINGLE(ROW(ExportSubstitutions_Within.RowNum))</f>
        <v>53</v>
      </c>
      <c r="S58" t="s">
        <v>1128</v>
      </c>
      <c r="T58" t="str">
        <f t="shared" si="2"/>
        <v>8C</v>
      </c>
    </row>
    <row r="59" spans="2:20" x14ac:dyDescent="0.2">
      <c r="K59" cm="1">
        <f t="array" ref="K59" xml:space="preserve"> 1 + _xlfn.SINGLE(ROW()) - _xlfn.SINGLE(ROW(ExportSubstitutions.RowNum))</f>
        <v>54</v>
      </c>
      <c r="L59" t="s">
        <v>28</v>
      </c>
      <c r="M59" t="s">
        <v>27</v>
      </c>
      <c r="N59" t="s">
        <v>2130</v>
      </c>
      <c r="R59" cm="1">
        <f t="array" ref="R59" xml:space="preserve"> 1 + _xlfn.SINGLE(ROW()) - _xlfn.SINGLE(ROW(ExportSubstitutions_Within.RowNum))</f>
        <v>54</v>
      </c>
      <c r="S59" t="s">
        <v>1129</v>
      </c>
      <c r="T59" t="str">
        <f t="shared" si="2"/>
        <v>9C</v>
      </c>
    </row>
    <row r="60" spans="2:20" x14ac:dyDescent="0.2">
      <c r="K60" cm="1">
        <f t="array" ref="K60" xml:space="preserve"> 1 + _xlfn.SINGLE(ROW()) - _xlfn.SINGLE(ROW(ExportSubstitutions.RowNum))</f>
        <v>55</v>
      </c>
      <c r="L60" t="s">
        <v>2107</v>
      </c>
      <c r="M60" t="s">
        <v>2119</v>
      </c>
      <c r="N60" t="s">
        <v>2130</v>
      </c>
      <c r="R60" cm="1">
        <f t="array" ref="R60" xml:space="preserve"> 1 + _xlfn.SINGLE(ROW()) - _xlfn.SINGLE(ROW(ExportSubstitutions_Within.RowNum))</f>
        <v>55</v>
      </c>
      <c r="S60" t="s">
        <v>1130</v>
      </c>
      <c r="T60" t="str">
        <f t="shared" si="2"/>
        <v>C0</v>
      </c>
    </row>
    <row r="61" spans="2:20" x14ac:dyDescent="0.2">
      <c r="K61" cm="1">
        <f t="array" ref="K61" xml:space="preserve"> 1 + _xlfn.SINGLE(ROW()) - _xlfn.SINGLE(ROW(ExportSubstitutions.RowNum))</f>
        <v>56</v>
      </c>
      <c r="L61" t="s">
        <v>45</v>
      </c>
      <c r="M61" t="s">
        <v>44</v>
      </c>
      <c r="N61" t="s">
        <v>2130</v>
      </c>
      <c r="R61" cm="1">
        <f t="array" ref="R61" xml:space="preserve"> 1 + _xlfn.SINGLE(ROW()) - _xlfn.SINGLE(ROW(ExportSubstitutions_Within.RowNum))</f>
        <v>56</v>
      </c>
      <c r="S61" t="s">
        <v>1131</v>
      </c>
      <c r="T61" t="str">
        <f t="shared" si="2"/>
        <v>C1</v>
      </c>
    </row>
    <row r="62" spans="2:20" x14ac:dyDescent="0.2">
      <c r="K62" cm="1">
        <f t="array" ref="K62" xml:space="preserve"> 1 + _xlfn.SINGLE(ROW()) - _xlfn.SINGLE(ROW(ExportSubstitutions.RowNum))</f>
        <v>57</v>
      </c>
      <c r="L62" t="s">
        <v>2094</v>
      </c>
      <c r="M62" t="s">
        <v>2123</v>
      </c>
      <c r="N62" t="s">
        <v>2130</v>
      </c>
      <c r="R62" cm="1">
        <f t="array" ref="R62" xml:space="preserve"> 1 + _xlfn.SINGLE(ROW()) - _xlfn.SINGLE(ROW(ExportSubstitutions_Within.RowNum))</f>
        <v>57</v>
      </c>
      <c r="S62" t="s">
        <v>1132</v>
      </c>
      <c r="T62" t="str">
        <f t="shared" si="2"/>
        <v>C2</v>
      </c>
    </row>
    <row r="63" spans="2:20" x14ac:dyDescent="0.2">
      <c r="K63" cm="1">
        <f t="array" ref="K63" xml:space="preserve"> 1 + _xlfn.SINGLE(ROW()) - _xlfn.SINGLE(ROW(ExportSubstitutions.RowNum))</f>
        <v>58</v>
      </c>
      <c r="L63" t="s">
        <v>2108</v>
      </c>
      <c r="M63" t="s">
        <v>2120</v>
      </c>
      <c r="N63" t="s">
        <v>2130</v>
      </c>
      <c r="R63" cm="1">
        <f t="array" ref="R63" xml:space="preserve"> 1 + _xlfn.SINGLE(ROW()) - _xlfn.SINGLE(ROW(ExportSubstitutions_Within.RowNum))</f>
        <v>58</v>
      </c>
      <c r="S63" t="s">
        <v>1133</v>
      </c>
      <c r="T63" t="str">
        <f t="shared" si="2"/>
        <v>C3</v>
      </c>
    </row>
    <row r="64" spans="2:20" x14ac:dyDescent="0.2">
      <c r="K64" cm="1">
        <f t="array" ref="K64" xml:space="preserve"> 1 + _xlfn.SINGLE(ROW()) - _xlfn.SINGLE(ROW(ExportSubstitutions.RowNum))</f>
        <v>59</v>
      </c>
      <c r="L64" t="s">
        <v>32</v>
      </c>
      <c r="M64" t="s">
        <v>31</v>
      </c>
      <c r="N64" t="s">
        <v>2130</v>
      </c>
      <c r="R64" cm="1">
        <f t="array" ref="R64" xml:space="preserve"> 1 + _xlfn.SINGLE(ROW()) - _xlfn.SINGLE(ROW(ExportSubstitutions_Within.RowNum))</f>
        <v>59</v>
      </c>
      <c r="S64" t="s">
        <v>1134</v>
      </c>
      <c r="T64" t="str">
        <f t="shared" si="2"/>
        <v>C4</v>
      </c>
    </row>
    <row r="65" spans="11:20" x14ac:dyDescent="0.2">
      <c r="K65" cm="1">
        <f t="array" ref="K65" xml:space="preserve"> 1 + _xlfn.SINGLE(ROW()) - _xlfn.SINGLE(ROW(ExportSubstitutions.RowNum))</f>
        <v>60</v>
      </c>
      <c r="L65" t="s">
        <v>2109</v>
      </c>
      <c r="M65" t="s">
        <v>2121</v>
      </c>
      <c r="N65" t="s">
        <v>2130</v>
      </c>
      <c r="R65" cm="1">
        <f t="array" ref="R65" xml:space="preserve"> 1 + _xlfn.SINGLE(ROW()) - _xlfn.SINGLE(ROW(ExportSubstitutions_Within.RowNum))</f>
        <v>60</v>
      </c>
      <c r="S65" t="s">
        <v>1135</v>
      </c>
      <c r="T65" t="str">
        <f t="shared" si="2"/>
        <v>C5</v>
      </c>
    </row>
    <row r="66" spans="11:20" x14ac:dyDescent="0.2">
      <c r="K66" cm="1">
        <f t="array" ref="K66" xml:space="preserve"> 1 + _xlfn.SINGLE(ROW()) - _xlfn.SINGLE(ROW(ExportSubstitutions.RowNum))</f>
        <v>61</v>
      </c>
      <c r="L66" t="s">
        <v>53</v>
      </c>
      <c r="M66" t="s">
        <v>52</v>
      </c>
      <c r="N66" t="s">
        <v>2130</v>
      </c>
      <c r="R66" cm="1">
        <f t="array" ref="R66" xml:space="preserve"> 1 + _xlfn.SINGLE(ROW()) - _xlfn.SINGLE(ROW(ExportSubstitutions_Within.RowNum))</f>
        <v>61</v>
      </c>
      <c r="S66" t="s">
        <v>1136</v>
      </c>
      <c r="T66" t="str">
        <f t="shared" si="2"/>
        <v>C6</v>
      </c>
    </row>
    <row r="67" spans="11:20" x14ac:dyDescent="0.2">
      <c r="K67" cm="1">
        <f t="array" ref="K67" xml:space="preserve"> 1 + _xlfn.SINGLE(ROW()) - _xlfn.SINGLE(ROW(ExportSubstitutions.RowNum))</f>
        <v>62</v>
      </c>
      <c r="L67" t="s">
        <v>34</v>
      </c>
      <c r="M67" t="s">
        <v>33</v>
      </c>
      <c r="N67" t="s">
        <v>2130</v>
      </c>
      <c r="R67" cm="1">
        <f t="array" ref="R67" xml:space="preserve"> 1 + _xlfn.SINGLE(ROW()) - _xlfn.SINGLE(ROW(ExportSubstitutions_Within.RowNum))</f>
        <v>62</v>
      </c>
      <c r="S67" t="s">
        <v>1137</v>
      </c>
      <c r="T67" t="str">
        <f t="shared" si="2"/>
        <v>C7</v>
      </c>
    </row>
    <row r="68" spans="11:20" x14ac:dyDescent="0.2">
      <c r="K68" cm="1">
        <f t="array" ref="K68" xml:space="preserve"> 1 + _xlfn.SINGLE(ROW()) - _xlfn.SINGLE(ROW(ExportSubstitutions.RowNum))</f>
        <v>63</v>
      </c>
      <c r="L68" t="s">
        <v>2110</v>
      </c>
      <c r="M68" t="s">
        <v>2122</v>
      </c>
      <c r="N68" t="s">
        <v>2130</v>
      </c>
      <c r="R68" cm="1">
        <f t="array" ref="R68" xml:space="preserve"> 1 + _xlfn.SINGLE(ROW()) - _xlfn.SINGLE(ROW(ExportSubstitutions_Within.RowNum))</f>
        <v>63</v>
      </c>
      <c r="S68" t="s">
        <v>1138</v>
      </c>
      <c r="T68" t="str">
        <f t="shared" si="2"/>
        <v>C8</v>
      </c>
    </row>
    <row r="69" spans="11:20" x14ac:dyDescent="0.2">
      <c r="K69" cm="1">
        <f t="array" ref="K69" xml:space="preserve"> 1 + _xlfn.SINGLE(ROW()) - _xlfn.SINGLE(ROW(ExportSubstitutions.RowNum))</f>
        <v>64</v>
      </c>
      <c r="L69" t="s">
        <v>57</v>
      </c>
      <c r="M69" t="s">
        <v>56</v>
      </c>
      <c r="N69" t="s">
        <v>2130</v>
      </c>
      <c r="R69" cm="1">
        <f t="array" ref="R69" xml:space="preserve"> 1 + _xlfn.SINGLE(ROW()) - _xlfn.SINGLE(ROW(ExportSubstitutions_Within.RowNum))</f>
        <v>64</v>
      </c>
      <c r="S69" t="s">
        <v>1139</v>
      </c>
      <c r="T69" t="str">
        <f t="shared" si="2"/>
        <v>C9</v>
      </c>
    </row>
    <row r="70" spans="11:20" x14ac:dyDescent="0.2">
      <c r="K70" cm="1">
        <f t="array" ref="K70" xml:space="preserve"> 1 + _xlfn.SINGLE(ROW()) - _xlfn.SINGLE(ROW(ExportSubstitutions.RowNum))</f>
        <v>65</v>
      </c>
      <c r="L70" t="s">
        <v>2111</v>
      </c>
      <c r="M70" t="s">
        <v>2129</v>
      </c>
      <c r="N70" t="s">
        <v>2130</v>
      </c>
      <c r="R70" cm="1">
        <f t="array" ref="R70" xml:space="preserve"> 1 + _xlfn.SINGLE(ROW()) - _xlfn.SINGLE(ROW(ExportSubstitutions_Within.RowNum))</f>
        <v>65</v>
      </c>
      <c r="S70" t="s">
        <v>1584</v>
      </c>
      <c r="T70" t="str">
        <f t="shared" ref="T70:T133" si="8" xml:space="preserve"> SUBSTITUTE(ExportSubstitutions_Within.From, " ", "")</f>
        <v>C.</v>
      </c>
    </row>
    <row r="71" spans="11:20" x14ac:dyDescent="0.2">
      <c r="K71" cm="1">
        <f t="array" ref="K71" xml:space="preserve"> 1 + _xlfn.SINGLE(ROW()) - _xlfn.SINGLE(ROW(ExportSubstitutions.RowNum))</f>
        <v>66</v>
      </c>
      <c r="L71" t="s">
        <v>41</v>
      </c>
      <c r="M71" t="s">
        <v>40</v>
      </c>
      <c r="N71" t="s">
        <v>2130</v>
      </c>
      <c r="R71" cm="1">
        <f t="array" ref="R71" xml:space="preserve"> 1 + _xlfn.SINGLE(ROW()) - _xlfn.SINGLE(ROW(ExportSubstitutions_Within.RowNum))</f>
        <v>66</v>
      </c>
      <c r="S71" t="s">
        <v>1593</v>
      </c>
      <c r="T71" t="str">
        <f t="shared" si="8"/>
        <v>C-</v>
      </c>
    </row>
    <row r="72" spans="11:20" x14ac:dyDescent="0.2">
      <c r="K72" cm="1">
        <f t="array" ref="K72" xml:space="preserve"> 1 + _xlfn.SINGLE(ROW()) - _xlfn.SINGLE(ROW(ExportSubstitutions.RowNum))</f>
        <v>67</v>
      </c>
      <c r="L72" t="s">
        <v>2099</v>
      </c>
      <c r="M72" t="s">
        <v>2128</v>
      </c>
      <c r="N72" t="s">
        <v>2130</v>
      </c>
      <c r="R72" cm="1">
        <f t="array" ref="R72" xml:space="preserve"> 1 + _xlfn.SINGLE(ROW()) - _xlfn.SINGLE(ROW(ExportSubstitutions_Within.RowNum))</f>
        <v>67</v>
      </c>
      <c r="S72" t="s">
        <v>1140</v>
      </c>
      <c r="T72" t="str">
        <f t="shared" si="8"/>
        <v>0c</v>
      </c>
    </row>
    <row r="73" spans="11:20" x14ac:dyDescent="0.2">
      <c r="R73" cm="1">
        <f t="array" ref="R73" xml:space="preserve"> 1 + _xlfn.SINGLE(ROW()) - _xlfn.SINGLE(ROW(ExportSubstitutions_Within.RowNum))</f>
        <v>68</v>
      </c>
      <c r="S73" t="s">
        <v>1141</v>
      </c>
      <c r="T73" t="str">
        <f t="shared" si="8"/>
        <v>1c</v>
      </c>
    </row>
    <row r="74" spans="11:20" x14ac:dyDescent="0.2">
      <c r="R74" cm="1">
        <f t="array" ref="R74" xml:space="preserve"> 1 + _xlfn.SINGLE(ROW()) - _xlfn.SINGLE(ROW(ExportSubstitutions_Within.RowNum))</f>
        <v>69</v>
      </c>
      <c r="S74" t="s">
        <v>1142</v>
      </c>
      <c r="T74" t="str">
        <f t="shared" si="8"/>
        <v>2c</v>
      </c>
    </row>
    <row r="75" spans="11:20" x14ac:dyDescent="0.2">
      <c r="R75" cm="1">
        <f t="array" ref="R75" xml:space="preserve"> 1 + _xlfn.SINGLE(ROW()) - _xlfn.SINGLE(ROW(ExportSubstitutions_Within.RowNum))</f>
        <v>70</v>
      </c>
      <c r="S75" t="s">
        <v>1143</v>
      </c>
      <c r="T75" t="str">
        <f t="shared" si="8"/>
        <v>3c</v>
      </c>
    </row>
    <row r="76" spans="11:20" x14ac:dyDescent="0.2">
      <c r="R76" cm="1">
        <f t="array" ref="R76" xml:space="preserve"> 1 + _xlfn.SINGLE(ROW()) - _xlfn.SINGLE(ROW(ExportSubstitutions_Within.RowNum))</f>
        <v>71</v>
      </c>
      <c r="S76" t="s">
        <v>1144</v>
      </c>
      <c r="T76" t="str">
        <f t="shared" si="8"/>
        <v>4c</v>
      </c>
    </row>
    <row r="77" spans="11:20" x14ac:dyDescent="0.2">
      <c r="R77" cm="1">
        <f t="array" ref="R77" xml:space="preserve"> 1 + _xlfn.SINGLE(ROW()) - _xlfn.SINGLE(ROW(ExportSubstitutions_Within.RowNum))</f>
        <v>72</v>
      </c>
      <c r="S77" t="s">
        <v>1145</v>
      </c>
      <c r="T77" t="str">
        <f t="shared" si="8"/>
        <v>5c</v>
      </c>
    </row>
    <row r="78" spans="11:20" x14ac:dyDescent="0.2">
      <c r="R78" cm="1">
        <f t="array" ref="R78" xml:space="preserve"> 1 + _xlfn.SINGLE(ROW()) - _xlfn.SINGLE(ROW(ExportSubstitutions_Within.RowNum))</f>
        <v>73</v>
      </c>
      <c r="S78" t="s">
        <v>1146</v>
      </c>
      <c r="T78" t="str">
        <f t="shared" si="8"/>
        <v>6c</v>
      </c>
    </row>
    <row r="79" spans="11:20" x14ac:dyDescent="0.2">
      <c r="R79" cm="1">
        <f t="array" ref="R79" xml:space="preserve"> 1 + _xlfn.SINGLE(ROW()) - _xlfn.SINGLE(ROW(ExportSubstitutions_Within.RowNum))</f>
        <v>74</v>
      </c>
      <c r="S79" t="s">
        <v>1147</v>
      </c>
      <c r="T79" t="str">
        <f t="shared" si="8"/>
        <v>7c</v>
      </c>
    </row>
    <row r="80" spans="11:20" x14ac:dyDescent="0.2">
      <c r="R80" cm="1">
        <f t="array" ref="R80" xml:space="preserve"> 1 + _xlfn.SINGLE(ROW()) - _xlfn.SINGLE(ROW(ExportSubstitutions_Within.RowNum))</f>
        <v>75</v>
      </c>
      <c r="S80" t="s">
        <v>1148</v>
      </c>
      <c r="T80" t="str">
        <f t="shared" si="8"/>
        <v>8c</v>
      </c>
    </row>
    <row r="81" spans="18:20" x14ac:dyDescent="0.2">
      <c r="R81" cm="1">
        <f t="array" ref="R81" xml:space="preserve"> 1 + _xlfn.SINGLE(ROW()) - _xlfn.SINGLE(ROW(ExportSubstitutions_Within.RowNum))</f>
        <v>76</v>
      </c>
      <c r="S81" t="s">
        <v>1149</v>
      </c>
      <c r="T81" t="str">
        <f t="shared" si="8"/>
        <v>9c</v>
      </c>
    </row>
    <row r="82" spans="18:20" x14ac:dyDescent="0.2">
      <c r="R82" cm="1">
        <f t="array" ref="R82" xml:space="preserve"> 1 + _xlfn.SINGLE(ROW()) - _xlfn.SINGLE(ROW(ExportSubstitutions_Within.RowNum))</f>
        <v>77</v>
      </c>
      <c r="S82" t="s">
        <v>1150</v>
      </c>
      <c r="T82" t="str">
        <f t="shared" si="8"/>
        <v>c0</v>
      </c>
    </row>
    <row r="83" spans="18:20" x14ac:dyDescent="0.2">
      <c r="R83" cm="1">
        <f t="array" ref="R83" xml:space="preserve"> 1 + _xlfn.SINGLE(ROW()) - _xlfn.SINGLE(ROW(ExportSubstitutions_Within.RowNum))</f>
        <v>78</v>
      </c>
      <c r="S83" t="s">
        <v>1151</v>
      </c>
      <c r="T83" t="str">
        <f t="shared" si="8"/>
        <v>c1</v>
      </c>
    </row>
    <row r="84" spans="18:20" x14ac:dyDescent="0.2">
      <c r="R84" cm="1">
        <f t="array" ref="R84" xml:space="preserve"> 1 + _xlfn.SINGLE(ROW()) - _xlfn.SINGLE(ROW(ExportSubstitutions_Within.RowNum))</f>
        <v>79</v>
      </c>
      <c r="S84" t="s">
        <v>1152</v>
      </c>
      <c r="T84" t="str">
        <f t="shared" si="8"/>
        <v>c2</v>
      </c>
    </row>
    <row r="85" spans="18:20" x14ac:dyDescent="0.2">
      <c r="R85" cm="1">
        <f t="array" ref="R85" xml:space="preserve"> 1 + _xlfn.SINGLE(ROW()) - _xlfn.SINGLE(ROW(ExportSubstitutions_Within.RowNum))</f>
        <v>80</v>
      </c>
      <c r="S85" t="s">
        <v>1153</v>
      </c>
      <c r="T85" t="str">
        <f t="shared" si="8"/>
        <v>c3</v>
      </c>
    </row>
    <row r="86" spans="18:20" x14ac:dyDescent="0.2">
      <c r="R86" cm="1">
        <f t="array" ref="R86" xml:space="preserve"> 1 + _xlfn.SINGLE(ROW()) - _xlfn.SINGLE(ROW(ExportSubstitutions_Within.RowNum))</f>
        <v>81</v>
      </c>
      <c r="S86" t="s">
        <v>1154</v>
      </c>
      <c r="T86" t="str">
        <f t="shared" si="8"/>
        <v>c4</v>
      </c>
    </row>
    <row r="87" spans="18:20" x14ac:dyDescent="0.2">
      <c r="R87" cm="1">
        <f t="array" ref="R87" xml:space="preserve"> 1 + _xlfn.SINGLE(ROW()) - _xlfn.SINGLE(ROW(ExportSubstitutions_Within.RowNum))</f>
        <v>82</v>
      </c>
      <c r="S87" t="s">
        <v>1155</v>
      </c>
      <c r="T87" t="str">
        <f t="shared" si="8"/>
        <v>c5</v>
      </c>
    </row>
    <row r="88" spans="18:20" x14ac:dyDescent="0.2">
      <c r="R88" cm="1">
        <f t="array" ref="R88" xml:space="preserve"> 1 + _xlfn.SINGLE(ROW()) - _xlfn.SINGLE(ROW(ExportSubstitutions_Within.RowNum))</f>
        <v>83</v>
      </c>
      <c r="S88" t="s">
        <v>1156</v>
      </c>
      <c r="T88" t="str">
        <f t="shared" si="8"/>
        <v>c6</v>
      </c>
    </row>
    <row r="89" spans="18:20" x14ac:dyDescent="0.2">
      <c r="R89" cm="1">
        <f t="array" ref="R89" xml:space="preserve"> 1 + _xlfn.SINGLE(ROW()) - _xlfn.SINGLE(ROW(ExportSubstitutions_Within.RowNum))</f>
        <v>84</v>
      </c>
      <c r="S89" t="s">
        <v>1157</v>
      </c>
      <c r="T89" t="str">
        <f t="shared" si="8"/>
        <v>c7</v>
      </c>
    </row>
    <row r="90" spans="18:20" x14ac:dyDescent="0.2">
      <c r="R90" cm="1">
        <f t="array" ref="R90" xml:space="preserve"> 1 + _xlfn.SINGLE(ROW()) - _xlfn.SINGLE(ROW(ExportSubstitutions_Within.RowNum))</f>
        <v>85</v>
      </c>
      <c r="S90" t="s">
        <v>1158</v>
      </c>
      <c r="T90" t="str">
        <f t="shared" si="8"/>
        <v>c8</v>
      </c>
    </row>
    <row r="91" spans="18:20" x14ac:dyDescent="0.2">
      <c r="R91" cm="1">
        <f t="array" ref="R91" xml:space="preserve"> 1 + _xlfn.SINGLE(ROW()) - _xlfn.SINGLE(ROW(ExportSubstitutions_Within.RowNum))</f>
        <v>86</v>
      </c>
      <c r="S91" t="s">
        <v>1159</v>
      </c>
      <c r="T91" t="str">
        <f t="shared" si="8"/>
        <v>c9</v>
      </c>
    </row>
    <row r="92" spans="18:20" x14ac:dyDescent="0.2">
      <c r="R92" cm="1">
        <f t="array" ref="R92" xml:space="preserve"> 1 + _xlfn.SINGLE(ROW()) - _xlfn.SINGLE(ROW(ExportSubstitutions_Within.RowNum))</f>
        <v>87</v>
      </c>
      <c r="S92" t="s">
        <v>1585</v>
      </c>
      <c r="T92" t="str">
        <f t="shared" si="8"/>
        <v>c.</v>
      </c>
    </row>
    <row r="93" spans="18:20" x14ac:dyDescent="0.2">
      <c r="R93" cm="1">
        <f t="array" ref="R93" xml:space="preserve"> 1 + _xlfn.SINGLE(ROW()) - _xlfn.SINGLE(ROW(ExportSubstitutions_Within.RowNum))</f>
        <v>88</v>
      </c>
      <c r="S93" t="s">
        <v>1594</v>
      </c>
      <c r="T93" t="str">
        <f t="shared" si="8"/>
        <v>c-</v>
      </c>
    </row>
    <row r="94" spans="18:20" x14ac:dyDescent="0.2">
      <c r="R94" cm="1">
        <f t="array" ref="R94" xml:space="preserve"> 1 + _xlfn.SINGLE(ROW()) - _xlfn.SINGLE(ROW(ExportSubstitutions_Within.RowNum))</f>
        <v>89</v>
      </c>
      <c r="S94" t="s">
        <v>1160</v>
      </c>
      <c r="T94" t="str">
        <f t="shared" si="8"/>
        <v>0H</v>
      </c>
    </row>
    <row r="95" spans="18:20" x14ac:dyDescent="0.2">
      <c r="R95" cm="1">
        <f t="array" ref="R95" xml:space="preserve"> 1 + _xlfn.SINGLE(ROW()) - _xlfn.SINGLE(ROW(ExportSubstitutions_Within.RowNum))</f>
        <v>90</v>
      </c>
      <c r="S95" t="s">
        <v>1161</v>
      </c>
      <c r="T95" t="str">
        <f t="shared" si="8"/>
        <v>1H</v>
      </c>
    </row>
    <row r="96" spans="18:20" x14ac:dyDescent="0.2">
      <c r="R96" cm="1">
        <f t="array" ref="R96" xml:space="preserve"> 1 + _xlfn.SINGLE(ROW()) - _xlfn.SINGLE(ROW(ExportSubstitutions_Within.RowNum))</f>
        <v>91</v>
      </c>
      <c r="S96" t="s">
        <v>1162</v>
      </c>
      <c r="T96" t="str">
        <f t="shared" si="8"/>
        <v>2H</v>
      </c>
    </row>
    <row r="97" spans="18:20" x14ac:dyDescent="0.2">
      <c r="R97" cm="1">
        <f t="array" ref="R97" xml:space="preserve"> 1 + _xlfn.SINGLE(ROW()) - _xlfn.SINGLE(ROW(ExportSubstitutions_Within.RowNum))</f>
        <v>92</v>
      </c>
      <c r="S97" t="s">
        <v>1163</v>
      </c>
      <c r="T97" t="str">
        <f t="shared" si="8"/>
        <v>3H</v>
      </c>
    </row>
    <row r="98" spans="18:20" x14ac:dyDescent="0.2">
      <c r="R98" cm="1">
        <f t="array" ref="R98" xml:space="preserve"> 1 + _xlfn.SINGLE(ROW()) - _xlfn.SINGLE(ROW(ExportSubstitutions_Within.RowNum))</f>
        <v>93</v>
      </c>
      <c r="S98" t="s">
        <v>1164</v>
      </c>
      <c r="T98" t="str">
        <f t="shared" si="8"/>
        <v>4H</v>
      </c>
    </row>
    <row r="99" spans="18:20" x14ac:dyDescent="0.2">
      <c r="R99" cm="1">
        <f t="array" ref="R99" xml:space="preserve"> 1 + _xlfn.SINGLE(ROW()) - _xlfn.SINGLE(ROW(ExportSubstitutions_Within.RowNum))</f>
        <v>94</v>
      </c>
      <c r="S99" t="s">
        <v>1165</v>
      </c>
      <c r="T99" t="str">
        <f t="shared" si="8"/>
        <v>5H</v>
      </c>
    </row>
    <row r="100" spans="18:20" x14ac:dyDescent="0.2">
      <c r="R100" cm="1">
        <f t="array" ref="R100" xml:space="preserve"> 1 + _xlfn.SINGLE(ROW()) - _xlfn.SINGLE(ROW(ExportSubstitutions_Within.RowNum))</f>
        <v>95</v>
      </c>
      <c r="S100" t="s">
        <v>1166</v>
      </c>
      <c r="T100" t="str">
        <f t="shared" si="8"/>
        <v>6H</v>
      </c>
    </row>
    <row r="101" spans="18:20" x14ac:dyDescent="0.2">
      <c r="R101" cm="1">
        <f t="array" ref="R101" xml:space="preserve"> 1 + _xlfn.SINGLE(ROW()) - _xlfn.SINGLE(ROW(ExportSubstitutions_Within.RowNum))</f>
        <v>96</v>
      </c>
      <c r="S101" t="s">
        <v>1167</v>
      </c>
      <c r="T101" t="str">
        <f t="shared" si="8"/>
        <v>7H</v>
      </c>
    </row>
    <row r="102" spans="18:20" x14ac:dyDescent="0.2">
      <c r="R102" cm="1">
        <f t="array" ref="R102" xml:space="preserve"> 1 + _xlfn.SINGLE(ROW()) - _xlfn.SINGLE(ROW(ExportSubstitutions_Within.RowNum))</f>
        <v>97</v>
      </c>
      <c r="S102" t="s">
        <v>1168</v>
      </c>
      <c r="T102" t="str">
        <f t="shared" si="8"/>
        <v>8H</v>
      </c>
    </row>
    <row r="103" spans="18:20" x14ac:dyDescent="0.2">
      <c r="R103" cm="1">
        <f t="array" ref="R103" xml:space="preserve"> 1 + _xlfn.SINGLE(ROW()) - _xlfn.SINGLE(ROW(ExportSubstitutions_Within.RowNum))</f>
        <v>98</v>
      </c>
      <c r="S103" t="s">
        <v>1169</v>
      </c>
      <c r="T103" t="str">
        <f t="shared" si="8"/>
        <v>9H</v>
      </c>
    </row>
    <row r="104" spans="18:20" x14ac:dyDescent="0.2">
      <c r="R104" cm="1">
        <f t="array" ref="R104" xml:space="preserve"> 1 + _xlfn.SINGLE(ROW()) - _xlfn.SINGLE(ROW(ExportSubstitutions_Within.RowNum))</f>
        <v>99</v>
      </c>
      <c r="S104" t="s">
        <v>1170</v>
      </c>
      <c r="T104" t="str">
        <f t="shared" si="8"/>
        <v>H0</v>
      </c>
    </row>
    <row r="105" spans="18:20" x14ac:dyDescent="0.2">
      <c r="R105" cm="1">
        <f t="array" ref="R105" xml:space="preserve"> 1 + _xlfn.SINGLE(ROW()) - _xlfn.SINGLE(ROW(ExportSubstitutions_Within.RowNum))</f>
        <v>100</v>
      </c>
      <c r="S105" t="s">
        <v>1171</v>
      </c>
      <c r="T105" t="str">
        <f t="shared" si="8"/>
        <v>H1</v>
      </c>
    </row>
    <row r="106" spans="18:20" x14ac:dyDescent="0.2">
      <c r="R106" cm="1">
        <f t="array" ref="R106" xml:space="preserve"> 1 + _xlfn.SINGLE(ROW()) - _xlfn.SINGLE(ROW(ExportSubstitutions_Within.RowNum))</f>
        <v>101</v>
      </c>
      <c r="S106" t="s">
        <v>1172</v>
      </c>
      <c r="T106" t="str">
        <f t="shared" si="8"/>
        <v>H2</v>
      </c>
    </row>
    <row r="107" spans="18:20" x14ac:dyDescent="0.2">
      <c r="R107" cm="1">
        <f t="array" ref="R107" xml:space="preserve"> 1 + _xlfn.SINGLE(ROW()) - _xlfn.SINGLE(ROW(ExportSubstitutions_Within.RowNum))</f>
        <v>102</v>
      </c>
      <c r="S107" t="s">
        <v>1173</v>
      </c>
      <c r="T107" t="str">
        <f t="shared" si="8"/>
        <v>H3</v>
      </c>
    </row>
    <row r="108" spans="18:20" x14ac:dyDescent="0.2">
      <c r="R108" cm="1">
        <f t="array" ref="R108" xml:space="preserve"> 1 + _xlfn.SINGLE(ROW()) - _xlfn.SINGLE(ROW(ExportSubstitutions_Within.RowNum))</f>
        <v>103</v>
      </c>
      <c r="S108" t="s">
        <v>1174</v>
      </c>
      <c r="T108" t="str">
        <f t="shared" si="8"/>
        <v>H4</v>
      </c>
    </row>
    <row r="109" spans="18:20" x14ac:dyDescent="0.2">
      <c r="R109" cm="1">
        <f t="array" ref="R109" xml:space="preserve"> 1 + _xlfn.SINGLE(ROW()) - _xlfn.SINGLE(ROW(ExportSubstitutions_Within.RowNum))</f>
        <v>104</v>
      </c>
      <c r="S109" t="s">
        <v>1175</v>
      </c>
      <c r="T109" t="str">
        <f t="shared" si="8"/>
        <v>H5</v>
      </c>
    </row>
    <row r="110" spans="18:20" x14ac:dyDescent="0.2">
      <c r="R110" cm="1">
        <f t="array" ref="R110" xml:space="preserve"> 1 + _xlfn.SINGLE(ROW()) - _xlfn.SINGLE(ROW(ExportSubstitutions_Within.RowNum))</f>
        <v>105</v>
      </c>
      <c r="S110" t="s">
        <v>1176</v>
      </c>
      <c r="T110" t="str">
        <f t="shared" si="8"/>
        <v>H6</v>
      </c>
    </row>
    <row r="111" spans="18:20" x14ac:dyDescent="0.2">
      <c r="R111" cm="1">
        <f t="array" ref="R111" xml:space="preserve"> 1 + _xlfn.SINGLE(ROW()) - _xlfn.SINGLE(ROW(ExportSubstitutions_Within.RowNum))</f>
        <v>106</v>
      </c>
      <c r="S111" t="s">
        <v>1177</v>
      </c>
      <c r="T111" t="str">
        <f t="shared" si="8"/>
        <v>H7</v>
      </c>
    </row>
    <row r="112" spans="18:20" x14ac:dyDescent="0.2">
      <c r="R112" cm="1">
        <f t="array" ref="R112" xml:space="preserve"> 1 + _xlfn.SINGLE(ROW()) - _xlfn.SINGLE(ROW(ExportSubstitutions_Within.RowNum))</f>
        <v>107</v>
      </c>
      <c r="S112" t="s">
        <v>1178</v>
      </c>
      <c r="T112" t="str">
        <f t="shared" si="8"/>
        <v>H8</v>
      </c>
    </row>
    <row r="113" spans="18:20" x14ac:dyDescent="0.2">
      <c r="R113" cm="1">
        <f t="array" ref="R113" xml:space="preserve"> 1 + _xlfn.SINGLE(ROW()) - _xlfn.SINGLE(ROW(ExportSubstitutions_Within.RowNum))</f>
        <v>108</v>
      </c>
      <c r="S113" t="s">
        <v>1179</v>
      </c>
      <c r="T113" t="str">
        <f t="shared" si="8"/>
        <v>H9</v>
      </c>
    </row>
    <row r="114" spans="18:20" x14ac:dyDescent="0.2">
      <c r="R114" cm="1">
        <f t="array" ref="R114" xml:space="preserve"> 1 + _xlfn.SINGLE(ROW()) - _xlfn.SINGLE(ROW(ExportSubstitutions_Within.RowNum))</f>
        <v>109</v>
      </c>
      <c r="S114" t="s">
        <v>1586</v>
      </c>
      <c r="T114" t="str">
        <f t="shared" si="8"/>
        <v>H.</v>
      </c>
    </row>
    <row r="115" spans="18:20" x14ac:dyDescent="0.2">
      <c r="R115" cm="1">
        <f t="array" ref="R115" xml:space="preserve"> 1 + _xlfn.SINGLE(ROW()) - _xlfn.SINGLE(ROW(ExportSubstitutions_Within.RowNum))</f>
        <v>110</v>
      </c>
      <c r="S115" t="s">
        <v>1595</v>
      </c>
      <c r="T115" t="str">
        <f t="shared" si="8"/>
        <v>H-</v>
      </c>
    </row>
    <row r="116" spans="18:20" x14ac:dyDescent="0.2">
      <c r="R116" cm="1">
        <f t="array" ref="R116" xml:space="preserve"> 1 + _xlfn.SINGLE(ROW()) - _xlfn.SINGLE(ROW(ExportSubstitutions_Within.RowNum))</f>
        <v>111</v>
      </c>
      <c r="S116" t="s">
        <v>1180</v>
      </c>
      <c r="T116" t="str">
        <f t="shared" si="8"/>
        <v>0h</v>
      </c>
    </row>
    <row r="117" spans="18:20" x14ac:dyDescent="0.2">
      <c r="R117" cm="1">
        <f t="array" ref="R117" xml:space="preserve"> 1 + _xlfn.SINGLE(ROW()) - _xlfn.SINGLE(ROW(ExportSubstitutions_Within.RowNum))</f>
        <v>112</v>
      </c>
      <c r="S117" t="s">
        <v>1181</v>
      </c>
      <c r="T117" t="str">
        <f t="shared" si="8"/>
        <v>1h</v>
      </c>
    </row>
    <row r="118" spans="18:20" x14ac:dyDescent="0.2">
      <c r="R118" cm="1">
        <f t="array" ref="R118" xml:space="preserve"> 1 + _xlfn.SINGLE(ROW()) - _xlfn.SINGLE(ROW(ExportSubstitutions_Within.RowNum))</f>
        <v>113</v>
      </c>
      <c r="S118" t="s">
        <v>1182</v>
      </c>
      <c r="T118" t="str">
        <f t="shared" si="8"/>
        <v>2h</v>
      </c>
    </row>
    <row r="119" spans="18:20" x14ac:dyDescent="0.2">
      <c r="R119" cm="1">
        <f t="array" ref="R119" xml:space="preserve"> 1 + _xlfn.SINGLE(ROW()) - _xlfn.SINGLE(ROW(ExportSubstitutions_Within.RowNum))</f>
        <v>114</v>
      </c>
      <c r="S119" t="s">
        <v>1183</v>
      </c>
      <c r="T119" t="str">
        <f t="shared" si="8"/>
        <v>3h</v>
      </c>
    </row>
    <row r="120" spans="18:20" x14ac:dyDescent="0.2">
      <c r="R120" cm="1">
        <f t="array" ref="R120" xml:space="preserve"> 1 + _xlfn.SINGLE(ROW()) - _xlfn.SINGLE(ROW(ExportSubstitutions_Within.RowNum))</f>
        <v>115</v>
      </c>
      <c r="S120" t="s">
        <v>1184</v>
      </c>
      <c r="T120" t="str">
        <f t="shared" si="8"/>
        <v>4h</v>
      </c>
    </row>
    <row r="121" spans="18:20" x14ac:dyDescent="0.2">
      <c r="R121" cm="1">
        <f t="array" ref="R121" xml:space="preserve"> 1 + _xlfn.SINGLE(ROW()) - _xlfn.SINGLE(ROW(ExportSubstitutions_Within.RowNum))</f>
        <v>116</v>
      </c>
      <c r="S121" t="s">
        <v>1185</v>
      </c>
      <c r="T121" t="str">
        <f t="shared" si="8"/>
        <v>5h</v>
      </c>
    </row>
    <row r="122" spans="18:20" x14ac:dyDescent="0.2">
      <c r="R122" cm="1">
        <f t="array" ref="R122" xml:space="preserve"> 1 + _xlfn.SINGLE(ROW()) - _xlfn.SINGLE(ROW(ExportSubstitutions_Within.RowNum))</f>
        <v>117</v>
      </c>
      <c r="S122" t="s">
        <v>1186</v>
      </c>
      <c r="T122" t="str">
        <f t="shared" si="8"/>
        <v>6h</v>
      </c>
    </row>
    <row r="123" spans="18:20" x14ac:dyDescent="0.2">
      <c r="R123" cm="1">
        <f t="array" ref="R123" xml:space="preserve"> 1 + _xlfn.SINGLE(ROW()) - _xlfn.SINGLE(ROW(ExportSubstitutions_Within.RowNum))</f>
        <v>118</v>
      </c>
      <c r="S123" t="s">
        <v>1187</v>
      </c>
      <c r="T123" t="str">
        <f t="shared" si="8"/>
        <v>7h</v>
      </c>
    </row>
    <row r="124" spans="18:20" x14ac:dyDescent="0.2">
      <c r="R124" cm="1">
        <f t="array" ref="R124" xml:space="preserve"> 1 + _xlfn.SINGLE(ROW()) - _xlfn.SINGLE(ROW(ExportSubstitutions_Within.RowNum))</f>
        <v>119</v>
      </c>
      <c r="S124" t="s">
        <v>1188</v>
      </c>
      <c r="T124" t="str">
        <f t="shared" si="8"/>
        <v>8h</v>
      </c>
    </row>
    <row r="125" spans="18:20" x14ac:dyDescent="0.2">
      <c r="R125" cm="1">
        <f t="array" ref="R125" xml:space="preserve"> 1 + _xlfn.SINGLE(ROW()) - _xlfn.SINGLE(ROW(ExportSubstitutions_Within.RowNum))</f>
        <v>120</v>
      </c>
      <c r="S125" t="s">
        <v>1189</v>
      </c>
      <c r="T125" t="str">
        <f t="shared" si="8"/>
        <v>9h</v>
      </c>
    </row>
    <row r="126" spans="18:20" x14ac:dyDescent="0.2">
      <c r="R126" cm="1">
        <f t="array" ref="R126" xml:space="preserve"> 1 + _xlfn.SINGLE(ROW()) - _xlfn.SINGLE(ROW(ExportSubstitutions_Within.RowNum))</f>
        <v>121</v>
      </c>
      <c r="S126" t="s">
        <v>1190</v>
      </c>
      <c r="T126" t="str">
        <f t="shared" si="8"/>
        <v>h0</v>
      </c>
    </row>
    <row r="127" spans="18:20" x14ac:dyDescent="0.2">
      <c r="R127" cm="1">
        <f t="array" ref="R127" xml:space="preserve"> 1 + _xlfn.SINGLE(ROW()) - _xlfn.SINGLE(ROW(ExportSubstitutions_Within.RowNum))</f>
        <v>122</v>
      </c>
      <c r="S127" t="s">
        <v>1191</v>
      </c>
      <c r="T127" t="str">
        <f t="shared" si="8"/>
        <v>h1</v>
      </c>
    </row>
    <row r="128" spans="18:20" x14ac:dyDescent="0.2">
      <c r="R128" cm="1">
        <f t="array" ref="R128" xml:space="preserve"> 1 + _xlfn.SINGLE(ROW()) - _xlfn.SINGLE(ROW(ExportSubstitutions_Within.RowNum))</f>
        <v>123</v>
      </c>
      <c r="S128" t="s">
        <v>1192</v>
      </c>
      <c r="T128" t="str">
        <f t="shared" si="8"/>
        <v>h2</v>
      </c>
    </row>
    <row r="129" spans="18:20" x14ac:dyDescent="0.2">
      <c r="R129" cm="1">
        <f t="array" ref="R129" xml:space="preserve"> 1 + _xlfn.SINGLE(ROW()) - _xlfn.SINGLE(ROW(ExportSubstitutions_Within.RowNum))</f>
        <v>124</v>
      </c>
      <c r="S129" t="s">
        <v>1193</v>
      </c>
      <c r="T129" t="str">
        <f t="shared" si="8"/>
        <v>h3</v>
      </c>
    </row>
    <row r="130" spans="18:20" x14ac:dyDescent="0.2">
      <c r="R130" cm="1">
        <f t="array" ref="R130" xml:space="preserve"> 1 + _xlfn.SINGLE(ROW()) - _xlfn.SINGLE(ROW(ExportSubstitutions_Within.RowNum))</f>
        <v>125</v>
      </c>
      <c r="S130" t="s">
        <v>1194</v>
      </c>
      <c r="T130" t="str">
        <f t="shared" si="8"/>
        <v>h4</v>
      </c>
    </row>
    <row r="131" spans="18:20" x14ac:dyDescent="0.2">
      <c r="R131" cm="1">
        <f t="array" ref="R131" xml:space="preserve"> 1 + _xlfn.SINGLE(ROW()) - _xlfn.SINGLE(ROW(ExportSubstitutions_Within.RowNum))</f>
        <v>126</v>
      </c>
      <c r="S131" t="s">
        <v>1195</v>
      </c>
      <c r="T131" t="str">
        <f t="shared" si="8"/>
        <v>h5</v>
      </c>
    </row>
    <row r="132" spans="18:20" x14ac:dyDescent="0.2">
      <c r="R132" cm="1">
        <f t="array" ref="R132" xml:space="preserve"> 1 + _xlfn.SINGLE(ROW()) - _xlfn.SINGLE(ROW(ExportSubstitutions_Within.RowNum))</f>
        <v>127</v>
      </c>
      <c r="S132" t="s">
        <v>1196</v>
      </c>
      <c r="T132" t="str">
        <f t="shared" si="8"/>
        <v>h6</v>
      </c>
    </row>
    <row r="133" spans="18:20" x14ac:dyDescent="0.2">
      <c r="R133" cm="1">
        <f t="array" ref="R133" xml:space="preserve"> 1 + _xlfn.SINGLE(ROW()) - _xlfn.SINGLE(ROW(ExportSubstitutions_Within.RowNum))</f>
        <v>128</v>
      </c>
      <c r="S133" t="s">
        <v>1197</v>
      </c>
      <c r="T133" t="str">
        <f t="shared" si="8"/>
        <v>h7</v>
      </c>
    </row>
    <row r="134" spans="18:20" x14ac:dyDescent="0.2">
      <c r="R134" cm="1">
        <f t="array" ref="R134" xml:space="preserve"> 1 + _xlfn.SINGLE(ROW()) - _xlfn.SINGLE(ROW(ExportSubstitutions_Within.RowNum))</f>
        <v>129</v>
      </c>
      <c r="S134" t="s">
        <v>1198</v>
      </c>
      <c r="T134" t="str">
        <f t="shared" ref="T134:T197" si="9" xml:space="preserve"> SUBSTITUTE(ExportSubstitutions_Within.From, " ", "")</f>
        <v>h8</v>
      </c>
    </row>
    <row r="135" spans="18:20" x14ac:dyDescent="0.2">
      <c r="R135" cm="1">
        <f t="array" ref="R135" xml:space="preserve"> 1 + _xlfn.SINGLE(ROW()) - _xlfn.SINGLE(ROW(ExportSubstitutions_Within.RowNum))</f>
        <v>130</v>
      </c>
      <c r="S135" t="s">
        <v>1199</v>
      </c>
      <c r="T135" t="str">
        <f t="shared" si="9"/>
        <v>h9</v>
      </c>
    </row>
    <row r="136" spans="18:20" x14ac:dyDescent="0.2">
      <c r="R136" cm="1">
        <f t="array" ref="R136" xml:space="preserve"> 1 + _xlfn.SINGLE(ROW()) - _xlfn.SINGLE(ROW(ExportSubstitutions_Within.RowNum))</f>
        <v>131</v>
      </c>
      <c r="S136" t="s">
        <v>1587</v>
      </c>
      <c r="T136" t="str">
        <f t="shared" si="9"/>
        <v>h.</v>
      </c>
    </row>
    <row r="137" spans="18:20" x14ac:dyDescent="0.2">
      <c r="R137" cm="1">
        <f t="array" ref="R137" xml:space="preserve"> 1 + _xlfn.SINGLE(ROW()) - _xlfn.SINGLE(ROW(ExportSubstitutions_Within.RowNum))</f>
        <v>132</v>
      </c>
      <c r="S137" t="s">
        <v>1596</v>
      </c>
      <c r="T137" t="str">
        <f t="shared" si="9"/>
        <v>h-</v>
      </c>
    </row>
    <row r="138" spans="18:20" x14ac:dyDescent="0.2">
      <c r="R138" cm="1">
        <f t="array" ref="R138" xml:space="preserve"> 1 + _xlfn.SINGLE(ROW()) - _xlfn.SINGLE(ROW(ExportSubstitutions_Within.RowNum))</f>
        <v>133</v>
      </c>
      <c r="S138" t="s">
        <v>1200</v>
      </c>
      <c r="T138" t="str">
        <f t="shared" si="9"/>
        <v>0L</v>
      </c>
    </row>
    <row r="139" spans="18:20" x14ac:dyDescent="0.2">
      <c r="R139" cm="1">
        <f t="array" ref="R139" xml:space="preserve"> 1 + _xlfn.SINGLE(ROW()) - _xlfn.SINGLE(ROW(ExportSubstitutions_Within.RowNum))</f>
        <v>134</v>
      </c>
      <c r="S139" t="s">
        <v>1201</v>
      </c>
      <c r="T139" t="str">
        <f t="shared" si="9"/>
        <v>1L</v>
      </c>
    </row>
    <row r="140" spans="18:20" x14ac:dyDescent="0.2">
      <c r="R140" cm="1">
        <f t="array" ref="R140" xml:space="preserve"> 1 + _xlfn.SINGLE(ROW()) - _xlfn.SINGLE(ROW(ExportSubstitutions_Within.RowNum))</f>
        <v>135</v>
      </c>
      <c r="S140" t="s">
        <v>1202</v>
      </c>
      <c r="T140" t="str">
        <f t="shared" si="9"/>
        <v>2L</v>
      </c>
    </row>
    <row r="141" spans="18:20" x14ac:dyDescent="0.2">
      <c r="R141" cm="1">
        <f t="array" ref="R141" xml:space="preserve"> 1 + _xlfn.SINGLE(ROW()) - _xlfn.SINGLE(ROW(ExportSubstitutions_Within.RowNum))</f>
        <v>136</v>
      </c>
      <c r="S141" t="s">
        <v>1203</v>
      </c>
      <c r="T141" t="str">
        <f t="shared" si="9"/>
        <v>3L</v>
      </c>
    </row>
    <row r="142" spans="18:20" x14ac:dyDescent="0.2">
      <c r="R142" cm="1">
        <f t="array" ref="R142" xml:space="preserve"> 1 + _xlfn.SINGLE(ROW()) - _xlfn.SINGLE(ROW(ExportSubstitutions_Within.RowNum))</f>
        <v>137</v>
      </c>
      <c r="S142" t="s">
        <v>1204</v>
      </c>
      <c r="T142" t="str">
        <f t="shared" si="9"/>
        <v>4L</v>
      </c>
    </row>
    <row r="143" spans="18:20" x14ac:dyDescent="0.2">
      <c r="R143" cm="1">
        <f t="array" ref="R143" xml:space="preserve"> 1 + _xlfn.SINGLE(ROW()) - _xlfn.SINGLE(ROW(ExportSubstitutions_Within.RowNum))</f>
        <v>138</v>
      </c>
      <c r="S143" t="s">
        <v>1205</v>
      </c>
      <c r="T143" t="str">
        <f t="shared" si="9"/>
        <v>5L</v>
      </c>
    </row>
    <row r="144" spans="18:20" x14ac:dyDescent="0.2">
      <c r="R144" cm="1">
        <f t="array" ref="R144" xml:space="preserve"> 1 + _xlfn.SINGLE(ROW()) - _xlfn.SINGLE(ROW(ExportSubstitutions_Within.RowNum))</f>
        <v>139</v>
      </c>
      <c r="S144" t="s">
        <v>1206</v>
      </c>
      <c r="T144" t="str">
        <f t="shared" si="9"/>
        <v>6L</v>
      </c>
    </row>
    <row r="145" spans="18:20" x14ac:dyDescent="0.2">
      <c r="R145" cm="1">
        <f t="array" ref="R145" xml:space="preserve"> 1 + _xlfn.SINGLE(ROW()) - _xlfn.SINGLE(ROW(ExportSubstitutions_Within.RowNum))</f>
        <v>140</v>
      </c>
      <c r="S145" t="s">
        <v>1207</v>
      </c>
      <c r="T145" t="str">
        <f t="shared" si="9"/>
        <v>7L</v>
      </c>
    </row>
    <row r="146" spans="18:20" x14ac:dyDescent="0.2">
      <c r="R146" cm="1">
        <f t="array" ref="R146" xml:space="preserve"> 1 + _xlfn.SINGLE(ROW()) - _xlfn.SINGLE(ROW(ExportSubstitutions_Within.RowNum))</f>
        <v>141</v>
      </c>
      <c r="S146" t="s">
        <v>1208</v>
      </c>
      <c r="T146" t="str">
        <f t="shared" si="9"/>
        <v>8L</v>
      </c>
    </row>
    <row r="147" spans="18:20" x14ac:dyDescent="0.2">
      <c r="R147" cm="1">
        <f t="array" ref="R147" xml:space="preserve"> 1 + _xlfn.SINGLE(ROW()) - _xlfn.SINGLE(ROW(ExportSubstitutions_Within.RowNum))</f>
        <v>142</v>
      </c>
      <c r="S147" t="s">
        <v>1209</v>
      </c>
      <c r="T147" t="str">
        <f t="shared" si="9"/>
        <v>9L</v>
      </c>
    </row>
    <row r="148" spans="18:20" x14ac:dyDescent="0.2">
      <c r="R148" cm="1">
        <f t="array" ref="R148" xml:space="preserve"> 1 + _xlfn.SINGLE(ROW()) - _xlfn.SINGLE(ROW(ExportSubstitutions_Within.RowNum))</f>
        <v>143</v>
      </c>
      <c r="S148" t="s">
        <v>1210</v>
      </c>
      <c r="T148" t="str">
        <f t="shared" si="9"/>
        <v>L0</v>
      </c>
    </row>
    <row r="149" spans="18:20" x14ac:dyDescent="0.2">
      <c r="R149" cm="1">
        <f t="array" ref="R149" xml:space="preserve"> 1 + _xlfn.SINGLE(ROW()) - _xlfn.SINGLE(ROW(ExportSubstitutions_Within.RowNum))</f>
        <v>144</v>
      </c>
      <c r="S149" t="s">
        <v>1211</v>
      </c>
      <c r="T149" t="str">
        <f t="shared" si="9"/>
        <v>L1</v>
      </c>
    </row>
    <row r="150" spans="18:20" x14ac:dyDescent="0.2">
      <c r="R150" cm="1">
        <f t="array" ref="R150" xml:space="preserve"> 1 + _xlfn.SINGLE(ROW()) - _xlfn.SINGLE(ROW(ExportSubstitutions_Within.RowNum))</f>
        <v>145</v>
      </c>
      <c r="S150" t="s">
        <v>1212</v>
      </c>
      <c r="T150" t="str">
        <f t="shared" si="9"/>
        <v>L2</v>
      </c>
    </row>
    <row r="151" spans="18:20" x14ac:dyDescent="0.2">
      <c r="R151" cm="1">
        <f t="array" ref="R151" xml:space="preserve"> 1 + _xlfn.SINGLE(ROW()) - _xlfn.SINGLE(ROW(ExportSubstitutions_Within.RowNum))</f>
        <v>146</v>
      </c>
      <c r="S151" t="s">
        <v>1213</v>
      </c>
      <c r="T151" t="str">
        <f t="shared" si="9"/>
        <v>L3</v>
      </c>
    </row>
    <row r="152" spans="18:20" x14ac:dyDescent="0.2">
      <c r="R152" cm="1">
        <f t="array" ref="R152" xml:space="preserve"> 1 + _xlfn.SINGLE(ROW()) - _xlfn.SINGLE(ROW(ExportSubstitutions_Within.RowNum))</f>
        <v>147</v>
      </c>
      <c r="S152" t="s">
        <v>1214</v>
      </c>
      <c r="T152" t="str">
        <f t="shared" si="9"/>
        <v>L4</v>
      </c>
    </row>
    <row r="153" spans="18:20" x14ac:dyDescent="0.2">
      <c r="R153" cm="1">
        <f t="array" ref="R153" xml:space="preserve"> 1 + _xlfn.SINGLE(ROW()) - _xlfn.SINGLE(ROW(ExportSubstitutions_Within.RowNum))</f>
        <v>148</v>
      </c>
      <c r="S153" t="s">
        <v>1215</v>
      </c>
      <c r="T153" t="str">
        <f t="shared" si="9"/>
        <v>L5</v>
      </c>
    </row>
    <row r="154" spans="18:20" x14ac:dyDescent="0.2">
      <c r="R154" cm="1">
        <f t="array" ref="R154" xml:space="preserve"> 1 + _xlfn.SINGLE(ROW()) - _xlfn.SINGLE(ROW(ExportSubstitutions_Within.RowNum))</f>
        <v>149</v>
      </c>
      <c r="S154" t="s">
        <v>1216</v>
      </c>
      <c r="T154" t="str">
        <f t="shared" si="9"/>
        <v>L6</v>
      </c>
    </row>
    <row r="155" spans="18:20" x14ac:dyDescent="0.2">
      <c r="R155" cm="1">
        <f t="array" ref="R155" xml:space="preserve"> 1 + _xlfn.SINGLE(ROW()) - _xlfn.SINGLE(ROW(ExportSubstitutions_Within.RowNum))</f>
        <v>150</v>
      </c>
      <c r="S155" t="s">
        <v>1217</v>
      </c>
      <c r="T155" t="str">
        <f t="shared" si="9"/>
        <v>L7</v>
      </c>
    </row>
    <row r="156" spans="18:20" x14ac:dyDescent="0.2">
      <c r="R156" cm="1">
        <f t="array" ref="R156" xml:space="preserve"> 1 + _xlfn.SINGLE(ROW()) - _xlfn.SINGLE(ROW(ExportSubstitutions_Within.RowNum))</f>
        <v>151</v>
      </c>
      <c r="S156" t="s">
        <v>1218</v>
      </c>
      <c r="T156" t="str">
        <f t="shared" si="9"/>
        <v>L8</v>
      </c>
    </row>
    <row r="157" spans="18:20" x14ac:dyDescent="0.2">
      <c r="R157" cm="1">
        <f t="array" ref="R157" xml:space="preserve"> 1 + _xlfn.SINGLE(ROW()) - _xlfn.SINGLE(ROW(ExportSubstitutions_Within.RowNum))</f>
        <v>152</v>
      </c>
      <c r="S157" t="s">
        <v>1219</v>
      </c>
      <c r="T157" t="str">
        <f t="shared" si="9"/>
        <v>L9</v>
      </c>
    </row>
    <row r="158" spans="18:20" x14ac:dyDescent="0.2">
      <c r="R158" cm="1">
        <f t="array" ref="R158" xml:space="preserve"> 1 + _xlfn.SINGLE(ROW()) - _xlfn.SINGLE(ROW(ExportSubstitutions_Within.RowNum))</f>
        <v>153</v>
      </c>
      <c r="S158" t="s">
        <v>1588</v>
      </c>
      <c r="T158" t="str">
        <f t="shared" si="9"/>
        <v>L.</v>
      </c>
    </row>
    <row r="159" spans="18:20" x14ac:dyDescent="0.2">
      <c r="R159" cm="1">
        <f t="array" ref="R159" xml:space="preserve"> 1 + _xlfn.SINGLE(ROW()) - _xlfn.SINGLE(ROW(ExportSubstitutions_Within.RowNum))</f>
        <v>154</v>
      </c>
      <c r="S159" t="s">
        <v>1597</v>
      </c>
      <c r="T159" t="str">
        <f t="shared" si="9"/>
        <v>L-</v>
      </c>
    </row>
    <row r="160" spans="18:20" x14ac:dyDescent="0.2">
      <c r="R160" cm="1">
        <f t="array" ref="R160" xml:space="preserve"> 1 + _xlfn.SINGLE(ROW()) - _xlfn.SINGLE(ROW(ExportSubstitutions_Within.RowNum))</f>
        <v>155</v>
      </c>
      <c r="S160" t="s">
        <v>1220</v>
      </c>
      <c r="T160" t="str">
        <f t="shared" si="9"/>
        <v>0l</v>
      </c>
    </row>
    <row r="161" spans="18:20" x14ac:dyDescent="0.2">
      <c r="R161" cm="1">
        <f t="array" ref="R161" xml:space="preserve"> 1 + _xlfn.SINGLE(ROW()) - _xlfn.SINGLE(ROW(ExportSubstitutions_Within.RowNum))</f>
        <v>156</v>
      </c>
      <c r="S161" t="s">
        <v>1221</v>
      </c>
      <c r="T161" t="str">
        <f t="shared" si="9"/>
        <v>1l</v>
      </c>
    </row>
    <row r="162" spans="18:20" x14ac:dyDescent="0.2">
      <c r="R162" cm="1">
        <f t="array" ref="R162" xml:space="preserve"> 1 + _xlfn.SINGLE(ROW()) - _xlfn.SINGLE(ROW(ExportSubstitutions_Within.RowNum))</f>
        <v>157</v>
      </c>
      <c r="S162" t="s">
        <v>1222</v>
      </c>
      <c r="T162" t="str">
        <f t="shared" si="9"/>
        <v>2l</v>
      </c>
    </row>
    <row r="163" spans="18:20" x14ac:dyDescent="0.2">
      <c r="R163" cm="1">
        <f t="array" ref="R163" xml:space="preserve"> 1 + _xlfn.SINGLE(ROW()) - _xlfn.SINGLE(ROW(ExportSubstitutions_Within.RowNum))</f>
        <v>158</v>
      </c>
      <c r="S163" t="s">
        <v>1223</v>
      </c>
      <c r="T163" t="str">
        <f t="shared" si="9"/>
        <v>3l</v>
      </c>
    </row>
    <row r="164" spans="18:20" x14ac:dyDescent="0.2">
      <c r="R164" cm="1">
        <f t="array" ref="R164" xml:space="preserve"> 1 + _xlfn.SINGLE(ROW()) - _xlfn.SINGLE(ROW(ExportSubstitutions_Within.RowNum))</f>
        <v>159</v>
      </c>
      <c r="S164" t="s">
        <v>1224</v>
      </c>
      <c r="T164" t="str">
        <f t="shared" si="9"/>
        <v>4l</v>
      </c>
    </row>
    <row r="165" spans="18:20" x14ac:dyDescent="0.2">
      <c r="R165" cm="1">
        <f t="array" ref="R165" xml:space="preserve"> 1 + _xlfn.SINGLE(ROW()) - _xlfn.SINGLE(ROW(ExportSubstitutions_Within.RowNum))</f>
        <v>160</v>
      </c>
      <c r="S165" t="s">
        <v>1225</v>
      </c>
      <c r="T165" t="str">
        <f t="shared" si="9"/>
        <v>5l</v>
      </c>
    </row>
    <row r="166" spans="18:20" x14ac:dyDescent="0.2">
      <c r="R166" cm="1">
        <f t="array" ref="R166" xml:space="preserve"> 1 + _xlfn.SINGLE(ROW()) - _xlfn.SINGLE(ROW(ExportSubstitutions_Within.RowNum))</f>
        <v>161</v>
      </c>
      <c r="S166" t="s">
        <v>1226</v>
      </c>
      <c r="T166" t="str">
        <f t="shared" si="9"/>
        <v>6l</v>
      </c>
    </row>
    <row r="167" spans="18:20" x14ac:dyDescent="0.2">
      <c r="R167" cm="1">
        <f t="array" ref="R167" xml:space="preserve"> 1 + _xlfn.SINGLE(ROW()) - _xlfn.SINGLE(ROW(ExportSubstitutions_Within.RowNum))</f>
        <v>162</v>
      </c>
      <c r="S167" t="s">
        <v>1227</v>
      </c>
      <c r="T167" t="str">
        <f t="shared" si="9"/>
        <v>7l</v>
      </c>
    </row>
    <row r="168" spans="18:20" x14ac:dyDescent="0.2">
      <c r="R168" cm="1">
        <f t="array" ref="R168" xml:space="preserve"> 1 + _xlfn.SINGLE(ROW()) - _xlfn.SINGLE(ROW(ExportSubstitutions_Within.RowNum))</f>
        <v>163</v>
      </c>
      <c r="S168" t="s">
        <v>1228</v>
      </c>
      <c r="T168" t="str">
        <f t="shared" si="9"/>
        <v>8l</v>
      </c>
    </row>
    <row r="169" spans="18:20" x14ac:dyDescent="0.2">
      <c r="R169" cm="1">
        <f t="array" ref="R169" xml:space="preserve"> 1 + _xlfn.SINGLE(ROW()) - _xlfn.SINGLE(ROW(ExportSubstitutions_Within.RowNum))</f>
        <v>164</v>
      </c>
      <c r="S169" t="s">
        <v>1229</v>
      </c>
      <c r="T169" t="str">
        <f t="shared" si="9"/>
        <v>9l</v>
      </c>
    </row>
    <row r="170" spans="18:20" x14ac:dyDescent="0.2">
      <c r="R170" cm="1">
        <f t="array" ref="R170" xml:space="preserve"> 1 + _xlfn.SINGLE(ROW()) - _xlfn.SINGLE(ROW(ExportSubstitutions_Within.RowNum))</f>
        <v>165</v>
      </c>
      <c r="S170" t="s">
        <v>1230</v>
      </c>
      <c r="T170" t="str">
        <f t="shared" si="9"/>
        <v>l0</v>
      </c>
    </row>
    <row r="171" spans="18:20" x14ac:dyDescent="0.2">
      <c r="R171" cm="1">
        <f t="array" ref="R171" xml:space="preserve"> 1 + _xlfn.SINGLE(ROW()) - _xlfn.SINGLE(ROW(ExportSubstitutions_Within.RowNum))</f>
        <v>166</v>
      </c>
      <c r="S171" t="s">
        <v>1231</v>
      </c>
      <c r="T171" t="str">
        <f t="shared" si="9"/>
        <v>l1</v>
      </c>
    </row>
    <row r="172" spans="18:20" x14ac:dyDescent="0.2">
      <c r="R172" cm="1">
        <f t="array" ref="R172" xml:space="preserve"> 1 + _xlfn.SINGLE(ROW()) - _xlfn.SINGLE(ROW(ExportSubstitutions_Within.RowNum))</f>
        <v>167</v>
      </c>
      <c r="S172" t="s">
        <v>1232</v>
      </c>
      <c r="T172" t="str">
        <f t="shared" si="9"/>
        <v>l2</v>
      </c>
    </row>
    <row r="173" spans="18:20" x14ac:dyDescent="0.2">
      <c r="R173" cm="1">
        <f t="array" ref="R173" xml:space="preserve"> 1 + _xlfn.SINGLE(ROW()) - _xlfn.SINGLE(ROW(ExportSubstitutions_Within.RowNum))</f>
        <v>168</v>
      </c>
      <c r="S173" t="s">
        <v>1233</v>
      </c>
      <c r="T173" t="str">
        <f t="shared" si="9"/>
        <v>l3</v>
      </c>
    </row>
    <row r="174" spans="18:20" x14ac:dyDescent="0.2">
      <c r="R174" cm="1">
        <f t="array" ref="R174" xml:space="preserve"> 1 + _xlfn.SINGLE(ROW()) - _xlfn.SINGLE(ROW(ExportSubstitutions_Within.RowNum))</f>
        <v>169</v>
      </c>
      <c r="S174" t="s">
        <v>1234</v>
      </c>
      <c r="T174" t="str">
        <f t="shared" si="9"/>
        <v>l4</v>
      </c>
    </row>
    <row r="175" spans="18:20" x14ac:dyDescent="0.2">
      <c r="R175" cm="1">
        <f t="array" ref="R175" xml:space="preserve"> 1 + _xlfn.SINGLE(ROW()) - _xlfn.SINGLE(ROW(ExportSubstitutions_Within.RowNum))</f>
        <v>170</v>
      </c>
      <c r="S175" t="s">
        <v>1235</v>
      </c>
      <c r="T175" t="str">
        <f t="shared" si="9"/>
        <v>l5</v>
      </c>
    </row>
    <row r="176" spans="18:20" x14ac:dyDescent="0.2">
      <c r="R176" cm="1">
        <f t="array" ref="R176" xml:space="preserve"> 1 + _xlfn.SINGLE(ROW()) - _xlfn.SINGLE(ROW(ExportSubstitutions_Within.RowNum))</f>
        <v>171</v>
      </c>
      <c r="S176" t="s">
        <v>1236</v>
      </c>
      <c r="T176" t="str">
        <f t="shared" si="9"/>
        <v>l6</v>
      </c>
    </row>
    <row r="177" spans="18:20" x14ac:dyDescent="0.2">
      <c r="R177" cm="1">
        <f t="array" ref="R177" xml:space="preserve"> 1 + _xlfn.SINGLE(ROW()) - _xlfn.SINGLE(ROW(ExportSubstitutions_Within.RowNum))</f>
        <v>172</v>
      </c>
      <c r="S177" t="s">
        <v>1237</v>
      </c>
      <c r="T177" t="str">
        <f t="shared" si="9"/>
        <v>l7</v>
      </c>
    </row>
    <row r="178" spans="18:20" x14ac:dyDescent="0.2">
      <c r="R178" cm="1">
        <f t="array" ref="R178" xml:space="preserve"> 1 + _xlfn.SINGLE(ROW()) - _xlfn.SINGLE(ROW(ExportSubstitutions_Within.RowNum))</f>
        <v>173</v>
      </c>
      <c r="S178" t="s">
        <v>1238</v>
      </c>
      <c r="T178" t="str">
        <f t="shared" si="9"/>
        <v>l8</v>
      </c>
    </row>
    <row r="179" spans="18:20" x14ac:dyDescent="0.2">
      <c r="R179" cm="1">
        <f t="array" ref="R179" xml:space="preserve"> 1 + _xlfn.SINGLE(ROW()) - _xlfn.SINGLE(ROW(ExportSubstitutions_Within.RowNum))</f>
        <v>174</v>
      </c>
      <c r="S179" t="s">
        <v>1239</v>
      </c>
      <c r="T179" t="str">
        <f t="shared" si="9"/>
        <v>l9</v>
      </c>
    </row>
    <row r="180" spans="18:20" x14ac:dyDescent="0.2">
      <c r="R180" cm="1">
        <f t="array" ref="R180" xml:space="preserve"> 1 + _xlfn.SINGLE(ROW()) - _xlfn.SINGLE(ROW(ExportSubstitutions_Within.RowNum))</f>
        <v>175</v>
      </c>
      <c r="S180" t="s">
        <v>1589</v>
      </c>
      <c r="T180" t="str">
        <f t="shared" si="9"/>
        <v>l.</v>
      </c>
    </row>
    <row r="181" spans="18:20" x14ac:dyDescent="0.2">
      <c r="R181" cm="1">
        <f t="array" ref="R181" xml:space="preserve"> 1 + _xlfn.SINGLE(ROW()) - _xlfn.SINGLE(ROW(ExportSubstitutions_Within.RowNum))</f>
        <v>176</v>
      </c>
      <c r="S181" t="s">
        <v>1598</v>
      </c>
      <c r="T181" t="str">
        <f t="shared" si="9"/>
        <v>l-</v>
      </c>
    </row>
    <row r="182" spans="18:20" x14ac:dyDescent="0.2">
      <c r="R182" cm="1">
        <f t="array" ref="R182" xml:space="preserve"> 1 + _xlfn.SINGLE(ROW()) - _xlfn.SINGLE(ROW(ExportSubstitutions_Within.RowNum))</f>
        <v>177</v>
      </c>
      <c r="S182" t="s">
        <v>1240</v>
      </c>
      <c r="T182" t="str">
        <f t="shared" si="9"/>
        <v>0M</v>
      </c>
    </row>
    <row r="183" spans="18:20" x14ac:dyDescent="0.2">
      <c r="R183" cm="1">
        <f t="array" ref="R183" xml:space="preserve"> 1 + _xlfn.SINGLE(ROW()) - _xlfn.SINGLE(ROW(ExportSubstitutions_Within.RowNum))</f>
        <v>178</v>
      </c>
      <c r="S183" t="s">
        <v>1241</v>
      </c>
      <c r="T183" t="str">
        <f t="shared" si="9"/>
        <v>1M</v>
      </c>
    </row>
    <row r="184" spans="18:20" x14ac:dyDescent="0.2">
      <c r="R184" cm="1">
        <f t="array" ref="R184" xml:space="preserve"> 1 + _xlfn.SINGLE(ROW()) - _xlfn.SINGLE(ROW(ExportSubstitutions_Within.RowNum))</f>
        <v>179</v>
      </c>
      <c r="S184" t="s">
        <v>1242</v>
      </c>
      <c r="T184" t="str">
        <f t="shared" si="9"/>
        <v>2M</v>
      </c>
    </row>
    <row r="185" spans="18:20" x14ac:dyDescent="0.2">
      <c r="R185" cm="1">
        <f t="array" ref="R185" xml:space="preserve"> 1 + _xlfn.SINGLE(ROW()) - _xlfn.SINGLE(ROW(ExportSubstitutions_Within.RowNum))</f>
        <v>180</v>
      </c>
      <c r="S185" t="s">
        <v>1243</v>
      </c>
      <c r="T185" t="str">
        <f t="shared" si="9"/>
        <v>3M</v>
      </c>
    </row>
    <row r="186" spans="18:20" x14ac:dyDescent="0.2">
      <c r="R186" cm="1">
        <f t="array" ref="R186" xml:space="preserve"> 1 + _xlfn.SINGLE(ROW()) - _xlfn.SINGLE(ROW(ExportSubstitutions_Within.RowNum))</f>
        <v>181</v>
      </c>
      <c r="S186" t="s">
        <v>1244</v>
      </c>
      <c r="T186" t="str">
        <f t="shared" si="9"/>
        <v>4M</v>
      </c>
    </row>
    <row r="187" spans="18:20" x14ac:dyDescent="0.2">
      <c r="R187" cm="1">
        <f t="array" ref="R187" xml:space="preserve"> 1 + _xlfn.SINGLE(ROW()) - _xlfn.SINGLE(ROW(ExportSubstitutions_Within.RowNum))</f>
        <v>182</v>
      </c>
      <c r="S187" t="s">
        <v>1245</v>
      </c>
      <c r="T187" t="str">
        <f t="shared" si="9"/>
        <v>5M</v>
      </c>
    </row>
    <row r="188" spans="18:20" x14ac:dyDescent="0.2">
      <c r="R188" cm="1">
        <f t="array" ref="R188" xml:space="preserve"> 1 + _xlfn.SINGLE(ROW()) - _xlfn.SINGLE(ROW(ExportSubstitutions_Within.RowNum))</f>
        <v>183</v>
      </c>
      <c r="S188" t="s">
        <v>1246</v>
      </c>
      <c r="T188" t="str">
        <f t="shared" si="9"/>
        <v>6M</v>
      </c>
    </row>
    <row r="189" spans="18:20" x14ac:dyDescent="0.2">
      <c r="R189" cm="1">
        <f t="array" ref="R189" xml:space="preserve"> 1 + _xlfn.SINGLE(ROW()) - _xlfn.SINGLE(ROW(ExportSubstitutions_Within.RowNum))</f>
        <v>184</v>
      </c>
      <c r="S189" t="s">
        <v>1247</v>
      </c>
      <c r="T189" t="str">
        <f t="shared" si="9"/>
        <v>7M</v>
      </c>
    </row>
    <row r="190" spans="18:20" x14ac:dyDescent="0.2">
      <c r="R190" cm="1">
        <f t="array" ref="R190" xml:space="preserve"> 1 + _xlfn.SINGLE(ROW()) - _xlfn.SINGLE(ROW(ExportSubstitutions_Within.RowNum))</f>
        <v>185</v>
      </c>
      <c r="S190" t="s">
        <v>1248</v>
      </c>
      <c r="T190" t="str">
        <f t="shared" si="9"/>
        <v>8M</v>
      </c>
    </row>
    <row r="191" spans="18:20" x14ac:dyDescent="0.2">
      <c r="R191" cm="1">
        <f t="array" ref="R191" xml:space="preserve"> 1 + _xlfn.SINGLE(ROW()) - _xlfn.SINGLE(ROW(ExportSubstitutions_Within.RowNum))</f>
        <v>186</v>
      </c>
      <c r="S191" t="s">
        <v>1249</v>
      </c>
      <c r="T191" t="str">
        <f t="shared" si="9"/>
        <v>9M</v>
      </c>
    </row>
    <row r="192" spans="18:20" x14ac:dyDescent="0.2">
      <c r="R192" cm="1">
        <f t="array" ref="R192" xml:space="preserve"> 1 + _xlfn.SINGLE(ROW()) - _xlfn.SINGLE(ROW(ExportSubstitutions_Within.RowNum))</f>
        <v>187</v>
      </c>
      <c r="S192" t="s">
        <v>1250</v>
      </c>
      <c r="T192" t="str">
        <f t="shared" si="9"/>
        <v>M0</v>
      </c>
    </row>
    <row r="193" spans="18:20" x14ac:dyDescent="0.2">
      <c r="R193" cm="1">
        <f t="array" ref="R193" xml:space="preserve"> 1 + _xlfn.SINGLE(ROW()) - _xlfn.SINGLE(ROW(ExportSubstitutions_Within.RowNum))</f>
        <v>188</v>
      </c>
      <c r="S193" t="s">
        <v>1251</v>
      </c>
      <c r="T193" t="str">
        <f t="shared" si="9"/>
        <v>M1</v>
      </c>
    </row>
    <row r="194" spans="18:20" x14ac:dyDescent="0.2">
      <c r="R194" cm="1">
        <f t="array" ref="R194" xml:space="preserve"> 1 + _xlfn.SINGLE(ROW()) - _xlfn.SINGLE(ROW(ExportSubstitutions_Within.RowNum))</f>
        <v>189</v>
      </c>
      <c r="S194" t="s">
        <v>1252</v>
      </c>
      <c r="T194" t="str">
        <f t="shared" si="9"/>
        <v>M2</v>
      </c>
    </row>
    <row r="195" spans="18:20" x14ac:dyDescent="0.2">
      <c r="R195" cm="1">
        <f t="array" ref="R195" xml:space="preserve"> 1 + _xlfn.SINGLE(ROW()) - _xlfn.SINGLE(ROW(ExportSubstitutions_Within.RowNum))</f>
        <v>190</v>
      </c>
      <c r="S195" t="s">
        <v>1253</v>
      </c>
      <c r="T195" t="str">
        <f t="shared" si="9"/>
        <v>M3</v>
      </c>
    </row>
    <row r="196" spans="18:20" x14ac:dyDescent="0.2">
      <c r="R196" cm="1">
        <f t="array" ref="R196" xml:space="preserve"> 1 + _xlfn.SINGLE(ROW()) - _xlfn.SINGLE(ROW(ExportSubstitutions_Within.RowNum))</f>
        <v>191</v>
      </c>
      <c r="S196" t="s">
        <v>1254</v>
      </c>
      <c r="T196" t="str">
        <f t="shared" si="9"/>
        <v>M4</v>
      </c>
    </row>
    <row r="197" spans="18:20" x14ac:dyDescent="0.2">
      <c r="R197" cm="1">
        <f t="array" ref="R197" xml:space="preserve"> 1 + _xlfn.SINGLE(ROW()) - _xlfn.SINGLE(ROW(ExportSubstitutions_Within.RowNum))</f>
        <v>192</v>
      </c>
      <c r="S197" t="s">
        <v>1255</v>
      </c>
      <c r="T197" t="str">
        <f t="shared" si="9"/>
        <v>M5</v>
      </c>
    </row>
    <row r="198" spans="18:20" x14ac:dyDescent="0.2">
      <c r="R198" cm="1">
        <f t="array" ref="R198" xml:space="preserve"> 1 + _xlfn.SINGLE(ROW()) - _xlfn.SINGLE(ROW(ExportSubstitutions_Within.RowNum))</f>
        <v>193</v>
      </c>
      <c r="S198" t="s">
        <v>1256</v>
      </c>
      <c r="T198" t="str">
        <f t="shared" ref="T198:T261" si="10" xml:space="preserve"> SUBSTITUTE(ExportSubstitutions_Within.From, " ", "")</f>
        <v>M6</v>
      </c>
    </row>
    <row r="199" spans="18:20" x14ac:dyDescent="0.2">
      <c r="R199" cm="1">
        <f t="array" ref="R199" xml:space="preserve"> 1 + _xlfn.SINGLE(ROW()) - _xlfn.SINGLE(ROW(ExportSubstitutions_Within.RowNum))</f>
        <v>194</v>
      </c>
      <c r="S199" t="s">
        <v>1257</v>
      </c>
      <c r="T199" t="str">
        <f t="shared" si="10"/>
        <v>M7</v>
      </c>
    </row>
    <row r="200" spans="18:20" x14ac:dyDescent="0.2">
      <c r="R200" cm="1">
        <f t="array" ref="R200" xml:space="preserve"> 1 + _xlfn.SINGLE(ROW()) - _xlfn.SINGLE(ROW(ExportSubstitutions_Within.RowNum))</f>
        <v>195</v>
      </c>
      <c r="S200" t="s">
        <v>1258</v>
      </c>
      <c r="T200" t="str">
        <f t="shared" si="10"/>
        <v>M8</v>
      </c>
    </row>
    <row r="201" spans="18:20" x14ac:dyDescent="0.2">
      <c r="R201" cm="1">
        <f t="array" ref="R201" xml:space="preserve"> 1 + _xlfn.SINGLE(ROW()) - _xlfn.SINGLE(ROW(ExportSubstitutions_Within.RowNum))</f>
        <v>196</v>
      </c>
      <c r="S201" t="s">
        <v>1259</v>
      </c>
      <c r="T201" t="str">
        <f t="shared" si="10"/>
        <v>M9</v>
      </c>
    </row>
    <row r="202" spans="18:20" x14ac:dyDescent="0.2">
      <c r="R202" cm="1">
        <f t="array" ref="R202" xml:space="preserve"> 1 + _xlfn.SINGLE(ROW()) - _xlfn.SINGLE(ROW(ExportSubstitutions_Within.RowNum))</f>
        <v>197</v>
      </c>
      <c r="S202" t="s">
        <v>1590</v>
      </c>
      <c r="T202" t="str">
        <f t="shared" si="10"/>
        <v>M.</v>
      </c>
    </row>
    <row r="203" spans="18:20" x14ac:dyDescent="0.2">
      <c r="R203" cm="1">
        <f t="array" ref="R203" xml:space="preserve"> 1 + _xlfn.SINGLE(ROW()) - _xlfn.SINGLE(ROW(ExportSubstitutions_Within.RowNum))</f>
        <v>198</v>
      </c>
      <c r="S203" t="s">
        <v>1599</v>
      </c>
      <c r="T203" t="str">
        <f t="shared" si="10"/>
        <v>M-</v>
      </c>
    </row>
    <row r="204" spans="18:20" x14ac:dyDescent="0.2">
      <c r="R204" cm="1">
        <f t="array" ref="R204" xml:space="preserve"> 1 + _xlfn.SINGLE(ROW()) - _xlfn.SINGLE(ROW(ExportSubstitutions_Within.RowNum))</f>
        <v>199</v>
      </c>
      <c r="S204" t="s">
        <v>1260</v>
      </c>
      <c r="T204" t="str">
        <f t="shared" si="10"/>
        <v>0m</v>
      </c>
    </row>
    <row r="205" spans="18:20" x14ac:dyDescent="0.2">
      <c r="R205" cm="1">
        <f t="array" ref="R205" xml:space="preserve"> 1 + _xlfn.SINGLE(ROW()) - _xlfn.SINGLE(ROW(ExportSubstitutions_Within.RowNum))</f>
        <v>200</v>
      </c>
      <c r="S205" t="s">
        <v>1261</v>
      </c>
      <c r="T205" t="str">
        <f t="shared" si="10"/>
        <v>1m</v>
      </c>
    </row>
    <row r="206" spans="18:20" x14ac:dyDescent="0.2">
      <c r="R206" cm="1">
        <f t="array" ref="R206" xml:space="preserve"> 1 + _xlfn.SINGLE(ROW()) - _xlfn.SINGLE(ROW(ExportSubstitutions_Within.RowNum))</f>
        <v>201</v>
      </c>
      <c r="S206" t="s">
        <v>1262</v>
      </c>
      <c r="T206" t="str">
        <f t="shared" si="10"/>
        <v>2m</v>
      </c>
    </row>
    <row r="207" spans="18:20" x14ac:dyDescent="0.2">
      <c r="R207" cm="1">
        <f t="array" ref="R207" xml:space="preserve"> 1 + _xlfn.SINGLE(ROW()) - _xlfn.SINGLE(ROW(ExportSubstitutions_Within.RowNum))</f>
        <v>202</v>
      </c>
      <c r="S207" t="s">
        <v>1263</v>
      </c>
      <c r="T207" t="str">
        <f t="shared" si="10"/>
        <v>3m</v>
      </c>
    </row>
    <row r="208" spans="18:20" x14ac:dyDescent="0.2">
      <c r="R208" cm="1">
        <f t="array" ref="R208" xml:space="preserve"> 1 + _xlfn.SINGLE(ROW()) - _xlfn.SINGLE(ROW(ExportSubstitutions_Within.RowNum))</f>
        <v>203</v>
      </c>
      <c r="S208" t="s">
        <v>1264</v>
      </c>
      <c r="T208" t="str">
        <f t="shared" si="10"/>
        <v>4m</v>
      </c>
    </row>
    <row r="209" spans="18:20" x14ac:dyDescent="0.2">
      <c r="R209" cm="1">
        <f t="array" ref="R209" xml:space="preserve"> 1 + _xlfn.SINGLE(ROW()) - _xlfn.SINGLE(ROW(ExportSubstitutions_Within.RowNum))</f>
        <v>204</v>
      </c>
      <c r="S209" t="s">
        <v>1265</v>
      </c>
      <c r="T209" t="str">
        <f t="shared" si="10"/>
        <v>5m</v>
      </c>
    </row>
    <row r="210" spans="18:20" x14ac:dyDescent="0.2">
      <c r="R210" cm="1">
        <f t="array" ref="R210" xml:space="preserve"> 1 + _xlfn.SINGLE(ROW()) - _xlfn.SINGLE(ROW(ExportSubstitutions_Within.RowNum))</f>
        <v>205</v>
      </c>
      <c r="S210" t="s">
        <v>1266</v>
      </c>
      <c r="T210" t="str">
        <f t="shared" si="10"/>
        <v>6m</v>
      </c>
    </row>
    <row r="211" spans="18:20" x14ac:dyDescent="0.2">
      <c r="R211" cm="1">
        <f t="array" ref="R211" xml:space="preserve"> 1 + _xlfn.SINGLE(ROW()) - _xlfn.SINGLE(ROW(ExportSubstitutions_Within.RowNum))</f>
        <v>206</v>
      </c>
      <c r="S211" t="s">
        <v>1267</v>
      </c>
      <c r="T211" t="str">
        <f t="shared" si="10"/>
        <v>7m</v>
      </c>
    </row>
    <row r="212" spans="18:20" x14ac:dyDescent="0.2">
      <c r="R212" cm="1">
        <f t="array" ref="R212" xml:space="preserve"> 1 + _xlfn.SINGLE(ROW()) - _xlfn.SINGLE(ROW(ExportSubstitutions_Within.RowNum))</f>
        <v>207</v>
      </c>
      <c r="S212" t="s">
        <v>1268</v>
      </c>
      <c r="T212" t="str">
        <f t="shared" si="10"/>
        <v>8m</v>
      </c>
    </row>
    <row r="213" spans="18:20" x14ac:dyDescent="0.2">
      <c r="R213" cm="1">
        <f t="array" ref="R213" xml:space="preserve"> 1 + _xlfn.SINGLE(ROW()) - _xlfn.SINGLE(ROW(ExportSubstitutions_Within.RowNum))</f>
        <v>208</v>
      </c>
      <c r="S213" t="s">
        <v>1269</v>
      </c>
      <c r="T213" t="str">
        <f t="shared" si="10"/>
        <v>9m</v>
      </c>
    </row>
    <row r="214" spans="18:20" x14ac:dyDescent="0.2">
      <c r="R214" cm="1">
        <f t="array" ref="R214" xml:space="preserve"> 1 + _xlfn.SINGLE(ROW()) - _xlfn.SINGLE(ROW(ExportSubstitutions_Within.RowNum))</f>
        <v>209</v>
      </c>
      <c r="S214" t="s">
        <v>1270</v>
      </c>
      <c r="T214" t="str">
        <f t="shared" si="10"/>
        <v>m0</v>
      </c>
    </row>
    <row r="215" spans="18:20" x14ac:dyDescent="0.2">
      <c r="R215" cm="1">
        <f t="array" ref="R215" xml:space="preserve"> 1 + _xlfn.SINGLE(ROW()) - _xlfn.SINGLE(ROW(ExportSubstitutions_Within.RowNum))</f>
        <v>210</v>
      </c>
      <c r="S215" t="s">
        <v>1271</v>
      </c>
      <c r="T215" t="str">
        <f t="shared" si="10"/>
        <v>m1</v>
      </c>
    </row>
    <row r="216" spans="18:20" x14ac:dyDescent="0.2">
      <c r="R216" cm="1">
        <f t="array" ref="R216" xml:space="preserve"> 1 + _xlfn.SINGLE(ROW()) - _xlfn.SINGLE(ROW(ExportSubstitutions_Within.RowNum))</f>
        <v>211</v>
      </c>
      <c r="S216" t="s">
        <v>1272</v>
      </c>
      <c r="T216" t="str">
        <f t="shared" si="10"/>
        <v>m2</v>
      </c>
    </row>
    <row r="217" spans="18:20" x14ac:dyDescent="0.2">
      <c r="R217" cm="1">
        <f t="array" ref="R217" xml:space="preserve"> 1 + _xlfn.SINGLE(ROW()) - _xlfn.SINGLE(ROW(ExportSubstitutions_Within.RowNum))</f>
        <v>212</v>
      </c>
      <c r="S217" t="s">
        <v>1273</v>
      </c>
      <c r="T217" t="str">
        <f t="shared" si="10"/>
        <v>m3</v>
      </c>
    </row>
    <row r="218" spans="18:20" x14ac:dyDescent="0.2">
      <c r="R218" cm="1">
        <f t="array" ref="R218" xml:space="preserve"> 1 + _xlfn.SINGLE(ROW()) - _xlfn.SINGLE(ROW(ExportSubstitutions_Within.RowNum))</f>
        <v>213</v>
      </c>
      <c r="S218" t="s">
        <v>1274</v>
      </c>
      <c r="T218" t="str">
        <f t="shared" si="10"/>
        <v>m4</v>
      </c>
    </row>
    <row r="219" spans="18:20" x14ac:dyDescent="0.2">
      <c r="R219" cm="1">
        <f t="array" ref="R219" xml:space="preserve"> 1 + _xlfn.SINGLE(ROW()) - _xlfn.SINGLE(ROW(ExportSubstitutions_Within.RowNum))</f>
        <v>214</v>
      </c>
      <c r="S219" t="s">
        <v>1275</v>
      </c>
      <c r="T219" t="str">
        <f t="shared" si="10"/>
        <v>m5</v>
      </c>
    </row>
    <row r="220" spans="18:20" x14ac:dyDescent="0.2">
      <c r="R220" cm="1">
        <f t="array" ref="R220" xml:space="preserve"> 1 + _xlfn.SINGLE(ROW()) - _xlfn.SINGLE(ROW(ExportSubstitutions_Within.RowNum))</f>
        <v>215</v>
      </c>
      <c r="S220" t="s">
        <v>1276</v>
      </c>
      <c r="T220" t="str">
        <f t="shared" si="10"/>
        <v>m6</v>
      </c>
    </row>
    <row r="221" spans="18:20" x14ac:dyDescent="0.2">
      <c r="R221" cm="1">
        <f t="array" ref="R221" xml:space="preserve"> 1 + _xlfn.SINGLE(ROW()) - _xlfn.SINGLE(ROW(ExportSubstitutions_Within.RowNum))</f>
        <v>216</v>
      </c>
      <c r="S221" t="s">
        <v>1277</v>
      </c>
      <c r="T221" t="str">
        <f t="shared" si="10"/>
        <v>m7</v>
      </c>
    </row>
    <row r="222" spans="18:20" x14ac:dyDescent="0.2">
      <c r="R222" cm="1">
        <f t="array" ref="R222" xml:space="preserve"> 1 + _xlfn.SINGLE(ROW()) - _xlfn.SINGLE(ROW(ExportSubstitutions_Within.RowNum))</f>
        <v>217</v>
      </c>
      <c r="S222" t="s">
        <v>1278</v>
      </c>
      <c r="T222" t="str">
        <f t="shared" si="10"/>
        <v>m8</v>
      </c>
    </row>
    <row r="223" spans="18:20" x14ac:dyDescent="0.2">
      <c r="R223" cm="1">
        <f t="array" ref="R223" xml:space="preserve"> 1 + _xlfn.SINGLE(ROW()) - _xlfn.SINGLE(ROW(ExportSubstitutions_Within.RowNum))</f>
        <v>218</v>
      </c>
      <c r="S223" t="s">
        <v>1279</v>
      </c>
      <c r="T223" t="str">
        <f t="shared" si="10"/>
        <v>m9</v>
      </c>
    </row>
    <row r="224" spans="18:20" x14ac:dyDescent="0.2">
      <c r="R224" cm="1">
        <f t="array" ref="R224" xml:space="preserve"> 1 + _xlfn.SINGLE(ROW()) - _xlfn.SINGLE(ROW(ExportSubstitutions_Within.RowNum))</f>
        <v>219</v>
      </c>
      <c r="S224" t="s">
        <v>1600</v>
      </c>
      <c r="T224" t="str">
        <f t="shared" si="10"/>
        <v>m.</v>
      </c>
    </row>
    <row r="225" spans="18:20" x14ac:dyDescent="0.2">
      <c r="R225" cm="1">
        <f t="array" ref="R225" xml:space="preserve"> 1 + _xlfn.SINGLE(ROW()) - _xlfn.SINGLE(ROW(ExportSubstitutions_Within.RowNum))</f>
        <v>220</v>
      </c>
      <c r="S225" t="s">
        <v>1601</v>
      </c>
      <c r="T225" t="str">
        <f t="shared" si="10"/>
        <v>m-</v>
      </c>
    </row>
    <row r="226" spans="18:20" x14ac:dyDescent="0.2">
      <c r="R226" cm="1">
        <f t="array" ref="R226" xml:space="preserve"> 1 + _xlfn.SINGLE(ROW()) - _xlfn.SINGLE(ROW(ExportSubstitutions_Within.RowNum))</f>
        <v>221</v>
      </c>
      <c r="S226" t="s">
        <v>1280</v>
      </c>
      <c r="T226" t="str">
        <f t="shared" si="10"/>
        <v>0Q</v>
      </c>
    </row>
    <row r="227" spans="18:20" x14ac:dyDescent="0.2">
      <c r="R227" cm="1">
        <f t="array" ref="R227" xml:space="preserve"> 1 + _xlfn.SINGLE(ROW()) - _xlfn.SINGLE(ROW(ExportSubstitutions_Within.RowNum))</f>
        <v>222</v>
      </c>
      <c r="S227" t="s">
        <v>1281</v>
      </c>
      <c r="T227" t="str">
        <f t="shared" si="10"/>
        <v>1Q</v>
      </c>
    </row>
    <row r="228" spans="18:20" x14ac:dyDescent="0.2">
      <c r="R228" cm="1">
        <f t="array" ref="R228" xml:space="preserve"> 1 + _xlfn.SINGLE(ROW()) - _xlfn.SINGLE(ROW(ExportSubstitutions_Within.RowNum))</f>
        <v>223</v>
      </c>
      <c r="S228" t="s">
        <v>1282</v>
      </c>
      <c r="T228" t="str">
        <f t="shared" si="10"/>
        <v>2Q</v>
      </c>
    </row>
    <row r="229" spans="18:20" x14ac:dyDescent="0.2">
      <c r="R229" cm="1">
        <f t="array" ref="R229" xml:space="preserve"> 1 + _xlfn.SINGLE(ROW()) - _xlfn.SINGLE(ROW(ExportSubstitutions_Within.RowNum))</f>
        <v>224</v>
      </c>
      <c r="S229" t="s">
        <v>1283</v>
      </c>
      <c r="T229" t="str">
        <f t="shared" si="10"/>
        <v>3Q</v>
      </c>
    </row>
    <row r="230" spans="18:20" x14ac:dyDescent="0.2">
      <c r="R230" cm="1">
        <f t="array" ref="R230" xml:space="preserve"> 1 + _xlfn.SINGLE(ROW()) - _xlfn.SINGLE(ROW(ExportSubstitutions_Within.RowNum))</f>
        <v>225</v>
      </c>
      <c r="S230" t="s">
        <v>1284</v>
      </c>
      <c r="T230" t="str">
        <f t="shared" si="10"/>
        <v>4Q</v>
      </c>
    </row>
    <row r="231" spans="18:20" x14ac:dyDescent="0.2">
      <c r="R231" cm="1">
        <f t="array" ref="R231" xml:space="preserve"> 1 + _xlfn.SINGLE(ROW()) - _xlfn.SINGLE(ROW(ExportSubstitutions_Within.RowNum))</f>
        <v>226</v>
      </c>
      <c r="S231" t="s">
        <v>1285</v>
      </c>
      <c r="T231" t="str">
        <f t="shared" si="10"/>
        <v>5Q</v>
      </c>
    </row>
    <row r="232" spans="18:20" x14ac:dyDescent="0.2">
      <c r="R232" cm="1">
        <f t="array" ref="R232" xml:space="preserve"> 1 + _xlfn.SINGLE(ROW()) - _xlfn.SINGLE(ROW(ExportSubstitutions_Within.RowNum))</f>
        <v>227</v>
      </c>
      <c r="S232" t="s">
        <v>1286</v>
      </c>
      <c r="T232" t="str">
        <f t="shared" si="10"/>
        <v>6Q</v>
      </c>
    </row>
    <row r="233" spans="18:20" x14ac:dyDescent="0.2">
      <c r="R233" cm="1">
        <f t="array" ref="R233" xml:space="preserve"> 1 + _xlfn.SINGLE(ROW()) - _xlfn.SINGLE(ROW(ExportSubstitutions_Within.RowNum))</f>
        <v>228</v>
      </c>
      <c r="S233" t="s">
        <v>1287</v>
      </c>
      <c r="T233" t="str">
        <f t="shared" si="10"/>
        <v>7Q</v>
      </c>
    </row>
    <row r="234" spans="18:20" x14ac:dyDescent="0.2">
      <c r="R234" cm="1">
        <f t="array" ref="R234" xml:space="preserve"> 1 + _xlfn.SINGLE(ROW()) - _xlfn.SINGLE(ROW(ExportSubstitutions_Within.RowNum))</f>
        <v>229</v>
      </c>
      <c r="S234" t="s">
        <v>1288</v>
      </c>
      <c r="T234" t="str">
        <f t="shared" si="10"/>
        <v>8Q</v>
      </c>
    </row>
    <row r="235" spans="18:20" x14ac:dyDescent="0.2">
      <c r="R235" cm="1">
        <f t="array" ref="R235" xml:space="preserve"> 1 + _xlfn.SINGLE(ROW()) - _xlfn.SINGLE(ROW(ExportSubstitutions_Within.RowNum))</f>
        <v>230</v>
      </c>
      <c r="S235" t="s">
        <v>1289</v>
      </c>
      <c r="T235" t="str">
        <f t="shared" si="10"/>
        <v>9Q</v>
      </c>
    </row>
    <row r="236" spans="18:20" x14ac:dyDescent="0.2">
      <c r="R236" cm="1">
        <f t="array" ref="R236" xml:space="preserve"> 1 + _xlfn.SINGLE(ROW()) - _xlfn.SINGLE(ROW(ExportSubstitutions_Within.RowNum))</f>
        <v>231</v>
      </c>
      <c r="S236" t="s">
        <v>1290</v>
      </c>
      <c r="T236" t="str">
        <f t="shared" si="10"/>
        <v>Q0</v>
      </c>
    </row>
    <row r="237" spans="18:20" x14ac:dyDescent="0.2">
      <c r="R237" cm="1">
        <f t="array" ref="R237" xml:space="preserve"> 1 + _xlfn.SINGLE(ROW()) - _xlfn.SINGLE(ROW(ExportSubstitutions_Within.RowNum))</f>
        <v>232</v>
      </c>
      <c r="S237" t="s">
        <v>1291</v>
      </c>
      <c r="T237" t="str">
        <f t="shared" si="10"/>
        <v>Q1</v>
      </c>
    </row>
    <row r="238" spans="18:20" x14ac:dyDescent="0.2">
      <c r="R238" cm="1">
        <f t="array" ref="R238" xml:space="preserve"> 1 + _xlfn.SINGLE(ROW()) - _xlfn.SINGLE(ROW(ExportSubstitutions_Within.RowNum))</f>
        <v>233</v>
      </c>
      <c r="S238" t="s">
        <v>1292</v>
      </c>
      <c r="T238" t="str">
        <f t="shared" si="10"/>
        <v>Q2</v>
      </c>
    </row>
    <row r="239" spans="18:20" x14ac:dyDescent="0.2">
      <c r="R239" cm="1">
        <f t="array" ref="R239" xml:space="preserve"> 1 + _xlfn.SINGLE(ROW()) - _xlfn.SINGLE(ROW(ExportSubstitutions_Within.RowNum))</f>
        <v>234</v>
      </c>
      <c r="S239" t="s">
        <v>1293</v>
      </c>
      <c r="T239" t="str">
        <f t="shared" si="10"/>
        <v>Q3</v>
      </c>
    </row>
    <row r="240" spans="18:20" x14ac:dyDescent="0.2">
      <c r="R240" cm="1">
        <f t="array" ref="R240" xml:space="preserve"> 1 + _xlfn.SINGLE(ROW()) - _xlfn.SINGLE(ROW(ExportSubstitutions_Within.RowNum))</f>
        <v>235</v>
      </c>
      <c r="S240" t="s">
        <v>1294</v>
      </c>
      <c r="T240" t="str">
        <f t="shared" si="10"/>
        <v>Q4</v>
      </c>
    </row>
    <row r="241" spans="18:20" x14ac:dyDescent="0.2">
      <c r="R241" cm="1">
        <f t="array" ref="R241" xml:space="preserve"> 1 + _xlfn.SINGLE(ROW()) - _xlfn.SINGLE(ROW(ExportSubstitutions_Within.RowNum))</f>
        <v>236</v>
      </c>
      <c r="S241" t="s">
        <v>1295</v>
      </c>
      <c r="T241" t="str">
        <f t="shared" si="10"/>
        <v>Q5</v>
      </c>
    </row>
    <row r="242" spans="18:20" x14ac:dyDescent="0.2">
      <c r="R242" cm="1">
        <f t="array" ref="R242" xml:space="preserve"> 1 + _xlfn.SINGLE(ROW()) - _xlfn.SINGLE(ROW(ExportSubstitutions_Within.RowNum))</f>
        <v>237</v>
      </c>
      <c r="S242" t="s">
        <v>1296</v>
      </c>
      <c r="T242" t="str">
        <f t="shared" si="10"/>
        <v>Q6</v>
      </c>
    </row>
    <row r="243" spans="18:20" x14ac:dyDescent="0.2">
      <c r="R243" cm="1">
        <f t="array" ref="R243" xml:space="preserve"> 1 + _xlfn.SINGLE(ROW()) - _xlfn.SINGLE(ROW(ExportSubstitutions_Within.RowNum))</f>
        <v>238</v>
      </c>
      <c r="S243" t="s">
        <v>1297</v>
      </c>
      <c r="T243" t="str">
        <f t="shared" si="10"/>
        <v>Q7</v>
      </c>
    </row>
    <row r="244" spans="18:20" x14ac:dyDescent="0.2">
      <c r="R244" cm="1">
        <f t="array" ref="R244" xml:space="preserve"> 1 + _xlfn.SINGLE(ROW()) - _xlfn.SINGLE(ROW(ExportSubstitutions_Within.RowNum))</f>
        <v>239</v>
      </c>
      <c r="S244" t="s">
        <v>1298</v>
      </c>
      <c r="T244" t="str">
        <f t="shared" si="10"/>
        <v>Q8</v>
      </c>
    </row>
    <row r="245" spans="18:20" x14ac:dyDescent="0.2">
      <c r="R245" cm="1">
        <f t="array" ref="R245" xml:space="preserve"> 1 + _xlfn.SINGLE(ROW()) - _xlfn.SINGLE(ROW(ExportSubstitutions_Within.RowNum))</f>
        <v>240</v>
      </c>
      <c r="S245" t="s">
        <v>1299</v>
      </c>
      <c r="T245" t="str">
        <f t="shared" si="10"/>
        <v>Q9</v>
      </c>
    </row>
    <row r="246" spans="18:20" x14ac:dyDescent="0.2">
      <c r="R246" cm="1">
        <f t="array" ref="R246" xml:space="preserve"> 1 + _xlfn.SINGLE(ROW()) - _xlfn.SINGLE(ROW(ExportSubstitutions_Within.RowNum))</f>
        <v>241</v>
      </c>
      <c r="S246" t="s">
        <v>1602</v>
      </c>
      <c r="T246" t="str">
        <f t="shared" si="10"/>
        <v>Q.</v>
      </c>
    </row>
    <row r="247" spans="18:20" x14ac:dyDescent="0.2">
      <c r="R247" cm="1">
        <f t="array" ref="R247" xml:space="preserve"> 1 + _xlfn.SINGLE(ROW()) - _xlfn.SINGLE(ROW(ExportSubstitutions_Within.RowNum))</f>
        <v>242</v>
      </c>
      <c r="S247" t="s">
        <v>1603</v>
      </c>
      <c r="T247" t="str">
        <f t="shared" si="10"/>
        <v>Q-</v>
      </c>
    </row>
    <row r="248" spans="18:20" x14ac:dyDescent="0.2">
      <c r="R248" cm="1">
        <f t="array" ref="R248" xml:space="preserve"> 1 + _xlfn.SINGLE(ROW()) - _xlfn.SINGLE(ROW(ExportSubstitutions_Within.RowNum))</f>
        <v>243</v>
      </c>
      <c r="S248" t="s">
        <v>1300</v>
      </c>
      <c r="T248" t="str">
        <f t="shared" si="10"/>
        <v>0q</v>
      </c>
    </row>
    <row r="249" spans="18:20" x14ac:dyDescent="0.2">
      <c r="R249" cm="1">
        <f t="array" ref="R249" xml:space="preserve"> 1 + _xlfn.SINGLE(ROW()) - _xlfn.SINGLE(ROW(ExportSubstitutions_Within.RowNum))</f>
        <v>244</v>
      </c>
      <c r="S249" t="s">
        <v>1301</v>
      </c>
      <c r="T249" t="str">
        <f t="shared" si="10"/>
        <v>1q</v>
      </c>
    </row>
    <row r="250" spans="18:20" x14ac:dyDescent="0.2">
      <c r="R250" cm="1">
        <f t="array" ref="R250" xml:space="preserve"> 1 + _xlfn.SINGLE(ROW()) - _xlfn.SINGLE(ROW(ExportSubstitutions_Within.RowNum))</f>
        <v>245</v>
      </c>
      <c r="S250" t="s">
        <v>1302</v>
      </c>
      <c r="T250" t="str">
        <f t="shared" si="10"/>
        <v>2q</v>
      </c>
    </row>
    <row r="251" spans="18:20" x14ac:dyDescent="0.2">
      <c r="R251" cm="1">
        <f t="array" ref="R251" xml:space="preserve"> 1 + _xlfn.SINGLE(ROW()) - _xlfn.SINGLE(ROW(ExportSubstitutions_Within.RowNum))</f>
        <v>246</v>
      </c>
      <c r="S251" t="s">
        <v>1303</v>
      </c>
      <c r="T251" t="str">
        <f t="shared" si="10"/>
        <v>3q</v>
      </c>
    </row>
    <row r="252" spans="18:20" x14ac:dyDescent="0.2">
      <c r="R252" cm="1">
        <f t="array" ref="R252" xml:space="preserve"> 1 + _xlfn.SINGLE(ROW()) - _xlfn.SINGLE(ROW(ExportSubstitutions_Within.RowNum))</f>
        <v>247</v>
      </c>
      <c r="S252" t="s">
        <v>1304</v>
      </c>
      <c r="T252" t="str">
        <f t="shared" si="10"/>
        <v>4q</v>
      </c>
    </row>
    <row r="253" spans="18:20" x14ac:dyDescent="0.2">
      <c r="R253" cm="1">
        <f t="array" ref="R253" xml:space="preserve"> 1 + _xlfn.SINGLE(ROW()) - _xlfn.SINGLE(ROW(ExportSubstitutions_Within.RowNum))</f>
        <v>248</v>
      </c>
      <c r="S253" t="s">
        <v>1305</v>
      </c>
      <c r="T253" t="str">
        <f t="shared" si="10"/>
        <v>5q</v>
      </c>
    </row>
    <row r="254" spans="18:20" x14ac:dyDescent="0.2">
      <c r="R254" cm="1">
        <f t="array" ref="R254" xml:space="preserve"> 1 + _xlfn.SINGLE(ROW()) - _xlfn.SINGLE(ROW(ExportSubstitutions_Within.RowNum))</f>
        <v>249</v>
      </c>
      <c r="S254" t="s">
        <v>1306</v>
      </c>
      <c r="T254" t="str">
        <f t="shared" si="10"/>
        <v>6q</v>
      </c>
    </row>
    <row r="255" spans="18:20" x14ac:dyDescent="0.2">
      <c r="R255" cm="1">
        <f t="array" ref="R255" xml:space="preserve"> 1 + _xlfn.SINGLE(ROW()) - _xlfn.SINGLE(ROW(ExportSubstitutions_Within.RowNum))</f>
        <v>250</v>
      </c>
      <c r="S255" t="s">
        <v>1307</v>
      </c>
      <c r="T255" t="str">
        <f t="shared" si="10"/>
        <v>7q</v>
      </c>
    </row>
    <row r="256" spans="18:20" x14ac:dyDescent="0.2">
      <c r="R256" cm="1">
        <f t="array" ref="R256" xml:space="preserve"> 1 + _xlfn.SINGLE(ROW()) - _xlfn.SINGLE(ROW(ExportSubstitutions_Within.RowNum))</f>
        <v>251</v>
      </c>
      <c r="S256" t="s">
        <v>1308</v>
      </c>
      <c r="T256" t="str">
        <f t="shared" si="10"/>
        <v>8q</v>
      </c>
    </row>
    <row r="257" spans="18:20" x14ac:dyDescent="0.2">
      <c r="R257" cm="1">
        <f t="array" ref="R257" xml:space="preserve"> 1 + _xlfn.SINGLE(ROW()) - _xlfn.SINGLE(ROW(ExportSubstitutions_Within.RowNum))</f>
        <v>252</v>
      </c>
      <c r="S257" t="s">
        <v>1309</v>
      </c>
      <c r="T257" t="str">
        <f t="shared" si="10"/>
        <v>9q</v>
      </c>
    </row>
    <row r="258" spans="18:20" x14ac:dyDescent="0.2">
      <c r="R258" cm="1">
        <f t="array" ref="R258" xml:space="preserve"> 1 + _xlfn.SINGLE(ROW()) - _xlfn.SINGLE(ROW(ExportSubstitutions_Within.RowNum))</f>
        <v>253</v>
      </c>
      <c r="S258" t="s">
        <v>1310</v>
      </c>
      <c r="T258" t="str">
        <f t="shared" si="10"/>
        <v>q0</v>
      </c>
    </row>
    <row r="259" spans="18:20" x14ac:dyDescent="0.2">
      <c r="R259" cm="1">
        <f t="array" ref="R259" xml:space="preserve"> 1 + _xlfn.SINGLE(ROW()) - _xlfn.SINGLE(ROW(ExportSubstitutions_Within.RowNum))</f>
        <v>254</v>
      </c>
      <c r="S259" t="s">
        <v>1311</v>
      </c>
      <c r="T259" t="str">
        <f t="shared" si="10"/>
        <v>q1</v>
      </c>
    </row>
    <row r="260" spans="18:20" x14ac:dyDescent="0.2">
      <c r="R260" cm="1">
        <f t="array" ref="R260" xml:space="preserve"> 1 + _xlfn.SINGLE(ROW()) - _xlfn.SINGLE(ROW(ExportSubstitutions_Within.RowNum))</f>
        <v>255</v>
      </c>
      <c r="S260" t="s">
        <v>1312</v>
      </c>
      <c r="T260" t="str">
        <f t="shared" si="10"/>
        <v>q2</v>
      </c>
    </row>
    <row r="261" spans="18:20" x14ac:dyDescent="0.2">
      <c r="R261" cm="1">
        <f t="array" ref="R261" xml:space="preserve"> 1 + _xlfn.SINGLE(ROW()) - _xlfn.SINGLE(ROW(ExportSubstitutions_Within.RowNum))</f>
        <v>256</v>
      </c>
      <c r="S261" t="s">
        <v>1313</v>
      </c>
      <c r="T261" t="str">
        <f t="shared" si="10"/>
        <v>q3</v>
      </c>
    </row>
    <row r="262" spans="18:20" x14ac:dyDescent="0.2">
      <c r="R262" cm="1">
        <f t="array" ref="R262" xml:space="preserve"> 1 + _xlfn.SINGLE(ROW()) - _xlfn.SINGLE(ROW(ExportSubstitutions_Within.RowNum))</f>
        <v>257</v>
      </c>
      <c r="S262" t="s">
        <v>1314</v>
      </c>
      <c r="T262" t="str">
        <f t="shared" ref="T262:T325" si="11" xml:space="preserve"> SUBSTITUTE(ExportSubstitutions_Within.From, " ", "")</f>
        <v>q4</v>
      </c>
    </row>
    <row r="263" spans="18:20" x14ac:dyDescent="0.2">
      <c r="R263" cm="1">
        <f t="array" ref="R263" xml:space="preserve"> 1 + _xlfn.SINGLE(ROW()) - _xlfn.SINGLE(ROW(ExportSubstitutions_Within.RowNum))</f>
        <v>258</v>
      </c>
      <c r="S263" t="s">
        <v>1315</v>
      </c>
      <c r="T263" t="str">
        <f t="shared" si="11"/>
        <v>q5</v>
      </c>
    </row>
    <row r="264" spans="18:20" x14ac:dyDescent="0.2">
      <c r="R264" cm="1">
        <f t="array" ref="R264" xml:space="preserve"> 1 + _xlfn.SINGLE(ROW()) - _xlfn.SINGLE(ROW(ExportSubstitutions_Within.RowNum))</f>
        <v>259</v>
      </c>
      <c r="S264" t="s">
        <v>1316</v>
      </c>
      <c r="T264" t="str">
        <f t="shared" si="11"/>
        <v>q6</v>
      </c>
    </row>
    <row r="265" spans="18:20" x14ac:dyDescent="0.2">
      <c r="R265" cm="1">
        <f t="array" ref="R265" xml:space="preserve"> 1 + _xlfn.SINGLE(ROW()) - _xlfn.SINGLE(ROW(ExportSubstitutions_Within.RowNum))</f>
        <v>260</v>
      </c>
      <c r="S265" t="s">
        <v>1317</v>
      </c>
      <c r="T265" t="str">
        <f t="shared" si="11"/>
        <v>q7</v>
      </c>
    </row>
    <row r="266" spans="18:20" x14ac:dyDescent="0.2">
      <c r="R266" cm="1">
        <f t="array" ref="R266" xml:space="preserve"> 1 + _xlfn.SINGLE(ROW()) - _xlfn.SINGLE(ROW(ExportSubstitutions_Within.RowNum))</f>
        <v>261</v>
      </c>
      <c r="S266" t="s">
        <v>1318</v>
      </c>
      <c r="T266" t="str">
        <f t="shared" si="11"/>
        <v>q8</v>
      </c>
    </row>
    <row r="267" spans="18:20" x14ac:dyDescent="0.2">
      <c r="R267" cm="1">
        <f t="array" ref="R267" xml:space="preserve"> 1 + _xlfn.SINGLE(ROW()) - _xlfn.SINGLE(ROW(ExportSubstitutions_Within.RowNum))</f>
        <v>262</v>
      </c>
      <c r="S267" t="s">
        <v>1319</v>
      </c>
      <c r="T267" t="str">
        <f t="shared" si="11"/>
        <v>q9</v>
      </c>
    </row>
    <row r="268" spans="18:20" x14ac:dyDescent="0.2">
      <c r="R268" cm="1">
        <f t="array" ref="R268" xml:space="preserve"> 1 + _xlfn.SINGLE(ROW()) - _xlfn.SINGLE(ROW(ExportSubstitutions_Within.RowNum))</f>
        <v>263</v>
      </c>
      <c r="S268" t="s">
        <v>1604</v>
      </c>
      <c r="T268" t="str">
        <f t="shared" si="11"/>
        <v>q.</v>
      </c>
    </row>
    <row r="269" spans="18:20" x14ac:dyDescent="0.2">
      <c r="R269" cm="1">
        <f t="array" ref="R269" xml:space="preserve"> 1 + _xlfn.SINGLE(ROW()) - _xlfn.SINGLE(ROW(ExportSubstitutions_Within.RowNum))</f>
        <v>264</v>
      </c>
      <c r="S269" t="s">
        <v>1605</v>
      </c>
      <c r="T269" t="str">
        <f t="shared" si="11"/>
        <v>q-</v>
      </c>
    </row>
    <row r="270" spans="18:20" x14ac:dyDescent="0.2">
      <c r="R270" cm="1">
        <f t="array" ref="R270" xml:space="preserve"> 1 + _xlfn.SINGLE(ROW()) - _xlfn.SINGLE(ROW(ExportSubstitutions_Within.RowNum))</f>
        <v>265</v>
      </c>
      <c r="S270" t="s">
        <v>1320</v>
      </c>
      <c r="T270" t="str">
        <f t="shared" si="11"/>
        <v>0S</v>
      </c>
    </row>
    <row r="271" spans="18:20" x14ac:dyDescent="0.2">
      <c r="R271" cm="1">
        <f t="array" ref="R271" xml:space="preserve"> 1 + _xlfn.SINGLE(ROW()) - _xlfn.SINGLE(ROW(ExportSubstitutions_Within.RowNum))</f>
        <v>266</v>
      </c>
      <c r="S271" t="s">
        <v>1321</v>
      </c>
      <c r="T271" t="str">
        <f t="shared" si="11"/>
        <v>1S</v>
      </c>
    </row>
    <row r="272" spans="18:20" x14ac:dyDescent="0.2">
      <c r="R272" cm="1">
        <f t="array" ref="R272" xml:space="preserve"> 1 + _xlfn.SINGLE(ROW()) - _xlfn.SINGLE(ROW(ExportSubstitutions_Within.RowNum))</f>
        <v>267</v>
      </c>
      <c r="S272" t="s">
        <v>1322</v>
      </c>
      <c r="T272" t="str">
        <f t="shared" si="11"/>
        <v>2S</v>
      </c>
    </row>
    <row r="273" spans="18:20" x14ac:dyDescent="0.2">
      <c r="R273" cm="1">
        <f t="array" ref="R273" xml:space="preserve"> 1 + _xlfn.SINGLE(ROW()) - _xlfn.SINGLE(ROW(ExportSubstitutions_Within.RowNum))</f>
        <v>268</v>
      </c>
      <c r="S273" t="s">
        <v>1323</v>
      </c>
      <c r="T273" t="str">
        <f t="shared" si="11"/>
        <v>3S</v>
      </c>
    </row>
    <row r="274" spans="18:20" x14ac:dyDescent="0.2">
      <c r="R274" cm="1">
        <f t="array" ref="R274" xml:space="preserve"> 1 + _xlfn.SINGLE(ROW()) - _xlfn.SINGLE(ROW(ExportSubstitutions_Within.RowNum))</f>
        <v>269</v>
      </c>
      <c r="S274" t="s">
        <v>1324</v>
      </c>
      <c r="T274" t="str">
        <f t="shared" si="11"/>
        <v>4S</v>
      </c>
    </row>
    <row r="275" spans="18:20" x14ac:dyDescent="0.2">
      <c r="R275" cm="1">
        <f t="array" ref="R275" xml:space="preserve"> 1 + _xlfn.SINGLE(ROW()) - _xlfn.SINGLE(ROW(ExportSubstitutions_Within.RowNum))</f>
        <v>270</v>
      </c>
      <c r="S275" t="s">
        <v>1325</v>
      </c>
      <c r="T275" t="str">
        <f t="shared" si="11"/>
        <v>5S</v>
      </c>
    </row>
    <row r="276" spans="18:20" x14ac:dyDescent="0.2">
      <c r="R276" cm="1">
        <f t="array" ref="R276" xml:space="preserve"> 1 + _xlfn.SINGLE(ROW()) - _xlfn.SINGLE(ROW(ExportSubstitutions_Within.RowNum))</f>
        <v>271</v>
      </c>
      <c r="S276" t="s">
        <v>1326</v>
      </c>
      <c r="T276" t="str">
        <f t="shared" si="11"/>
        <v>6S</v>
      </c>
    </row>
    <row r="277" spans="18:20" x14ac:dyDescent="0.2">
      <c r="R277" cm="1">
        <f t="array" ref="R277" xml:space="preserve"> 1 + _xlfn.SINGLE(ROW()) - _xlfn.SINGLE(ROW(ExportSubstitutions_Within.RowNum))</f>
        <v>272</v>
      </c>
      <c r="S277" t="s">
        <v>1327</v>
      </c>
      <c r="T277" t="str">
        <f t="shared" si="11"/>
        <v>7S</v>
      </c>
    </row>
    <row r="278" spans="18:20" x14ac:dyDescent="0.2">
      <c r="R278" cm="1">
        <f t="array" ref="R278" xml:space="preserve"> 1 + _xlfn.SINGLE(ROW()) - _xlfn.SINGLE(ROW(ExportSubstitutions_Within.RowNum))</f>
        <v>273</v>
      </c>
      <c r="S278" t="s">
        <v>1328</v>
      </c>
      <c r="T278" t="str">
        <f t="shared" si="11"/>
        <v>8S</v>
      </c>
    </row>
    <row r="279" spans="18:20" x14ac:dyDescent="0.2">
      <c r="R279" cm="1">
        <f t="array" ref="R279" xml:space="preserve"> 1 + _xlfn.SINGLE(ROW()) - _xlfn.SINGLE(ROW(ExportSubstitutions_Within.RowNum))</f>
        <v>274</v>
      </c>
      <c r="S279" t="s">
        <v>1329</v>
      </c>
      <c r="T279" t="str">
        <f t="shared" si="11"/>
        <v>9S</v>
      </c>
    </row>
    <row r="280" spans="18:20" x14ac:dyDescent="0.2">
      <c r="R280" cm="1">
        <f t="array" ref="R280" xml:space="preserve"> 1 + _xlfn.SINGLE(ROW()) - _xlfn.SINGLE(ROW(ExportSubstitutions_Within.RowNum))</f>
        <v>275</v>
      </c>
      <c r="S280" t="s">
        <v>1330</v>
      </c>
      <c r="T280" t="str">
        <f t="shared" si="11"/>
        <v>S0</v>
      </c>
    </row>
    <row r="281" spans="18:20" x14ac:dyDescent="0.2">
      <c r="R281" cm="1">
        <f t="array" ref="R281" xml:space="preserve"> 1 + _xlfn.SINGLE(ROW()) - _xlfn.SINGLE(ROW(ExportSubstitutions_Within.RowNum))</f>
        <v>276</v>
      </c>
      <c r="S281" t="s">
        <v>1331</v>
      </c>
      <c r="T281" t="str">
        <f t="shared" si="11"/>
        <v>S1</v>
      </c>
    </row>
    <row r="282" spans="18:20" x14ac:dyDescent="0.2">
      <c r="R282" cm="1">
        <f t="array" ref="R282" xml:space="preserve"> 1 + _xlfn.SINGLE(ROW()) - _xlfn.SINGLE(ROW(ExportSubstitutions_Within.RowNum))</f>
        <v>277</v>
      </c>
      <c r="S282" t="s">
        <v>1332</v>
      </c>
      <c r="T282" t="str">
        <f t="shared" si="11"/>
        <v>S2</v>
      </c>
    </row>
    <row r="283" spans="18:20" x14ac:dyDescent="0.2">
      <c r="R283" cm="1">
        <f t="array" ref="R283" xml:space="preserve"> 1 + _xlfn.SINGLE(ROW()) - _xlfn.SINGLE(ROW(ExportSubstitutions_Within.RowNum))</f>
        <v>278</v>
      </c>
      <c r="S283" t="s">
        <v>1333</v>
      </c>
      <c r="T283" t="str">
        <f t="shared" si="11"/>
        <v>S3</v>
      </c>
    </row>
    <row r="284" spans="18:20" x14ac:dyDescent="0.2">
      <c r="R284" cm="1">
        <f t="array" ref="R284" xml:space="preserve"> 1 + _xlfn.SINGLE(ROW()) - _xlfn.SINGLE(ROW(ExportSubstitutions_Within.RowNum))</f>
        <v>279</v>
      </c>
      <c r="S284" t="s">
        <v>1334</v>
      </c>
      <c r="T284" t="str">
        <f t="shared" si="11"/>
        <v>S4</v>
      </c>
    </row>
    <row r="285" spans="18:20" x14ac:dyDescent="0.2">
      <c r="R285" cm="1">
        <f t="array" ref="R285" xml:space="preserve"> 1 + _xlfn.SINGLE(ROW()) - _xlfn.SINGLE(ROW(ExportSubstitutions_Within.RowNum))</f>
        <v>280</v>
      </c>
      <c r="S285" t="s">
        <v>1335</v>
      </c>
      <c r="T285" t="str">
        <f t="shared" si="11"/>
        <v>S5</v>
      </c>
    </row>
    <row r="286" spans="18:20" x14ac:dyDescent="0.2">
      <c r="R286" cm="1">
        <f t="array" ref="R286" xml:space="preserve"> 1 + _xlfn.SINGLE(ROW()) - _xlfn.SINGLE(ROW(ExportSubstitutions_Within.RowNum))</f>
        <v>281</v>
      </c>
      <c r="S286" t="s">
        <v>1336</v>
      </c>
      <c r="T286" t="str">
        <f t="shared" si="11"/>
        <v>S6</v>
      </c>
    </row>
    <row r="287" spans="18:20" x14ac:dyDescent="0.2">
      <c r="R287" cm="1">
        <f t="array" ref="R287" xml:space="preserve"> 1 + _xlfn.SINGLE(ROW()) - _xlfn.SINGLE(ROW(ExportSubstitutions_Within.RowNum))</f>
        <v>282</v>
      </c>
      <c r="S287" t="s">
        <v>1337</v>
      </c>
      <c r="T287" t="str">
        <f t="shared" si="11"/>
        <v>S7</v>
      </c>
    </row>
    <row r="288" spans="18:20" x14ac:dyDescent="0.2">
      <c r="R288" cm="1">
        <f t="array" ref="R288" xml:space="preserve"> 1 + _xlfn.SINGLE(ROW()) - _xlfn.SINGLE(ROW(ExportSubstitutions_Within.RowNum))</f>
        <v>283</v>
      </c>
      <c r="S288" t="s">
        <v>1338</v>
      </c>
      <c r="T288" t="str">
        <f t="shared" si="11"/>
        <v>S8</v>
      </c>
    </row>
    <row r="289" spans="18:20" x14ac:dyDescent="0.2">
      <c r="R289" cm="1">
        <f t="array" ref="R289" xml:space="preserve"> 1 + _xlfn.SINGLE(ROW()) - _xlfn.SINGLE(ROW(ExportSubstitutions_Within.RowNum))</f>
        <v>284</v>
      </c>
      <c r="S289" t="s">
        <v>1339</v>
      </c>
      <c r="T289" t="str">
        <f t="shared" si="11"/>
        <v>S9</v>
      </c>
    </row>
    <row r="290" spans="18:20" x14ac:dyDescent="0.2">
      <c r="R290" cm="1">
        <f t="array" ref="R290" xml:space="preserve"> 1 + _xlfn.SINGLE(ROW()) - _xlfn.SINGLE(ROW(ExportSubstitutions_Within.RowNum))</f>
        <v>285</v>
      </c>
      <c r="S290" t="s">
        <v>1606</v>
      </c>
      <c r="T290" t="str">
        <f t="shared" si="11"/>
        <v>S.</v>
      </c>
    </row>
    <row r="291" spans="18:20" x14ac:dyDescent="0.2">
      <c r="R291" cm="1">
        <f t="array" ref="R291" xml:space="preserve"> 1 + _xlfn.SINGLE(ROW()) - _xlfn.SINGLE(ROW(ExportSubstitutions_Within.RowNum))</f>
        <v>286</v>
      </c>
      <c r="S291" t="s">
        <v>1607</v>
      </c>
      <c r="T291" t="str">
        <f t="shared" si="11"/>
        <v>S-</v>
      </c>
    </row>
    <row r="292" spans="18:20" x14ac:dyDescent="0.2">
      <c r="R292" cm="1">
        <f t="array" ref="R292" xml:space="preserve"> 1 + _xlfn.SINGLE(ROW()) - _xlfn.SINGLE(ROW(ExportSubstitutions_Within.RowNum))</f>
        <v>287</v>
      </c>
      <c r="S292" t="s">
        <v>1340</v>
      </c>
      <c r="T292" t="str">
        <f t="shared" si="11"/>
        <v>0s</v>
      </c>
    </row>
    <row r="293" spans="18:20" x14ac:dyDescent="0.2">
      <c r="R293" cm="1">
        <f t="array" ref="R293" xml:space="preserve"> 1 + _xlfn.SINGLE(ROW()) - _xlfn.SINGLE(ROW(ExportSubstitutions_Within.RowNum))</f>
        <v>288</v>
      </c>
      <c r="S293" t="s">
        <v>1341</v>
      </c>
      <c r="T293" t="str">
        <f t="shared" si="11"/>
        <v>1s</v>
      </c>
    </row>
    <row r="294" spans="18:20" x14ac:dyDescent="0.2">
      <c r="R294" cm="1">
        <f t="array" ref="R294" xml:space="preserve"> 1 + _xlfn.SINGLE(ROW()) - _xlfn.SINGLE(ROW(ExportSubstitutions_Within.RowNum))</f>
        <v>289</v>
      </c>
      <c r="S294" t="s">
        <v>1342</v>
      </c>
      <c r="T294" t="str">
        <f t="shared" si="11"/>
        <v>2s</v>
      </c>
    </row>
    <row r="295" spans="18:20" x14ac:dyDescent="0.2">
      <c r="R295" cm="1">
        <f t="array" ref="R295" xml:space="preserve"> 1 + _xlfn.SINGLE(ROW()) - _xlfn.SINGLE(ROW(ExportSubstitutions_Within.RowNum))</f>
        <v>290</v>
      </c>
      <c r="S295" t="s">
        <v>1343</v>
      </c>
      <c r="T295" t="str">
        <f t="shared" si="11"/>
        <v>3s</v>
      </c>
    </row>
    <row r="296" spans="18:20" x14ac:dyDescent="0.2">
      <c r="R296" cm="1">
        <f t="array" ref="R296" xml:space="preserve"> 1 + _xlfn.SINGLE(ROW()) - _xlfn.SINGLE(ROW(ExportSubstitutions_Within.RowNum))</f>
        <v>291</v>
      </c>
      <c r="S296" t="s">
        <v>1344</v>
      </c>
      <c r="T296" t="str">
        <f t="shared" si="11"/>
        <v>4s</v>
      </c>
    </row>
    <row r="297" spans="18:20" x14ac:dyDescent="0.2">
      <c r="R297" cm="1">
        <f t="array" ref="R297" xml:space="preserve"> 1 + _xlfn.SINGLE(ROW()) - _xlfn.SINGLE(ROW(ExportSubstitutions_Within.RowNum))</f>
        <v>292</v>
      </c>
      <c r="S297" t="s">
        <v>1345</v>
      </c>
      <c r="T297" t="str">
        <f t="shared" si="11"/>
        <v>5s</v>
      </c>
    </row>
    <row r="298" spans="18:20" x14ac:dyDescent="0.2">
      <c r="R298" cm="1">
        <f t="array" ref="R298" xml:space="preserve"> 1 + _xlfn.SINGLE(ROW()) - _xlfn.SINGLE(ROW(ExportSubstitutions_Within.RowNum))</f>
        <v>293</v>
      </c>
      <c r="S298" t="s">
        <v>1346</v>
      </c>
      <c r="T298" t="str">
        <f t="shared" si="11"/>
        <v>6s</v>
      </c>
    </row>
    <row r="299" spans="18:20" x14ac:dyDescent="0.2">
      <c r="R299" cm="1">
        <f t="array" ref="R299" xml:space="preserve"> 1 + _xlfn.SINGLE(ROW()) - _xlfn.SINGLE(ROW(ExportSubstitutions_Within.RowNum))</f>
        <v>294</v>
      </c>
      <c r="S299" t="s">
        <v>1347</v>
      </c>
      <c r="T299" t="str">
        <f t="shared" si="11"/>
        <v>7s</v>
      </c>
    </row>
    <row r="300" spans="18:20" x14ac:dyDescent="0.2">
      <c r="R300" cm="1">
        <f t="array" ref="R300" xml:space="preserve"> 1 + _xlfn.SINGLE(ROW()) - _xlfn.SINGLE(ROW(ExportSubstitutions_Within.RowNum))</f>
        <v>295</v>
      </c>
      <c r="S300" t="s">
        <v>1348</v>
      </c>
      <c r="T300" t="str">
        <f t="shared" si="11"/>
        <v>8s</v>
      </c>
    </row>
    <row r="301" spans="18:20" x14ac:dyDescent="0.2">
      <c r="R301" cm="1">
        <f t="array" ref="R301" xml:space="preserve"> 1 + _xlfn.SINGLE(ROW()) - _xlfn.SINGLE(ROW(ExportSubstitutions_Within.RowNum))</f>
        <v>296</v>
      </c>
      <c r="S301" t="s">
        <v>1349</v>
      </c>
      <c r="T301" t="str">
        <f t="shared" si="11"/>
        <v>9s</v>
      </c>
    </row>
    <row r="302" spans="18:20" x14ac:dyDescent="0.2">
      <c r="R302" cm="1">
        <f t="array" ref="R302" xml:space="preserve"> 1 + _xlfn.SINGLE(ROW()) - _xlfn.SINGLE(ROW(ExportSubstitutions_Within.RowNum))</f>
        <v>297</v>
      </c>
      <c r="S302" t="s">
        <v>1350</v>
      </c>
      <c r="T302" t="str">
        <f t="shared" si="11"/>
        <v>s0</v>
      </c>
    </row>
    <row r="303" spans="18:20" x14ac:dyDescent="0.2">
      <c r="R303" cm="1">
        <f t="array" ref="R303" xml:space="preserve"> 1 + _xlfn.SINGLE(ROW()) - _xlfn.SINGLE(ROW(ExportSubstitutions_Within.RowNum))</f>
        <v>298</v>
      </c>
      <c r="S303" t="s">
        <v>1351</v>
      </c>
      <c r="T303" t="str">
        <f t="shared" si="11"/>
        <v>s1</v>
      </c>
    </row>
    <row r="304" spans="18:20" x14ac:dyDescent="0.2">
      <c r="R304" cm="1">
        <f t="array" ref="R304" xml:space="preserve"> 1 + _xlfn.SINGLE(ROW()) - _xlfn.SINGLE(ROW(ExportSubstitutions_Within.RowNum))</f>
        <v>299</v>
      </c>
      <c r="S304" t="s">
        <v>1352</v>
      </c>
      <c r="T304" t="str">
        <f t="shared" si="11"/>
        <v>s2</v>
      </c>
    </row>
    <row r="305" spans="18:20" x14ac:dyDescent="0.2">
      <c r="R305" cm="1">
        <f t="array" ref="R305" xml:space="preserve"> 1 + _xlfn.SINGLE(ROW()) - _xlfn.SINGLE(ROW(ExportSubstitutions_Within.RowNum))</f>
        <v>300</v>
      </c>
      <c r="S305" t="s">
        <v>1353</v>
      </c>
      <c r="T305" t="str">
        <f t="shared" si="11"/>
        <v>s3</v>
      </c>
    </row>
    <row r="306" spans="18:20" x14ac:dyDescent="0.2">
      <c r="R306" cm="1">
        <f t="array" ref="R306" xml:space="preserve"> 1 + _xlfn.SINGLE(ROW()) - _xlfn.SINGLE(ROW(ExportSubstitutions_Within.RowNum))</f>
        <v>301</v>
      </c>
      <c r="S306" t="s">
        <v>1354</v>
      </c>
      <c r="T306" t="str">
        <f t="shared" si="11"/>
        <v>s4</v>
      </c>
    </row>
    <row r="307" spans="18:20" x14ac:dyDescent="0.2">
      <c r="R307" cm="1">
        <f t="array" ref="R307" xml:space="preserve"> 1 + _xlfn.SINGLE(ROW()) - _xlfn.SINGLE(ROW(ExportSubstitutions_Within.RowNum))</f>
        <v>302</v>
      </c>
      <c r="S307" t="s">
        <v>1355</v>
      </c>
      <c r="T307" t="str">
        <f t="shared" si="11"/>
        <v>s5</v>
      </c>
    </row>
    <row r="308" spans="18:20" x14ac:dyDescent="0.2">
      <c r="R308" cm="1">
        <f t="array" ref="R308" xml:space="preserve"> 1 + _xlfn.SINGLE(ROW()) - _xlfn.SINGLE(ROW(ExportSubstitutions_Within.RowNum))</f>
        <v>303</v>
      </c>
      <c r="S308" t="s">
        <v>1356</v>
      </c>
      <c r="T308" t="str">
        <f t="shared" si="11"/>
        <v>s6</v>
      </c>
    </row>
    <row r="309" spans="18:20" x14ac:dyDescent="0.2">
      <c r="R309" cm="1">
        <f t="array" ref="R309" xml:space="preserve"> 1 + _xlfn.SINGLE(ROW()) - _xlfn.SINGLE(ROW(ExportSubstitutions_Within.RowNum))</f>
        <v>304</v>
      </c>
      <c r="S309" t="s">
        <v>1357</v>
      </c>
      <c r="T309" t="str">
        <f t="shared" si="11"/>
        <v>s7</v>
      </c>
    </row>
    <row r="310" spans="18:20" x14ac:dyDescent="0.2">
      <c r="R310" cm="1">
        <f t="array" ref="R310" xml:space="preserve"> 1 + _xlfn.SINGLE(ROW()) - _xlfn.SINGLE(ROW(ExportSubstitutions_Within.RowNum))</f>
        <v>305</v>
      </c>
      <c r="S310" t="s">
        <v>1358</v>
      </c>
      <c r="T310" t="str">
        <f t="shared" si="11"/>
        <v>s8</v>
      </c>
    </row>
    <row r="311" spans="18:20" x14ac:dyDescent="0.2">
      <c r="R311" cm="1">
        <f t="array" ref="R311" xml:space="preserve"> 1 + _xlfn.SINGLE(ROW()) - _xlfn.SINGLE(ROW(ExportSubstitutions_Within.RowNum))</f>
        <v>306</v>
      </c>
      <c r="S311" t="s">
        <v>1359</v>
      </c>
      <c r="T311" t="str">
        <f t="shared" si="11"/>
        <v>s9</v>
      </c>
    </row>
    <row r="312" spans="18:20" x14ac:dyDescent="0.2">
      <c r="R312" cm="1">
        <f t="array" ref="R312" xml:space="preserve"> 1 + _xlfn.SINGLE(ROW()) - _xlfn.SINGLE(ROW(ExportSubstitutions_Within.RowNum))</f>
        <v>307</v>
      </c>
      <c r="S312" t="s">
        <v>1608</v>
      </c>
      <c r="T312" t="str">
        <f t="shared" si="11"/>
        <v>s.</v>
      </c>
    </row>
    <row r="313" spans="18:20" x14ac:dyDescent="0.2">
      <c r="R313" cm="1">
        <f t="array" ref="R313" xml:space="preserve"> 1 + _xlfn.SINGLE(ROW()) - _xlfn.SINGLE(ROW(ExportSubstitutions_Within.RowNum))</f>
        <v>308</v>
      </c>
      <c r="S313" t="s">
        <v>1609</v>
      </c>
      <c r="T313" t="str">
        <f t="shared" si="11"/>
        <v>s-</v>
      </c>
    </row>
    <row r="314" spans="18:20" x14ac:dyDescent="0.2">
      <c r="R314" cm="1">
        <f t="array" ref="R314" xml:space="preserve"> 1 + _xlfn.SINGLE(ROW()) - _xlfn.SINGLE(ROW(ExportSubstitutions_Within.RowNum))</f>
        <v>309</v>
      </c>
      <c r="S314" t="s">
        <v>1360</v>
      </c>
      <c r="T314" t="str">
        <f t="shared" si="11"/>
        <v>0T</v>
      </c>
    </row>
    <row r="315" spans="18:20" x14ac:dyDescent="0.2">
      <c r="R315" cm="1">
        <f t="array" ref="R315" xml:space="preserve"> 1 + _xlfn.SINGLE(ROW()) - _xlfn.SINGLE(ROW(ExportSubstitutions_Within.RowNum))</f>
        <v>310</v>
      </c>
      <c r="S315" t="s">
        <v>1361</v>
      </c>
      <c r="T315" t="str">
        <f t="shared" si="11"/>
        <v>1T</v>
      </c>
    </row>
    <row r="316" spans="18:20" x14ac:dyDescent="0.2">
      <c r="R316" cm="1">
        <f t="array" ref="R316" xml:space="preserve"> 1 + _xlfn.SINGLE(ROW()) - _xlfn.SINGLE(ROW(ExportSubstitutions_Within.RowNum))</f>
        <v>311</v>
      </c>
      <c r="S316" t="s">
        <v>1362</v>
      </c>
      <c r="T316" t="str">
        <f t="shared" si="11"/>
        <v>2T</v>
      </c>
    </row>
    <row r="317" spans="18:20" x14ac:dyDescent="0.2">
      <c r="R317" cm="1">
        <f t="array" ref="R317" xml:space="preserve"> 1 + _xlfn.SINGLE(ROW()) - _xlfn.SINGLE(ROW(ExportSubstitutions_Within.RowNum))</f>
        <v>312</v>
      </c>
      <c r="S317" t="s">
        <v>1363</v>
      </c>
      <c r="T317" t="str">
        <f t="shared" si="11"/>
        <v>3T</v>
      </c>
    </row>
    <row r="318" spans="18:20" x14ac:dyDescent="0.2">
      <c r="R318" cm="1">
        <f t="array" ref="R318" xml:space="preserve"> 1 + _xlfn.SINGLE(ROW()) - _xlfn.SINGLE(ROW(ExportSubstitutions_Within.RowNum))</f>
        <v>313</v>
      </c>
      <c r="S318" t="s">
        <v>1364</v>
      </c>
      <c r="T318" t="str">
        <f t="shared" si="11"/>
        <v>4T</v>
      </c>
    </row>
    <row r="319" spans="18:20" x14ac:dyDescent="0.2">
      <c r="R319" cm="1">
        <f t="array" ref="R319" xml:space="preserve"> 1 + _xlfn.SINGLE(ROW()) - _xlfn.SINGLE(ROW(ExportSubstitutions_Within.RowNum))</f>
        <v>314</v>
      </c>
      <c r="S319" t="s">
        <v>1365</v>
      </c>
      <c r="T319" t="str">
        <f t="shared" si="11"/>
        <v>5T</v>
      </c>
    </row>
    <row r="320" spans="18:20" x14ac:dyDescent="0.2">
      <c r="R320" cm="1">
        <f t="array" ref="R320" xml:space="preserve"> 1 + _xlfn.SINGLE(ROW()) - _xlfn.SINGLE(ROW(ExportSubstitutions_Within.RowNum))</f>
        <v>315</v>
      </c>
      <c r="S320" t="s">
        <v>1366</v>
      </c>
      <c r="T320" t="str">
        <f t="shared" si="11"/>
        <v>6T</v>
      </c>
    </row>
    <row r="321" spans="18:20" x14ac:dyDescent="0.2">
      <c r="R321" cm="1">
        <f t="array" ref="R321" xml:space="preserve"> 1 + _xlfn.SINGLE(ROW()) - _xlfn.SINGLE(ROW(ExportSubstitutions_Within.RowNum))</f>
        <v>316</v>
      </c>
      <c r="S321" t="s">
        <v>1367</v>
      </c>
      <c r="T321" t="str">
        <f t="shared" si="11"/>
        <v>7T</v>
      </c>
    </row>
    <row r="322" spans="18:20" x14ac:dyDescent="0.2">
      <c r="R322" cm="1">
        <f t="array" ref="R322" xml:space="preserve"> 1 + _xlfn.SINGLE(ROW()) - _xlfn.SINGLE(ROW(ExportSubstitutions_Within.RowNum))</f>
        <v>317</v>
      </c>
      <c r="S322" t="s">
        <v>1368</v>
      </c>
      <c r="T322" t="str">
        <f t="shared" si="11"/>
        <v>8T</v>
      </c>
    </row>
    <row r="323" spans="18:20" x14ac:dyDescent="0.2">
      <c r="R323" cm="1">
        <f t="array" ref="R323" xml:space="preserve"> 1 + _xlfn.SINGLE(ROW()) - _xlfn.SINGLE(ROW(ExportSubstitutions_Within.RowNum))</f>
        <v>318</v>
      </c>
      <c r="S323" t="s">
        <v>1369</v>
      </c>
      <c r="T323" t="str">
        <f t="shared" si="11"/>
        <v>9T</v>
      </c>
    </row>
    <row r="324" spans="18:20" x14ac:dyDescent="0.2">
      <c r="R324" cm="1">
        <f t="array" ref="R324" xml:space="preserve"> 1 + _xlfn.SINGLE(ROW()) - _xlfn.SINGLE(ROW(ExportSubstitutions_Within.RowNum))</f>
        <v>319</v>
      </c>
      <c r="S324" t="s">
        <v>1370</v>
      </c>
      <c r="T324" t="str">
        <f t="shared" si="11"/>
        <v>T0</v>
      </c>
    </row>
    <row r="325" spans="18:20" x14ac:dyDescent="0.2">
      <c r="R325" cm="1">
        <f t="array" ref="R325" xml:space="preserve"> 1 + _xlfn.SINGLE(ROW()) - _xlfn.SINGLE(ROW(ExportSubstitutions_Within.RowNum))</f>
        <v>320</v>
      </c>
      <c r="S325" t="s">
        <v>1371</v>
      </c>
      <c r="T325" t="str">
        <f t="shared" si="11"/>
        <v>T1</v>
      </c>
    </row>
    <row r="326" spans="18:20" x14ac:dyDescent="0.2">
      <c r="R326" cm="1">
        <f t="array" ref="R326" xml:space="preserve"> 1 + _xlfn.SINGLE(ROW()) - _xlfn.SINGLE(ROW(ExportSubstitutions_Within.RowNum))</f>
        <v>321</v>
      </c>
      <c r="S326" t="s">
        <v>1372</v>
      </c>
      <c r="T326" t="str">
        <f t="shared" ref="T326:T389" si="12" xml:space="preserve"> SUBSTITUTE(ExportSubstitutions_Within.From, " ", "")</f>
        <v>T2</v>
      </c>
    </row>
    <row r="327" spans="18:20" x14ac:dyDescent="0.2">
      <c r="R327" cm="1">
        <f t="array" ref="R327" xml:space="preserve"> 1 + _xlfn.SINGLE(ROW()) - _xlfn.SINGLE(ROW(ExportSubstitutions_Within.RowNum))</f>
        <v>322</v>
      </c>
      <c r="S327" t="s">
        <v>1373</v>
      </c>
      <c r="T327" t="str">
        <f t="shared" si="12"/>
        <v>T3</v>
      </c>
    </row>
    <row r="328" spans="18:20" x14ac:dyDescent="0.2">
      <c r="R328" cm="1">
        <f t="array" ref="R328" xml:space="preserve"> 1 + _xlfn.SINGLE(ROW()) - _xlfn.SINGLE(ROW(ExportSubstitutions_Within.RowNum))</f>
        <v>323</v>
      </c>
      <c r="S328" t="s">
        <v>1374</v>
      </c>
      <c r="T328" t="str">
        <f t="shared" si="12"/>
        <v>T4</v>
      </c>
    </row>
    <row r="329" spans="18:20" x14ac:dyDescent="0.2">
      <c r="R329" cm="1">
        <f t="array" ref="R329" xml:space="preserve"> 1 + _xlfn.SINGLE(ROW()) - _xlfn.SINGLE(ROW(ExportSubstitutions_Within.RowNum))</f>
        <v>324</v>
      </c>
      <c r="S329" t="s">
        <v>1375</v>
      </c>
      <c r="T329" t="str">
        <f t="shared" si="12"/>
        <v>T5</v>
      </c>
    </row>
    <row r="330" spans="18:20" x14ac:dyDescent="0.2">
      <c r="R330" cm="1">
        <f t="array" ref="R330" xml:space="preserve"> 1 + _xlfn.SINGLE(ROW()) - _xlfn.SINGLE(ROW(ExportSubstitutions_Within.RowNum))</f>
        <v>325</v>
      </c>
      <c r="S330" t="s">
        <v>1376</v>
      </c>
      <c r="T330" t="str">
        <f t="shared" si="12"/>
        <v>T6</v>
      </c>
    </row>
    <row r="331" spans="18:20" x14ac:dyDescent="0.2">
      <c r="R331" cm="1">
        <f t="array" ref="R331" xml:space="preserve"> 1 + _xlfn.SINGLE(ROW()) - _xlfn.SINGLE(ROW(ExportSubstitutions_Within.RowNum))</f>
        <v>326</v>
      </c>
      <c r="S331" t="s">
        <v>1377</v>
      </c>
      <c r="T331" t="str">
        <f t="shared" si="12"/>
        <v>T7</v>
      </c>
    </row>
    <row r="332" spans="18:20" x14ac:dyDescent="0.2">
      <c r="R332" cm="1">
        <f t="array" ref="R332" xml:space="preserve"> 1 + _xlfn.SINGLE(ROW()) - _xlfn.SINGLE(ROW(ExportSubstitutions_Within.RowNum))</f>
        <v>327</v>
      </c>
      <c r="S332" t="s">
        <v>1378</v>
      </c>
      <c r="T332" t="str">
        <f t="shared" si="12"/>
        <v>T8</v>
      </c>
    </row>
    <row r="333" spans="18:20" x14ac:dyDescent="0.2">
      <c r="R333" cm="1">
        <f t="array" ref="R333" xml:space="preserve"> 1 + _xlfn.SINGLE(ROW()) - _xlfn.SINGLE(ROW(ExportSubstitutions_Within.RowNum))</f>
        <v>328</v>
      </c>
      <c r="S333" t="s">
        <v>1379</v>
      </c>
      <c r="T333" t="str">
        <f t="shared" si="12"/>
        <v>T9</v>
      </c>
    </row>
    <row r="334" spans="18:20" x14ac:dyDescent="0.2">
      <c r="R334" cm="1">
        <f t="array" ref="R334" xml:space="preserve"> 1 + _xlfn.SINGLE(ROW()) - _xlfn.SINGLE(ROW(ExportSubstitutions_Within.RowNum))</f>
        <v>329</v>
      </c>
      <c r="S334" t="s">
        <v>1610</v>
      </c>
      <c r="T334" t="str">
        <f t="shared" si="12"/>
        <v>T.</v>
      </c>
    </row>
    <row r="335" spans="18:20" x14ac:dyDescent="0.2">
      <c r="R335" cm="1">
        <f t="array" ref="R335" xml:space="preserve"> 1 + _xlfn.SINGLE(ROW()) - _xlfn.SINGLE(ROW(ExportSubstitutions_Within.RowNum))</f>
        <v>330</v>
      </c>
      <c r="S335" t="s">
        <v>1611</v>
      </c>
      <c r="T335" t="str">
        <f t="shared" si="12"/>
        <v>T-</v>
      </c>
    </row>
    <row r="336" spans="18:20" x14ac:dyDescent="0.2">
      <c r="R336" cm="1">
        <f t="array" ref="R336" xml:space="preserve"> 1 + _xlfn.SINGLE(ROW()) - _xlfn.SINGLE(ROW(ExportSubstitutions_Within.RowNum))</f>
        <v>331</v>
      </c>
      <c r="S336" t="s">
        <v>1380</v>
      </c>
      <c r="T336" t="str">
        <f t="shared" si="12"/>
        <v>0t</v>
      </c>
    </row>
    <row r="337" spans="18:20" x14ac:dyDescent="0.2">
      <c r="R337" cm="1">
        <f t="array" ref="R337" xml:space="preserve"> 1 + _xlfn.SINGLE(ROW()) - _xlfn.SINGLE(ROW(ExportSubstitutions_Within.RowNum))</f>
        <v>332</v>
      </c>
      <c r="S337" t="s">
        <v>1381</v>
      </c>
      <c r="T337" t="str">
        <f t="shared" si="12"/>
        <v>1t</v>
      </c>
    </row>
    <row r="338" spans="18:20" x14ac:dyDescent="0.2">
      <c r="R338" cm="1">
        <f t="array" ref="R338" xml:space="preserve"> 1 + _xlfn.SINGLE(ROW()) - _xlfn.SINGLE(ROW(ExportSubstitutions_Within.RowNum))</f>
        <v>333</v>
      </c>
      <c r="S338" t="s">
        <v>1382</v>
      </c>
      <c r="T338" t="str">
        <f t="shared" si="12"/>
        <v>2t</v>
      </c>
    </row>
    <row r="339" spans="18:20" x14ac:dyDescent="0.2">
      <c r="R339" cm="1">
        <f t="array" ref="R339" xml:space="preserve"> 1 + _xlfn.SINGLE(ROW()) - _xlfn.SINGLE(ROW(ExportSubstitutions_Within.RowNum))</f>
        <v>334</v>
      </c>
      <c r="S339" t="s">
        <v>1383</v>
      </c>
      <c r="T339" t="str">
        <f t="shared" si="12"/>
        <v>3t</v>
      </c>
    </row>
    <row r="340" spans="18:20" x14ac:dyDescent="0.2">
      <c r="R340" cm="1">
        <f t="array" ref="R340" xml:space="preserve"> 1 + _xlfn.SINGLE(ROW()) - _xlfn.SINGLE(ROW(ExportSubstitutions_Within.RowNum))</f>
        <v>335</v>
      </c>
      <c r="S340" t="s">
        <v>1384</v>
      </c>
      <c r="T340" t="str">
        <f t="shared" si="12"/>
        <v>4t</v>
      </c>
    </row>
    <row r="341" spans="18:20" x14ac:dyDescent="0.2">
      <c r="R341" cm="1">
        <f t="array" ref="R341" xml:space="preserve"> 1 + _xlfn.SINGLE(ROW()) - _xlfn.SINGLE(ROW(ExportSubstitutions_Within.RowNum))</f>
        <v>336</v>
      </c>
      <c r="S341" t="s">
        <v>1385</v>
      </c>
      <c r="T341" t="str">
        <f t="shared" si="12"/>
        <v>5t</v>
      </c>
    </row>
    <row r="342" spans="18:20" x14ac:dyDescent="0.2">
      <c r="R342" cm="1">
        <f t="array" ref="R342" xml:space="preserve"> 1 + _xlfn.SINGLE(ROW()) - _xlfn.SINGLE(ROW(ExportSubstitutions_Within.RowNum))</f>
        <v>337</v>
      </c>
      <c r="S342" t="s">
        <v>1386</v>
      </c>
      <c r="T342" t="str">
        <f t="shared" si="12"/>
        <v>6t</v>
      </c>
    </row>
    <row r="343" spans="18:20" x14ac:dyDescent="0.2">
      <c r="R343" cm="1">
        <f t="array" ref="R343" xml:space="preserve"> 1 + _xlfn.SINGLE(ROW()) - _xlfn.SINGLE(ROW(ExportSubstitutions_Within.RowNum))</f>
        <v>338</v>
      </c>
      <c r="S343" t="s">
        <v>1387</v>
      </c>
      <c r="T343" t="str">
        <f t="shared" si="12"/>
        <v>7t</v>
      </c>
    </row>
    <row r="344" spans="18:20" x14ac:dyDescent="0.2">
      <c r="R344" cm="1">
        <f t="array" ref="R344" xml:space="preserve"> 1 + _xlfn.SINGLE(ROW()) - _xlfn.SINGLE(ROW(ExportSubstitutions_Within.RowNum))</f>
        <v>339</v>
      </c>
      <c r="S344" t="s">
        <v>1388</v>
      </c>
      <c r="T344" t="str">
        <f t="shared" si="12"/>
        <v>8t</v>
      </c>
    </row>
    <row r="345" spans="18:20" x14ac:dyDescent="0.2">
      <c r="R345" cm="1">
        <f t="array" ref="R345" xml:space="preserve"> 1 + _xlfn.SINGLE(ROW()) - _xlfn.SINGLE(ROW(ExportSubstitutions_Within.RowNum))</f>
        <v>340</v>
      </c>
      <c r="S345" t="s">
        <v>1389</v>
      </c>
      <c r="T345" t="str">
        <f t="shared" si="12"/>
        <v>9t</v>
      </c>
    </row>
    <row r="346" spans="18:20" x14ac:dyDescent="0.2">
      <c r="R346" cm="1">
        <f t="array" ref="R346" xml:space="preserve"> 1 + _xlfn.SINGLE(ROW()) - _xlfn.SINGLE(ROW(ExportSubstitutions_Within.RowNum))</f>
        <v>341</v>
      </c>
      <c r="S346" t="s">
        <v>1390</v>
      </c>
      <c r="T346" t="str">
        <f t="shared" si="12"/>
        <v>t0</v>
      </c>
    </row>
    <row r="347" spans="18:20" x14ac:dyDescent="0.2">
      <c r="R347" cm="1">
        <f t="array" ref="R347" xml:space="preserve"> 1 + _xlfn.SINGLE(ROW()) - _xlfn.SINGLE(ROW(ExportSubstitutions_Within.RowNum))</f>
        <v>342</v>
      </c>
      <c r="S347" t="s">
        <v>1391</v>
      </c>
      <c r="T347" t="str">
        <f t="shared" si="12"/>
        <v>t1</v>
      </c>
    </row>
    <row r="348" spans="18:20" x14ac:dyDescent="0.2">
      <c r="R348" cm="1">
        <f t="array" ref="R348" xml:space="preserve"> 1 + _xlfn.SINGLE(ROW()) - _xlfn.SINGLE(ROW(ExportSubstitutions_Within.RowNum))</f>
        <v>343</v>
      </c>
      <c r="S348" t="s">
        <v>1392</v>
      </c>
      <c r="T348" t="str">
        <f t="shared" si="12"/>
        <v>t2</v>
      </c>
    </row>
    <row r="349" spans="18:20" x14ac:dyDescent="0.2">
      <c r="R349" cm="1">
        <f t="array" ref="R349" xml:space="preserve"> 1 + _xlfn.SINGLE(ROW()) - _xlfn.SINGLE(ROW(ExportSubstitutions_Within.RowNum))</f>
        <v>344</v>
      </c>
      <c r="S349" t="s">
        <v>1393</v>
      </c>
      <c r="T349" t="str">
        <f t="shared" si="12"/>
        <v>t3</v>
      </c>
    </row>
    <row r="350" spans="18:20" x14ac:dyDescent="0.2">
      <c r="R350" cm="1">
        <f t="array" ref="R350" xml:space="preserve"> 1 + _xlfn.SINGLE(ROW()) - _xlfn.SINGLE(ROW(ExportSubstitutions_Within.RowNum))</f>
        <v>345</v>
      </c>
      <c r="S350" t="s">
        <v>1394</v>
      </c>
      <c r="T350" t="str">
        <f t="shared" si="12"/>
        <v>t4</v>
      </c>
    </row>
    <row r="351" spans="18:20" x14ac:dyDescent="0.2">
      <c r="R351" cm="1">
        <f t="array" ref="R351" xml:space="preserve"> 1 + _xlfn.SINGLE(ROW()) - _xlfn.SINGLE(ROW(ExportSubstitutions_Within.RowNum))</f>
        <v>346</v>
      </c>
      <c r="S351" t="s">
        <v>1395</v>
      </c>
      <c r="T351" t="str">
        <f t="shared" si="12"/>
        <v>t5</v>
      </c>
    </row>
    <row r="352" spans="18:20" x14ac:dyDescent="0.2">
      <c r="R352" cm="1">
        <f t="array" ref="R352" xml:space="preserve"> 1 + _xlfn.SINGLE(ROW()) - _xlfn.SINGLE(ROW(ExportSubstitutions_Within.RowNum))</f>
        <v>347</v>
      </c>
      <c r="S352" t="s">
        <v>1396</v>
      </c>
      <c r="T352" t="str">
        <f t="shared" si="12"/>
        <v>t6</v>
      </c>
    </row>
    <row r="353" spans="18:20" x14ac:dyDescent="0.2">
      <c r="R353" cm="1">
        <f t="array" ref="R353" xml:space="preserve"> 1 + _xlfn.SINGLE(ROW()) - _xlfn.SINGLE(ROW(ExportSubstitutions_Within.RowNum))</f>
        <v>348</v>
      </c>
      <c r="S353" t="s">
        <v>1397</v>
      </c>
      <c r="T353" t="str">
        <f t="shared" si="12"/>
        <v>t7</v>
      </c>
    </row>
    <row r="354" spans="18:20" x14ac:dyDescent="0.2">
      <c r="R354" cm="1">
        <f t="array" ref="R354" xml:space="preserve"> 1 + _xlfn.SINGLE(ROW()) - _xlfn.SINGLE(ROW(ExportSubstitutions_Within.RowNum))</f>
        <v>349</v>
      </c>
      <c r="S354" t="s">
        <v>1398</v>
      </c>
      <c r="T354" t="str">
        <f t="shared" si="12"/>
        <v>t8</v>
      </c>
    </row>
    <row r="355" spans="18:20" x14ac:dyDescent="0.2">
      <c r="R355" cm="1">
        <f t="array" ref="R355" xml:space="preserve"> 1 + _xlfn.SINGLE(ROW()) - _xlfn.SINGLE(ROW(ExportSubstitutions_Within.RowNum))</f>
        <v>350</v>
      </c>
      <c r="S355" t="s">
        <v>1399</v>
      </c>
      <c r="T355" t="str">
        <f t="shared" si="12"/>
        <v>t9</v>
      </c>
    </row>
    <row r="356" spans="18:20" x14ac:dyDescent="0.2">
      <c r="R356" cm="1">
        <f t="array" ref="R356" xml:space="preserve"> 1 + _xlfn.SINGLE(ROW()) - _xlfn.SINGLE(ROW(ExportSubstitutions_Within.RowNum))</f>
        <v>351</v>
      </c>
      <c r="S356" t="s">
        <v>1612</v>
      </c>
      <c r="T356" t="str">
        <f t="shared" si="12"/>
        <v>t.</v>
      </c>
    </row>
    <row r="357" spans="18:20" x14ac:dyDescent="0.2">
      <c r="R357" cm="1">
        <f t="array" ref="R357" xml:space="preserve"> 1 + _xlfn.SINGLE(ROW()) - _xlfn.SINGLE(ROW(ExportSubstitutions_Within.RowNum))</f>
        <v>352</v>
      </c>
      <c r="S357" t="s">
        <v>1613</v>
      </c>
      <c r="T357" t="str">
        <f t="shared" si="12"/>
        <v>t-</v>
      </c>
    </row>
    <row r="358" spans="18:20" x14ac:dyDescent="0.2">
      <c r="R358" cm="1">
        <f t="array" ref="R358" xml:space="preserve"> 1 + _xlfn.SINGLE(ROW()) - _xlfn.SINGLE(ROW(ExportSubstitutions_Within.RowNum))</f>
        <v>353</v>
      </c>
      <c r="S358" t="s">
        <v>1400</v>
      </c>
      <c r="T358" t="str">
        <f t="shared" si="12"/>
        <v>0V</v>
      </c>
    </row>
    <row r="359" spans="18:20" x14ac:dyDescent="0.2">
      <c r="R359" cm="1">
        <f t="array" ref="R359" xml:space="preserve"> 1 + _xlfn.SINGLE(ROW()) - _xlfn.SINGLE(ROW(ExportSubstitutions_Within.RowNum))</f>
        <v>354</v>
      </c>
      <c r="S359" t="s">
        <v>1401</v>
      </c>
      <c r="T359" t="str">
        <f t="shared" si="12"/>
        <v>1V</v>
      </c>
    </row>
    <row r="360" spans="18:20" x14ac:dyDescent="0.2">
      <c r="R360" cm="1">
        <f t="array" ref="R360" xml:space="preserve"> 1 + _xlfn.SINGLE(ROW()) - _xlfn.SINGLE(ROW(ExportSubstitutions_Within.RowNum))</f>
        <v>355</v>
      </c>
      <c r="S360" t="s">
        <v>1402</v>
      </c>
      <c r="T360" t="str">
        <f t="shared" si="12"/>
        <v>2V</v>
      </c>
    </row>
    <row r="361" spans="18:20" x14ac:dyDescent="0.2">
      <c r="R361" cm="1">
        <f t="array" ref="R361" xml:space="preserve"> 1 + _xlfn.SINGLE(ROW()) - _xlfn.SINGLE(ROW(ExportSubstitutions_Within.RowNum))</f>
        <v>356</v>
      </c>
      <c r="S361" t="s">
        <v>1403</v>
      </c>
      <c r="T361" t="str">
        <f t="shared" si="12"/>
        <v>3V</v>
      </c>
    </row>
    <row r="362" spans="18:20" x14ac:dyDescent="0.2">
      <c r="R362" cm="1">
        <f t="array" ref="R362" xml:space="preserve"> 1 + _xlfn.SINGLE(ROW()) - _xlfn.SINGLE(ROW(ExportSubstitutions_Within.RowNum))</f>
        <v>357</v>
      </c>
      <c r="S362" t="s">
        <v>1404</v>
      </c>
      <c r="T362" t="str">
        <f t="shared" si="12"/>
        <v>4V</v>
      </c>
    </row>
    <row r="363" spans="18:20" x14ac:dyDescent="0.2">
      <c r="R363" cm="1">
        <f t="array" ref="R363" xml:space="preserve"> 1 + _xlfn.SINGLE(ROW()) - _xlfn.SINGLE(ROW(ExportSubstitutions_Within.RowNum))</f>
        <v>358</v>
      </c>
      <c r="S363" t="s">
        <v>1405</v>
      </c>
      <c r="T363" t="str">
        <f t="shared" si="12"/>
        <v>5V</v>
      </c>
    </row>
    <row r="364" spans="18:20" x14ac:dyDescent="0.2">
      <c r="R364" cm="1">
        <f t="array" ref="R364" xml:space="preserve"> 1 + _xlfn.SINGLE(ROW()) - _xlfn.SINGLE(ROW(ExportSubstitutions_Within.RowNum))</f>
        <v>359</v>
      </c>
      <c r="S364" t="s">
        <v>1406</v>
      </c>
      <c r="T364" t="str">
        <f t="shared" si="12"/>
        <v>6V</v>
      </c>
    </row>
    <row r="365" spans="18:20" x14ac:dyDescent="0.2">
      <c r="R365" cm="1">
        <f t="array" ref="R365" xml:space="preserve"> 1 + _xlfn.SINGLE(ROW()) - _xlfn.SINGLE(ROW(ExportSubstitutions_Within.RowNum))</f>
        <v>360</v>
      </c>
      <c r="S365" t="s">
        <v>1407</v>
      </c>
      <c r="T365" t="str">
        <f t="shared" si="12"/>
        <v>7V</v>
      </c>
    </row>
    <row r="366" spans="18:20" x14ac:dyDescent="0.2">
      <c r="R366" cm="1">
        <f t="array" ref="R366" xml:space="preserve"> 1 + _xlfn.SINGLE(ROW()) - _xlfn.SINGLE(ROW(ExportSubstitutions_Within.RowNum))</f>
        <v>361</v>
      </c>
      <c r="S366" t="s">
        <v>1408</v>
      </c>
      <c r="T366" t="str">
        <f t="shared" si="12"/>
        <v>8V</v>
      </c>
    </row>
    <row r="367" spans="18:20" x14ac:dyDescent="0.2">
      <c r="R367" cm="1">
        <f t="array" ref="R367" xml:space="preserve"> 1 + _xlfn.SINGLE(ROW()) - _xlfn.SINGLE(ROW(ExportSubstitutions_Within.RowNum))</f>
        <v>362</v>
      </c>
      <c r="S367" t="s">
        <v>1409</v>
      </c>
      <c r="T367" t="str">
        <f t="shared" si="12"/>
        <v>9V</v>
      </c>
    </row>
    <row r="368" spans="18:20" x14ac:dyDescent="0.2">
      <c r="R368" cm="1">
        <f t="array" ref="R368" xml:space="preserve"> 1 + _xlfn.SINGLE(ROW()) - _xlfn.SINGLE(ROW(ExportSubstitutions_Within.RowNum))</f>
        <v>363</v>
      </c>
      <c r="S368" t="s">
        <v>1410</v>
      </c>
      <c r="T368" t="str">
        <f t="shared" si="12"/>
        <v>V0</v>
      </c>
    </row>
    <row r="369" spans="18:20" x14ac:dyDescent="0.2">
      <c r="R369" cm="1">
        <f t="array" ref="R369" xml:space="preserve"> 1 + _xlfn.SINGLE(ROW()) - _xlfn.SINGLE(ROW(ExportSubstitutions_Within.RowNum))</f>
        <v>364</v>
      </c>
      <c r="S369" t="s">
        <v>1411</v>
      </c>
      <c r="T369" t="str">
        <f t="shared" si="12"/>
        <v>V1</v>
      </c>
    </row>
    <row r="370" spans="18:20" x14ac:dyDescent="0.2">
      <c r="R370" cm="1">
        <f t="array" ref="R370" xml:space="preserve"> 1 + _xlfn.SINGLE(ROW()) - _xlfn.SINGLE(ROW(ExportSubstitutions_Within.RowNum))</f>
        <v>365</v>
      </c>
      <c r="S370" t="s">
        <v>1412</v>
      </c>
      <c r="T370" t="str">
        <f t="shared" si="12"/>
        <v>V2</v>
      </c>
    </row>
    <row r="371" spans="18:20" x14ac:dyDescent="0.2">
      <c r="R371" cm="1">
        <f t="array" ref="R371" xml:space="preserve"> 1 + _xlfn.SINGLE(ROW()) - _xlfn.SINGLE(ROW(ExportSubstitutions_Within.RowNum))</f>
        <v>366</v>
      </c>
      <c r="S371" t="s">
        <v>1413</v>
      </c>
      <c r="T371" t="str">
        <f t="shared" si="12"/>
        <v>V3</v>
      </c>
    </row>
    <row r="372" spans="18:20" x14ac:dyDescent="0.2">
      <c r="R372" cm="1">
        <f t="array" ref="R372" xml:space="preserve"> 1 + _xlfn.SINGLE(ROW()) - _xlfn.SINGLE(ROW(ExportSubstitutions_Within.RowNum))</f>
        <v>367</v>
      </c>
      <c r="S372" t="s">
        <v>1414</v>
      </c>
      <c r="T372" t="str">
        <f t="shared" si="12"/>
        <v>V4</v>
      </c>
    </row>
    <row r="373" spans="18:20" x14ac:dyDescent="0.2">
      <c r="R373" cm="1">
        <f t="array" ref="R373" xml:space="preserve"> 1 + _xlfn.SINGLE(ROW()) - _xlfn.SINGLE(ROW(ExportSubstitutions_Within.RowNum))</f>
        <v>368</v>
      </c>
      <c r="S373" t="s">
        <v>1415</v>
      </c>
      <c r="T373" t="str">
        <f t="shared" si="12"/>
        <v>V5</v>
      </c>
    </row>
    <row r="374" spans="18:20" x14ac:dyDescent="0.2">
      <c r="R374" cm="1">
        <f t="array" ref="R374" xml:space="preserve"> 1 + _xlfn.SINGLE(ROW()) - _xlfn.SINGLE(ROW(ExportSubstitutions_Within.RowNum))</f>
        <v>369</v>
      </c>
      <c r="S374" t="s">
        <v>1416</v>
      </c>
      <c r="T374" t="str">
        <f t="shared" si="12"/>
        <v>V6</v>
      </c>
    </row>
    <row r="375" spans="18:20" x14ac:dyDescent="0.2">
      <c r="R375" cm="1">
        <f t="array" ref="R375" xml:space="preserve"> 1 + _xlfn.SINGLE(ROW()) - _xlfn.SINGLE(ROW(ExportSubstitutions_Within.RowNum))</f>
        <v>370</v>
      </c>
      <c r="S375" t="s">
        <v>1417</v>
      </c>
      <c r="T375" t="str">
        <f t="shared" si="12"/>
        <v>V7</v>
      </c>
    </row>
    <row r="376" spans="18:20" x14ac:dyDescent="0.2">
      <c r="R376" cm="1">
        <f t="array" ref="R376" xml:space="preserve"> 1 + _xlfn.SINGLE(ROW()) - _xlfn.SINGLE(ROW(ExportSubstitutions_Within.RowNum))</f>
        <v>371</v>
      </c>
      <c r="S376" t="s">
        <v>1418</v>
      </c>
      <c r="T376" t="str">
        <f t="shared" si="12"/>
        <v>V8</v>
      </c>
    </row>
    <row r="377" spans="18:20" x14ac:dyDescent="0.2">
      <c r="R377" cm="1">
        <f t="array" ref="R377" xml:space="preserve"> 1 + _xlfn.SINGLE(ROW()) - _xlfn.SINGLE(ROW(ExportSubstitutions_Within.RowNum))</f>
        <v>372</v>
      </c>
      <c r="S377" t="s">
        <v>1419</v>
      </c>
      <c r="T377" t="str">
        <f t="shared" si="12"/>
        <v>V9</v>
      </c>
    </row>
    <row r="378" spans="18:20" x14ac:dyDescent="0.2">
      <c r="R378" cm="1">
        <f t="array" ref="R378" xml:space="preserve"> 1 + _xlfn.SINGLE(ROW()) - _xlfn.SINGLE(ROW(ExportSubstitutions_Within.RowNum))</f>
        <v>373</v>
      </c>
      <c r="S378" t="s">
        <v>1614</v>
      </c>
      <c r="T378" t="str">
        <f t="shared" si="12"/>
        <v>V.</v>
      </c>
    </row>
    <row r="379" spans="18:20" x14ac:dyDescent="0.2">
      <c r="R379" cm="1">
        <f t="array" ref="R379" xml:space="preserve"> 1 + _xlfn.SINGLE(ROW()) - _xlfn.SINGLE(ROW(ExportSubstitutions_Within.RowNum))</f>
        <v>374</v>
      </c>
      <c r="S379" t="s">
        <v>1615</v>
      </c>
      <c r="T379" t="str">
        <f t="shared" si="12"/>
        <v>V-</v>
      </c>
    </row>
    <row r="380" spans="18:20" x14ac:dyDescent="0.2">
      <c r="R380" cm="1">
        <f t="array" ref="R380" xml:space="preserve"> 1 + _xlfn.SINGLE(ROW()) - _xlfn.SINGLE(ROW(ExportSubstitutions_Within.RowNum))</f>
        <v>375</v>
      </c>
      <c r="S380" t="s">
        <v>1420</v>
      </c>
      <c r="T380" t="str">
        <f t="shared" si="12"/>
        <v>0v</v>
      </c>
    </row>
    <row r="381" spans="18:20" x14ac:dyDescent="0.2">
      <c r="R381" cm="1">
        <f t="array" ref="R381" xml:space="preserve"> 1 + _xlfn.SINGLE(ROW()) - _xlfn.SINGLE(ROW(ExportSubstitutions_Within.RowNum))</f>
        <v>376</v>
      </c>
      <c r="S381" t="s">
        <v>1421</v>
      </c>
      <c r="T381" t="str">
        <f t="shared" si="12"/>
        <v>1v</v>
      </c>
    </row>
    <row r="382" spans="18:20" x14ac:dyDescent="0.2">
      <c r="R382" cm="1">
        <f t="array" ref="R382" xml:space="preserve"> 1 + _xlfn.SINGLE(ROW()) - _xlfn.SINGLE(ROW(ExportSubstitutions_Within.RowNum))</f>
        <v>377</v>
      </c>
      <c r="S382" t="s">
        <v>1422</v>
      </c>
      <c r="T382" t="str">
        <f t="shared" si="12"/>
        <v>2v</v>
      </c>
    </row>
    <row r="383" spans="18:20" x14ac:dyDescent="0.2">
      <c r="R383" cm="1">
        <f t="array" ref="R383" xml:space="preserve"> 1 + _xlfn.SINGLE(ROW()) - _xlfn.SINGLE(ROW(ExportSubstitutions_Within.RowNum))</f>
        <v>378</v>
      </c>
      <c r="S383" t="s">
        <v>1423</v>
      </c>
      <c r="T383" t="str">
        <f t="shared" si="12"/>
        <v>3v</v>
      </c>
    </row>
    <row r="384" spans="18:20" x14ac:dyDescent="0.2">
      <c r="R384" cm="1">
        <f t="array" ref="R384" xml:space="preserve"> 1 + _xlfn.SINGLE(ROW()) - _xlfn.SINGLE(ROW(ExportSubstitutions_Within.RowNum))</f>
        <v>379</v>
      </c>
      <c r="S384" t="s">
        <v>1424</v>
      </c>
      <c r="T384" t="str">
        <f t="shared" si="12"/>
        <v>4v</v>
      </c>
    </row>
    <row r="385" spans="18:20" x14ac:dyDescent="0.2">
      <c r="R385" cm="1">
        <f t="array" ref="R385" xml:space="preserve"> 1 + _xlfn.SINGLE(ROW()) - _xlfn.SINGLE(ROW(ExportSubstitutions_Within.RowNum))</f>
        <v>380</v>
      </c>
      <c r="S385" t="s">
        <v>1425</v>
      </c>
      <c r="T385" t="str">
        <f t="shared" si="12"/>
        <v>5v</v>
      </c>
    </row>
    <row r="386" spans="18:20" x14ac:dyDescent="0.2">
      <c r="R386" cm="1">
        <f t="array" ref="R386" xml:space="preserve"> 1 + _xlfn.SINGLE(ROW()) - _xlfn.SINGLE(ROW(ExportSubstitutions_Within.RowNum))</f>
        <v>381</v>
      </c>
      <c r="S386" t="s">
        <v>1426</v>
      </c>
      <c r="T386" t="str">
        <f t="shared" si="12"/>
        <v>6v</v>
      </c>
    </row>
    <row r="387" spans="18:20" x14ac:dyDescent="0.2">
      <c r="R387" cm="1">
        <f t="array" ref="R387" xml:space="preserve"> 1 + _xlfn.SINGLE(ROW()) - _xlfn.SINGLE(ROW(ExportSubstitutions_Within.RowNum))</f>
        <v>382</v>
      </c>
      <c r="S387" t="s">
        <v>1427</v>
      </c>
      <c r="T387" t="str">
        <f t="shared" si="12"/>
        <v>7v</v>
      </c>
    </row>
    <row r="388" spans="18:20" x14ac:dyDescent="0.2">
      <c r="R388" cm="1">
        <f t="array" ref="R388" xml:space="preserve"> 1 + _xlfn.SINGLE(ROW()) - _xlfn.SINGLE(ROW(ExportSubstitutions_Within.RowNum))</f>
        <v>383</v>
      </c>
      <c r="S388" t="s">
        <v>1428</v>
      </c>
      <c r="T388" t="str">
        <f t="shared" si="12"/>
        <v>8v</v>
      </c>
    </row>
    <row r="389" spans="18:20" x14ac:dyDescent="0.2">
      <c r="R389" cm="1">
        <f t="array" ref="R389" xml:space="preserve"> 1 + _xlfn.SINGLE(ROW()) - _xlfn.SINGLE(ROW(ExportSubstitutions_Within.RowNum))</f>
        <v>384</v>
      </c>
      <c r="S389" t="s">
        <v>1429</v>
      </c>
      <c r="T389" t="str">
        <f t="shared" si="12"/>
        <v>9v</v>
      </c>
    </row>
    <row r="390" spans="18:20" x14ac:dyDescent="0.2">
      <c r="R390" cm="1">
        <f t="array" ref="R390" xml:space="preserve"> 1 + _xlfn.SINGLE(ROW()) - _xlfn.SINGLE(ROW(ExportSubstitutions_Within.RowNum))</f>
        <v>385</v>
      </c>
      <c r="S390" t="s">
        <v>1430</v>
      </c>
      <c r="T390" t="str">
        <f t="shared" ref="T390:T419" si="13" xml:space="preserve"> SUBSTITUTE(ExportSubstitutions_Within.From, " ", "")</f>
        <v>v0</v>
      </c>
    </row>
    <row r="391" spans="18:20" x14ac:dyDescent="0.2">
      <c r="R391" cm="1">
        <f t="array" ref="R391" xml:space="preserve"> 1 + _xlfn.SINGLE(ROW()) - _xlfn.SINGLE(ROW(ExportSubstitutions_Within.RowNum))</f>
        <v>386</v>
      </c>
      <c r="S391" t="s">
        <v>1431</v>
      </c>
      <c r="T391" t="str">
        <f t="shared" si="13"/>
        <v>v1</v>
      </c>
    </row>
    <row r="392" spans="18:20" x14ac:dyDescent="0.2">
      <c r="R392" cm="1">
        <f t="array" ref="R392" xml:space="preserve"> 1 + _xlfn.SINGLE(ROW()) - _xlfn.SINGLE(ROW(ExportSubstitutions_Within.RowNum))</f>
        <v>387</v>
      </c>
      <c r="S392" t="s">
        <v>1432</v>
      </c>
      <c r="T392" t="str">
        <f t="shared" si="13"/>
        <v>v2</v>
      </c>
    </row>
    <row r="393" spans="18:20" x14ac:dyDescent="0.2">
      <c r="R393" cm="1">
        <f t="array" ref="R393" xml:space="preserve"> 1 + _xlfn.SINGLE(ROW()) - _xlfn.SINGLE(ROW(ExportSubstitutions_Within.RowNum))</f>
        <v>388</v>
      </c>
      <c r="S393" t="s">
        <v>1433</v>
      </c>
      <c r="T393" t="str">
        <f t="shared" si="13"/>
        <v>v3</v>
      </c>
    </row>
    <row r="394" spans="18:20" x14ac:dyDescent="0.2">
      <c r="R394" cm="1">
        <f t="array" ref="R394" xml:space="preserve"> 1 + _xlfn.SINGLE(ROW()) - _xlfn.SINGLE(ROW(ExportSubstitutions_Within.RowNum))</f>
        <v>389</v>
      </c>
      <c r="S394" t="s">
        <v>1434</v>
      </c>
      <c r="T394" t="str">
        <f t="shared" si="13"/>
        <v>v4</v>
      </c>
    </row>
    <row r="395" spans="18:20" x14ac:dyDescent="0.2">
      <c r="R395" cm="1">
        <f t="array" ref="R395" xml:space="preserve"> 1 + _xlfn.SINGLE(ROW()) - _xlfn.SINGLE(ROW(ExportSubstitutions_Within.RowNum))</f>
        <v>390</v>
      </c>
      <c r="S395" t="s">
        <v>1435</v>
      </c>
      <c r="T395" t="str">
        <f t="shared" si="13"/>
        <v>v5</v>
      </c>
    </row>
    <row r="396" spans="18:20" x14ac:dyDescent="0.2">
      <c r="R396" cm="1">
        <f t="array" ref="R396" xml:space="preserve"> 1 + _xlfn.SINGLE(ROW()) - _xlfn.SINGLE(ROW(ExportSubstitutions_Within.RowNum))</f>
        <v>391</v>
      </c>
      <c r="S396" t="s">
        <v>1436</v>
      </c>
      <c r="T396" t="str">
        <f t="shared" si="13"/>
        <v>v6</v>
      </c>
    </row>
    <row r="397" spans="18:20" x14ac:dyDescent="0.2">
      <c r="R397" cm="1">
        <f t="array" ref="R397" xml:space="preserve"> 1 + _xlfn.SINGLE(ROW()) - _xlfn.SINGLE(ROW(ExportSubstitutions_Within.RowNum))</f>
        <v>392</v>
      </c>
      <c r="S397" t="s">
        <v>1437</v>
      </c>
      <c r="T397" t="str">
        <f t="shared" si="13"/>
        <v>v7</v>
      </c>
    </row>
    <row r="398" spans="18:20" x14ac:dyDescent="0.2">
      <c r="R398" cm="1">
        <f t="array" ref="R398" xml:space="preserve"> 1 + _xlfn.SINGLE(ROW()) - _xlfn.SINGLE(ROW(ExportSubstitutions_Within.RowNum))</f>
        <v>393</v>
      </c>
      <c r="S398" t="s">
        <v>1438</v>
      </c>
      <c r="T398" t="str">
        <f t="shared" si="13"/>
        <v>v8</v>
      </c>
    </row>
    <row r="399" spans="18:20" x14ac:dyDescent="0.2">
      <c r="R399" cm="1">
        <f t="array" ref="R399" xml:space="preserve"> 1 + _xlfn.SINGLE(ROW()) - _xlfn.SINGLE(ROW(ExportSubstitutions_Within.RowNum))</f>
        <v>394</v>
      </c>
      <c r="S399" t="s">
        <v>1439</v>
      </c>
      <c r="T399" t="str">
        <f t="shared" si="13"/>
        <v>v9</v>
      </c>
    </row>
    <row r="400" spans="18:20" x14ac:dyDescent="0.2">
      <c r="R400" cm="1">
        <f t="array" ref="R400" xml:space="preserve"> 1 + _xlfn.SINGLE(ROW()) - _xlfn.SINGLE(ROW(ExportSubstitutions_Within.RowNum))</f>
        <v>395</v>
      </c>
      <c r="S400" t="s">
        <v>1440</v>
      </c>
      <c r="T400" t="str">
        <f t="shared" si="13"/>
        <v>0Z</v>
      </c>
    </row>
    <row r="401" spans="18:20" x14ac:dyDescent="0.2">
      <c r="R401" cm="1">
        <f t="array" ref="R401" xml:space="preserve"> 1 + _xlfn.SINGLE(ROW()) - _xlfn.SINGLE(ROW(ExportSubstitutions_Within.RowNum))</f>
        <v>396</v>
      </c>
      <c r="S401" t="s">
        <v>1441</v>
      </c>
      <c r="T401" t="str">
        <f t="shared" si="13"/>
        <v>1Z</v>
      </c>
    </row>
    <row r="402" spans="18:20" x14ac:dyDescent="0.2">
      <c r="R402" cm="1">
        <f t="array" ref="R402" xml:space="preserve"> 1 + _xlfn.SINGLE(ROW()) - _xlfn.SINGLE(ROW(ExportSubstitutions_Within.RowNum))</f>
        <v>397</v>
      </c>
      <c r="S402" t="s">
        <v>1442</v>
      </c>
      <c r="T402" t="str">
        <f t="shared" si="13"/>
        <v>2Z</v>
      </c>
    </row>
    <row r="403" spans="18:20" x14ac:dyDescent="0.2">
      <c r="R403" cm="1">
        <f t="array" ref="R403" xml:space="preserve"> 1 + _xlfn.SINGLE(ROW()) - _xlfn.SINGLE(ROW(ExportSubstitutions_Within.RowNum))</f>
        <v>398</v>
      </c>
      <c r="S403" t="s">
        <v>1443</v>
      </c>
      <c r="T403" t="str">
        <f t="shared" si="13"/>
        <v>3Z</v>
      </c>
    </row>
    <row r="404" spans="18:20" x14ac:dyDescent="0.2">
      <c r="R404" cm="1">
        <f t="array" ref="R404" xml:space="preserve"> 1 + _xlfn.SINGLE(ROW()) - _xlfn.SINGLE(ROW(ExportSubstitutions_Within.RowNum))</f>
        <v>399</v>
      </c>
      <c r="S404" t="s">
        <v>1444</v>
      </c>
      <c r="T404" t="str">
        <f t="shared" si="13"/>
        <v>4Z</v>
      </c>
    </row>
    <row r="405" spans="18:20" x14ac:dyDescent="0.2">
      <c r="R405" cm="1">
        <f t="array" ref="R405" xml:space="preserve"> 1 + _xlfn.SINGLE(ROW()) - _xlfn.SINGLE(ROW(ExportSubstitutions_Within.RowNum))</f>
        <v>400</v>
      </c>
      <c r="S405" t="s">
        <v>1445</v>
      </c>
      <c r="T405" t="str">
        <f t="shared" si="13"/>
        <v>5Z</v>
      </c>
    </row>
    <row r="406" spans="18:20" x14ac:dyDescent="0.2">
      <c r="R406" cm="1">
        <f t="array" ref="R406" xml:space="preserve"> 1 + _xlfn.SINGLE(ROW()) - _xlfn.SINGLE(ROW(ExportSubstitutions_Within.RowNum))</f>
        <v>401</v>
      </c>
      <c r="S406" t="s">
        <v>1446</v>
      </c>
      <c r="T406" t="str">
        <f t="shared" si="13"/>
        <v>6Z</v>
      </c>
    </row>
    <row r="407" spans="18:20" x14ac:dyDescent="0.2">
      <c r="R407" cm="1">
        <f t="array" ref="R407" xml:space="preserve"> 1 + _xlfn.SINGLE(ROW()) - _xlfn.SINGLE(ROW(ExportSubstitutions_Within.RowNum))</f>
        <v>402</v>
      </c>
      <c r="S407" t="s">
        <v>1447</v>
      </c>
      <c r="T407" t="str">
        <f t="shared" si="13"/>
        <v>7Z</v>
      </c>
    </row>
    <row r="408" spans="18:20" x14ac:dyDescent="0.2">
      <c r="R408" cm="1">
        <f t="array" ref="R408" xml:space="preserve"> 1 + _xlfn.SINGLE(ROW()) - _xlfn.SINGLE(ROW(ExportSubstitutions_Within.RowNum))</f>
        <v>403</v>
      </c>
      <c r="S408" t="s">
        <v>1448</v>
      </c>
      <c r="T408" t="str">
        <f t="shared" si="13"/>
        <v>8Z</v>
      </c>
    </row>
    <row r="409" spans="18:20" x14ac:dyDescent="0.2">
      <c r="R409" cm="1">
        <f t="array" ref="R409" xml:space="preserve"> 1 + _xlfn.SINGLE(ROW()) - _xlfn.SINGLE(ROW(ExportSubstitutions_Within.RowNum))</f>
        <v>404</v>
      </c>
      <c r="S409" t="s">
        <v>1449</v>
      </c>
      <c r="T409" t="str">
        <f t="shared" si="13"/>
        <v>9Z</v>
      </c>
    </row>
    <row r="410" spans="18:20" x14ac:dyDescent="0.2">
      <c r="R410" cm="1">
        <f t="array" ref="R410" xml:space="preserve"> 1 + _xlfn.SINGLE(ROW()) - _xlfn.SINGLE(ROW(ExportSubstitutions_Within.RowNum))</f>
        <v>405</v>
      </c>
      <c r="S410" t="s">
        <v>1450</v>
      </c>
      <c r="T410" t="str">
        <f t="shared" si="13"/>
        <v>0z</v>
      </c>
    </row>
    <row r="411" spans="18:20" x14ac:dyDescent="0.2">
      <c r="R411" cm="1">
        <f t="array" ref="R411" xml:space="preserve"> 1 + _xlfn.SINGLE(ROW()) - _xlfn.SINGLE(ROW(ExportSubstitutions_Within.RowNum))</f>
        <v>406</v>
      </c>
      <c r="S411" t="s">
        <v>1451</v>
      </c>
      <c r="T411" t="str">
        <f t="shared" si="13"/>
        <v>1z</v>
      </c>
    </row>
    <row r="412" spans="18:20" x14ac:dyDescent="0.2">
      <c r="R412" cm="1">
        <f t="array" ref="R412" xml:space="preserve"> 1 + _xlfn.SINGLE(ROW()) - _xlfn.SINGLE(ROW(ExportSubstitutions_Within.RowNum))</f>
        <v>407</v>
      </c>
      <c r="S412" t="s">
        <v>1452</v>
      </c>
      <c r="T412" t="str">
        <f t="shared" si="13"/>
        <v>2z</v>
      </c>
    </row>
    <row r="413" spans="18:20" x14ac:dyDescent="0.2">
      <c r="R413" cm="1">
        <f t="array" ref="R413" xml:space="preserve"> 1 + _xlfn.SINGLE(ROW()) - _xlfn.SINGLE(ROW(ExportSubstitutions_Within.RowNum))</f>
        <v>408</v>
      </c>
      <c r="S413" t="s">
        <v>1453</v>
      </c>
      <c r="T413" t="str">
        <f t="shared" si="13"/>
        <v>3z</v>
      </c>
    </row>
    <row r="414" spans="18:20" x14ac:dyDescent="0.2">
      <c r="R414" cm="1">
        <f t="array" ref="R414" xml:space="preserve"> 1 + _xlfn.SINGLE(ROW()) - _xlfn.SINGLE(ROW(ExportSubstitutions_Within.RowNum))</f>
        <v>409</v>
      </c>
      <c r="S414" t="s">
        <v>1454</v>
      </c>
      <c r="T414" t="str">
        <f t="shared" si="13"/>
        <v>4z</v>
      </c>
    </row>
    <row r="415" spans="18:20" x14ac:dyDescent="0.2">
      <c r="R415" cm="1">
        <f t="array" ref="R415" xml:space="preserve"> 1 + _xlfn.SINGLE(ROW()) - _xlfn.SINGLE(ROW(ExportSubstitutions_Within.RowNum))</f>
        <v>410</v>
      </c>
      <c r="S415" t="s">
        <v>1455</v>
      </c>
      <c r="T415" t="str">
        <f t="shared" si="13"/>
        <v>5z</v>
      </c>
    </row>
    <row r="416" spans="18:20" x14ac:dyDescent="0.2">
      <c r="R416" cm="1">
        <f t="array" ref="R416" xml:space="preserve"> 1 + _xlfn.SINGLE(ROW()) - _xlfn.SINGLE(ROW(ExportSubstitutions_Within.RowNum))</f>
        <v>411</v>
      </c>
      <c r="S416" t="s">
        <v>1456</v>
      </c>
      <c r="T416" t="str">
        <f t="shared" si="13"/>
        <v>6z</v>
      </c>
    </row>
    <row r="417" spans="18:20" x14ac:dyDescent="0.2">
      <c r="R417" cm="1">
        <f t="array" ref="R417" xml:space="preserve"> 1 + _xlfn.SINGLE(ROW()) - _xlfn.SINGLE(ROW(ExportSubstitutions_Within.RowNum))</f>
        <v>412</v>
      </c>
      <c r="S417" t="s">
        <v>1457</v>
      </c>
      <c r="T417" t="str">
        <f t="shared" si="13"/>
        <v>7z</v>
      </c>
    </row>
    <row r="418" spans="18:20" x14ac:dyDescent="0.2">
      <c r="R418" cm="1">
        <f t="array" ref="R418" xml:space="preserve"> 1 + _xlfn.SINGLE(ROW()) - _xlfn.SINGLE(ROW(ExportSubstitutions_Within.RowNum))</f>
        <v>413</v>
      </c>
      <c r="S418" t="s">
        <v>1458</v>
      </c>
      <c r="T418" t="str">
        <f t="shared" si="13"/>
        <v>8z</v>
      </c>
    </row>
    <row r="419" spans="18:20" x14ac:dyDescent="0.2">
      <c r="R419" cm="1">
        <f t="array" ref="R419" xml:space="preserve"> 1 + _xlfn.SINGLE(ROW()) - _xlfn.SINGLE(ROW(ExportSubstitutions_Within.RowNum))</f>
        <v>414</v>
      </c>
      <c r="S419" t="s">
        <v>1459</v>
      </c>
      <c r="T419" t="str">
        <f t="shared" si="13"/>
        <v>9z</v>
      </c>
    </row>
    <row r="420" spans="18:20" x14ac:dyDescent="0.2">
      <c r="R420" cm="1">
        <f t="array" ref="R420" xml:space="preserve"> 1 + _xlfn.SINGLE(ROW()) - _xlfn.SINGLE(ROW(ExportSubstitutions_Within.RowNum))</f>
        <v>415</v>
      </c>
    </row>
    <row r="421" spans="18:20" x14ac:dyDescent="0.2">
      <c r="R421" cm="1">
        <f t="array" ref="R421" xml:space="preserve"> 1 + _xlfn.SINGLE(ROW()) - _xlfn.SINGLE(ROW(ExportSubstitutions_Within.RowNum))</f>
        <v>416</v>
      </c>
      <c r="S421" t="s">
        <v>59</v>
      </c>
      <c r="T421" t="s">
        <v>58</v>
      </c>
    </row>
    <row r="422" spans="18:20" x14ac:dyDescent="0.2">
      <c r="R422" cm="1">
        <f t="array" ref="R422" xml:space="preserve"> 1 + _xlfn.SINGLE(ROW()) - _xlfn.SINGLE(ROW(ExportSubstitutions_Within.RowNum))</f>
        <v>417</v>
      </c>
      <c r="S422" t="s">
        <v>2094</v>
      </c>
      <c r="T422" t="s">
        <v>2123</v>
      </c>
    </row>
    <row r="423" spans="18:20" x14ac:dyDescent="0.2">
      <c r="R423" cm="1">
        <f t="array" ref="R423" xml:space="preserve"> 1 + _xlfn.SINGLE(ROW()) - _xlfn.SINGLE(ROW(ExportSubstitutions_Within.RowNum))</f>
        <v>418</v>
      </c>
      <c r="S423" t="s">
        <v>47</v>
      </c>
      <c r="T423" t="s">
        <v>46</v>
      </c>
    </row>
    <row r="424" spans="18:20" x14ac:dyDescent="0.2">
      <c r="R424" cm="1">
        <f t="array" ref="R424" xml:space="preserve"> 1 + _xlfn.SINGLE(ROW()) - _xlfn.SINGLE(ROW(ExportSubstitutions_Within.RowNum))</f>
        <v>419</v>
      </c>
      <c r="S424" t="s">
        <v>2095</v>
      </c>
      <c r="T424" t="s">
        <v>2124</v>
      </c>
    </row>
    <row r="425" spans="18:20" x14ac:dyDescent="0.2">
      <c r="R425" cm="1">
        <f t="array" ref="R425" xml:space="preserve"> 1 + _xlfn.SINGLE(ROW()) - _xlfn.SINGLE(ROW(ExportSubstitutions_Within.RowNum))</f>
        <v>420</v>
      </c>
      <c r="S425" t="s">
        <v>61</v>
      </c>
      <c r="T425" t="s">
        <v>60</v>
      </c>
    </row>
    <row r="426" spans="18:20" x14ac:dyDescent="0.2">
      <c r="R426" cm="1">
        <f t="array" ref="R426" xml:space="preserve"> 1 + _xlfn.SINGLE(ROW()) - _xlfn.SINGLE(ROW(ExportSubstitutions_Within.RowNum))</f>
        <v>421</v>
      </c>
      <c r="S426" t="s">
        <v>2096</v>
      </c>
      <c r="T426" t="s">
        <v>2125</v>
      </c>
    </row>
    <row r="427" spans="18:20" x14ac:dyDescent="0.2">
      <c r="R427" cm="1">
        <f t="array" ref="R427" xml:space="preserve"> 1 + _xlfn.SINGLE(ROW()) - _xlfn.SINGLE(ROW(ExportSubstitutions_Within.RowNum))</f>
        <v>422</v>
      </c>
      <c r="S427" t="s">
        <v>2097</v>
      </c>
      <c r="T427" t="s">
        <v>2126</v>
      </c>
    </row>
    <row r="428" spans="18:20" x14ac:dyDescent="0.2">
      <c r="R428" cm="1">
        <f t="array" ref="R428" xml:space="preserve"> 1 + _xlfn.SINGLE(ROW()) - _xlfn.SINGLE(ROW(ExportSubstitutions_Within.RowNum))</f>
        <v>423</v>
      </c>
      <c r="S428" t="s">
        <v>2097</v>
      </c>
      <c r="T428" t="s">
        <v>2126</v>
      </c>
    </row>
    <row r="429" spans="18:20" x14ac:dyDescent="0.2">
      <c r="R429" cm="1">
        <f t="array" ref="R429" xml:space="preserve"> 1 + _xlfn.SINGLE(ROW()) - _xlfn.SINGLE(ROW(ExportSubstitutions_Within.RowNum))</f>
        <v>424</v>
      </c>
      <c r="S429" t="s">
        <v>36</v>
      </c>
      <c r="T429" t="s">
        <v>39</v>
      </c>
    </row>
    <row r="430" spans="18:20" x14ac:dyDescent="0.2">
      <c r="R430" cm="1">
        <f t="array" ref="R430" xml:space="preserve"> 1 + _xlfn.SINGLE(ROW()) - _xlfn.SINGLE(ROW(ExportSubstitutions_Within.RowNum))</f>
        <v>425</v>
      </c>
      <c r="S430" t="s">
        <v>36</v>
      </c>
      <c r="T430" t="s">
        <v>35</v>
      </c>
    </row>
    <row r="431" spans="18:20" x14ac:dyDescent="0.2">
      <c r="R431" cm="1">
        <f t="array" ref="R431" xml:space="preserve"> 1 + _xlfn.SINGLE(ROW()) - _xlfn.SINGLE(ROW(ExportSubstitutions_Within.RowNum))</f>
        <v>426</v>
      </c>
      <c r="S431" t="s">
        <v>51</v>
      </c>
      <c r="T431" t="s">
        <v>50</v>
      </c>
    </row>
    <row r="432" spans="18:20" x14ac:dyDescent="0.2">
      <c r="R432" cm="1">
        <f t="array" ref="R432" xml:space="preserve"> 1 + _xlfn.SINGLE(ROW()) - _xlfn.SINGLE(ROW(ExportSubstitutions_Within.RowNum))</f>
        <v>427</v>
      </c>
      <c r="S432" t="s">
        <v>55</v>
      </c>
      <c r="T432" t="s">
        <v>54</v>
      </c>
    </row>
    <row r="433" spans="18:20" x14ac:dyDescent="0.2">
      <c r="R433" cm="1">
        <f t="array" ref="R433" xml:space="preserve"> 1 + _xlfn.SINGLE(ROW()) - _xlfn.SINGLE(ROW(ExportSubstitutions_Within.RowNum))</f>
        <v>428</v>
      </c>
      <c r="S433" t="s">
        <v>53</v>
      </c>
      <c r="T433" t="s">
        <v>52</v>
      </c>
    </row>
    <row r="434" spans="18:20" x14ac:dyDescent="0.2">
      <c r="R434" cm="1">
        <f t="array" ref="R434" xml:space="preserve"> 1 + _xlfn.SINGLE(ROW()) - _xlfn.SINGLE(ROW(ExportSubstitutions_Within.RowNum))</f>
        <v>429</v>
      </c>
      <c r="S434" t="s">
        <v>34</v>
      </c>
      <c r="T434" t="s">
        <v>33</v>
      </c>
    </row>
    <row r="435" spans="18:20" x14ac:dyDescent="0.2">
      <c r="R435" cm="1">
        <f t="array" ref="R435" xml:space="preserve"> 1 + _xlfn.SINGLE(ROW()) - _xlfn.SINGLE(ROW(ExportSubstitutions_Within.RowNum))</f>
        <v>430</v>
      </c>
      <c r="S435" t="s">
        <v>57</v>
      </c>
      <c r="T435" t="s">
        <v>56</v>
      </c>
    </row>
    <row r="436" spans="18:20" x14ac:dyDescent="0.2">
      <c r="R436" cm="1">
        <f t="array" ref="R436" xml:space="preserve"> 1 + _xlfn.SINGLE(ROW()) - _xlfn.SINGLE(ROW(ExportSubstitutions_Within.RowNum))</f>
        <v>431</v>
      </c>
      <c r="S436" t="s">
        <v>2098</v>
      </c>
      <c r="T436" t="s">
        <v>2127</v>
      </c>
    </row>
    <row r="437" spans="18:20" x14ac:dyDescent="0.2">
      <c r="R437" cm="1">
        <f t="array" ref="R437" xml:space="preserve"> 1 + _xlfn.SINGLE(ROW()) - _xlfn.SINGLE(ROW(ExportSubstitutions_Within.RowNum))</f>
        <v>432</v>
      </c>
      <c r="S437" t="s">
        <v>38</v>
      </c>
      <c r="T437" t="s">
        <v>37</v>
      </c>
    </row>
    <row r="438" spans="18:20" x14ac:dyDescent="0.2">
      <c r="R438" cm="1">
        <f t="array" ref="R438" xml:space="preserve"> 1 + _xlfn.SINGLE(ROW()) - _xlfn.SINGLE(ROW(ExportSubstitutions_Within.RowNum))</f>
        <v>433</v>
      </c>
      <c r="S438" t="s">
        <v>49</v>
      </c>
      <c r="T438" t="s">
        <v>48</v>
      </c>
    </row>
    <row r="439" spans="18:20" x14ac:dyDescent="0.2">
      <c r="R439" cm="1">
        <f t="array" ref="R439" xml:space="preserve"> 1 + _xlfn.SINGLE(ROW()) - _xlfn.SINGLE(ROW(ExportSubstitutions_Within.RowNum))</f>
        <v>434</v>
      </c>
      <c r="S439" t="s">
        <v>30</v>
      </c>
      <c r="T439" t="s">
        <v>29</v>
      </c>
    </row>
    <row r="440" spans="18:20" x14ac:dyDescent="0.2">
      <c r="R440" cm="1">
        <f t="array" ref="R440" xml:space="preserve"> 1 + _xlfn.SINGLE(ROW()) - _xlfn.SINGLE(ROW(ExportSubstitutions_Within.RowNum))</f>
        <v>435</v>
      </c>
      <c r="S440" t="s">
        <v>43</v>
      </c>
      <c r="T440" t="s">
        <v>42</v>
      </c>
    </row>
    <row r="441" spans="18:20" x14ac:dyDescent="0.2">
      <c r="R441" cm="1">
        <f t="array" ref="R441" xml:space="preserve"> 1 + _xlfn.SINGLE(ROW()) - _xlfn.SINGLE(ROW(ExportSubstitutions_Within.RowNum))</f>
        <v>436</v>
      </c>
      <c r="S441" t="s">
        <v>26</v>
      </c>
      <c r="T441" t="s">
        <v>25</v>
      </c>
    </row>
    <row r="442" spans="18:20" x14ac:dyDescent="0.2">
      <c r="R442" cm="1">
        <f t="array" ref="R442" xml:space="preserve"> 1 + _xlfn.SINGLE(ROW()) - _xlfn.SINGLE(ROW(ExportSubstitutions_Within.RowNum))</f>
        <v>437</v>
      </c>
      <c r="S442" t="s">
        <v>63</v>
      </c>
      <c r="T442" t="s">
        <v>62</v>
      </c>
    </row>
    <row r="443" spans="18:20" x14ac:dyDescent="0.2">
      <c r="R443" cm="1">
        <f t="array" ref="R443" xml:space="preserve"> 1 + _xlfn.SINGLE(ROW()) - _xlfn.SINGLE(ROW(ExportSubstitutions_Within.RowNum))</f>
        <v>438</v>
      </c>
      <c r="S443" t="s">
        <v>28</v>
      </c>
      <c r="T443" t="s">
        <v>27</v>
      </c>
    </row>
    <row r="444" spans="18:20" x14ac:dyDescent="0.2">
      <c r="R444" cm="1">
        <f t="array" ref="R444" xml:space="preserve"> 1 + _xlfn.SINGLE(ROW()) - _xlfn.SINGLE(ROW(ExportSubstitutions_Within.RowNum))</f>
        <v>439</v>
      </c>
      <c r="S444" t="s">
        <v>45</v>
      </c>
      <c r="T444" t="s">
        <v>44</v>
      </c>
    </row>
    <row r="445" spans="18:20" x14ac:dyDescent="0.2">
      <c r="R445" cm="1">
        <f t="array" ref="R445" xml:space="preserve"> 1 + _xlfn.SINGLE(ROW()) - _xlfn.SINGLE(ROW(ExportSubstitutions_Within.RowNum))</f>
        <v>440</v>
      </c>
      <c r="S445" t="s">
        <v>32</v>
      </c>
      <c r="T445" t="s">
        <v>31</v>
      </c>
    </row>
    <row r="446" spans="18:20" x14ac:dyDescent="0.2">
      <c r="R446" cm="1">
        <f t="array" ref="R446" xml:space="preserve"> 1 + _xlfn.SINGLE(ROW()) - _xlfn.SINGLE(ROW(ExportSubstitutions_Within.RowNum))</f>
        <v>441</v>
      </c>
      <c r="S446" t="s">
        <v>41</v>
      </c>
      <c r="T446" t="s">
        <v>40</v>
      </c>
    </row>
    <row r="447" spans="18:20" x14ac:dyDescent="0.2">
      <c r="R447" cm="1">
        <f t="array" ref="R447" xml:space="preserve"> 1 + _xlfn.SINGLE(ROW()) - _xlfn.SINGLE(ROW(ExportSubstitutions_Within.RowNum))</f>
        <v>442</v>
      </c>
      <c r="S447" t="s">
        <v>2099</v>
      </c>
      <c r="T447" t="s">
        <v>2128</v>
      </c>
    </row>
    <row r="448" spans="18:20" x14ac:dyDescent="0.2">
      <c r="R448" cm="1">
        <f t="array" ref="R448" xml:space="preserve"> 1 + _xlfn.SINGLE(ROW()) - _xlfn.SINGLE(ROW(ExportSubstitutions_Within.RowNum))</f>
        <v>443</v>
      </c>
      <c r="S448" t="s">
        <v>2100</v>
      </c>
      <c r="T448" t="s">
        <v>2112</v>
      </c>
    </row>
    <row r="449" spans="18:20" x14ac:dyDescent="0.2">
      <c r="R449" cm="1">
        <f t="array" ref="R449" xml:space="preserve"> 1 + _xlfn.SINGLE(ROW()) - _xlfn.SINGLE(ROW(ExportSubstitutions_Within.RowNum))</f>
        <v>444</v>
      </c>
      <c r="S449" t="s">
        <v>2101</v>
      </c>
      <c r="T449" t="s">
        <v>2113</v>
      </c>
    </row>
    <row r="450" spans="18:20" x14ac:dyDescent="0.2">
      <c r="R450" cm="1">
        <f t="array" ref="R450" xml:space="preserve"> 1 + _xlfn.SINGLE(ROW()) - _xlfn.SINGLE(ROW(ExportSubstitutions_Within.RowNum))</f>
        <v>445</v>
      </c>
      <c r="S450" t="s">
        <v>2102</v>
      </c>
      <c r="T450" t="s">
        <v>2114</v>
      </c>
    </row>
    <row r="451" spans="18:20" x14ac:dyDescent="0.2">
      <c r="R451" cm="1">
        <f t="array" ref="R451" xml:space="preserve"> 1 + _xlfn.SINGLE(ROW()) - _xlfn.SINGLE(ROW(ExportSubstitutions_Within.RowNum))</f>
        <v>446</v>
      </c>
      <c r="S451" t="s">
        <v>2103</v>
      </c>
      <c r="T451" t="s">
        <v>2115</v>
      </c>
    </row>
    <row r="452" spans="18:20" x14ac:dyDescent="0.2">
      <c r="R452" cm="1">
        <f t="array" ref="R452" xml:space="preserve"> 1 + _xlfn.SINGLE(ROW()) - _xlfn.SINGLE(ROW(ExportSubstitutions_Within.RowNum))</f>
        <v>447</v>
      </c>
      <c r="S452" t="s">
        <v>2104</v>
      </c>
      <c r="T452" t="s">
        <v>2116</v>
      </c>
    </row>
    <row r="453" spans="18:20" x14ac:dyDescent="0.2">
      <c r="R453" cm="1">
        <f t="array" ref="R453" xml:space="preserve"> 1 + _xlfn.SINGLE(ROW()) - _xlfn.SINGLE(ROW(ExportSubstitutions_Within.RowNum))</f>
        <v>448</v>
      </c>
      <c r="S453" t="s">
        <v>2105</v>
      </c>
      <c r="T453" t="s">
        <v>2117</v>
      </c>
    </row>
    <row r="454" spans="18:20" x14ac:dyDescent="0.2">
      <c r="R454" cm="1">
        <f t="array" ref="R454" xml:space="preserve"> 1 + _xlfn.SINGLE(ROW()) - _xlfn.SINGLE(ROW(ExportSubstitutions_Within.RowNum))</f>
        <v>449</v>
      </c>
      <c r="S454" t="s">
        <v>2106</v>
      </c>
      <c r="T454" t="s">
        <v>2118</v>
      </c>
    </row>
    <row r="455" spans="18:20" x14ac:dyDescent="0.2">
      <c r="R455" cm="1">
        <f t="array" ref="R455" xml:space="preserve"> 1 + _xlfn.SINGLE(ROW()) - _xlfn.SINGLE(ROW(ExportSubstitutions_Within.RowNum))</f>
        <v>450</v>
      </c>
      <c r="S455" t="s">
        <v>2107</v>
      </c>
      <c r="T455" t="s">
        <v>2119</v>
      </c>
    </row>
    <row r="456" spans="18:20" x14ac:dyDescent="0.2">
      <c r="R456" cm="1">
        <f t="array" ref="R456" xml:space="preserve"> 1 + _xlfn.SINGLE(ROW()) - _xlfn.SINGLE(ROW(ExportSubstitutions_Within.RowNum))</f>
        <v>451</v>
      </c>
      <c r="S456" t="s">
        <v>2108</v>
      </c>
      <c r="T456" t="s">
        <v>2120</v>
      </c>
    </row>
    <row r="457" spans="18:20" x14ac:dyDescent="0.2">
      <c r="R457" cm="1">
        <f t="array" ref="R457" xml:space="preserve"> 1 + _xlfn.SINGLE(ROW()) - _xlfn.SINGLE(ROW(ExportSubstitutions_Within.RowNum))</f>
        <v>452</v>
      </c>
      <c r="S457" t="s">
        <v>2109</v>
      </c>
      <c r="T457" t="s">
        <v>2121</v>
      </c>
    </row>
    <row r="458" spans="18:20" x14ac:dyDescent="0.2">
      <c r="R458" cm="1">
        <f t="array" ref="R458" xml:space="preserve"> 1 + _xlfn.SINGLE(ROW()) - _xlfn.SINGLE(ROW(ExportSubstitutions_Within.RowNum))</f>
        <v>453</v>
      </c>
      <c r="S458" t="s">
        <v>2110</v>
      </c>
      <c r="T458" t="s">
        <v>2122</v>
      </c>
    </row>
    <row r="459" spans="18:20" x14ac:dyDescent="0.2">
      <c r="R459" cm="1">
        <f t="array" ref="R459" xml:space="preserve"> 1 + _xlfn.SINGLE(ROW()) - _xlfn.SINGLE(ROW(ExportSubstitutions_Within.RowNum))</f>
        <v>454</v>
      </c>
      <c r="S459" t="s">
        <v>2111</v>
      </c>
      <c r="T459" t="s">
        <v>2129</v>
      </c>
    </row>
  </sheetData>
  <sortState xmlns:xlrd2="http://schemas.microsoft.com/office/spreadsheetml/2017/richdata2" ref="L35:N73">
    <sortCondition ref="L35:L73"/>
  </sortState>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x14ac:dyDescent="0.2"/>
  <cols>
    <col min="1" max="6" width="12.83203125" customWidth="1"/>
    <col min="7" max="9" width="10.83203125" hidden="1" customWidth="1"/>
    <col min="10" max="10" width="10.83203125" customWidth="1"/>
  </cols>
  <sheetData>
    <row r="8" spans="1:9" ht="17" thickBot="1" x14ac:dyDescent="0.25">
      <c r="B8" s="3" t="s">
        <v>1487</v>
      </c>
      <c r="G8" s="3" t="s">
        <v>1486</v>
      </c>
    </row>
    <row r="9" spans="1:9" x14ac:dyDescent="0.2">
      <c r="B9" s="55">
        <f xml:space="preserve"> CHOOSE(2,      TAN(10*PI()/180),   TAN(15*PI()/180),   2 - SQRT(3) )</f>
        <v>0.2679491924311227</v>
      </c>
      <c r="C9" s="6" t="s">
        <v>1485</v>
      </c>
      <c r="G9">
        <f xml:space="preserve"> _xlfn.MAXIFS(Rational.RowNum,   Rational.Num,"&lt;1E307",   Rational.Den,"&lt;1E307")</f>
        <v>27</v>
      </c>
    </row>
    <row r="11" spans="1:9" ht="17" thickBot="1" x14ac:dyDescent="0.25">
      <c r="A11" s="3" t="s">
        <v>1484</v>
      </c>
      <c r="B11" s="3" t="s">
        <v>1483</v>
      </c>
      <c r="C11" s="3" t="s">
        <v>1482</v>
      </c>
      <c r="D11" s="3" t="s">
        <v>1481</v>
      </c>
      <c r="E11" s="3" t="s">
        <v>1480</v>
      </c>
      <c r="F11" s="3" t="s">
        <v>1479</v>
      </c>
      <c r="G11" s="3" t="s">
        <v>1478</v>
      </c>
      <c r="H11" s="3" t="s">
        <v>1477</v>
      </c>
      <c r="I11" s="3" t="s">
        <v>1476</v>
      </c>
    </row>
    <row r="12" spans="1:9" x14ac:dyDescent="0.2">
      <c r="A12" s="54">
        <f xml:space="preserve"> _xlfn.SINGLE(Rational.c)</f>
        <v>0</v>
      </c>
      <c r="B12" s="54">
        <v>1</v>
      </c>
      <c r="C12">
        <f t="shared" ref="C12:C48" si="0" xml:space="preserve"> _xlfn.SINGLE(Rational.Num) / _xlfn.SINGLE(Rational.Den)</f>
        <v>0</v>
      </c>
      <c r="D12" s="52">
        <f t="shared" ref="D12:D48" si="1" xml:space="preserve"> _xlfn.SINGLE(Rational.Approximation) - Rational.TargetReal</f>
        <v>-0.2679491924311227</v>
      </c>
      <c r="E12" s="31"/>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31" cm="1">
        <f t="array" ref="H12" xml:space="preserve">  Rational.TargetReal</f>
        <v>0.2679491924311227</v>
      </c>
      <c r="I12">
        <f t="shared" ref="I12:I48" si="3" xml:space="preserve"> TRUNC(Rational.Scrap)</f>
        <v>0</v>
      </c>
    </row>
    <row r="13" spans="1:9" x14ac:dyDescent="0.2">
      <c r="A13" s="53">
        <f xml:space="preserve"> 1 + _xlfn.SINGLE(Rational.c) * A12</f>
        <v>1</v>
      </c>
      <c r="B13" s="53">
        <f xml:space="preserve"> _xlfn.SINGLE(Rational.c)</f>
        <v>3</v>
      </c>
      <c r="C13">
        <f t="shared" si="0"/>
        <v>0.33333333333333331</v>
      </c>
      <c r="D13" s="52">
        <f t="shared" si="1"/>
        <v>6.5384140902210619E-2</v>
      </c>
      <c r="E13" s="51"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x14ac:dyDescent="0.2">
      <c r="A14" s="43">
        <f t="shared" ref="A14:A48" si="5" xml:space="preserve"> IF(ISNA($F13), #N/A, _xlfn.SINGLE(Rational.c) * A13 + A12)</f>
        <v>1</v>
      </c>
      <c r="B14" s="43">
        <f t="shared" ref="B14:B48" si="6" xml:space="preserve"> IF( ISNA($F13), #N/A, _xlfn.SINGLE(Rational.c) * B13 + B12)</f>
        <v>4</v>
      </c>
      <c r="C14">
        <f t="shared" si="0"/>
        <v>0.25</v>
      </c>
      <c r="D14" s="52">
        <f t="shared" si="1"/>
        <v>-1.7949192431122696E-2</v>
      </c>
      <c r="E14" s="51"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x14ac:dyDescent="0.2">
      <c r="A15" s="43">
        <f t="shared" si="5"/>
        <v>3</v>
      </c>
      <c r="B15" s="43">
        <f t="shared" si="6"/>
        <v>11</v>
      </c>
      <c r="C15">
        <f t="shared" si="0"/>
        <v>0.27272727272727271</v>
      </c>
      <c r="D15" s="52">
        <f t="shared" si="1"/>
        <v>4.7780802961500113E-3</v>
      </c>
      <c r="E15" s="51"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x14ac:dyDescent="0.2">
      <c r="A16" s="43">
        <f t="shared" si="5"/>
        <v>4</v>
      </c>
      <c r="B16" s="43">
        <f t="shared" si="6"/>
        <v>15</v>
      </c>
      <c r="C16">
        <f t="shared" si="0"/>
        <v>0.26666666666666666</v>
      </c>
      <c r="D16" s="52">
        <f t="shared" si="1"/>
        <v>-1.2825257644560328E-3</v>
      </c>
      <c r="E16" s="51"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x14ac:dyDescent="0.2">
      <c r="A17" s="43">
        <f t="shared" si="5"/>
        <v>11</v>
      </c>
      <c r="B17" s="43">
        <f t="shared" si="6"/>
        <v>41</v>
      </c>
      <c r="C17">
        <f t="shared" si="0"/>
        <v>0.26829268292682928</v>
      </c>
      <c r="D17" s="52">
        <f t="shared" si="1"/>
        <v>3.4349049570658874E-4</v>
      </c>
      <c r="E17" s="51"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x14ac:dyDescent="0.2">
      <c r="A18" s="43">
        <f t="shared" si="5"/>
        <v>15</v>
      </c>
      <c r="B18" s="43">
        <f t="shared" si="6"/>
        <v>56</v>
      </c>
      <c r="C18">
        <f t="shared" si="0"/>
        <v>0.26785714285714285</v>
      </c>
      <c r="D18" s="52">
        <f t="shared" si="1"/>
        <v>-9.2049573979846588E-5</v>
      </c>
      <c r="E18" s="51"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x14ac:dyDescent="0.2">
      <c r="A19" s="43">
        <f t="shared" si="5"/>
        <v>41</v>
      </c>
      <c r="B19" s="43">
        <f t="shared" si="6"/>
        <v>153</v>
      </c>
      <c r="C19">
        <f t="shared" si="0"/>
        <v>0.26797385620915032</v>
      </c>
      <c r="D19" s="52">
        <f t="shared" si="1"/>
        <v>2.4663778027622651E-5</v>
      </c>
      <c r="E19" s="51"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x14ac:dyDescent="0.2">
      <c r="A20" s="43">
        <f t="shared" si="5"/>
        <v>56</v>
      </c>
      <c r="B20" s="43">
        <f t="shared" si="6"/>
        <v>209</v>
      </c>
      <c r="C20">
        <f t="shared" si="0"/>
        <v>0.26794258373205743</v>
      </c>
      <c r="D20" s="52">
        <f t="shared" si="1"/>
        <v>-6.6086990652691746E-6</v>
      </c>
      <c r="E20" s="51"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x14ac:dyDescent="0.2">
      <c r="A21" s="43">
        <f t="shared" si="5"/>
        <v>153</v>
      </c>
      <c r="B21" s="43">
        <f t="shared" si="6"/>
        <v>571</v>
      </c>
      <c r="C21">
        <f t="shared" si="0"/>
        <v>0.26795096322241679</v>
      </c>
      <c r="D21" s="52">
        <f t="shared" si="1"/>
        <v>1.770791294097851E-6</v>
      </c>
      <c r="E21" s="51"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x14ac:dyDescent="0.2">
      <c r="A22" s="43">
        <f t="shared" si="5"/>
        <v>209</v>
      </c>
      <c r="B22" s="43">
        <f t="shared" si="6"/>
        <v>780</v>
      </c>
      <c r="C22">
        <f t="shared" si="0"/>
        <v>0.26794871794871794</v>
      </c>
      <c r="D22" s="52">
        <f t="shared" si="1"/>
        <v>-4.7448240475533865E-7</v>
      </c>
      <c r="E22" s="51"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x14ac:dyDescent="0.2">
      <c r="A23" s="43">
        <f t="shared" si="5"/>
        <v>571</v>
      </c>
      <c r="B23" s="43">
        <f t="shared" si="6"/>
        <v>2131</v>
      </c>
      <c r="C23">
        <f t="shared" si="0"/>
        <v>0.26794931956827778</v>
      </c>
      <c r="D23" s="52">
        <f t="shared" si="1"/>
        <v>1.2713715508150258E-7</v>
      </c>
      <c r="E23" s="51"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x14ac:dyDescent="0.2">
      <c r="A24" s="43">
        <f t="shared" si="5"/>
        <v>780</v>
      </c>
      <c r="B24" s="43">
        <f t="shared" si="6"/>
        <v>2911</v>
      </c>
      <c r="C24">
        <f t="shared" si="0"/>
        <v>0.26794915836482308</v>
      </c>
      <c r="D24" s="52">
        <f t="shared" si="1"/>
        <v>-3.4066299614554651E-8</v>
      </c>
      <c r="E24" s="51"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x14ac:dyDescent="0.2">
      <c r="A25" s="43">
        <f t="shared" si="5"/>
        <v>2131</v>
      </c>
      <c r="B25" s="43">
        <f t="shared" si="6"/>
        <v>7953</v>
      </c>
      <c r="C25">
        <f t="shared" si="0"/>
        <v>0.26794920155916008</v>
      </c>
      <c r="D25" s="52">
        <f t="shared" si="1"/>
        <v>9.1280373815116889E-9</v>
      </c>
      <c r="E25" s="51"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x14ac:dyDescent="0.2">
      <c r="A26" s="43">
        <f t="shared" si="5"/>
        <v>2911</v>
      </c>
      <c r="B26" s="43">
        <f t="shared" si="6"/>
        <v>10864</v>
      </c>
      <c r="C26">
        <f t="shared" si="0"/>
        <v>0.26794918998527245</v>
      </c>
      <c r="D26" s="52">
        <f t="shared" si="1"/>
        <v>-2.4458502445590113E-9</v>
      </c>
      <c r="E26" s="51"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x14ac:dyDescent="0.2">
      <c r="A27" s="43">
        <f t="shared" si="5"/>
        <v>7953</v>
      </c>
      <c r="B27" s="43">
        <f t="shared" si="6"/>
        <v>29681</v>
      </c>
      <c r="C27">
        <f t="shared" si="0"/>
        <v>0.26794919308648629</v>
      </c>
      <c r="D27" s="52">
        <f t="shared" si="1"/>
        <v>6.5536359672435651E-10</v>
      </c>
      <c r="E27" s="51"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x14ac:dyDescent="0.2">
      <c r="A28" s="43">
        <f t="shared" si="5"/>
        <v>10864</v>
      </c>
      <c r="B28" s="43">
        <f t="shared" si="6"/>
        <v>40545</v>
      </c>
      <c r="C28">
        <f t="shared" si="0"/>
        <v>0.26794919225551855</v>
      </c>
      <c r="D28" s="52">
        <f t="shared" si="1"/>
        <v>-1.756041423384147E-10</v>
      </c>
      <c r="E28" s="51"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x14ac:dyDescent="0.2">
      <c r="A29" s="43">
        <f t="shared" si="5"/>
        <v>29681</v>
      </c>
      <c r="B29" s="43">
        <f t="shared" si="6"/>
        <v>110771</v>
      </c>
      <c r="C29">
        <f t="shared" si="0"/>
        <v>0.26794919247817567</v>
      </c>
      <c r="D29" s="52">
        <f t="shared" si="1"/>
        <v>4.7052972629302303E-11</v>
      </c>
      <c r="E29" s="51"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x14ac:dyDescent="0.2">
      <c r="A30" s="43">
        <f t="shared" si="5"/>
        <v>40545</v>
      </c>
      <c r="B30" s="43">
        <f t="shared" si="6"/>
        <v>151316</v>
      </c>
      <c r="C30">
        <f t="shared" si="0"/>
        <v>0.26794919241851489</v>
      </c>
      <c r="D30" s="52">
        <f t="shared" si="1"/>
        <v>-1.260780368994574E-11</v>
      </c>
      <c r="E30" s="51"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x14ac:dyDescent="0.2">
      <c r="A31" s="43">
        <f t="shared" si="5"/>
        <v>110771</v>
      </c>
      <c r="B31" s="43">
        <f t="shared" si="6"/>
        <v>413403</v>
      </c>
      <c r="C31">
        <f t="shared" si="0"/>
        <v>0.26794919243450094</v>
      </c>
      <c r="D31" s="52">
        <f t="shared" si="1"/>
        <v>3.3782421304806576E-12</v>
      </c>
      <c r="E31" s="51"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x14ac:dyDescent="0.2">
      <c r="A32" s="43">
        <f t="shared" si="5"/>
        <v>151316</v>
      </c>
      <c r="B32" s="43">
        <f t="shared" si="6"/>
        <v>564719</v>
      </c>
      <c r="C32">
        <f t="shared" si="0"/>
        <v>0.26794919243021753</v>
      </c>
      <c r="D32" s="52">
        <f t="shared" si="1"/>
        <v>-9.0516483197689013E-13</v>
      </c>
      <c r="E32" s="51"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x14ac:dyDescent="0.2">
      <c r="A33" s="43">
        <f t="shared" si="5"/>
        <v>413403</v>
      </c>
      <c r="B33" s="43">
        <f t="shared" si="6"/>
        <v>1542841</v>
      </c>
      <c r="C33">
        <f t="shared" si="0"/>
        <v>0.26794919243136528</v>
      </c>
      <c r="D33" s="52">
        <f t="shared" si="1"/>
        <v>2.425837308805967E-13</v>
      </c>
      <c r="E33" s="51"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x14ac:dyDescent="0.2">
      <c r="A34" s="43">
        <f t="shared" si="5"/>
        <v>564719</v>
      </c>
      <c r="B34" s="43">
        <f t="shared" si="6"/>
        <v>2107560</v>
      </c>
      <c r="C34">
        <f t="shared" si="0"/>
        <v>0.26794919243105769</v>
      </c>
      <c r="D34" s="52">
        <f t="shared" si="1"/>
        <v>-6.5003558091802915E-14</v>
      </c>
      <c r="E34" s="51"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x14ac:dyDescent="0.2">
      <c r="A35" s="43">
        <f t="shared" si="5"/>
        <v>1542841</v>
      </c>
      <c r="B35" s="43">
        <f t="shared" si="6"/>
        <v>5757961</v>
      </c>
      <c r="C35">
        <f t="shared" si="0"/>
        <v>0.26794919243114013</v>
      </c>
      <c r="D35" s="52">
        <f t="shared" si="1"/>
        <v>1.7430501486614958E-14</v>
      </c>
      <c r="E35" s="51"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x14ac:dyDescent="0.2">
      <c r="A36" s="43">
        <f t="shared" si="5"/>
        <v>2107560</v>
      </c>
      <c r="B36" s="43">
        <f t="shared" si="6"/>
        <v>7865521</v>
      </c>
      <c r="C36">
        <f t="shared" si="0"/>
        <v>0.26794919243111803</v>
      </c>
      <c r="D36" s="52">
        <f t="shared" si="1"/>
        <v>-4.6629367034256575E-15</v>
      </c>
      <c r="E36" s="51"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x14ac:dyDescent="0.2">
      <c r="A37" s="43">
        <f t="shared" si="5"/>
        <v>5757961</v>
      </c>
      <c r="B37" s="43">
        <f t="shared" si="6"/>
        <v>21489003</v>
      </c>
      <c r="C37">
        <f t="shared" si="0"/>
        <v>0.26794919243112397</v>
      </c>
      <c r="D37" s="52">
        <f t="shared" si="1"/>
        <v>1.27675647831893E-15</v>
      </c>
      <c r="E37" s="51"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x14ac:dyDescent="0.2">
      <c r="A38" s="43">
        <f t="shared" si="5"/>
        <v>7865521</v>
      </c>
      <c r="B38" s="43">
        <f t="shared" si="6"/>
        <v>29354524</v>
      </c>
      <c r="C38">
        <f t="shared" si="0"/>
        <v>0.26794919243112236</v>
      </c>
      <c r="D38" s="52">
        <f t="shared" si="1"/>
        <v>0</v>
      </c>
      <c r="E38" s="51"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x14ac:dyDescent="0.2">
      <c r="A39" s="43" t="e">
        <f t="shared" si="5"/>
        <v>#N/A</v>
      </c>
      <c r="B39" s="43" t="e">
        <f t="shared" si="6"/>
        <v>#N/A</v>
      </c>
      <c r="C39" t="e">
        <f t="shared" si="0"/>
        <v>#N/A</v>
      </c>
      <c r="D39" s="52" t="e">
        <f t="shared" si="1"/>
        <v>#N/A</v>
      </c>
      <c r="E39" s="51"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x14ac:dyDescent="0.2">
      <c r="A40" s="43" t="e">
        <f t="shared" si="5"/>
        <v>#N/A</v>
      </c>
      <c r="B40" s="43" t="e">
        <f t="shared" si="6"/>
        <v>#N/A</v>
      </c>
      <c r="C40" t="e">
        <f t="shared" si="0"/>
        <v>#N/A</v>
      </c>
      <c r="D40" s="52" t="e">
        <f t="shared" si="1"/>
        <v>#N/A</v>
      </c>
      <c r="E40" s="51"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x14ac:dyDescent="0.2">
      <c r="A41" s="43" t="e">
        <f t="shared" si="5"/>
        <v>#N/A</v>
      </c>
      <c r="B41" s="43" t="e">
        <f t="shared" si="6"/>
        <v>#N/A</v>
      </c>
      <c r="C41" t="e">
        <f t="shared" si="0"/>
        <v>#N/A</v>
      </c>
      <c r="D41" s="52" t="e">
        <f t="shared" si="1"/>
        <v>#N/A</v>
      </c>
      <c r="E41" s="51"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x14ac:dyDescent="0.2">
      <c r="A42" s="43" t="e">
        <f t="shared" si="5"/>
        <v>#N/A</v>
      </c>
      <c r="B42" s="43" t="e">
        <f t="shared" si="6"/>
        <v>#N/A</v>
      </c>
      <c r="C42" t="e">
        <f t="shared" si="0"/>
        <v>#N/A</v>
      </c>
      <c r="D42" s="52" t="e">
        <f t="shared" si="1"/>
        <v>#N/A</v>
      </c>
      <c r="E42" s="51"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x14ac:dyDescent="0.2">
      <c r="A43" s="43" t="e">
        <f t="shared" si="5"/>
        <v>#N/A</v>
      </c>
      <c r="B43" s="43" t="e">
        <f t="shared" si="6"/>
        <v>#N/A</v>
      </c>
      <c r="C43" t="e">
        <f t="shared" si="0"/>
        <v>#N/A</v>
      </c>
      <c r="D43" s="52" t="e">
        <f t="shared" si="1"/>
        <v>#N/A</v>
      </c>
      <c r="E43" s="51"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x14ac:dyDescent="0.2">
      <c r="A44" s="43" t="e">
        <f t="shared" si="5"/>
        <v>#N/A</v>
      </c>
      <c r="B44" s="43" t="e">
        <f t="shared" si="6"/>
        <v>#N/A</v>
      </c>
      <c r="C44" t="e">
        <f t="shared" si="0"/>
        <v>#N/A</v>
      </c>
      <c r="D44" s="52" t="e">
        <f t="shared" si="1"/>
        <v>#N/A</v>
      </c>
      <c r="E44" s="51"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x14ac:dyDescent="0.2">
      <c r="A45" s="43" t="e">
        <f t="shared" si="5"/>
        <v>#N/A</v>
      </c>
      <c r="B45" s="43" t="e">
        <f t="shared" si="6"/>
        <v>#N/A</v>
      </c>
      <c r="C45" t="e">
        <f t="shared" si="0"/>
        <v>#N/A</v>
      </c>
      <c r="D45" s="52" t="e">
        <f t="shared" si="1"/>
        <v>#N/A</v>
      </c>
      <c r="E45" s="51"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x14ac:dyDescent="0.2">
      <c r="A46" s="43" t="e">
        <f t="shared" si="5"/>
        <v>#N/A</v>
      </c>
      <c r="B46" s="43" t="e">
        <f t="shared" si="6"/>
        <v>#N/A</v>
      </c>
      <c r="C46" t="e">
        <f t="shared" si="0"/>
        <v>#N/A</v>
      </c>
      <c r="D46" s="52" t="e">
        <f t="shared" si="1"/>
        <v>#N/A</v>
      </c>
      <c r="E46" s="51"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x14ac:dyDescent="0.2">
      <c r="A47" s="43" t="e">
        <f t="shared" si="5"/>
        <v>#N/A</v>
      </c>
      <c r="B47" s="43" t="e">
        <f t="shared" si="6"/>
        <v>#N/A</v>
      </c>
      <c r="C47" t="e">
        <f t="shared" si="0"/>
        <v>#N/A</v>
      </c>
      <c r="D47" s="52" t="e">
        <f t="shared" si="1"/>
        <v>#N/A</v>
      </c>
      <c r="E47" s="51"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x14ac:dyDescent="0.2">
      <c r="A48" s="43" t="e">
        <f t="shared" si="5"/>
        <v>#N/A</v>
      </c>
      <c r="B48" s="43" t="e">
        <f t="shared" si="6"/>
        <v>#N/A</v>
      </c>
      <c r="C48" t="e">
        <f t="shared" si="0"/>
        <v>#N/A</v>
      </c>
      <c r="D48" s="52" t="e">
        <f t="shared" si="1"/>
        <v>#N/A</v>
      </c>
      <c r="E48" s="51"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61</vt:i4>
      </vt:variant>
      <vt:variant>
        <vt:lpstr>Named Ranges</vt:lpstr>
      </vt:variant>
      <vt:variant>
        <vt:i4>1326</vt:i4>
      </vt:variant>
    </vt:vector>
  </HeadingPairs>
  <TitlesOfParts>
    <vt:vector size="1387"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2024-02-03T16:25:37Z</dcterms:modified>
</cp:coreProperties>
</file>