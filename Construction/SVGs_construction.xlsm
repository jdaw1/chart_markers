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AD3FBFC1-29FA-494E-AAE1-0B8BD65A9F9F}" xr6:coauthVersionLast="47" xr6:coauthVersionMax="47" xr10:uidLastSave="{00000000-0000-0000-0000-000000000000}"/>
  <bookViews>
    <workbookView xWindow="160" yWindow="500" windowWidth="42920" windowHeight="26760" firstSheet="38"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LEN"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b" hidden="1" xlm="1">#NAME?</definedName>
    <definedName name="_xlpm.c" hidden="1" xlm="1">#NAME?</definedName>
    <definedName name="_xlpm.f" hidden="1" xlm="1">#NAME?</definedName>
    <definedName name="_xlpm.hex"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5" i="5" l="1"/>
  <c r="C54" i="5"/>
  <c r="C36" i="25" a="1"/>
  <c r="C36" i="25" s="1"/>
  <c r="C35" i="25" a="1"/>
  <c r="C35" i="25" s="1"/>
  <c r="C34" i="25" a="1"/>
  <c r="C34" i="25" s="1"/>
  <c r="G39" i="25" a="1"/>
  <c r="G39" i="25" s="1"/>
  <c r="G38" i="25" a="1"/>
  <c r="G38" i="25" s="1"/>
  <c r="G37" i="25" a="1"/>
  <c r="G37" i="25" s="1"/>
  <c r="F35" i="25"/>
  <c r="D35" i="25"/>
  <c r="H35" i="25" s="1"/>
  <c r="F34" i="25"/>
  <c r="F36" i="25" s="1"/>
  <c r="D34" i="25"/>
  <c r="O10" i="78" a="1"/>
  <c r="O10" i="78" s="1"/>
  <c r="D10" i="78"/>
  <c r="H16" i="78"/>
  <c r="C2" i="78"/>
  <c r="C3" i="78" s="1"/>
  <c r="T26" i="25" a="1"/>
  <c r="T26" i="25"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B17" i="25"/>
  <c r="C357" i="63"/>
  <c r="E355" i="63"/>
  <c r="E356" i="63"/>
  <c r="F356" i="63"/>
  <c r="G356" i="63" s="1" a="1"/>
  <c r="G356" i="63" s="1"/>
  <c r="E357" i="63"/>
  <c r="E358" i="63"/>
  <c r="E359" i="63"/>
  <c r="E360" i="63"/>
  <c r="E361" i="63"/>
  <c r="E362" i="63"/>
  <c r="E363" i="63"/>
  <c r="F363" i="63"/>
  <c r="AP30" i="8"/>
  <c r="AP34" i="8"/>
  <c r="AP29" i="8"/>
  <c r="AP27" i="8"/>
  <c r="AP26" i="8"/>
  <c r="AP20" i="8"/>
  <c r="AP4" i="8"/>
  <c r="C14" i="78"/>
  <c r="C13" i="78"/>
  <c r="C15" i="78" s="1"/>
  <c r="AD26" i="25"/>
  <c r="V14" i="25"/>
  <c r="E276" i="63"/>
  <c r="E277" i="63"/>
  <c r="C276" i="63"/>
  <c r="C277" i="63"/>
  <c r="E185" i="63"/>
  <c r="E184" i="63"/>
  <c r="C184" i="63"/>
  <c r="V27" i="25" a="1"/>
  <c r="V27" i="25" s="1"/>
  <c r="V26" i="25" a="1"/>
  <c r="V26" i="25" s="1"/>
  <c r="T13" i="25"/>
  <c r="V32" i="25"/>
  <c r="W29" i="25"/>
  <c r="W28" i="25"/>
  <c r="W27" i="25"/>
  <c r="W26" i="25"/>
  <c r="W25" i="25"/>
  <c r="V25" i="25" a="1"/>
  <c r="V25" i="25" s="1"/>
  <c r="W24" i="25"/>
  <c r="V13" i="25"/>
  <c r="T32" i="25"/>
  <c r="U29" i="25"/>
  <c r="U28" i="25"/>
  <c r="U27" i="25"/>
  <c r="U26" i="25"/>
  <c r="U25" i="25"/>
  <c r="T25" i="25" a="1"/>
  <c r="T25" i="25" s="1"/>
  <c r="U24" i="25"/>
  <c r="T14" i="25"/>
  <c r="F275" i="63"/>
  <c r="E275" i="63"/>
  <c r="E274" i="63"/>
  <c r="R16" i="8"/>
  <c r="R34" i="8"/>
  <c r="R29" i="8"/>
  <c r="R4" i="8"/>
  <c r="S31" i="8"/>
  <c r="S30" i="8"/>
  <c r="S29" i="8"/>
  <c r="S28" i="8"/>
  <c r="S27" i="8"/>
  <c r="S26" i="8"/>
  <c r="S25" i="8"/>
  <c r="E3" i="71"/>
  <c r="K3" i="63" a="1"/>
  <c r="E11" i="63"/>
  <c r="E10" i="63"/>
  <c r="C11" i="63"/>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D36" i="25" l="1"/>
  <c r="H34" i="25"/>
  <c r="C19" i="78" a="1"/>
  <c r="C19" i="78" s="1"/>
  <c r="C8" i="78"/>
  <c r="H13" i="78"/>
  <c r="C6" i="78"/>
  <c r="C4" i="78"/>
  <c r="C5" i="78" s="1"/>
  <c r="C36" i="78" s="1"/>
  <c r="C16" i="78"/>
  <c r="F355" i="63"/>
  <c r="F359" i="63"/>
  <c r="G359" i="63" s="1" a="1"/>
  <c r="G359" i="63" s="1"/>
  <c r="F361" i="63"/>
  <c r="F357" i="63"/>
  <c r="G357" i="63" s="1" a="1"/>
  <c r="G357" i="63" s="1"/>
  <c r="F362" i="63"/>
  <c r="F358" i="63"/>
  <c r="G358" i="63" s="1" a="1"/>
  <c r="G358" i="63" s="1"/>
  <c r="F360" i="63"/>
  <c r="G360" i="63" s="1" a="1"/>
  <c r="G360" i="63" s="1"/>
  <c r="C11" i="78"/>
  <c r="G363" i="63" a="1"/>
  <c r="G363" i="63" s="1"/>
  <c r="G355" i="63" a="1"/>
  <c r="G355" i="63" s="1"/>
  <c r="G361" i="63" a="1"/>
  <c r="G361" i="63" s="1"/>
  <c r="G362" i="63" a="1"/>
  <c r="G362" i="63" s="1"/>
  <c r="R10" i="78" a="1"/>
  <c r="Q10" i="78" a="1"/>
  <c r="P10" i="78" a="1"/>
  <c r="S10" i="78" a="1"/>
  <c r="C21" i="78" a="1"/>
  <c r="C21" i="78" s="1"/>
  <c r="C20" i="78" a="1"/>
  <c r="C20" i="78" s="1"/>
  <c r="C22" i="78" s="1" a="1"/>
  <c r="C22" i="78" s="1"/>
  <c r="C25" i="78" s="1" a="1"/>
  <c r="C25" i="78" s="1"/>
  <c r="I11" i="78"/>
  <c r="I13" i="78"/>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6" i="61"/>
  <c r="AX106" i="61"/>
  <c r="AP106" i="61"/>
  <c r="J106" i="61"/>
  <c r="AP105" i="61"/>
  <c r="BR104" i="61"/>
  <c r="BR103" i="61"/>
  <c r="CV7" i="61"/>
  <c r="CB6" i="61"/>
  <c r="BH6" i="61"/>
  <c r="AV4" i="61"/>
  <c r="AF10" i="8"/>
  <c r="X99" i="58"/>
  <c r="V99" i="58"/>
  <c r="P99" i="58"/>
  <c r="N99" i="58"/>
  <c r="L99" i="58"/>
  <c r="J99" i="58"/>
  <c r="X87" i="58"/>
  <c r="AN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8"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U10" i="78" l="1" a="1"/>
  <c r="H10" i="78"/>
  <c r="I10" i="78" s="1"/>
  <c r="I17" i="78" s="1"/>
  <c r="H14" i="78"/>
  <c r="H7" i="78" s="1"/>
  <c r="H18" i="78"/>
  <c r="H19" i="78"/>
  <c r="X10" i="78" a="1"/>
  <c r="C29" i="78"/>
  <c r="H17" i="78"/>
  <c r="H15" i="78"/>
  <c r="H12" i="78"/>
  <c r="V10" i="78" a="1"/>
  <c r="I16" i="78"/>
  <c r="U10" i="78"/>
  <c r="I19" i="78"/>
  <c r="I18" i="78"/>
  <c r="I14" i="78"/>
  <c r="Y10" i="78" a="1"/>
  <c r="C44" i="78"/>
  <c r="C38" i="78"/>
  <c r="R10" i="78"/>
  <c r="Q10" i="78"/>
  <c r="P10" i="78"/>
  <c r="S10" i="78"/>
  <c r="F27" i="25"/>
  <c r="AH77" i="61"/>
  <c r="AD77" i="61"/>
  <c r="Z77" i="61"/>
  <c r="B39" i="72"/>
  <c r="N8" i="61"/>
  <c r="N78" i="61" s="1"/>
  <c r="M8" i="61"/>
  <c r="Q8" i="61"/>
  <c r="R8" i="61"/>
  <c r="X8" i="61"/>
  <c r="Y7" i="61"/>
  <c r="Z7" i="61" s="1"/>
  <c r="Z79"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R82" i="61" a="1"/>
  <c r="R82" i="61" s="1"/>
  <c r="R79" i="61"/>
  <c r="N81" i="61" a="1"/>
  <c r="N81" i="61" s="1"/>
  <c r="R80" i="61" a="1"/>
  <c r="R80" i="61" s="1"/>
  <c r="N80" i="61" a="1"/>
  <c r="N80" i="61" s="1"/>
  <c r="N82" i="61" a="1"/>
  <c r="N82" i="61" s="1"/>
  <c r="R81" i="61" a="1"/>
  <c r="R81"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V10" i="78" l="1"/>
  <c r="X10" i="78"/>
  <c r="I12" i="78"/>
  <c r="Y10" i="78"/>
  <c r="AH62" i="61"/>
  <c r="AH64" i="61" s="1"/>
  <c r="AD8" i="61"/>
  <c r="AC8" i="61"/>
  <c r="Y8" i="61"/>
  <c r="Z8" i="61"/>
  <c r="AG8" i="61"/>
  <c r="AH8" i="61"/>
  <c r="AD78" i="61"/>
  <c r="AD75" i="61"/>
  <c r="AD62" i="61"/>
  <c r="Z78" i="61"/>
  <c r="Z75" i="61"/>
  <c r="Z62" i="61"/>
  <c r="R78" i="61"/>
  <c r="AH78" i="61"/>
  <c r="AH75" i="61"/>
  <c r="G371" i="63" a="1"/>
  <c r="G371" i="63" s="1"/>
  <c r="W6" i="5" a="1"/>
  <c r="W6" i="5" s="1"/>
  <c r="I15" i="78" l="1"/>
  <c r="AH63" i="61"/>
  <c r="AH65" i="61" s="1"/>
  <c r="AH67" i="61" s="1"/>
  <c r="AD64" i="61"/>
  <c r="AD63" i="61"/>
  <c r="AD65" i="61" s="1"/>
  <c r="Z64" i="61"/>
  <c r="Z63" i="61"/>
  <c r="Z65" i="61" s="1"/>
  <c r="C320" i="63"/>
  <c r="C37" i="78" l="1"/>
  <c r="K10" i="78" a="1"/>
  <c r="K10" i="78" s="1"/>
  <c r="L10" i="78" s="1" a="1"/>
  <c r="L10" i="78" s="1"/>
  <c r="AD67" i="61"/>
  <c r="Z67" i="61"/>
  <c r="BV25" i="25"/>
  <c r="BV28" i="25"/>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31" i="14" s="1" a="1"/>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V31" i="14" l="1" a="1"/>
  <c r="V31" i="14" s="1"/>
  <c r="CX8" i="6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D30" i="8"/>
  <c r="E31" i="72" l="1"/>
  <c r="CX75" i="61"/>
  <c r="CX74" i="61"/>
  <c r="C28" i="75"/>
  <c r="D29" i="75"/>
  <c r="E30" i="72"/>
  <c r="E28" i="72"/>
  <c r="E29" i="72"/>
  <c r="CX77" i="61"/>
  <c r="CX79"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6" i="61" a="1"/>
  <c r="CX76"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6" i="25" a="1"/>
  <c r="AZ25"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E64" i="35"/>
  <c r="E62" i="35"/>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K36" i="67" s="1" a="1"/>
  <c r="E36" i="67"/>
  <c r="H36" i="67" s="1"/>
  <c r="E46" i="67"/>
  <c r="H46" i="67" s="1"/>
  <c r="F46" i="67"/>
  <c r="I46" i="67" s="1"/>
  <c r="F22" i="67"/>
  <c r="I22" i="67" s="1"/>
  <c r="I23" i="67" s="1"/>
  <c r="E23" i="67"/>
  <c r="H23" i="67" s="1"/>
  <c r="F37" i="67"/>
  <c r="I37" i="67" s="1"/>
  <c r="E37" i="67"/>
  <c r="H37" i="67" s="1"/>
  <c r="D26" i="67" a="1"/>
  <c r="D26" i="67" s="1"/>
  <c r="F26" i="67" s="1"/>
  <c r="E48" i="67"/>
  <c r="H48" i="67" s="1"/>
  <c r="K48" i="67" s="1" a="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7" i="67" a="1"/>
  <c r="K39" i="67" a="1"/>
  <c r="K45"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88" i="67" a="1"/>
  <c r="K88" i="67" s="1"/>
  <c r="F30" i="67"/>
  <c r="I30" i="67" s="1"/>
  <c r="K85" i="67" a="1"/>
  <c r="K85"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1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J3" i="63" l="1"/>
  <c r="H3" i="63"/>
  <c r="I3" i="63"/>
  <c r="AB3" i="5"/>
  <c r="AB6" i="5" s="1"/>
  <c r="AB8" i="5" l="1"/>
  <c r="AB10" i="5"/>
  <c r="AB7" i="5"/>
  <c r="AB23" i="5"/>
  <c r="F18" i="36"/>
  <c r="C11" i="5" l="1" a="1"/>
  <c r="C11" i="5"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F29" i="14" a="1"/>
  <c r="AB30" i="14" a="1"/>
  <c r="AB29" i="14" a="1"/>
  <c r="AP6" i="8" l="1"/>
  <c r="AP7" i="8" s="1"/>
  <c r="AR6" i="8"/>
  <c r="AR7" i="8" s="1"/>
  <c r="AF6" i="14"/>
  <c r="AF7" i="14" s="1"/>
  <c r="R6" i="8"/>
  <c r="R7" i="8" s="1"/>
  <c r="D112" i="61"/>
  <c r="D113"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AX25" i="25" a="1"/>
  <c r="AX26" i="25" a="1"/>
  <c r="R25" i="25" a="1"/>
  <c r="AT25" i="25" a="1"/>
  <c r="J113" i="61" l="1"/>
  <c r="AX113" i="61"/>
  <c r="AP113" i="61"/>
  <c r="BR113"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0" i="61"/>
  <c r="BR108" i="61"/>
  <c r="AX97" i="61"/>
  <c r="AP97" i="61"/>
  <c r="J97" i="61"/>
  <c r="AX98" i="61"/>
  <c r="AP98" i="61"/>
  <c r="J98" i="61"/>
  <c r="BR95" i="61"/>
  <c r="BR96" i="61"/>
  <c r="D110" i="61"/>
  <c r="D109" i="61"/>
  <c r="D108" i="61"/>
  <c r="C109" i="61"/>
  <c r="C110" i="61"/>
  <c r="C108" i="61"/>
  <c r="C112" i="61"/>
  <c r="D111" i="61"/>
  <c r="R28" i="8" l="1"/>
  <c r="R10" i="14"/>
  <c r="R30" i="14" s="1" a="1"/>
  <c r="R9" i="14"/>
  <c r="R29" i="14" s="1"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CD77" i="61" l="1"/>
  <c r="BN77" i="61"/>
  <c r="AT77" i="6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H38" i="25" l="1"/>
  <c r="H37" i="25"/>
  <c r="H39" i="25" s="1"/>
  <c r="AR27" i="8"/>
  <c r="AD28" i="25"/>
  <c r="AD27" i="25"/>
  <c r="AL10" i="8"/>
  <c r="R10" i="8"/>
  <c r="AF31" i="14"/>
  <c r="AD31" i="14"/>
  <c r="AD10" i="14"/>
  <c r="AF10" i="14"/>
  <c r="H31" i="14"/>
  <c r="J9" i="14"/>
  <c r="J19" i="14" s="1"/>
  <c r="CR5" i="61"/>
  <c r="V9" i="14"/>
  <c r="V19" i="14" s="1"/>
  <c r="CT81" i="61" a="1"/>
  <c r="CT81" i="61" s="1"/>
  <c r="X28" i="25"/>
  <c r="X27" i="25"/>
  <c r="F31" i="36"/>
  <c r="H32" i="36"/>
  <c r="H31" i="36"/>
  <c r="F42" i="32"/>
  <c r="F32" i="36"/>
  <c r="F43" i="32"/>
  <c r="P10" i="8"/>
  <c r="AB10" i="8"/>
  <c r="V10" i="8"/>
  <c r="N10" i="8"/>
  <c r="BF25" i="25"/>
  <c r="BF11" i="25"/>
  <c r="BF13" i="25" s="1"/>
  <c r="BF12" i="25"/>
  <c r="BF14" i="25" s="1"/>
  <c r="L9" i="8"/>
  <c r="AR9" i="8" s="1"/>
  <c r="BB25" i="25"/>
  <c r="T30" i="14"/>
  <c r="CL81" i="61" a="1"/>
  <c r="CL81" i="61" s="1"/>
  <c r="BV81" i="61" a="1"/>
  <c r="BV81" i="61" s="1"/>
  <c r="CJ5" i="61"/>
  <c r="BT5" i="61"/>
  <c r="C40" i="60"/>
  <c r="D40" i="60"/>
  <c r="O41" i="60" a="1"/>
  <c r="O41" i="60" s="1"/>
  <c r="P41" i="60" a="1"/>
  <c r="P41" i="60" s="1"/>
  <c r="B13" i="35"/>
  <c r="C13" i="35" s="1"/>
  <c r="H9" i="14"/>
  <c r="T9" i="14"/>
  <c r="BB11" i="25"/>
  <c r="H13" i="25"/>
  <c r="H12" i="25"/>
  <c r="C3" i="53"/>
  <c r="C8" i="53" s="1"/>
  <c r="C5" i="53"/>
  <c r="C27" i="53"/>
  <c r="C12" i="53"/>
  <c r="H30" i="14" a="1"/>
  <c r="AF30" i="14" a="1"/>
  <c r="AD30" i="14" a="1"/>
  <c r="J30" i="14" a="1"/>
  <c r="V30" i="14" a="1"/>
  <c r="T29" i="14" a="1"/>
  <c r="AR20" i="8" l="1"/>
  <c r="AR26" i="8"/>
  <c r="R27" i="8"/>
  <c r="N9" i="8"/>
  <c r="R9" i="8"/>
  <c r="AF30" i="14"/>
  <c r="AD30" i="14"/>
  <c r="AD9" i="14"/>
  <c r="AD19" i="14" s="1"/>
  <c r="AF9" i="14"/>
  <c r="AF29" i="14" s="1" a="1"/>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J29" i="14" a="1"/>
  <c r="Z29" i="14" a="1"/>
  <c r="H29" i="14" a="1"/>
  <c r="V29" i="14" a="1"/>
  <c r="Z30" i="14" a="1"/>
  <c r="R26" i="8" l="1"/>
  <c r="R20" i="8"/>
  <c r="V29" i="14"/>
  <c r="CS8" i="61"/>
  <c r="CT8" i="61"/>
  <c r="CT77" i="61" s="1"/>
  <c r="BU8" i="61"/>
  <c r="BV8" i="61"/>
  <c r="CK8" i="61"/>
  <c r="CL8" i="61"/>
  <c r="AF29" i="14"/>
  <c r="AF19" i="14"/>
  <c r="J29" i="14"/>
  <c r="H29" i="14"/>
  <c r="CR18" i="61"/>
  <c r="CT80" i="61" a="1"/>
  <c r="CT80" i="61" s="1"/>
  <c r="Z30" i="14"/>
  <c r="Z29" i="14"/>
  <c r="CJ18" i="61"/>
  <c r="BV80" i="61" a="1"/>
  <c r="BV80" i="61" s="1"/>
  <c r="CL80" i="61" a="1"/>
  <c r="CL80" i="61" s="1"/>
  <c r="BT18" i="61"/>
  <c r="F3" i="60"/>
  <c r="AF30" i="8"/>
  <c r="C15" i="35"/>
  <c r="AD29" i="14" a="1"/>
  <c r="X29" i="14" a="1"/>
  <c r="X30" i="14" a="1"/>
  <c r="F26" i="60"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BB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L4" i="8"/>
  <c r="AD4" i="8"/>
  <c r="AB4" i="8"/>
  <c r="X4" i="8"/>
  <c r="Z4" i="8" s="1"/>
  <c r="V4" i="8"/>
  <c r="T4" i="8"/>
  <c r="N4" i="8"/>
  <c r="L4" i="8"/>
  <c r="J4" i="8"/>
  <c r="H4" i="8"/>
  <c r="F4" i="8"/>
  <c r="CB3" i="25" l="1"/>
  <c r="CB18" i="25" s="1"/>
  <c r="CB19" i="25" s="1"/>
  <c r="C24" i="78"/>
  <c r="C26" i="78" s="1" a="1"/>
  <c r="C26" i="78" s="1"/>
  <c r="C27" i="78" s="1" a="1"/>
  <c r="C27"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4" i="35"/>
  <c r="G46" i="35" s="1" a="1"/>
  <c r="G46" i="35" s="1"/>
  <c r="G47" i="35" s="1" a="1"/>
  <c r="G47" i="35" s="1"/>
  <c r="AP3" i="25"/>
  <c r="AP18" i="25" s="1"/>
  <c r="AP19" i="25" s="1"/>
  <c r="AD18" i="25" l="1"/>
  <c r="AD19" i="25" s="1"/>
  <c r="F6" i="14"/>
  <c r="D6" i="14"/>
  <c r="AL6" i="8"/>
  <c r="AD6" i="8"/>
  <c r="AB6" i="8"/>
  <c r="X6" i="8"/>
  <c r="Z6" i="8" s="1"/>
  <c r="V6" i="8"/>
  <c r="T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26" i="25" s="1" a="1"/>
  <c r="AF13" i="25"/>
  <c r="AF25"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N17" i="25"/>
  <c r="BN18" i="25" s="1"/>
  <c r="BJ14" i="25"/>
  <c r="BJ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4" i="35"/>
  <c r="C26" i="35" s="1"/>
  <c r="G25"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AJ30" i="8" a="1"/>
  <c r="F57" i="30" a="1"/>
  <c r="F6" i="32"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6" i="64" a="1"/>
  <c r="E36" i="64" a="1"/>
  <c r="E6" i="64" l="1"/>
  <c r="D11" i="38"/>
  <c r="C11" i="38"/>
  <c r="F40" i="32" a="1"/>
  <c r="F40" i="32" s="1"/>
  <c r="E36" i="64"/>
  <c r="K27" i="41"/>
  <c r="K31" i="41"/>
  <c r="BB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6" i="18" a="1"/>
  <c r="H43" i="22" a="1"/>
  <c r="H51" i="18" a="1"/>
  <c r="H35" i="22" a="1"/>
  <c r="H47" i="22" a="1"/>
  <c r="H27" i="22" a="1"/>
  <c r="H23" i="22" a="1"/>
  <c r="H39" i="22" a="1"/>
  <c r="H51"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C45" i="78" l="1" a="1"/>
  <c r="C45" i="78" s="1"/>
  <c r="C46" i="78" a="1"/>
  <c r="C46" i="78" s="1"/>
  <c r="C47" i="78"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F15" i="62" a="1"/>
  <c r="F19" i="62" a="1"/>
  <c r="F33" i="74" l="1" a="1"/>
  <c r="F33" i="74" s="1"/>
  <c r="F34" i="74" s="1" a="1"/>
  <c r="F34" i="74" s="1"/>
  <c r="F35" i="74" s="1" a="1"/>
  <c r="F35" i="74" s="1"/>
  <c r="F3" i="74" a="1"/>
  <c r="F3" i="74" s="1"/>
  <c r="F6" i="74" s="1" a="1"/>
  <c r="F6" i="74" s="1"/>
  <c r="F40"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E5" i="42" a="1"/>
  <c r="F27" i="68" a="1"/>
  <c r="F37" i="68" a="1"/>
  <c r="F44" i="68" a="1"/>
  <c r="F23" i="62" a="1"/>
  <c r="F32"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8" i="31" a="1"/>
  <c r="F19" i="31" a="1"/>
  <c r="F34" i="31" a="1"/>
  <c r="F46" i="31" a="1"/>
  <c r="F30" i="31" a="1"/>
  <c r="E6" i="15" a="1"/>
  <c r="F26"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Z18" i="61" a="1"/>
  <c r="AH18" i="61" a="1"/>
  <c r="AT18" i="61" a="1"/>
  <c r="CX18" i="61" a="1"/>
  <c r="N18" i="61" a="1"/>
  <c r="F25" i="23" a="1"/>
  <c r="BJ18" i="61" a="1"/>
  <c r="BV18" i="61" a="1"/>
  <c r="V18" i="61" a="1"/>
  <c r="BN18" i="61" a="1"/>
  <c r="AL18" i="61" a="1"/>
  <c r="CP18" i="61" a="1"/>
  <c r="AP18" i="61" a="1"/>
  <c r="AX18" i="61" a="1"/>
  <c r="Z18" i="61" a="1"/>
  <c r="AD18" i="61" a="1"/>
  <c r="BN52" i="61" a="1"/>
  <c r="CT18" i="61" a="1"/>
  <c r="F30" i="23" a="1"/>
  <c r="F8" i="23" a="1"/>
  <c r="BF18" i="61" a="1"/>
  <c r="CL18" i="61" a="1"/>
  <c r="R18" i="61" a="1"/>
  <c r="F40" i="23" a="1"/>
  <c r="CD18" i="61" a="1"/>
  <c r="F5" i="36" a="1"/>
  <c r="CH18" i="61" a="1"/>
  <c r="BB18" i="61" a="1"/>
  <c r="E6" i="51" a="1"/>
  <c r="J18" i="61" a="1"/>
  <c r="F35" i="23"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AR25" i="8" s="1"/>
  <c r="AR23" i="8" s="1" a="1"/>
  <c r="AR23" i="8" s="1"/>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N42" i="61" a="1"/>
  <c r="BR18" i="61" a="1"/>
  <c r="CB24" i="25" l="1"/>
  <c r="CB22" i="25" s="1" a="1"/>
  <c r="CB22" i="25" s="1"/>
  <c r="C35" i="78"/>
  <c r="E35" i="78" s="1" a="1"/>
  <c r="E35" i="78" s="1"/>
  <c r="V24" i="25"/>
  <c r="V22" i="25" s="1" a="1"/>
  <c r="V22" i="25" s="1"/>
  <c r="AP25" i="8"/>
  <c r="AP23" i="8" s="1" a="1"/>
  <c r="AP23" i="8" s="1"/>
  <c r="R25" i="8"/>
  <c r="R23" i="8" s="1" a="1"/>
  <c r="R23" i="8" s="1"/>
  <c r="T24" i="25"/>
  <c r="T22" i="25" s="1" a="1"/>
  <c r="T22" i="25" s="1"/>
  <c r="Z73" i="61"/>
  <c r="F24" i="25"/>
  <c r="N68" i="61"/>
  <c r="N69" i="61" s="1"/>
  <c r="CT73" i="61"/>
  <c r="F39" i="32"/>
  <c r="X25" i="8"/>
  <c r="H57" i="22"/>
  <c r="AN24" i="25"/>
  <c r="CP73" i="61"/>
  <c r="AJ24" i="25"/>
  <c r="M54" i="40"/>
  <c r="G61" i="35"/>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G51" i="35"/>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3" i="61"/>
  <c r="BH24" i="25"/>
  <c r="V28" i="14"/>
  <c r="F65" i="31"/>
  <c r="K84" i="67"/>
  <c r="S38" i="9"/>
  <c r="V25" i="8"/>
  <c r="L25" i="8"/>
  <c r="BT24" i="25"/>
  <c r="BD24" i="25"/>
  <c r="P28" i="14"/>
  <c r="BV24" i="25"/>
  <c r="N28" i="14"/>
  <c r="J24" i="25"/>
  <c r="P24" i="25"/>
  <c r="F28" i="39"/>
  <c r="F52" i="33"/>
  <c r="AB24" i="25"/>
  <c r="P18" i="50"/>
  <c r="C26" i="53"/>
  <c r="D28" i="14"/>
  <c r="F46" i="65"/>
  <c r="AD24" i="25"/>
  <c r="AP24" i="25"/>
  <c r="AH25" i="8"/>
  <c r="BF24" i="25"/>
  <c r="Z25" i="8"/>
  <c r="J28" i="14"/>
  <c r="F48" i="75"/>
  <c r="AD73" i="61"/>
  <c r="AH73" i="61"/>
  <c r="G28" i="39"/>
  <c r="F37" i="76"/>
  <c r="BZ24" i="25"/>
  <c r="N73" i="61"/>
  <c r="BR63" i="61"/>
  <c r="AP99" i="61"/>
  <c r="AX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Z15" i="61" a="1"/>
  <c r="N22" i="25" a="1"/>
  <c r="BJ22" i="25" a="1"/>
  <c r="AR22" i="25" a="1"/>
  <c r="C52" i="33" a="1"/>
  <c r="AX15" i="61" a="1"/>
  <c r="AF25" i="14" a="1"/>
  <c r="AH22" i="25" a="1"/>
  <c r="D23" i="8" a="1"/>
  <c r="V25" i="14" a="1"/>
  <c r="AD23" i="8" a="1"/>
  <c r="Z23" i="8" a="1"/>
  <c r="E34" i="69" a="1"/>
  <c r="D25" i="14" a="1"/>
  <c r="BJ15" i="61" a="1"/>
  <c r="R15" i="61" a="1"/>
  <c r="N23" i="8" a="1"/>
  <c r="V23" i="8" a="1"/>
  <c r="J23" i="8" a="1"/>
  <c r="T25" i="14" a="1"/>
  <c r="AP22" i="25" a="1"/>
  <c r="BZ22" i="25" a="1"/>
  <c r="D39" i="74" a="1"/>
  <c r="AJ23" i="8" a="1"/>
  <c r="AD15" i="61" a="1"/>
  <c r="F23" i="8" a="1"/>
  <c r="P25" i="14" a="1"/>
  <c r="BL22" i="25" a="1"/>
  <c r="AH15" i="61" a="1"/>
  <c r="CP15" i="61" a="1"/>
  <c r="CL15" i="61" a="1"/>
  <c r="Z25" i="14" a="1"/>
  <c r="X23" i="8" a="1"/>
  <c r="AD25" i="14" a="1"/>
  <c r="D48" i="75" a="1"/>
  <c r="BD22" i="25" a="1"/>
  <c r="AF22" i="25" a="1"/>
  <c r="AX22" i="25" a="1"/>
  <c r="X22" i="25" a="1"/>
  <c r="BV22" i="25" a="1"/>
  <c r="AT22" i="25" a="1"/>
  <c r="D22" i="25" a="1"/>
  <c r="O20" i="48" a="1"/>
  <c r="AB22" i="25" a="1"/>
  <c r="AF23" i="8" a="1"/>
  <c r="P22" i="25" a="1"/>
  <c r="AD22" i="25" a="1"/>
  <c r="F22" i="25" a="1"/>
  <c r="CT15" i="61" a="1"/>
  <c r="CH15" i="61" a="1"/>
  <c r="H23" i="8" a="1"/>
  <c r="J22" i="25" a="1"/>
  <c r="BV15" i="61" a="1"/>
  <c r="C35" i="64" a="1"/>
  <c r="BB15" i="61" a="1"/>
  <c r="Z22" i="25" a="1"/>
  <c r="D46" i="65" a="1"/>
  <c r="L23" i="8" a="1"/>
  <c r="E40" i="71" a="1"/>
  <c r="C35" i="42" a="1"/>
  <c r="L25" i="14" a="1"/>
  <c r="C62" i="23" a="1"/>
  <c r="BT22" i="25" a="1"/>
  <c r="D65" i="31" a="1"/>
  <c r="BP22" i="25" a="1"/>
  <c r="V15" i="61" a="1"/>
  <c r="R22" i="25" a="1"/>
  <c r="BN22" i="25" a="1"/>
  <c r="BR22" i="25" a="1"/>
  <c r="AB25" i="14" a="1"/>
  <c r="CX15" i="61" a="1"/>
  <c r="AL15" i="61" a="1"/>
  <c r="X25" i="14" a="1"/>
  <c r="AP15" i="61" a="1"/>
  <c r="N15" i="61" a="1"/>
  <c r="AV22" i="25" a="1"/>
  <c r="N25" i="14" a="1"/>
  <c r="J25" i="14" a="1"/>
  <c r="BF22" i="25" a="1"/>
  <c r="AT15" i="61" a="1"/>
  <c r="F3" i="21" a="1"/>
  <c r="D37" i="76" a="1"/>
  <c r="C62" i="34" a="1"/>
  <c r="R25" i="14" a="1"/>
  <c r="AL22" i="25" a="1"/>
  <c r="AH23" i="8" a="1"/>
  <c r="S35" i="9" a="1"/>
  <c r="H25" i="14" a="1"/>
  <c r="AN22" i="25" a="1"/>
  <c r="AZ22" i="25" a="1"/>
  <c r="BB22" i="25" a="1"/>
  <c r="AJ22" i="25" a="1"/>
  <c r="CD15" i="61" a="1"/>
  <c r="H84" i="67" a="1"/>
  <c r="F18" i="39" a="1"/>
  <c r="BX22" i="25" a="1"/>
  <c r="E13" i="22" a="1"/>
  <c r="H22" i="25" a="1"/>
  <c r="BF15" i="61" a="1"/>
  <c r="BZ15" i="61" a="1"/>
  <c r="AL23" i="8" a="1"/>
  <c r="C44" i="72" a="1"/>
  <c r="AN23" i="8" a="1"/>
  <c r="F25" i="14" a="1"/>
  <c r="AB23" i="8" a="1"/>
  <c r="L22" i="25" a="1"/>
  <c r="BH22" i="25" a="1"/>
  <c r="D42" i="62" a="1"/>
  <c r="P23" i="8" a="1"/>
  <c r="C31" i="51" a="1"/>
  <c r="C39" i="32" a="1"/>
  <c r="F22" i="25" l="1"/>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4" i="61"/>
  <c r="BR97" i="61" s="1"/>
  <c r="R15" i="61"/>
  <c r="BF22" i="25"/>
  <c r="D46" i="65"/>
  <c r="AB22" i="25"/>
  <c r="J22" i="25"/>
  <c r="BD22" i="25"/>
  <c r="S35" i="9"/>
  <c r="O3" i="9" s="1"/>
  <c r="BH22" i="25"/>
  <c r="E34" i="69"/>
  <c r="L22" i="25"/>
  <c r="AX22" i="25"/>
  <c r="X25" i="14"/>
  <c r="AL22" i="25"/>
  <c r="D48" i="75"/>
  <c r="AH23" i="8"/>
  <c r="D25" i="14"/>
  <c r="C52" i="33"/>
  <c r="N25" i="14"/>
  <c r="BT22" i="25"/>
  <c r="H84"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J95" i="58"/>
  <c r="R95" i="58"/>
  <c r="X95" i="58"/>
  <c r="P95" i="58"/>
  <c r="T95" i="58"/>
  <c r="V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L97" i="58"/>
  <c r="T96"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T29" i="8"/>
  <c r="T27" i="8"/>
  <c r="T20" i="8"/>
  <c r="T25" i="8" s="1"/>
  <c r="T28" i="8"/>
  <c r="D58" i="60" a="1"/>
  <c r="T23" i="8" a="1"/>
  <c r="D58" i="60" l="1"/>
  <c r="T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6" i="61" a="1"/>
  <c r="J76" i="61" s="1"/>
  <c r="J15" i="61" l="1" a="1"/>
  <c r="J15" i="61" s="1"/>
  <c r="J99"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<sst xmlns="http://schemas.openxmlformats.org/spreadsheetml/2006/main" count="4543" uniqueCount="2742">
  <si>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</si>
  <si>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</si>
  <si>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</si>
  <si>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</si>
  <si>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</si>
  <si>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</si>
  <si>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</si>
  <si>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</si>
  <si>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</si>
  <si>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</si>
  <si>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</si>
  <si>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</si>
  <si>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</si>
  <si>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</si>
  <si>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</si>
  <si>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</si>
  <si>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</si>
  <si>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</si>
  <si>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</si>
  <si>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</si>
  <si>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</si>
  <si>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</si>
  <si>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</si>
  <si>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</si>
  <si>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</si>
  <si>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</si>
  <si>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</si>
  <si>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</si>
  <si>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</si>
  <si>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</si>
  <si>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</si>
  <si>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</si>
  <si>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</si>
  <si>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</si>
  <si>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</si>
  <si>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</si>
  <si>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</si>
  <si>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</si>
  <si>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</si>
  <si>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</si>
  <si>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</si>
  <si>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</si>
  <si>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</si>
  <si>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</si>
  <si>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</si>
  <si>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</si>
  <si>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</si>
  <si>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</si>
  <si>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</si>
  <si>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</si>
  <si>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</si>
  <si>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</si>
  <si>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</si>
  <si>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</si>
  <si>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</si>
  <si>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</si>
  <si>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</si>
  <si>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</si>
  <si>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</si>
  <si>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</si>
  <si>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</si>
  <si>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</si>
  <si>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</si>
  <si>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</si>
  <si>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</si>
  <si>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</si>
  <si>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</si>
  <si>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</si>
  <si>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</si>
  <si>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</si>
  <si>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</si>
  <si>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</si>
  <si>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</si>
  <si>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</si>
  <si>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</si>
  <si>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</si>
  <si>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</si>
  <si>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</si>
  <si>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</si>
  <si>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</si>
  <si>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</si>
  <si>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</si>
  <si>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</si>
  <si>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</si>
  <si>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</si>
  <si>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</si>
  <si>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</si>
  <si>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</si>
  <si>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</si>
  <si>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</si>
  <si>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</si>
  <si>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</si>
  <si>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</si>
  <si>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</si>
  <si>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</si>
  <si>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</si>
  <si>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</si>
  <si>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</si>
  <si>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</si>
  <si>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</si>
  <si>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</si>
  <si>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</si>
  <si>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</si>
  <si>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</si>
  <si>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</si>
  <si>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</si>
  <si>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</si>
  <si>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</si>
  <si>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</si>
  <si>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</si>
  <si>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</si>
  <si>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</si>
  <si>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</si>
  <si>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</si>
  <si>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</si>
  <si>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</si>
  <si>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</si>
  <si>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</si>
  <si>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</si>
  <si>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</si>
  <si>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</si>
  <si>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</si>
  <si>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</si>
  <si>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</si>
  <si>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</si>
  <si>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</si>
  <si>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</si>
  <si>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</si>
  <si>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</si>
  <si>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</si>
  <si>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</si>
  <si>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</si>
  <si>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</si>
  <si>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</si>
  <si>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</si>
  <si>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</si>
  <si>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</si>
  <si>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</si>
  <si>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</si>
  <si>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</si>
  <si>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</si>
  <si>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</si>
  <si>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</si>
  <si>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</si>
  <si>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</si>
  <si>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</si>
  <si>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</si>
  <si>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</si>
  <si>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</si>
  <si>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</si>
  <si>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</si>
  <si>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</si>
  <si>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</si>
  <si>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</si>
  <si>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</si>
  <si>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</si>
  <si>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</si>
  <si>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</si>
  <si>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</si>
  <si>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</si>
  <si>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</si>
  <si>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</si>
  <si>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</si>
  <si>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</si>
  <si>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</si>
  <si>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</si>
  <si>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</si>
  <si>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</si>
  <si>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</si>
  <si>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</si>
  <si>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</si>
  <si>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</si>
  <si>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</si>
  <si>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</si>
  <si>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</si>
  <si>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</si>
  <si>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</si>
  <si>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</si>
  <si>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</si>
  <si>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</si>
  <si>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</si>
  <si>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</si>
  <si>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</si>
  <si>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</si>
  <si>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</si>
  <si>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</si>
  <si>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</si>
  <si>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</si>
  <si>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</si>
  <si>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</si>
  <si>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</si>
  <si>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</si>
  <si>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</si>
  <si>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</si>
  <si>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</si>
  <si>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</si>
  <si>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</si>
  <si>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</si>
  <si>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</si>
  <si>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</si>
  <si>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</si>
  <si>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</si>
  <si>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</si>
  <si>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</si>
  <si>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</si>
  <si>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</si>
  <si>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</si>
  <si>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</si>
  <si>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</si>
  <si>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</si>
  <si>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</si>
  <si>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</si>
  <si>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</si>
  <si>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</si>
  <si>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</si>
  <si>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</si>
  <si>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</si>
  <si>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</si>
  <si>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</si>
  <si>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</si>
  <si>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</si>
  <si>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</si>
  <si>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</si>
  <si>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</si>
  <si>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</si>
  <si>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</si>
  <si>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</si>
  <si>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</si>
  <si>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</si>
  <si>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</si>
  <si>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</si>
  <si>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</si>
  <si>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</si>
  <si>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</si>
  <si>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</si>
  <si>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</si>
  <si>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</si>
  <si>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</si>
  <si>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</si>
  <si>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</si>
  <si>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</si>
  <si>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</si>
  <si>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</si>
  <si>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</si>
  <si>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</si>
  <si>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</si>
  <si>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</si>
  <si>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</si>
  <si>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</si>
  <si>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</si>
  <si>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</si>
  <si>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</si>
  <si>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</si>
  <si>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</si>
  <si>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</si>
  <si>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</si>
  <si>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</si>
  <si>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</si>
  <si>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</si>
  <si>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</si>
  <si>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</si>
  <si>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</si>
  <si>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</si>
  <si>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</si>
  <si>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</si>
  <si>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</si>
  <si>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</si>
  <si>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</si>
  <si>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</si>
  <si>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</si>
  <si>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</si>
  <si>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</si>
  <si>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</si>
  <si>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</si>
  <si>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</si>
  <si>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</si>
  <si>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</si>
  <si>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</si>
  <si>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</si>
  <si>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</si>
  <si>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</si>
  <si>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</si>
  <si>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</si>
  <si>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</si>
  <si>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</si>
  <si>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</si>
  <si>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</si>
  <si>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</si>
  <si>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</si>
  <si>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</si>
  <si>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</si>
  <si>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</si>
  <si>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</si>
  <si>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</si>
  <si>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</si>
  <si>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</si>
  <si>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</si>
  <si>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</si>
  <si>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</si>
  <si>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</si>
  <si>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</si>
  <si>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</si>
  <si>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</si>
  <si>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</si>
  <si>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</si>
  <si>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</si>
  <si>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</si>
  <si>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</si>
  <si>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</si>
  <si>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</si>
  <si>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</si>
  <si>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</si>
  <si>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</si>
  <si>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</si>
  <si>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</si>
  <si>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</si>
  <si>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</si>
  <si>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</si>
  <si>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</si>
  <si>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</si>
  <si>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</si>
  <si>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</si>
  <si>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</si>
  <si>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</si>
  <si>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</si>
  <si>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</si>
  <si>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</si>
  <si>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</si>
  <si>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</si>
  <si>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</si>
  <si>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</si>
  <si>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</si>
  <si>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</si>
  <si>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</si>
  <si>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</si>
  <si>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</si>
  <si>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</si>
  <si>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</si>
  <si>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</si>
  <si>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</si>
  <si>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</si>
  <si>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</si>
  <si>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</si>
  <si>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</si>
  <si>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</si>
  <si>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</si>
  <si>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</si>
  <si>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</si>
  <si>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</si>
  <si>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</si>
  <si>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</si>
  <si>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</si>
  <si>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</si>
  <si>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</si>
  <si>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</si>
  <si>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</si>
  <si>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</si>
  <si>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</si>
  <si>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</si>
  <si>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</si>
  <si>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</si>
  <si>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</si>
  <si>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</si>
  <si>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</si>
  <si>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</si>
  <si>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</si>
  <si>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</si>
  <si>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</si>
  <si>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</si>
  <si>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</si>
  <si>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</si>
  <si>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</si>
  <si>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</si>
  <si>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</si>
  <si>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</si>
  <si>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</si>
  <si>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</si>
  <si>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</si>
  <si>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</si>
  <si>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</si>
  <si>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</si>
  <si>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</si>
  <si>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</si>
  <si>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</si>
  <si>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</si>
  <si>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</si>
  <si>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</si>
  <si>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</si>
  <si>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</si>
  <si>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</si>
  <si>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</si>
  <si>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</si>
  <si>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</si>
  <si>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</si>
  <si>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</si>
  <si>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</si>
  <si>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</si>
  <si>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</si>
  <si>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</si>
  <si>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</si>
  <si>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</si>
  <si>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</si>
  <si>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</si>
  <si>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</si>
  <si>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</si>
  <si>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</si>
  <si>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</si>
  <si>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</si>
  <si>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</si>
  <si>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</si>
  <si>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</si>
  <si>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</si>
  <si>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</si>
  <si>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</si>
  <si>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</si>
  <si>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</si>
  <si>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</si>
  <si>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</si>
  <si>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</si>
  <si>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</si>
  <si>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</si>
  <si>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</si>
  <si>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</si>
  <si>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</si>
  <si>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</si>
  <si>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</si>
  <si>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</si>
  <si>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</si>
  <si>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</si>
  <si>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</si>
  <si>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</si>
  <si>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</si>
  <si>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</si>
  <si>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</si>
  <si>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</si>
  <si>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</si>
  <si>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</si>
  <si>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</si>
  <si>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</si>
  <si>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</si>
  <si>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</si>
  <si>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</si>
  <si>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</si>
  <si>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</si>
  <si>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</si>
  <si>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</si>
  <si>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</si>
  <si>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</si>
  <si>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</si>
  <si>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</si>
  <si>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</si>
  <si>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</si>
  <si>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</si>
  <si>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</si>
  <si>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</si>
  <si>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</si>
  <si>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</si>
  <si>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</si>
  <si>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</si>
  <si>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</si>
  <si>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</si>
  <si>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</si>
  <si>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</si>
  <si>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</si>
  <si>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</si>
  <si>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</si>
  <si>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</si>
  <si>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</si>
  <si>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</si>
  <si>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</si>
  <si>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</si>
  <si>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</si>
  <si>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</si>
  <si>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</si>
  <si>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</si>
  <si>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</si>
  <si>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</si>
  <si>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</si>
  <si>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</si>
  <si>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</si>
  <si>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</si>
  <si>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</si>
  <si>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</si>
  <si>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</si>
  <si>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</si>
  <si>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</si>
  <si>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</si>
  <si>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</si>
  <si>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</si>
  <si>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</si>
  <si>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</si>
  <si>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</si>
  <si>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</si>
  <si>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</si>
  <si>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</si>
  <si>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</si>
  <si>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</si>
  <si>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</si>
  <si>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</si>
  <si>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</si>
  <si>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</si>
  <si>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</si>
  <si>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</si>
  <si>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</si>
  <si>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</si>
  <si>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</si>
  <si>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</si>
  <si>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</si>
  <si>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</si>
  <si>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</si>
  <si>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</si>
  <si>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</si>
  <si>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</si>
  <si>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</si>
  <si>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</si>
  <si>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</si>
  <si>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</si>
  <si>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</si>
  <si>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</si>
  <si>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</si>
  <si>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</si>
  <si>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</si>
  <si>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</si>
  <si>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</si>
  <si>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</si>
  <si>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</si>
  <si>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</si>
  <si>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</si>
  <si>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</si>
  <si>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</si>
  <si>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</si>
  <si>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</si>
  <si>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</si>
  <si>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</si>
  <si>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</si>
  <si>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</si>
  <si>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</si>
  <si>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</si>
  <si>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</si>
  <si>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</si>
  <si>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</si>
  <si>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</si>
  <si>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</si>
  <si>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</si>
  <si>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</si>
  <si>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</si>
  <si>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</si>
  <si>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</si>
  <si>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</si>
  <si>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</si>
  <si>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</si>
  <si>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</si>
  <si>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</si>
  <si>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</si>
  <si>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</si>
  <si>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</si>
  <si>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</si>
  <si>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</si>
  <si>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</si>
  <si>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</si>
  <si>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</si>
  <si>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</si>
  <si>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</si>
  <si>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</si>
  <si>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</si>
  <si>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</si>
  <si>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</si>
  <si>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</si>
  <si>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</si>
  <si>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</si>
  <si>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</si>
  <si>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</si>
  <si>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</si>
  <si>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</si>
  <si>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</si>
  <si>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</si>
  <si>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</si>
  <si>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</si>
  <si>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</si>
  <si>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</si>
  <si>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</si>
  <si>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</si>
  <si>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</si>
  <si>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</si>
  <si>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</si>
  <si>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</si>
  <si>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</si>
  <si>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</si>
  <si>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</si>
  <si>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</si>
  <si>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</si>
  <si>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</si>
  <si>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</si>
  <si>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</si>
  <si>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</si>
  <si>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</si>
  <si>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</si>
  <si>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</si>
  <si>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</si>
  <si>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</si>
  <si>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</si>
  <si>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</si>
  <si>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</si>
  <si>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</si>
  <si>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</si>
  <si>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</si>
  <si>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</si>
  <si>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</si>
  <si>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</si>
  <si>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</si>
  <si>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</si>
  <si>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</si>
  <si>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</si>
  <si>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</si>
  <si>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</si>
  <si>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</si>
  <si>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</si>
  <si>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</si>
  <si>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</si>
  <si>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</si>
  <si>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</si>
  <si>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</si>
  <si>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</si>
  <si>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</si>
  <si>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</si>
  <si>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</si>
  <si>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</si>
  <si>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</si>
  <si>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</si>
  <si>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</si>
  <si>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</si>
  <si>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</si>
  <si>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</si>
  <si>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</si>
  <si>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</si>
  <si>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</si>
  <si>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</si>
  <si>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</si>
  <si>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</si>
  <si>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</si>
  <si>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</si>
  <si>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</si>
  <si>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</si>
  <si>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</si>
  <si>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</si>
  <si>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</si>
  <si>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</si>
  <si>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</si>
  <si>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</si>
  <si>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</si>
  <si>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</si>
  <si>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</si>
  <si>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</si>
  <si>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</si>
  <si>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</si>
  <si>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</si>
  <si>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</si>
  <si>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</si>
  <si>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</si>
  <si>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</si>
  <si>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</si>
  <si>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</si>
  <si>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</si>
  <si>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</si>
  <si>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</si>
  <si>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</si>
  <si>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</si>
  <si>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</si>
  <si>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</si>
  <si>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</si>
  <si>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</si>
  <si>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</si>
  <si>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</si>
  <si>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</si>
  <si>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</si>
  <si>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</si>
  <si>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</si>
  <si>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</si>
  <si>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</si>
  <si>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</si>
  <si>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</si>
  <si>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</si>
  <si>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</si>
  <si>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</si>
  <si>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</si>
  <si>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</si>
  <si>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</si>
  <si>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</si>
  <si>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</si>
  <si>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</si>
  <si>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</si>
  <si>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</si>
  <si>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</si>
  <si>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</si>
  <si>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</si>
  <si>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</si>
  <si>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</si>
  <si>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</si>
  <si>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</si>
  <si>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</si>
  <si>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</si>
  <si>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</si>
  <si>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</si>
  <si>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</si>
  <si>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</si>
  <si>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</si>
  <si>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</si>
  <si>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</si>
  <si>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</si>
  <si>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</si>
  <si>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</si>
  <si>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</si>
  <si>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</si>
  <si>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</si>
  <si>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</si>
  <si>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</si>
  <si>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</si>
  <si>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</si>
  <si>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</si>
  <si>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</si>
  <si>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</si>
  <si>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</si>
  <si>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</si>
  <si>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</si>
  <si>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</si>
  <si>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</si>
  <si>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</si>
  <si>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</si>
  <si>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</si>
  <si>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</si>
  <si>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</si>
  <si>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</si>
  <si>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</si>
  <si>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</si>
  <si>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</si>
  <si>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</si>
  <si>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</si>
  <si>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</si>
  <si>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</si>
  <si>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</si>
  <si>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</si>
  <si>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</si>
  <si>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</si>
  <si>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</si>
  <si>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</si>
  <si>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</si>
  <si>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</si>
  <si>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</si>
  <si>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</si>
  <si>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</si>
  <si>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</si>
  <si>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</si>
  <si>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</si>
  <si>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</si>
  <si>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</si>
  <si>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</si>
  <si>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</si>
  <si>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</si>
  <si>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</si>
  <si>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</si>
  <si>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</si>
  <si>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</si>
  <si>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</si>
  <si>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</si>
  <si>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</si>
  <si>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</si>
  <si>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</si>
  <si>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</si>
  <si>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</si>
  <si>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</si>
  <si>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</si>
  <si>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</si>
  <si>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</si>
  <si>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</si>
  <si>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</si>
  <si>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</si>
  <si>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</si>
  <si>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</si>
  <si>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</si>
  <si>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</si>
  <si>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</si>
  <si>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</si>
  <si>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</si>
  <si>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</si>
  <si>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</si>
  <si>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</si>
  <si>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</si>
  <si>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</si>
  <si>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</si>
  <si>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</si>
  <si>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</si>
  <si>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</si>
  <si>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</si>
  <si>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</si>
  <si>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</si>
  <si>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</si>
  <si>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</si>
  <si>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</si>
  <si>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</si>
  <si>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</si>
  <si>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</si>
  <si>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</si>
  <si>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</si>
  <si>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</si>
  <si>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</si>
  <si>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</si>
  <si>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</si>
  <si>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</si>
  <si>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</si>
  <si>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</si>
  <si>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</si>
  <si>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</si>
  <si>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</si>
  <si>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</si>
  <si>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</si>
  <si>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</si>
  <si>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</si>
  <si>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</si>
  <si>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</si>
  <si>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</si>
  <si>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</si>
  <si>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</si>
  <si>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</si>
  <si>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</si>
  <si>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</si>
  <si>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</si>
  <si>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</si>
  <si>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</si>
  <si>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</si>
  <si>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</si>
  <si>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</si>
  <si>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</si>
  <si>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</si>
  <si>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</si>
  <si>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</si>
  <si>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</si>
  <si>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</si>
  <si>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</si>
  <si>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</si>
  <si>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</si>
  <si>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</si>
  <si>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</si>
  <si>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</si>
  <si>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</si>
  <si>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</si>
  <si>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</si>
  <si>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</si>
  <si>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</si>
  <si>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</si>
  <si>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</si>
  <si>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</si>
  <si>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</si>
  <si>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</si>
  <si>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</si>
  <si>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</si>
  <si>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</si>
  <si>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</si>
  <si>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</si>
  <si>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</si>
  <si>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</si>
  <si>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</si>
  <si>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</si>
  <si>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</si>
  <si>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</si>
  <si>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</si>
  <si>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</si>
  <si>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</si>
  <si>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</si>
  <si>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</si>
  <si>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</si>
  <si>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</si>
  <si>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</si>
  <si>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</si>
  <si>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</si>
  <si>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</si>
  <si>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</si>
  <si>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</si>
  <si>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</si>
  <si>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</si>
  <si>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</si>
  <si>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</si>
  <si>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</si>
  <si>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</si>
  <si>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</si>
  <si>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</si>
  <si>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</si>
  <si>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</si>
  <si>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</si>
  <si>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</si>
  <si>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</si>
  <si>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</si>
  <si>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</si>
  <si>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</si>
  <si>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</si>
  <si>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</si>
  <si>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</si>
  <si>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</si>
  <si>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</si>
  <si>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</si>
  <si>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</si>
  <si>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</si>
  <si>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</si>
  <si>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</si>
  <si>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</si>
  <si>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</si>
  <si>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</si>
  <si>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</si>
  <si>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</si>
  <si>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</si>
  <si>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</si>
  <si>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</si>
  <si>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</si>
  <si>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</si>
  <si>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</si>
  <si>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</si>
  <si>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</si>
  <si>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</si>
  <si>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</si>
  <si>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</si>
  <si>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</si>
  <si>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</si>
  <si>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</si>
  <si>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</si>
  <si>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</si>
  <si>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</si>
  <si>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</si>
  <si>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</si>
  <si>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</si>
  <si>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</si>
  <si>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</si>
  <si>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</si>
  <si>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</si>
  <si>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</si>
  <si>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</si>
  <si>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</si>
  <si>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</si>
  <si>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</si>
  <si>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</si>
  <si>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</si>
  <si>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</si>
  <si>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</si>
  <si>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</si>
  <si>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</si>
  <si>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</si>
  <si>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</si>
  <si>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</si>
  <si>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</si>
  <si>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</si>
  <si>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</si>
  <si>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</si>
  <si>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</si>
  <si>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</si>
  <si>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</si>
  <si>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</si>
  <si>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</si>
  <si>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</si>
  <si>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</si>
  <si>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</si>
  <si>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</si>
  <si>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</si>
  <si>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</si>
  <si>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</si>
  <si>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</si>
  <si>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</si>
  <si>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</si>
  <si>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</si>
  <si>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</si>
  <si>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</si>
  <si>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</si>
  <si>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</si>
  <si>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</si>
  <si>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</si>
  <si>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</si>
  <si>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</si>
  <si>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</si>
  <si>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</si>
  <si>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</si>
  <si>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</si>
  <si>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</si>
  <si>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</si>
  <si>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</si>
  <si>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</si>
  <si>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</si>
  <si>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</si>
  <si>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</si>
  <si>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</si>
  <si>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</si>
  <si>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</si>
  <si>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</si>
  <si>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</si>
  <si>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</si>
  <si>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</si>
  <si>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</si>
  <si>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</si>
  <si>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</si>
  <si>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</si>
  <si>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</si>
  <si>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</si>
  <si>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</si>
  <si>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</si>
  <si>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</si>
  <si>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</si>
  <si>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</si>
  <si>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</si>
  <si>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</si>
  <si>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</si>
  <si>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</si>
  <si>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</si>
  <si>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</si>
  <si>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</si>
  <si>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</si>
  <si>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</si>
  <si>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</si>
  <si>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</si>
  <si>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</si>
  <si>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</si>
  <si>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</si>
  <si>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</si>
  <si>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</si>
  <si>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</si>
  <si>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</si>
  <si>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</si>
  <si>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</si>
  <si>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</si>
  <si>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</si>
  <si>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</si>
  <si>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</si>
  <si>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</si>
  <si>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</si>
  <si>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</si>
  <si>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</si>
  <si>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</si>
  <si>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</si>
  <si>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</si>
  <si>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</si>
  <si>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</si>
  <si>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</si>
  <si>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</si>
  <si>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</si>
  <si>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</si>
  <si>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</si>
  <si>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</si>
  <si>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</si>
  <si>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</si>
  <si>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</si>
  <si>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</si>
  <si>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</si>
  <si>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</si>
  <si>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</si>
  <si>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</si>
  <si>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</si>
  <si>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</si>
  <si>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</si>
  <si>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</si>
  <si>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</si>
  <si>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</si>
  <si>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</si>
  <si>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</si>
  <si>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</si>
  <si>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</si>
  <si>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</si>
  <si>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</si>
  <si>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</si>
  <si>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</si>
  <si>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</si>
  <si>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</si>
  <si>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</si>
  <si>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</si>
  <si>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</si>
  <si>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</si>
  <si>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</si>
  <si>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</si>
  <si>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</si>
  <si>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</si>
  <si>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</si>
  <si>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</si>
  <si>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</si>
  <si>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</si>
  <si>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</si>
  <si>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</si>
  <si>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</si>
  <si>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</si>
  <si>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</si>
  <si>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</si>
  <si>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</si>
  <si>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</si>
  <si>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</si>
  <si>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</si>
  <si>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</si>
  <si>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</si>
  <si>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</si>
  <si>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</si>
  <si>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</si>
  <si>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</si>
  <si>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</si>
  <si>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</si>
  <si>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</si>
  <si>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</si>
  <si>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</si>
  <si>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</si>
  <si>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</si>
  <si>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</si>
  <si>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</si>
  <si>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</si>
  <si>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</si>
  <si>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</si>
  <si>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</si>
  <si>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</si>
  <si>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</si>
  <si>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</si>
  <si>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</si>
  <si>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</si>
  <si>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</si>
  <si>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</si>
  <si>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</si>
  <si>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</si>
  <si>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</si>
  <si>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</si>
  <si>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</si>
  <si>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</si>
  <si>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</si>
  <si>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</si>
  <si>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</si>
  <si>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</si>
  <si>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</si>
  <si>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</si>
  <si>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</si>
  <si>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</si>
  <si>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</si>
  <si>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</si>
  <si>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</si>
  <si>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</si>
  <si>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</si>
  <si>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</si>
  <si>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</si>
  <si>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</si>
  <si>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</si>
  <si>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</si>
  <si>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</si>
  <si>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</si>
  <si>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</si>
  <si>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</si>
  <si>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</si>
  <si>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</si>
  <si>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</si>
  <si>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</si>
  <si>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</si>
  <si>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</si>
  <si>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</si>
  <si>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</si>
  <si>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</si>
  <si>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</si>
  <si>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</si>
  <si>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</si>
  <si>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</si>
  <si>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</si>
  <si>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</si>
  <si>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</si>
  <si>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</si>
  <si>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</si>
  <si>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</si>
  <si>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</si>
  <si>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</si>
  <si>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</si>
  <si>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</si>
  <si>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</si>
  <si>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</si>
  <si>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</si>
  <si>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</si>
  <si>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</si>
  <si>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</si>
  <si>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</si>
  <si>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</si>
  <si>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</si>
  <si>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</si>
  <si>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</si>
  <si>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</si>
  <si>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</si>
  <si>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</si>
  <si>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</si>
  <si>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</si>
  <si>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</si>
  <si>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</si>
  <si>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</si>
  <si>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</si>
  <si>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</si>
  <si>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</si>
  <si>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</si>
  <si>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</si>
  <si>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</si>
  <si>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</si>
  <si>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</si>
  <si>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</si>
  <si>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</si>
  <si>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</si>
  <si>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</si>
  <si>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</si>
  <si>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</si>
  <si>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</si>
  <si>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</si>
  <si>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</si>
  <si>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</si>
  <si>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</si>
  <si>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</si>
  <si>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</si>
  <si>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</si>
  <si>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</si>
  <si>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</si>
  <si>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</si>
  <si>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</si>
  <si>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</si>
  <si>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</si>
  <si>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</si>
  <si>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</si>
  <si>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</si>
  <si>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</si>
  <si>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</si>
  <si>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</si>
  <si>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</si>
  <si>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</si>
  <si>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</si>
  <si>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</si>
  <si>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</si>
  <si>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</si>
  <si>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</si>
  <si>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</si>
  <si>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</si>
  <si>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</si>
  <si>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</si>
  <si>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</si>
  <si>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</si>
  <si>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</si>
  <si>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</si>
  <si>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</si>
  <si>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</si>
  <si>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</si>
  <si>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</si>
  <si>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</si>
  <si>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</si>
  <si>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</si>
  <si>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</si>
  <si>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</si>
  <si>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</si>
  <si>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</si>
  <si>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</si>
  <si>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</si>
  <si>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</si>
  <si>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</si>
  <si>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</si>
  <si>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</si>
  <si>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</si>
  <si>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</si>
  <si>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</si>
  <si>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</si>
  <si>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</si>
  <si>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</si>
  <si>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</si>
  <si>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</si>
  <si>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</si>
  <si>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</si>
  <si>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</si>
  <si>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</si>
  <si>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</si>
  <si>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</si>
  <si>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</si>
  <si>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</si>
  <si>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</si>
  <si>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</si>
  <si>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</si>
  <si>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</si>
  <si>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</si>
  <si>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</si>
  <si>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</si>
  <si>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</si>
  <si>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</si>
  <si>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</si>
  <si>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</si>
  <si>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</si>
  <si>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</si>
  <si>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</si>
  <si>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</si>
  <si>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</si>
  <si>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</si>
  <si>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</si>
  <si>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</si>
  <si>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</si>
  <si>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</si>
  <si>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</si>
  <si>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</si>
  <si>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</si>
  <si>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</si>
  <si>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</si>
  <si>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</si>
  <si>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</si>
  <si>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</si>
  <si>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</si>
  <si>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</si>
  <si>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</si>
  <si>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</si>
  <si>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</si>
  <si>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</si>
  <si>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</si>
  <si>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</si>
  <si>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</si>
  <si>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</si>
  <si>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</si>
  <si>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</si>
  <si>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</si>
  <si>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</si>
  <si>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</si>
  <si>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</si>
  <si>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</si>
  <si>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</si>
  <si>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</si>
  <si>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</si>
  <si>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</si>
  <si>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</si>
  <si>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</si>
  <si>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</si>
  <si>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</si>
  <si>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</si>
  <si>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</si>
  <si>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</si>
  <si>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</si>
  <si>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</si>
  <si>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</si>
  <si>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</si>
  <si>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</si>
  <si>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</si>
  <si>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</si>
  <si>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</si>
  <si>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</si>
  <si>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</si>
  <si>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</si>
  <si>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</si>
  <si>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</si>
  <si>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</si>
  <si>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</si>
  <si>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</si>
  <si>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</si>
  <si>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</si>
  <si>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</si>
  <si>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</si>
  <si>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</si>
  <si>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</si>
  <si>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</si>
  <si>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</si>
  <si>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</si>
  <si>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</si>
  <si>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</si>
  <si>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</si>
  <si>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</si>
  <si>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</si>
  <si>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</si>
  <si>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</si>
  <si>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</si>
  <si>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</si>
  <si>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</si>
  <si>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</si>
  <si>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</si>
  <si>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</si>
  <si>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</si>
  <si>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</si>
  <si>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</si>
  <si>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</si>
  <si>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</si>
  <si>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</si>
  <si>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</si>
  <si>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</si>
  <si>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</si>
  <si>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</si>
  <si>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</si>
  <si>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</si>
  <si>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</si>
  <si>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</si>
  <si>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</si>
  <si>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</si>
  <si>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</si>
  <si>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</si>
  <si>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</si>
  <si>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</si>
  <si>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</si>
  <si>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</si>
  <si>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</si>
  <si>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</si>
  <si>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</si>
  <si>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</si>
  <si>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</si>
  <si>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</si>
  <si>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</si>
  <si>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</si>
  <si>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</si>
  <si>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</si>
  <si>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</si>
  <si>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</si>
  <si>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</si>
  <si>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</si>
  <si>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</si>
  <si>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</si>
  <si>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</si>
  <si>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</si>
  <si>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</si>
  <si>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</si>
  <si>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</si>
  <si>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</si>
  <si>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</si>
  <si>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</si>
  <si>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</si>
  <si>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</si>
  <si>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</si>
  <si>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</si>
  <si>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</si>
  <si>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</si>
  <si>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</si>
  <si>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</si>
  <si>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</si>
  <si>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</si>
  <si>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</si>
  <si>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</si>
  <si>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</si>
  <si>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</si>
  <si>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</si>
  <si>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</si>
  <si>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</si>
  <si>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</si>
  <si>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</si>
  <si>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</si>
  <si>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</si>
  <si>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</si>
  <si>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</si>
  <si>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</si>
  <si>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</si>
  <si>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</si>
  <si>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</si>
  <si>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</si>
  <si>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</si>
  <si>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</si>
  <si>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</si>
  <si>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</si>
  <si>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</si>
  <si>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</si>
  <si>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</si>
  <si>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</si>
  <si>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</si>
  <si>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</si>
  <si>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</si>
  <si>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</si>
  <si>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</si>
  <si>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</si>
  <si>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</si>
  <si>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</si>
  <si>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</si>
  <si>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</si>
  <si>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</si>
  <si>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</si>
  <si>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</si>
  <si>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</si>
  <si>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</si>
  <si>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</si>
  <si>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</si>
  <si>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</si>
  <si>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</si>
  <si>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</si>
  <si>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</si>
  <si>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</si>
  <si>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</si>
  <si>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</si>
  <si>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</si>
  <si>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</si>
  <si>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</si>
  <si>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</si>
  <si>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</si>
  <si>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</si>
  <si>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</si>
  <si>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</si>
  <si>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</si>
  <si>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</si>
  <si>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</si>
  <si>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</si>
  <si>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</si>
  <si>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</si>
  <si>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</si>
  <si>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</si>
  <si>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</si>
  <si>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</si>
  <si>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</si>
  <si>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</si>
  <si>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</si>
  <si>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</si>
  <si>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</si>
  <si>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</si>
  <si>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</si>
  <si>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</si>
  <si>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</si>
  <si>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</si>
  <si>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</si>
  <si>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</si>
  <si>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</si>
  <si>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</si>
  <si>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</si>
  <si>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</si>
  <si>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</si>
  <si>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</si>
  <si>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</si>
  <si>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</si>
  <si>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</si>
  <si>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</si>
  <si>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</si>
  <si>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</si>
  <si>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</si>
  <si>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</si>
  <si>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</si>
  <si>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</si>
  <si>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</si>
  <si>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</si>
  <si>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</si>
  <si>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</si>
  <si>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</si>
  <si>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</si>
  <si>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</si>
  <si>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</si>
  <si>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</si>
  <si>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</si>
  <si>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</si>
  <si>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</si>
  <si>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</si>
  <si>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</si>
  <si>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</si>
  <si>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</si>
  <si>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</si>
  <si>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</si>
  <si>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</si>
  <si>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</si>
  <si>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</si>
  <si>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</si>
  <si>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</si>
  <si>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</si>
  <si>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</si>
  <si>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</si>
  <si>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</si>
  <si>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</si>
  <si>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</si>
  <si>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</si>
  <si>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</si>
  <si>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</si>
  <si>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</si>
  <si>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</si>
  <si>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</si>
  <si>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</si>
  <si>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</si>
  <si>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</si>
  <si>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</si>
  <si>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</si>
  <si>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</si>
  <si>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</si>
  <si>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</si>
  <si>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</si>
  <si>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</si>
  <si>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</si>
  <si>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</si>
  <si>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</si>
  <si>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</si>
  <si>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</si>
  <si>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</si>
  <si>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</si>
  <si>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</si>
  <si>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</si>
  <si>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</si>
  <si>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</si>
  <si>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</si>
  <si>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</si>
  <si>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</si>
  <si>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</si>
  <si>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</si>
  <si>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</si>
  <si>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</si>
  <si>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</si>
  <si>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</si>
  <si>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</si>
  <si>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</si>
  <si>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</si>
  <si>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</si>
  <si>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</si>
  <si>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</si>
  <si>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</si>
  <si>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</si>
  <si>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</si>
  <si>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</si>
  <si>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</si>
  <si>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</si>
  <si>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</si>
  <si>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</si>
  <si>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</si>
  <si>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</si>
  <si>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</si>
  <si>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</si>
  <si>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</si>
  <si>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</si>
  <si>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</si>
  <si>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</si>
  <si>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</si>
  <si>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</si>
  <si>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</si>
  <si>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</si>
  <si>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</si>
  <si>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</si>
  <si>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</si>
  <si>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</si>
  <si>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</si>
  <si>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</si>
  <si>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</si>
  <si>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</si>
  <si>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</si>
  <si>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</si>
  <si>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</si>
  <si>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</si>
  <si>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</si>
  <si>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</si>
  <si>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</si>
  <si>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</si>
  <si>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</si>
  <si>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</si>
  <si>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</si>
  <si>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</si>
  <si>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</si>
  <si>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</si>
  <si>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</si>
  <si>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</si>
  <si>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</si>
  <si>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</si>
  <si>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</si>
  <si>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</si>
  <si>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</si>
  <si>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</si>
  <si>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</si>
  <si>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</si>
  <si>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</si>
  <si>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</si>
  <si>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</si>
  <si>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</si>
  <si>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</si>
  <si>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</si>
  <si>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</si>
  <si>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</si>
  <si>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</si>
  <si>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</si>
  <si>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</si>
  <si>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</si>
  <si>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</si>
  <si>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</si>
  <si>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</si>
  <si>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</si>
  <si>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</si>
  <si>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</si>
  <si>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</si>
  <si>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</si>
  <si>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</si>
  <si>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</si>
  <si>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</si>
  <si>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</si>
  <si>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</si>
  <si>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</si>
  <si>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</si>
  <si>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</si>
  <si>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</si>
  <si>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</si>
  <si>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</si>
  <si>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</si>
  <si>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</si>
  <si>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</si>
  <si>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</si>
  <si>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</si>
  <si>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</si>
  <si>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</si>
  <si>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</si>
  <si>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</si>
  <si>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</si>
  <si>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</si>
  <si>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</si>
  <si>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</si>
  <si>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</si>
  <si>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</si>
  <si>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</si>
  <si>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</si>
  <si>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</si>
  <si>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</si>
  <si>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</si>
  <si>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</si>
  <si>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</si>
  <si>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</si>
  <si>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</si>
  <si>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</si>
  <si>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</si>
  <si>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</si>
  <si>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</si>
  <si>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</si>
  <si>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</si>
  <si>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</si>
  <si>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</si>
  <si>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</si>
  <si>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</si>
  <si>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</si>
  <si>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</si>
  <si>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</si>
  <si>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</si>
  <si>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</si>
  <si>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</si>
  <si>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</si>
  <si>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</si>
  <si>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</si>
  <si>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</si>
  <si>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</si>
  <si>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</si>
  <si>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</si>
  <si>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</si>
  <si>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</si>
  <si>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</si>
  <si>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</si>
  <si>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</si>
  <si>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</si>
  <si>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</si>
  <si>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</si>
  <si>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</si>
  <si>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</si>
  <si>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</si>
  <si>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</si>
  <si>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</si>
  <si>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</si>
  <si>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</si>
  <si>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</si>
  <si>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</si>
  <si>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</si>
  <si>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</si>
  <si>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</si>
  <si>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</si>
  <si>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</si>
  <si>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</si>
  <si>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</si>
  <si>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</si>
  <si>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</si>
  <si>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</si>
  <si>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</si>
  <si>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</si>
  <si>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</si>
  <si>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</si>
  <si>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</si>
  <si>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</si>
  <si>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</si>
  <si>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</si>
  <si>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</si>
  <si>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</si>
  <si>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</si>
  <si>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</si>
  <si>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</si>
  <si>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</si>
  <si>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</si>
  <si>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</si>
  <si>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</si>
  <si>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</si>
  <si>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</si>
  <si>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</si>
  <si>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</si>
  <si>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</si>
  <si>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</si>
  <si>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</si>
  <si>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</si>
  <si>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</si>
  <si>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</si>
  <si>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</si>
  <si>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</si>
  <si>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</si>
  <si>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</si>
  <si>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</si>
  <si>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</si>
  <si>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</si>
  <si>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</si>
  <si>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</si>
  <si>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</si>
  <si>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</si>
  <si>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</si>
  <si>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</si>
  <si>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</si>
  <si>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</si>
  <si>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</si>
  <si>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</si>
  <si>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</si>
  <si>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</si>
  <si>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</si>
  <si>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</si>
  <si>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</si>
  <si>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</si>
  <si>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</si>
  <si>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</si>
  <si>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</si>
  <si>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</si>
  <si>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</si>
  <si>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</si>
  <si>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</si>
  <si>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</si>
  <si>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</si>
  <si>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</si>
  <si>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</si>
  <si>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</si>
  <si>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</si>
  <si>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</si>
  <si>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</si>
  <si>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</si>
  <si>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</si>
  <si>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</si>
  <si>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</si>
  <si>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</si>
  <si>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</si>
  <si>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</si>
  <si>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</si>
  <si>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</si>
  <si>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</si>
  <si>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</si>
  <si>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</si>
  <si>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</si>
  <si>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</si>
  <si>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</si>
  <si>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</si>
  <si>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</si>
  <si>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</si>
  <si>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</si>
  <si>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</si>
  <si>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</si>
  <si>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</si>
  <si>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</si>
  <si>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</si>
  <si>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</si>
  <si>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</si>
  <si>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</si>
  <si>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</si>
  <si>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</si>
  <si>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</si>
  <si>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</si>
  <si>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</si>
  <si>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</si>
  <si>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</si>
  <si>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</si>
  <si>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</si>
  <si>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</si>
  <si>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</si>
  <si>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</si>
  <si>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</si>
  <si>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</si>
  <si>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</si>
  <si>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</si>
  <si>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</si>
  <si>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</si>
  <si>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</si>
  <si>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</si>
  <si>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</si>
  <si>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</si>
  <si>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</si>
  <si>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</si>
  <si>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</si>
  <si>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</si>
  <si>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</si>
  <si>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</si>
  <si>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</si>
  <si>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</si>
  <si>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</si>
  <si>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</si>
  <si>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</si>
  <si>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</si>
  <si>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</si>
  <si>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</si>
  <si>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</si>
  <si>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</si>
  <si>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</si>
  <si>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</si>
  <si>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</si>
  <si>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</si>
  <si>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</si>
  <si>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</si>
  <si>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</si>
  <si>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</si>
  <si>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</si>
  <si>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</si>
  <si>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</si>
  <si>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</si>
  <si>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</si>
  <si>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</si>
  <si>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</si>
  <si>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</si>
  <si>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</si>
  <si>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</si>
  <si>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</si>
  <si>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</si>
  <si>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</si>
  <si>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</si>
  <si>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</si>
  <si>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</si>
  <si>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</si>
  <si>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</si>
  <si>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</si>
  <si>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</si>
  <si>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</si>
  <si>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</si>
  <si>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</si>
  <si>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</si>
  <si>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</si>
  <si>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</si>
  <si>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</si>
  <si>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</si>
  <si>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</si>
  <si>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</si>
  <si>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</si>
  <si>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</si>
  <si>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</si>
  <si>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</si>
  <si>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</si>
  <si>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</si>
  <si>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</si>
  <si>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</si>
  <si>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</si>
  <si>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</si>
  <si>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</si>
  <si>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</si>
  <si>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</si>
  <si>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</si>
  <si>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</si>
  <si>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</si>
  <si>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</si>
  <si>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</si>
  <si>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</si>
  <si>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</si>
  <si>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</si>
  <si>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</si>
  <si>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</si>
  <si>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</si>
  <si>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</si>
  <si>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</si>
  <si>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</si>
  <si>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</si>
  <si>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</si>
  <si>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</si>
  <si>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</si>
  <si>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</si>
  <si>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</si>
  <si>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</si>
  <si>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</si>
  <si>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</si>
  <si>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</si>
  <si>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</si>
  <si>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</si>
  <si>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</si>
  <si>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</si>
  <si>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</si>
  <si>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</si>
  <si>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</si>
  <si>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</si>
  <si>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</si>
  <si>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</si>
  <si>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</si>
  <si>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</si>
  <si>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</si>
  <si>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</si>
  <si>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</si>
  <si>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</si>
  <si>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</si>
  <si>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</si>
  <si>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</si>
  <si>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</si>
  <si>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</si>
  <si>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</si>
  <si>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</si>
  <si>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</si>
  <si>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</si>
  <si>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</si>
  <si>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</si>
  <si>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</si>
  <si>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</si>
  <si>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</si>
  <si>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</si>
  <si>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</si>
  <si>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</si>
  <si>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</si>
  <si>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</si>
  <si>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</si>
  <si>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</si>
  <si>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</si>
  <si>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</si>
  <si>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</si>
  <si>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</si>
  <si>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</si>
  <si>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</si>
  <si>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</si>
  <si>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</si>
  <si>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</si>
  <si>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</si>
  <si>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</si>
  <si>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</si>
  <si>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</si>
  <si>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</si>
  <si>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</si>
  <si>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</si>
  <si>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</si>
  <si>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</si>
  <si>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</si>
  <si>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</si>
  <si>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</si>
  <si>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</si>
  <si>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</si>
  <si>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</si>
  <si>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</si>
  <si>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</si>
  <si>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</si>
  <si>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</si>
  <si>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</si>
  <si>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</si>
  <si>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</si>
  <si>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</si>
  <si>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</si>
  <si>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</si>
  <si>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</si>
  <si>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</si>
  <si>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</si>
  <si>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</si>
  <si>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</si>
  <si>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</si>
  <si>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</si>
  <si>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</si>
  <si>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</si>
  <si>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</si>
  <si>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</si>
  <si>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</si>
  <si>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</si>
  <si>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</si>
  <si>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</si>
  <si>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</si>
  <si>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</si>
  <si>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</si>
  <si>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</si>
  <si>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</si>
  <si>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</si>
  <si>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</si>
  <si>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</si>
  <si>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</si>
  <si>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</si>
  <si>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</si>
  <si>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</si>
  <si>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</si>
  <si>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</si>
  <si>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</si>
  <si>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</si>
  <si>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</si>
  <si>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</si>
  <si>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</si>
  <si>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</si>
  <si>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</si>
  <si>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</si>
  <si>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</si>
  <si>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</si>
  <si>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</si>
  <si>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</si>
  <si>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</si>
  <si>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</si>
  <si>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</si>
  <si>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</si>
  <si>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</si>
  <si>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</si>
  <si>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</si>
  <si>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</si>
  <si>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</si>
  <si>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</si>
  <si>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</si>
  <si>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</si>
  <si>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</si>
  <si>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</si>
  <si>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</si>
  <si>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</si>
  <si>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</si>
  <si>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</si>
  <si>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</si>
  <si>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</si>
  <si>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</si>
  <si>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</si>
  <si>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</si>
  <si>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</si>
  <si>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</si>
  <si>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</si>
  <si>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</si>
  <si>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</si>
  <si>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</si>
  <si>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</si>
  <si>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</si>
  <si>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</si>
  <si>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</si>
  <si>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</si>
  <si>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</si>
  <si>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</si>
  <si>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</si>
  <si>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</si>
  <si>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</si>
  <si>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</si>
  <si>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</si>
  <si>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</si>
  <si>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</si>
  <si>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</si>
  <si>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</si>
  <si>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</si>
  <si>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</si>
  <si>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</si>
  <si>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</si>
  <si>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</si>
  <si>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</si>
  <si>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</si>
  <si>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</si>
  <si>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</si>
  <si>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</si>
  <si>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</si>
  <si>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</si>
  <si>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</si>
  <si>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</si>
  <si>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</si>
  <si>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</si>
  <si>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</si>
  <si>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</si>
  <si>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</si>
  <si>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</si>
  <si>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</si>
  <si>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</si>
  <si>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</si>
  <si>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</si>
  <si>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</si>
  <si>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</si>
  <si>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</si>
  <si>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</si>
  <si>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</si>
  <si>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</si>
  <si>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</si>
  <si>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</si>
  <si>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</si>
  <si>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</si>
  <si>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</si>
  <si>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</si>
  <si>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</si>
  <si>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</si>
  <si>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</si>
  <si>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</si>
  <si>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</si>
  <si>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</si>
  <si>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</si>
  <si>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</si>
  <si>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</si>
  <si>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</si>
  <si>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</si>
  <si>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</si>
  <si>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</si>
  <si>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</si>
  <si>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</si>
  <si>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</si>
  <si>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</si>
  <si>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</si>
  <si>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</si>
  <si>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</si>
  <si>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</si>
  <si>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</si>
  <si>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</si>
  <si>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</si>
  <si>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</si>
  <si>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</si>
  <si>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</si>
  <si>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</si>
  <si>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</si>
  <si>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</si>
  <si>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</si>
  <si>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</si>
  <si>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</si>
  <si>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</si>
  <si>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</si>
  <si>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</si>
  <si>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</si>
  <si>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</si>
  <si>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</si>
  <si>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</si>
  <si>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</si>
  <si>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</si>
  <si>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</si>
  <si>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</si>
  <si>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</si>
  <si>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</si>
  <si>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</si>
  <si>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</si>
  <si>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</si>
  <si>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</si>
  <si>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</si>
  <si>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</si>
  <si>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</si>
  <si>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</si>
  <si>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</si>
  <si>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</si>
  <si>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</si>
  <si>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</si>
  <si>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</si>
  <si>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</si>
  <si>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</si>
  <si>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</si>
  <si>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</si>
  <si>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</si>
  <si>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</si>
  <si>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</si>
  <si>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</si>
  <si>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</si>
  <si>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</si>
  <si>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</si>
  <si>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</si>
  <si>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</si>
  <si>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</si>
  <si>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</si>
  <si>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</si>
  <si>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</si>
  <si>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</si>
  <si>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</si>
  <si>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</si>
  <si>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</si>
  <si>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</si>
  <si>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</si>
  <si>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</si>
  <si>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</si>
  <si>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</si>
  <si>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</si>
  <si>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</si>
  <si>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</si>
  <si>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</si>
  <si>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</si>
  <si>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</si>
  <si>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</si>
  <si>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</si>
  <si>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</si>
  <si>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</si>
  <si>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</si>
  <si>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</si>
  <si>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</si>
  <si>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</si>
  <si>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</si>
  <si>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</si>
  <si>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</si>
  <si>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</si>
  <si>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</si>
  <si>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</si>
  <si>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</si>
  <si>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</si>
  <si>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</si>
  <si>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</si>
  <si>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</si>
  <si>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</si>
  <si>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</si>
  <si>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</si>
  <si>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</si>
  <si>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</si>
  <si>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</si>
  <si>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</si>
  <si>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</si>
  <si>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</si>
  <si>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</si>
  <si>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</si>
  <si>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</si>
  <si>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</si>
  <si>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</si>
  <si>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</si>
  <si>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</si>
  <si>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</si>
  <si>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</si>
  <si>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</si>
  <si>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</si>
  <si>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</si>
  <si>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</si>
  <si>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</si>
  <si>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</si>
  <si>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</si>
  <si>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</si>
  <si>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</si>
  <si>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</si>
  <si>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</si>
  <si>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</si>
  <si>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</si>
  <si>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</si>
  <si>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</si>
  <si>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</si>
  <si>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</si>
  <si>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</si>
  <si>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</si>
  <si>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</si>
  <si>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</si>
  <si>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</si>
  <si>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</si>
  <si>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</si>
  <si>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</si>
  <si>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</si>
  <si>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</si>
  <si>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</si>
  <si>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</si>
  <si>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</si>
  <si>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</si>
  <si>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</si>
  <si>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</si>
  <si>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</si>
  <si>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</si>
  <si>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</si>
  <si>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</si>
  <si>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</si>
  <si>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</si>
  <si>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</si>
  <si>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</si>
  <si>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</si>
  <si>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</si>
  <si>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</si>
  <si>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</si>
  <si>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</si>
  <si>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</si>
  <si>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</si>
  <si>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</si>
  <si>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</si>
  <si>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</si>
  <si>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</si>
  <si>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</si>
  <si>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</si>
  <si>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</si>
  <si>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</si>
  <si>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</si>
  <si>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</si>
  <si>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</si>
  <si>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</si>
  <si>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</si>
  <si>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</si>
  <si>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</si>
  <si>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</si>
  <si>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</si>
  <si>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</si>
  <si>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</si>
  <si>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</si>
  <si>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</si>
  <si>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</si>
  <si>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</si>
  <si>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</si>
  <si>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</si>
  <si>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</si>
  <si>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</si>
  <si>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</si>
  <si>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</si>
  <si>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</si>
  <si>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</si>
  <si>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</si>
  <si>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</si>
  <si>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</si>
  <si>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</si>
  <si>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</si>
  <si>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</si>
  <si>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</si>
  <si>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</si>
  <si>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</si>
  <si>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</si>
  <si>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</si>
  <si>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</si>
  <si>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</si>
  <si>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</si>
  <si>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</si>
  <si>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</si>
  <si>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</si>
  <si>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</si>
  <si>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</si>
  <si>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</si>
  <si>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</si>
  <si>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</si>
  <si>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</si>
  <si>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</si>
  <si>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</si>
  <si>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</si>
  <si>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</si>
  <si>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</si>
  <si>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</si>
  <si>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</si>
  <si>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</si>
  <si>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</si>
  <si>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</si>
  <si>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</si>
  <si>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</si>
  <si>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</si>
  <si>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</si>
  <si>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</si>
  <si>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</si>
  <si>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</si>
  <si>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</si>
  <si>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</si>
  <si>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</si>
  <si>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</si>
  <si>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</si>
  <si>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</si>
  <si>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</si>
  <si>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</si>
  <si>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</si>
  <si>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</si>
  <si>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</si>
  <si>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</si>
  <si>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</si>
  <si>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</si>
  <si>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</si>
  <si>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</si>
  <si>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</si>
  <si>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</si>
  <si>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</si>
  <si>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</si>
  <si>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</si>
  <si>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</si>
  <si>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</si>
  <si>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</si>
  <si>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</si>
  <si>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</si>
  <si>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</si>
  <si>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</si>
  <si>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</si>
  <si>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</si>
  <si>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</si>
  <si>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</si>
  <si>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</si>
  <si>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</si>
  <si>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</si>
  <si>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</si>
  <si>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</si>
  <si>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</si>
  <si>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</si>
  <si>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</si>
  <si>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</si>
  <si>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</si>
  <si>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</si>
  <si>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</si>
  <si>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</si>
  <si>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</si>
  <si>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</si>
  <si>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</si>
  <si>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</si>
  <si>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</si>
  <si>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</si>
  <si>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</si>
  <si>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</si>
  <si>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</si>
  <si>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</si>
  <si>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</si>
  <si>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</si>
  <si>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</si>
  <si>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</si>
  <si>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</si>
  <si>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</si>
  <si>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</si>
  <si>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</si>
  <si>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</si>
  <si>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</si>
  <si>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</si>
  <si>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</si>
  <si>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</si>
  <si>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</si>
  <si>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</si>
  <si>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</si>
  <si>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</si>
  <si>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</si>
  <si>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</si>
  <si>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</si>
  <si>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</si>
  <si>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</si>
  <si>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</si>
  <si>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</si>
  <si>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</si>
  <si>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</si>
  <si>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</si>
  <si>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</si>
  <si>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</si>
  <si>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</si>
  <si>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</si>
  <si>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</si>
  <si>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</si>
  <si>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</si>
  <si>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</si>
  <si>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</si>
  <si>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</si>
  <si>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</si>
  <si>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</si>
  <si>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</si>
  <si>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</si>
  <si>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</si>
  <si>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</si>
  <si>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</si>
  <si>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</si>
  <si>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</si>
  <si>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</si>
  <si>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</si>
  <si>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</si>
  <si>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</si>
  <si>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</si>
  <si>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</si>
  <si>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</si>
  <si>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</si>
  <si>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</si>
  <si>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</si>
  <si>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</si>
  <si>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</si>
  <si>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</si>
  <si>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</si>
  <si>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</si>
  <si>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</si>
  <si>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</si>
  <si>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</si>
  <si>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</si>
  <si>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</si>
  <si>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</si>
  <si>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</si>
  <si>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</si>
  <si>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</si>
  <si>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</si>
  <si>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</si>
  <si>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</si>
  <si>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</si>
  <si>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</si>
  <si>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</si>
  <si>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</si>
  <si>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</si>
  <si>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</si>
  <si>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</si>
  <si>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</si>
  <si>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</si>
  <si>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</si>
  <si>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</si>
  <si>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</si>
  <si>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</si>
  <si>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</si>
  <si>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</si>
  <si>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</si>
  <si>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</si>
  <si>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</si>
  <si>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</si>
  <si>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</si>
  <si>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</si>
  <si>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</si>
  <si>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</si>
  <si>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</si>
  <si>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</si>
  <si>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</si>
  <si>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</si>
  <si>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</si>
  <si>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</si>
  <si>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</si>
  <si>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</si>
  <si>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</si>
  <si>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</si>
  <si>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</si>
  <si>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</si>
  <si>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</si>
  <si>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</si>
  <si>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</si>
  <si>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</si>
  <si>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</si>
  <si>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</si>
  <si>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</si>
  <si>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</si>
  <si>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</si>
  <si>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</si>
  <si>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</si>
  <si>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</si>
  <si>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</si>
  <si>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</si>
  <si>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</si>
  <si>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</si>
  <si>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</si>
  <si>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</si>
  <si>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</si>
  <si>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</si>
  <si>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</si>
  <si>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</si>
  <si>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</si>
  <si>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</si>
  <si>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</si>
  <si>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</si>
  <si>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</si>
  <si>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</si>
  <si>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</si>
  <si>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</si>
  <si>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</si>
  <si>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</si>
  <si>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</si>
  <si>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</si>
  <si>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</si>
  <si>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</si>
  <si>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</si>
  <si>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</si>
  <si>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</si>
  <si>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</si>
  <si>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</si>
  <si>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</si>
  <si>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</si>
  <si>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</si>
  <si>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</si>
  <si>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</si>
  <si>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</si>
  <si>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</si>
  <si>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</si>
  <si>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</si>
  <si>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</si>
  <si>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</si>
  <si>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</si>
  <si>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</si>
  <si>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</si>
  <si>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</si>
  <si>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</si>
  <si>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</si>
  <si>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</si>
  <si>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</si>
  <si>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</si>
  <si>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</si>
  <si>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</si>
  <si>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</si>
  <si>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</si>
  <si>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</si>
  <si>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</si>
  <si>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</si>
  <si>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</si>
  <si>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</si>
  <si>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</si>
  <si>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</si>
  <si>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</si>
  <si>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</si>
  <si>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</si>
  <si>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</si>
  <si>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</si>
  <si>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</si>
  <si>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</si>
  <si>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</si>
  <si>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</si>
  <si>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</si>
  <si>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</si>
  <si>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</si>
  <si>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</si>
  <si>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</si>
  <si>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</si>
  <si>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</si>
  <si>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</si>
  <si>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</si>
  <si>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</si>
  <si>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</si>
  <si>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</si>
  <si>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</si>
  <si>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</si>
  <si>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</si>
  <si>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</si>
  <si>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</si>
  <si>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</si>
  <si>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</si>
  <si>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</si>
  <si>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</si>
  <si>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</si>
  <si>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</si>
  <si>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</si>
  <si>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</si>
  <si>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</si>
  <si>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</si>
  <si>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</si>
  <si>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</si>
  <si>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</si>
  <si>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</si>
  <si>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</si>
  <si>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</si>
  <si>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</si>
  <si>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</si>
  <si>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</si>
  <si>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</si>
  <si>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</si>
  <si>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</si>
  <si>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</si>
  <si>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</si>
  <si>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</si>
  <si>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</si>
  <si>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</si>
  <si>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</si>
  <si>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</si>
  <si>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</si>
  <si>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</si>
  <si>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</si>
  <si>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</si>
  <si>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</si>
  <si>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</si>
  <si>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</si>
  <si>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</si>
  <si>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</si>
  <si>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</si>
  <si>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</si>
  <si>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</si>
  <si>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</si>
  <si>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</si>
  <si>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</si>
  <si>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</si>
  <si>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</si>
  <si>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</si>
  <si>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</si>
  <si>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</si>
  <si>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</si>
  <si>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</si>
  <si>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</si>
  <si>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</si>
  <si>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</si>
  <si>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</si>
  <si>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</si>
  <si>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</si>
  <si>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</si>
  <si>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</si>
  <si>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</si>
  <si>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</si>
  <si>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</si>
  <si>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</si>
  <si>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</si>
  <si>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</si>
  <si>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</si>
  <si>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</si>
  <si>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</si>
  <si>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</si>
  <si>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</si>
  <si>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</si>
  <si>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</si>
  <si>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</si>
  <si>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</si>
  <si>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</si>
  <si>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</si>
  <si>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</si>
  <si>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</si>
  <si>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</si>
  <si>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</si>
  <si>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</si>
  <si>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</si>
  <si>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</si>
  <si>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</si>
  <si>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</si>
  <si>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</si>
  <si>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</si>
  <si>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</si>
  <si>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</si>
  <si>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</si>
  <si>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</si>
  <si>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</si>
  <si>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</si>
  <si>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 xml:space="preserve"> BG </t>
  </si>
  <si>
    <t>White star from the [flag of Singapore](http://en.wikipedia.org/wiki/Flag_of_Singapore); circle and colour from [logo](https://www.mas.gov.sg/html/site/img/_/vendor/images/mas-logo.svg) of [MAS](http://www.mas.gov.sg/) = Monetary Authority of Singapore.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</si>
</sst>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0"/>
  <tableStyles count="0" defaultTableStyle="TableStyleMedium2" defaultPivotStyle="PivotStyleLight16"/>
  <colors>
    <mruColors>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2.45029690981724E-15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-1.3721662694976544E-14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-27.999999999999986</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2.144009796090085E-15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-6.4320293882702551E-15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4.28801959218017E-15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-8.5760391843603401E-15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1.715207836872068E-15</c:v>
                </c:pt>
                <c:pt idx="7">
                  <c:v>-7.2469332628705843</c:v>
                </c:pt>
                <c:pt idx="8">
                  <c:v>-13.999999999999993</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-5.145623510616204E-15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3.430415673744136E-15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-6.8608313474882721E-15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4.28801959218017E-16</c:v>
                </c:pt>
                <c:pt idx="7">
                  <c:v>-1.8117333157176461</c:v>
                </c:pt>
                <c:pt idx="8">
                  <c:v>-3.4999999999999982</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-1.286405877654051E-15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2646</v>
      </c>
      <c r="M2" t="str">
        <f xml:space="preserve"> L2</f>
        <v>USD_2</v>
      </c>
      <c r="N2" t="str">
        <f xml:space="preserve"> L2</f>
        <v>USD_2</v>
      </c>
      <c r="P2" t="s">
        <v>2649</v>
      </c>
      <c r="Q2" t="str">
        <f xml:space="preserve"> P2</f>
        <v>USD_3</v>
      </c>
      <c r="R2" t="str">
        <f xml:space="preserve"> P2</f>
        <v>USD_3</v>
      </c>
      <c r="T2" t="s">
        <v>793</v>
      </c>
      <c r="U2" t="str">
        <f xml:space="preserve"> T2</f>
        <v>EU</v>
      </c>
      <c r="V2" t="str">
        <f xml:space="preserve"> T2</f>
        <v>EU</v>
      </c>
      <c r="X2" t="s">
        <v>2650</v>
      </c>
      <c r="Y2" t="str">
        <f xml:space="preserve"> X2</f>
        <v>EU_2</v>
      </c>
      <c r="Z2" t="str">
        <f xml:space="preserve"> X2</f>
        <v>EU_2</v>
      </c>
      <c r="AB2" t="s">
        <v>2651</v>
      </c>
      <c r="AC2" t="str">
        <f xml:space="preserve"> AB2</f>
        <v>EU_3</v>
      </c>
      <c r="AD2" t="str">
        <f xml:space="preserve"> AB2</f>
        <v>EU_3</v>
      </c>
      <c r="AF2" t="s">
        <v>2652</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1616</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1623</v>
      </c>
      <c r="BQ2" t="str">
        <f xml:space="preserve"> BP2</f>
        <v>DZD</v>
      </c>
      <c r="BR2" t="str">
        <f xml:space="preserve"> BQ2</f>
        <v>DZD</v>
      </c>
      <c r="BT2" t="s">
        <v>1958</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1706</v>
      </c>
      <c r="CG2" t="str">
        <f xml:space="preserve"> CF2</f>
        <v>PAB</v>
      </c>
      <c r="CH2" t="str">
        <f xml:space="preserve"> CG2</f>
        <v>PAB</v>
      </c>
      <c r="CJ2" t="s">
        <v>2308</v>
      </c>
      <c r="CK2" t="str">
        <f xml:space="preserve"> CJ2</f>
        <v>VED</v>
      </c>
      <c r="CL2" t="str">
        <f xml:space="preserve"> CK2</f>
        <v>VED</v>
      </c>
      <c r="CN2" t="s">
        <v>2267</v>
      </c>
      <c r="CO2" t="str">
        <f xml:space="preserve"> CN2</f>
        <v>KPW</v>
      </c>
      <c r="CP2" t="str">
        <f xml:space="preserve"> CO2</f>
        <v>KPW</v>
      </c>
      <c r="CR2" t="s">
        <v>2309</v>
      </c>
      <c r="CS2" t="str">
        <f xml:space="preserve"> CR2</f>
        <v>SYP</v>
      </c>
      <c r="CT2" t="str">
        <f xml:space="preserve"> CS2</f>
        <v>SYP</v>
      </c>
      <c r="CV2" t="s">
        <v>2310</v>
      </c>
      <c r="CW2" t="str">
        <f xml:space="preserve"> CV2</f>
        <v>UZS</v>
      </c>
      <c r="CX2" t="str">
        <f xml:space="preserve"> CW2</f>
        <v>UZS</v>
      </c>
      <c r="DC2" t="e">
        <f xml:space="preserve"> NA()</f>
        <v>#N/A</v>
      </c>
    </row>
    <row r="3" spans="2:107">
      <c r="C3" s="4" t="s">
        <v>2084</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2085</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1772</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725</v>
      </c>
      <c r="M9" s="5"/>
      <c r="N9" s="5" t="s">
        <v>725</v>
      </c>
      <c r="Q9" s="5"/>
      <c r="R9" s="5" t="s">
        <v>725</v>
      </c>
      <c r="U9" s="5"/>
      <c r="V9" s="5" t="s">
        <v>2653</v>
      </c>
      <c r="Y9" s="5"/>
      <c r="Z9" s="5" t="str">
        <f xml:space="preserve"> $V9</f>
        <v xml:space="preserve">fill='#F3F' </v>
      </c>
      <c r="AC9" s="5"/>
      <c r="AD9" s="5" t="str">
        <f xml:space="preserve"> $V9</f>
        <v xml:space="preserve">fill='#F3F' </v>
      </c>
      <c r="AG9" s="5"/>
      <c r="AH9" s="5" t="str">
        <f xml:space="preserve"> $V9</f>
        <v xml:space="preserve">fill='#F3F' </v>
      </c>
      <c r="AK9" s="5"/>
      <c r="AL9" s="5" t="s">
        <v>1471</v>
      </c>
      <c r="AO9" s="5"/>
      <c r="AP9" s="5" t="s">
        <v>781</v>
      </c>
      <c r="AS9" s="5"/>
      <c r="AT9" s="5" t="s">
        <v>782</v>
      </c>
      <c r="AW9" s="5"/>
      <c r="AX9" s="5" t="s">
        <v>783</v>
      </c>
      <c r="BA9" s="5"/>
      <c r="BB9" s="5" t="s">
        <v>784</v>
      </c>
      <c r="BE9" s="5"/>
      <c r="BF9" s="5" t="s">
        <v>1617</v>
      </c>
      <c r="BI9" s="5"/>
      <c r="BJ9" s="5" t="s">
        <v>786</v>
      </c>
      <c r="BM9" s="5"/>
      <c r="BN9" s="5" t="s">
        <v>787</v>
      </c>
      <c r="BQ9" s="5"/>
      <c r="BR9" s="5" t="s">
        <v>1624</v>
      </c>
      <c r="BU9" s="5"/>
      <c r="BV9" s="5" t="s">
        <v>725</v>
      </c>
      <c r="BY9" s="21"/>
      <c r="BZ9" s="21" t="s">
        <v>1061</v>
      </c>
      <c r="CC9" s="5"/>
      <c r="CD9" s="5" t="s">
        <v>1825</v>
      </c>
      <c r="CG9" s="5"/>
      <c r="CH9" s="5" t="s">
        <v>1697</v>
      </c>
      <c r="CK9" s="5"/>
      <c r="CL9" s="5" t="s">
        <v>716</v>
      </c>
      <c r="CM9" s="5"/>
      <c r="CO9" s="5"/>
      <c r="CP9" s="5" t="s">
        <v>2265</v>
      </c>
      <c r="CQ9" s="5"/>
      <c r="CS9" s="5"/>
      <c r="CT9" s="5" t="s">
        <v>1666</v>
      </c>
      <c r="CU9" s="5"/>
      <c r="CW9" s="5"/>
      <c r="CX9" s="5" t="s">
        <v>2311</v>
      </c>
      <c r="CY9" s="5"/>
      <c r="CZ9" s="5"/>
      <c r="DA9" s="5"/>
      <c r="DB9" s="5"/>
    </row>
    <row r="10" spans="2:107">
      <c r="F10" s="4" t="s">
        <v>150</v>
      </c>
      <c r="I10" s="5"/>
      <c r="J10" s="5" t="s">
        <v>2086</v>
      </c>
      <c r="M10" s="5"/>
      <c r="N10" s="5" t="s">
        <v>2647</v>
      </c>
      <c r="Q10" s="5"/>
      <c r="R10" s="5" t="s">
        <v>2648</v>
      </c>
      <c r="U10" s="5"/>
      <c r="V10" s="5" t="s">
        <v>2086</v>
      </c>
      <c r="Y10" s="5"/>
      <c r="Z10" s="5" t="s">
        <v>2086</v>
      </c>
      <c r="AC10" s="5"/>
      <c r="AD10" s="5" t="s">
        <v>2655</v>
      </c>
      <c r="AG10" s="5"/>
      <c r="AH10" s="5" t="s">
        <v>2086</v>
      </c>
      <c r="AK10" s="5"/>
      <c r="AL10" s="5" t="s">
        <v>2086</v>
      </c>
      <c r="AO10" s="5"/>
      <c r="AP10" s="5" t="s">
        <v>785</v>
      </c>
      <c r="AS10" s="5"/>
      <c r="AT10" s="5" t="s">
        <v>2086</v>
      </c>
      <c r="AW10" s="5"/>
      <c r="AX10" s="5" t="s">
        <v>2086</v>
      </c>
      <c r="BA10" s="5"/>
      <c r="BB10" s="5" t="s">
        <v>2086</v>
      </c>
      <c r="BE10" s="5"/>
      <c r="BF10" s="5" t="s">
        <v>1618</v>
      </c>
      <c r="BI10" s="5"/>
      <c r="BJ10" s="5" t="s">
        <v>2086</v>
      </c>
      <c r="BM10" s="5"/>
      <c r="BN10" s="5"/>
      <c r="BQ10" s="5"/>
      <c r="BR10" s="5" t="s">
        <v>2086</v>
      </c>
      <c r="BU10" s="5"/>
      <c r="BV10" s="5" t="s">
        <v>721</v>
      </c>
      <c r="BY10" s="21"/>
      <c r="BZ10" s="21" t="s">
        <v>1062</v>
      </c>
      <c r="CC10" s="5"/>
      <c r="CD10" s="5" t="s">
        <v>2086</v>
      </c>
      <c r="CG10" s="5"/>
      <c r="CH10" s="5"/>
      <c r="CK10" s="5"/>
      <c r="CL10" s="5" t="s">
        <v>720</v>
      </c>
      <c r="CM10" s="5"/>
      <c r="CO10" s="5"/>
      <c r="CP10" s="5" t="s">
        <v>2266</v>
      </c>
      <c r="CQ10" s="5"/>
      <c r="CS10" s="5"/>
      <c r="CT10" s="5" t="s">
        <v>2086</v>
      </c>
      <c r="CU10" s="5"/>
      <c r="CW10" s="5"/>
      <c r="CX10" s="5" t="s">
        <v>2086</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2654</v>
      </c>
      <c r="AC11" s="5"/>
      <c r="AD11" s="5" t="s">
        <v>2656</v>
      </c>
      <c r="AG11" s="5"/>
      <c r="AH11" s="5" t="s">
        <v>2655</v>
      </c>
      <c r="AK11" s="5"/>
      <c r="AL11" s="5" t="s">
        <v>727</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1534</v>
      </c>
      <c r="BQ11" s="5"/>
      <c r="BR11" s="5" t="s">
        <v>1625</v>
      </c>
      <c r="BU11" s="5"/>
      <c r="BV11" s="5" t="s">
        <v>725</v>
      </c>
      <c r="CC11" s="5"/>
      <c r="CD11" s="5" t="s">
        <v>780</v>
      </c>
      <c r="CG11" s="5"/>
      <c r="CH11" s="5" t="s">
        <v>1698</v>
      </c>
      <c r="CK11" s="5"/>
      <c r="CL11" s="5" t="s">
        <v>788</v>
      </c>
      <c r="CM11" s="5"/>
      <c r="CO11" s="5"/>
      <c r="CP11" s="5" t="s">
        <v>2086</v>
      </c>
      <c r="CQ11" s="5"/>
      <c r="CS11" s="5"/>
      <c r="CT11" s="5" t="s">
        <v>753</v>
      </c>
      <c r="CU11" s="5"/>
      <c r="CW11" s="5"/>
      <c r="CX11" s="5" t="s">
        <v>2312</v>
      </c>
      <c r="CY11" s="5"/>
      <c r="CZ11" s="5"/>
      <c r="DA11" s="5"/>
      <c r="DB11" s="5"/>
    </row>
    <row r="12" spans="2:107">
      <c r="B12" t="b">
        <v>1</v>
      </c>
      <c r="F12" s="4" t="s">
        <v>1684</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1537</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1773</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1773</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1773</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1773</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1773</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1773</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1773</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1773</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1773</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1773</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1751</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1752</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1753</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1754</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1766</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1767</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1768</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1769</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1770</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1771</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1774</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1807</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1806</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1808</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1821</v>
      </c>
      <c r="E95" t="s">
        <v>1810</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1820</v>
      </c>
      <c r="D96">
        <v>0.44</v>
      </c>
      <c r="E96" t="s">
        <v>1812</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1809</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1809</v>
      </c>
      <c r="J98" s="57" t="str">
        <f t="shared" si="141"/>
        <v/>
      </c>
      <c r="AP98" s="57" t="str">
        <f t="shared" si="142"/>
        <v/>
      </c>
      <c r="AX98" s="57" t="str">
        <f t="shared" si="143"/>
        <v/>
      </c>
      <c r="BR98" s="57" t="str">
        <f t="shared" si="144"/>
        <v>&lt;path fill='#FFF' d='M4.8541 5.70634H-4.8541V-5.70634H4.8541Z'/&gt;</v>
      </c>
    </row>
    <row r="99" spans="3:70">
      <c r="E99" t="s">
        <v>1809</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1809</v>
      </c>
      <c r="J100" s="57" t="str">
        <f t="shared" si="141"/>
        <v/>
      </c>
      <c r="AP100" s="57" t="str">
        <f t="shared" si="142"/>
        <v>&lt;use href='#CNY-s' fill='#DE2910'/&gt;</v>
      </c>
      <c r="AX100" s="57" t="str">
        <f t="shared" si="143"/>
        <v>&lt;use href='#PKR-s' fill='#01411C'/&gt;</v>
      </c>
      <c r="BR100" s="57" t="str">
        <f t="shared" si="144"/>
        <v/>
      </c>
    </row>
    <row r="101" spans="3:70">
      <c r="E101" t="s">
        <v>1809</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1809</v>
      </c>
      <c r="J102" s="57" t="str">
        <f t="shared" si="141"/>
        <v/>
      </c>
      <c r="AP102" s="57" t="str">
        <f t="shared" si="142"/>
        <v/>
      </c>
      <c r="AX102" s="57" t="str">
        <f t="shared" si="143"/>
        <v/>
      </c>
      <c r="BR102" s="57" t="str">
        <f t="shared" si="144"/>
        <v/>
      </c>
    </row>
    <row r="103" spans="3:70">
      <c r="E103" t="s">
        <v>1809</v>
      </c>
      <c r="J103" s="57" t="str">
        <f t="shared" si="141"/>
        <v/>
      </c>
      <c r="AP103" s="57" t="str">
        <f t="shared" si="142"/>
        <v/>
      </c>
      <c r="AX103" s="57" t="str">
        <f t="shared" si="143"/>
        <v/>
      </c>
      <c r="BR103" s="57" t="str">
        <f t="shared" si="144"/>
        <v/>
      </c>
    </row>
    <row r="104" spans="3:70">
      <c r="E104" t="s">
        <v>1809</v>
      </c>
      <c r="J104" s="57" t="str">
        <f t="shared" si="141"/>
        <v/>
      </c>
      <c r="AP104" s="57" t="str">
        <f t="shared" si="142"/>
        <v/>
      </c>
      <c r="AX104" s="57" t="str">
        <f t="shared" si="143"/>
        <v/>
      </c>
      <c r="BR104" s="57" t="str">
        <f t="shared" si="144"/>
        <v/>
      </c>
    </row>
    <row r="105" spans="3:70">
      <c r="E105" t="s">
        <v>1809</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1809</v>
      </c>
      <c r="J106" s="57" t="str">
        <f t="shared" si="141"/>
        <v/>
      </c>
      <c r="AP106" s="57" t="str">
        <f t="shared" si="142"/>
        <v/>
      </c>
      <c r="AX106" s="57" t="str">
        <f t="shared" si="143"/>
        <v/>
      </c>
      <c r="BR106" s="57" t="str">
        <f t="shared" si="144"/>
        <v/>
      </c>
    </row>
    <row r="107" spans="3:70">
      <c r="C107" t="s">
        <v>1811</v>
      </c>
      <c r="D107">
        <f xml:space="preserve"> D$96 / 2</f>
        <v>0.22</v>
      </c>
      <c r="E107" t="s">
        <v>1813</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1814</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1815</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1816</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1819</v>
      </c>
      <c r="D111">
        <f xml:space="preserve"> D$107</f>
        <v>0.22</v>
      </c>
      <c r="E111" t="s">
        <v>1818</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1817</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2086</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393</v>
      </c>
      <c r="L2" t="s">
        <v>99</v>
      </c>
      <c r="N2" t="s">
        <v>98</v>
      </c>
      <c r="P2" t="s">
        <v>1636</v>
      </c>
      <c r="R2" t="s">
        <v>2675</v>
      </c>
      <c r="T2" t="s">
        <v>100</v>
      </c>
      <c r="V2" t="s">
        <v>101</v>
      </c>
      <c r="X2" t="s">
        <v>103</v>
      </c>
      <c r="Z2" t="s">
        <v>2296</v>
      </c>
      <c r="AB2" t="s">
        <v>105</v>
      </c>
      <c r="AD2" t="s">
        <v>714</v>
      </c>
      <c r="AF2" t="s">
        <v>1669</v>
      </c>
      <c r="AH2" t="s">
        <v>2246</v>
      </c>
      <c r="AJ2" t="s">
        <v>173</v>
      </c>
      <c r="AL2" t="s">
        <v>106</v>
      </c>
      <c r="AN2" t="s">
        <v>2036</v>
      </c>
      <c r="AP2" t="s">
        <v>2712</v>
      </c>
      <c r="AR2" t="s">
        <v>2716</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c r="AP6">
        <f xml:space="preserve"> VALUE(TEXT(SQRT(_xlfn.SINGLE(Circles.AreaMultiplier) * BasicBBoxArea * _xlfn.SINGLE(Circles.Aspect)), SVG.NumberFormatHeight))</f>
        <v>15</v>
      </c>
      <c r="AR6">
        <f xml:space="preserve"> VALUE(TEXT(SQRT(_xlfn.SINGLE(Circles.AreaMultiplier) * BasicBBoxArea * _xlfn.SINGLE(Circles.Aspect)), SVG.NumberFormatHeight))</f>
        <v>15</v>
      </c>
    </row>
    <row r="7" spans="2:49">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c r="AP7">
        <f xml:space="preserve"> _xlfn.SINGLE(Circles.Height) / _xlfn.SINGLE(Circles.Aspect)</f>
        <v>15</v>
      </c>
      <c r="AR7">
        <f xml:space="preserve"> _xlfn.SINGLE(Circles.Height) / _xlfn.SINGLE(Circles.Aspect)</f>
        <v>15</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716</v>
      </c>
      <c r="F14" t="s">
        <v>719</v>
      </c>
      <c r="H14" t="s">
        <v>718</v>
      </c>
      <c r="J14" t="s">
        <v>725</v>
      </c>
      <c r="L14" t="s">
        <v>722</v>
      </c>
      <c r="N14" t="s">
        <v>723</v>
      </c>
      <c r="P14" t="s">
        <v>725</v>
      </c>
      <c r="R14" t="s">
        <v>2676</v>
      </c>
      <c r="T14" t="s">
        <v>727</v>
      </c>
      <c r="V14" t="s">
        <v>727</v>
      </c>
      <c r="X14" t="s">
        <v>719</v>
      </c>
      <c r="Z14" t="str">
        <f t="shared" ref="Z14" si="7" xml:space="preserve"> $X14</f>
        <v>fill='#DA291C'</v>
      </c>
      <c r="AB14" t="s">
        <v>733</v>
      </c>
      <c r="AD14" t="s">
        <v>734</v>
      </c>
      <c r="AF14" t="s">
        <v>1670</v>
      </c>
      <c r="AH14" t="s">
        <v>2247</v>
      </c>
      <c r="AJ14" t="s">
        <v>724</v>
      </c>
      <c r="AL14" t="s">
        <v>725</v>
      </c>
      <c r="AN14" t="s">
        <v>2037</v>
      </c>
      <c r="AP14" t="s">
        <v>2713</v>
      </c>
      <c r="AR14" t="s">
        <v>2731</v>
      </c>
    </row>
    <row r="15" spans="2:49">
      <c r="B15" s="4" t="s">
        <v>109</v>
      </c>
      <c r="D15" t="str">
        <f xml:space="preserve"> "fill='#FFF'"</f>
        <v>fill='#FFF'</v>
      </c>
      <c r="H15" t="s">
        <v>717</v>
      </c>
      <c r="L15" t="s">
        <v>721</v>
      </c>
      <c r="N15" t="s">
        <v>2086</v>
      </c>
      <c r="P15" t="s">
        <v>1637</v>
      </c>
      <c r="R15" t="s">
        <v>2677</v>
      </c>
      <c r="T15" t="s">
        <v>729</v>
      </c>
      <c r="V15" t="s">
        <v>2086</v>
      </c>
      <c r="X15" t="s">
        <v>731</v>
      </c>
      <c r="Z15" s="28" t="s">
        <v>2299</v>
      </c>
      <c r="AB15" t="s">
        <v>2127</v>
      </c>
      <c r="AF15" t="s">
        <v>1672</v>
      </c>
      <c r="AH15" t="s">
        <v>2086</v>
      </c>
      <c r="AL15" t="s">
        <v>2086</v>
      </c>
      <c r="AN15" t="s">
        <v>2086</v>
      </c>
      <c r="AP15" t="s">
        <v>2086</v>
      </c>
      <c r="AR15" t="s">
        <v>2732</v>
      </c>
    </row>
    <row r="16" spans="2:49">
      <c r="B16" s="4" t="s">
        <v>110</v>
      </c>
      <c r="L16" t="s">
        <v>720</v>
      </c>
      <c r="N16" t="s">
        <v>726</v>
      </c>
      <c r="P16" t="s">
        <v>1638</v>
      </c>
      <c r="R16" t="str">
        <f xml:space="preserve"> _xlfn.SINGLE(Circles.SVG_Painting_3)</f>
        <v>fill='#E05206'</v>
      </c>
      <c r="T16" t="s">
        <v>730</v>
      </c>
      <c r="V16" t="str">
        <f xml:space="preserve"> _xlfn.SINGLE(Circles.SVG_Painting_3)</f>
        <v>fill='#C8102E'</v>
      </c>
      <c r="AB16" t="s">
        <v>2086</v>
      </c>
      <c r="AH16" t="s">
        <v>2248</v>
      </c>
      <c r="AL16" t="s">
        <v>736</v>
      </c>
      <c r="AN16" t="s">
        <v>2038</v>
      </c>
      <c r="AR16" t="s">
        <v>2733</v>
      </c>
    </row>
    <row r="17" spans="2:49">
      <c r="B17" s="4" t="s">
        <v>107</v>
      </c>
      <c r="F17" t="s">
        <v>2086</v>
      </c>
      <c r="J17" t="s">
        <v>719</v>
      </c>
      <c r="AD17" t="s">
        <v>735</v>
      </c>
      <c r="AF17" t="s">
        <v>1671</v>
      </c>
      <c r="AJ17" t="s">
        <v>2086</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205</v>
      </c>
      <c r="T23" cm="1">
        <f t="array" ref="T23" xml:space="preserve"> SVG_length(T$25:T$31)</f>
        <v>196</v>
      </c>
      <c r="V23" cm="1">
        <f t="array" ref="V23" xml:space="preserve"> SVG_length(V$25:V$31)</f>
        <v>202</v>
      </c>
      <c r="X23" cm="1">
        <f t="array" ref="X23" xml:space="preserve"> SVG_length(X$25:X$31)</f>
        <v>168</v>
      </c>
      <c r="Z23" cm="1">
        <f t="array" ref="Z23" xml:space="preserve"> SVG_length(Z$25:Z$31)</f>
        <v>165</v>
      </c>
      <c r="AB23" cm="1">
        <f t="array" ref="AB23" xml:space="preserve"> SVG_length(AB$25:AB$31)</f>
        <v>187</v>
      </c>
      <c r="AD23" cm="1">
        <f t="array" ref="AD23" xml:space="preserve"> SVG_length(AD$25:AD$31)</f>
        <v>221</v>
      </c>
      <c r="AF23" cm="1">
        <f t="array" ref="AF23" xml:space="preserve"> SVG_length(AF$25:AF$31)</f>
        <v>235</v>
      </c>
      <c r="AH23" cm="1">
        <f t="array" ref="AH23" xml:space="preserve"> SVG_length(AH$25:AH$31)</f>
        <v>196</v>
      </c>
      <c r="AJ23" cm="1">
        <f t="array" ref="AJ23" xml:space="preserve"> SVG_length(AJ$25:AJ$31)</f>
        <v>200</v>
      </c>
      <c r="AL23" cm="1">
        <f t="array" ref="AL23" xml:space="preserve"> SVG_length(AL$25:AL$31)</f>
        <v>187</v>
      </c>
      <c r="AN23" cm="1">
        <f t="array" ref="AN23" xml:space="preserve"> SVG_length(AN$25:AN$31)</f>
        <v>196</v>
      </c>
      <c r="AP23" cm="1">
        <f t="array" ref="AP23" xml:space="preserve"> SVG_length(AP$25:AP$31)</f>
        <v>271</v>
      </c>
      <c r="AR23" cm="1">
        <f t="array" ref="AR23" xml:space="preserve"> SVG_length(AR$25:AR$31)</f>
        <v>205</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viewBox='-36 -36 72 72'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2356</v>
      </c>
      <c r="L2" t="s">
        <v>164</v>
      </c>
      <c r="N2" t="s">
        <v>165</v>
      </c>
      <c r="P2" t="s">
        <v>167</v>
      </c>
      <c r="R2" t="s">
        <v>102</v>
      </c>
      <c r="T2" t="s">
        <v>169</v>
      </c>
      <c r="V2" t="s">
        <v>2376</v>
      </c>
      <c r="X2" t="s">
        <v>170</v>
      </c>
      <c r="Z2" t="s">
        <v>2277</v>
      </c>
      <c r="AB2" t="s">
        <v>559</v>
      </c>
      <c r="AD2" t="s">
        <v>2378</v>
      </c>
      <c r="AF2" t="s">
        <v>2417</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1067</v>
      </c>
      <c r="F14" t="s">
        <v>737</v>
      </c>
      <c r="H14" t="s">
        <v>738</v>
      </c>
      <c r="J14" t="s">
        <v>1064</v>
      </c>
      <c r="L14" t="s">
        <v>739</v>
      </c>
      <c r="N14" t="s">
        <v>1060</v>
      </c>
      <c r="P14" t="s">
        <v>716</v>
      </c>
      <c r="R14" t="s">
        <v>728</v>
      </c>
      <c r="T14" t="s">
        <v>743</v>
      </c>
      <c r="V14" t="s">
        <v>2377</v>
      </c>
      <c r="X14" t="s">
        <v>2148</v>
      </c>
      <c r="Z14" t="str">
        <f xml:space="preserve"> $X14</f>
        <v>fill='#AD1519'</v>
      </c>
      <c r="AB14" t="s">
        <v>727</v>
      </c>
      <c r="AD14" t="s">
        <v>2379</v>
      </c>
      <c r="AF14" t="s">
        <v>2418</v>
      </c>
    </row>
    <row r="15" spans="2:37">
      <c r="B15" s="4" t="s">
        <v>158</v>
      </c>
      <c r="F15" t="s">
        <v>2086</v>
      </c>
      <c r="H15" t="s">
        <v>2086</v>
      </c>
      <c r="J15" t="s">
        <v>2086</v>
      </c>
      <c r="L15" t="s">
        <v>740</v>
      </c>
      <c r="N15" t="s">
        <v>1959</v>
      </c>
      <c r="P15" t="s">
        <v>2086</v>
      </c>
      <c r="R15" t="s">
        <v>2086</v>
      </c>
      <c r="T15" t="s">
        <v>2086</v>
      </c>
      <c r="V15" t="s">
        <v>2086</v>
      </c>
      <c r="X15" t="s">
        <v>2149</v>
      </c>
      <c r="Z15" s="28" t="s">
        <v>2285</v>
      </c>
      <c r="AB15" t="s">
        <v>741</v>
      </c>
      <c r="AD15" t="s">
        <v>2380</v>
      </c>
      <c r="AF15" t="s">
        <v>753</v>
      </c>
    </row>
    <row r="16" spans="2:37">
      <c r="B16" s="4" t="s">
        <v>159</v>
      </c>
      <c r="H16" t="s">
        <v>742</v>
      </c>
      <c r="J16" t="s">
        <v>719</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2381</v>
      </c>
      <c r="AF16" t="s">
        <v>758</v>
      </c>
    </row>
    <row r="17" spans="2:37">
      <c r="B17" s="4" t="s">
        <v>160</v>
      </c>
      <c r="D17" t="s">
        <v>2086</v>
      </c>
      <c r="P17" t="s">
        <v>722</v>
      </c>
      <c r="R17" t="s">
        <v>1687</v>
      </c>
      <c r="AB17" t="s">
        <v>2086</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1544</v>
      </c>
      <c r="D2">
        <v>10</v>
      </c>
      <c r="H2" s="4" t="s">
        <v>1543</v>
      </c>
      <c r="J2" t="s">
        <v>1538</v>
      </c>
      <c r="L2" t="s">
        <v>2280</v>
      </c>
      <c r="N2" t="s">
        <v>126</v>
      </c>
      <c r="P2" t="s">
        <v>675</v>
      </c>
      <c r="R2" t="s">
        <v>128</v>
      </c>
      <c r="T2" t="s">
        <v>1539</v>
      </c>
      <c r="V2" t="s">
        <v>656</v>
      </c>
      <c r="X2" t="s">
        <v>2291</v>
      </c>
      <c r="Z2" t="e">
        <f xml:space="preserve"> NA()</f>
        <v>#N/A</v>
      </c>
    </row>
    <row r="3" spans="2:26">
      <c r="C3" s="4" t="s">
        <v>1542</v>
      </c>
      <c r="D3">
        <f xml:space="preserve"> EquilateralCross.Size2 * 2.5</f>
        <v>25</v>
      </c>
      <c r="H3" s="4" t="s">
        <v>1545</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1546</v>
      </c>
      <c r="D4" cm="1">
        <f t="array" ref="D4" xml:space="preserve"> EquilateralCross.Size2 / 2.5</f>
        <v>4</v>
      </c>
    </row>
    <row r="5" spans="2:26">
      <c r="C5" s="4" t="s">
        <v>1547</v>
      </c>
      <c r="D5">
        <f xml:space="preserve"> 1 + EquilateralCross.SizeGap3</f>
        <v>5</v>
      </c>
    </row>
    <row r="7" spans="2:26">
      <c r="C7" s="4" t="s">
        <v>1560</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1548</v>
      </c>
      <c r="C10" s="3" t="s">
        <v>1549</v>
      </c>
      <c r="D10" s="3" t="s">
        <v>1550</v>
      </c>
    </row>
    <row r="11" spans="2:26">
      <c r="B11" t="s">
        <v>1565</v>
      </c>
      <c r="C11" cm="1">
        <f t="array" ref="C11" xml:space="preserve"> EquilateralCross.Size2</f>
        <v>10</v>
      </c>
      <c r="D11" cm="1">
        <f t="array" ref="D11" xml:space="preserve"> EquilateralCross.Size2</f>
        <v>10</v>
      </c>
    </row>
    <row r="12" spans="2:26">
      <c r="B12" t="s">
        <v>1565</v>
      </c>
      <c r="C12" cm="1">
        <f t="array" ref="C12" xml:space="preserve"> EquilateralCross.Size1</f>
        <v>25</v>
      </c>
      <c r="D12" cm="1">
        <f t="array" ref="D12" xml:space="preserve"> EquilateralCross.Size2</f>
        <v>10</v>
      </c>
    </row>
    <row r="13" spans="2:26">
      <c r="B13" t="s">
        <v>1565</v>
      </c>
      <c r="C13" cm="1">
        <f t="array" ref="C13" xml:space="preserve"> EquilateralCross.Size1</f>
        <v>25</v>
      </c>
      <c r="D13" cm="1">
        <f t="array" ref="D13" xml:space="preserve"> - EquilateralCross.Size2</f>
        <v>-10</v>
      </c>
    </row>
    <row r="14" spans="2:26">
      <c r="B14" t="s">
        <v>1565</v>
      </c>
      <c r="C14" cm="1">
        <f t="array" ref="C14" xml:space="preserve"> EquilateralCross.Size2</f>
        <v>10</v>
      </c>
      <c r="D14" cm="1">
        <f t="array" ref="D14" xml:space="preserve"> - EquilateralCross.Size2</f>
        <v>-10</v>
      </c>
    </row>
    <row r="15" spans="2:26">
      <c r="B15" t="s">
        <v>1565</v>
      </c>
      <c r="C15" cm="1">
        <f t="array" ref="C15" xml:space="preserve"> EquilateralCross.Size2</f>
        <v>10</v>
      </c>
      <c r="D15" cm="1">
        <f t="array" ref="D15" xml:space="preserve"> - EquilateralCross.Size1</f>
        <v>-25</v>
      </c>
    </row>
    <row r="16" spans="2:26">
      <c r="B16" t="s">
        <v>1565</v>
      </c>
      <c r="C16" cm="1">
        <f t="array" ref="C16" xml:space="preserve"> - EquilateralCross.Size2</f>
        <v>-10</v>
      </c>
      <c r="D16" cm="1">
        <f t="array" ref="D16" xml:space="preserve"> - EquilateralCross.Size1</f>
        <v>-25</v>
      </c>
    </row>
    <row r="17" spans="2:4">
      <c r="B17" t="s">
        <v>1565</v>
      </c>
      <c r="C17" cm="1">
        <f t="array" ref="C17" xml:space="preserve"> - EquilateralCross.Size2</f>
        <v>-10</v>
      </c>
      <c r="D17" cm="1">
        <f t="array" ref="D17" xml:space="preserve"> - EquilateralCross.Size2</f>
        <v>-10</v>
      </c>
    </row>
    <row r="18" spans="2:4">
      <c r="B18" t="s">
        <v>1565</v>
      </c>
      <c r="C18" cm="1">
        <f t="array" ref="C18" xml:space="preserve"> - EquilateralCross.Size1</f>
        <v>-25</v>
      </c>
      <c r="D18" cm="1">
        <f t="array" ref="D18" xml:space="preserve"> - EquilateralCross.Size2</f>
        <v>-10</v>
      </c>
    </row>
    <row r="19" spans="2:4">
      <c r="B19" t="s">
        <v>1565</v>
      </c>
      <c r="C19" cm="1">
        <f t="array" ref="C19" xml:space="preserve"> - EquilateralCross.Size1</f>
        <v>-25</v>
      </c>
      <c r="D19" cm="1">
        <f t="array" ref="D19" xml:space="preserve"> EquilateralCross.Size2</f>
        <v>10</v>
      </c>
    </row>
    <row r="20" spans="2:4">
      <c r="B20" t="s">
        <v>1565</v>
      </c>
      <c r="C20" cm="1">
        <f t="array" ref="C20" xml:space="preserve"> - EquilateralCross.Size2</f>
        <v>-10</v>
      </c>
      <c r="D20" cm="1">
        <f t="array" ref="D20" xml:space="preserve"> EquilateralCross.Size2</f>
        <v>10</v>
      </c>
    </row>
    <row r="21" spans="2:4">
      <c r="B21" t="s">
        <v>1565</v>
      </c>
      <c r="C21" cm="1">
        <f t="array" ref="C21" xml:space="preserve"> - EquilateralCross.Size2</f>
        <v>-10</v>
      </c>
      <c r="D21" cm="1">
        <f t="array" ref="D21" xml:space="preserve"> EquilateralCross.Size1</f>
        <v>25</v>
      </c>
    </row>
    <row r="22" spans="2:4">
      <c r="B22" t="s">
        <v>1565</v>
      </c>
      <c r="C22" cm="1">
        <f t="array" ref="C22" xml:space="preserve"> EquilateralCross.Size2</f>
        <v>10</v>
      </c>
      <c r="D22" cm="1">
        <f t="array" ref="D22" xml:space="preserve"> EquilateralCross.Size1</f>
        <v>25</v>
      </c>
    </row>
    <row r="24" spans="2:4">
      <c r="B24" t="s">
        <v>1566</v>
      </c>
      <c r="C24" cm="1">
        <f t="array" ref="C24" xml:space="preserve"> (ABS(C11) - EquilateralCross.SizeGap3) * SIGN(C11)</f>
        <v>6</v>
      </c>
      <c r="D24" cm="1">
        <f t="array" ref="D24" xml:space="preserve"> (ABS(D11) - EquilateralCross.SizeGap3) * SIGN(D11)</f>
        <v>6</v>
      </c>
    </row>
    <row r="25" spans="2:4">
      <c r="B25" t="s">
        <v>1566</v>
      </c>
      <c r="C25" cm="1">
        <f t="array" ref="C25" xml:space="preserve"> (ABS(C12) - EquilateralCross.SizeGap3) * SIGN(C12)</f>
        <v>21</v>
      </c>
      <c r="D25" cm="1">
        <f t="array" ref="D25" xml:space="preserve"> (ABS(D12) - EquilateralCross.SizeGap3) * SIGN(D12)</f>
        <v>6</v>
      </c>
    </row>
    <row r="26" spans="2:4">
      <c r="B26" t="s">
        <v>1566</v>
      </c>
      <c r="C26" cm="1">
        <f t="array" ref="C26" xml:space="preserve"> (ABS(C13) - EquilateralCross.SizeGap3) * SIGN(C13)</f>
        <v>21</v>
      </c>
      <c r="D26" cm="1">
        <f t="array" ref="D26" xml:space="preserve"> (ABS(D13) - EquilateralCross.SizeGap3) * SIGN(D13)</f>
        <v>-6</v>
      </c>
    </row>
    <row r="27" spans="2:4">
      <c r="B27" t="s">
        <v>1566</v>
      </c>
      <c r="C27" cm="1">
        <f t="array" ref="C27" xml:space="preserve"> (ABS(C14) - EquilateralCross.SizeGap3) * SIGN(C14)</f>
        <v>6</v>
      </c>
      <c r="D27" cm="1">
        <f t="array" ref="D27" xml:space="preserve"> (ABS(D14) - EquilateralCross.SizeGap3) * SIGN(D14)</f>
        <v>-6</v>
      </c>
    </row>
    <row r="28" spans="2:4">
      <c r="B28" t="s">
        <v>1566</v>
      </c>
      <c r="C28" cm="1">
        <f t="array" ref="C28" xml:space="preserve"> (ABS(C15) - EquilateralCross.SizeGap3) * SIGN(C15)</f>
        <v>6</v>
      </c>
      <c r="D28" cm="1">
        <f t="array" ref="D28" xml:space="preserve"> (ABS(D15) - EquilateralCross.SizeGap3) * SIGN(D15)</f>
        <v>-21</v>
      </c>
    </row>
    <row r="29" spans="2:4">
      <c r="B29" t="s">
        <v>1566</v>
      </c>
      <c r="C29" cm="1">
        <f t="array" ref="C29" xml:space="preserve"> (ABS(C16) - EquilateralCross.SizeGap3) * SIGN(C16)</f>
        <v>-6</v>
      </c>
      <c r="D29" cm="1">
        <f t="array" ref="D29" xml:space="preserve"> (ABS(D16) - EquilateralCross.SizeGap3) * SIGN(D16)</f>
        <v>-21</v>
      </c>
    </row>
    <row r="30" spans="2:4">
      <c r="B30" t="s">
        <v>1566</v>
      </c>
      <c r="C30" cm="1">
        <f t="array" ref="C30" xml:space="preserve"> (ABS(C17) - EquilateralCross.SizeGap3) * SIGN(C17)</f>
        <v>-6</v>
      </c>
      <c r="D30" cm="1">
        <f t="array" ref="D30" xml:space="preserve"> (ABS(D17) - EquilateralCross.SizeGap3) * SIGN(D17)</f>
        <v>-6</v>
      </c>
    </row>
    <row r="31" spans="2:4">
      <c r="B31" t="s">
        <v>1566</v>
      </c>
      <c r="C31" cm="1">
        <f t="array" ref="C31" xml:space="preserve"> (ABS(C18) - EquilateralCross.SizeGap3) * SIGN(C18)</f>
        <v>-21</v>
      </c>
      <c r="D31" cm="1">
        <f t="array" ref="D31" xml:space="preserve"> (ABS(D18) - EquilateralCross.SizeGap3) * SIGN(D18)</f>
        <v>-6</v>
      </c>
    </row>
    <row r="32" spans="2:4">
      <c r="B32" t="s">
        <v>1566</v>
      </c>
      <c r="C32" cm="1">
        <f t="array" ref="C32" xml:space="preserve"> (ABS(C19) - EquilateralCross.SizeGap3) * SIGN(C19)</f>
        <v>-21</v>
      </c>
      <c r="D32" cm="1">
        <f t="array" ref="D32" xml:space="preserve"> (ABS(D19) - EquilateralCross.SizeGap3) * SIGN(D19)</f>
        <v>6</v>
      </c>
    </row>
    <row r="33" spans="2:4">
      <c r="B33" t="s">
        <v>1566</v>
      </c>
      <c r="C33" cm="1">
        <f t="array" ref="C33" xml:space="preserve"> (ABS(C20) - EquilateralCross.SizeGap3) * SIGN(C20)</f>
        <v>-6</v>
      </c>
      <c r="D33" cm="1">
        <f t="array" ref="D33" xml:space="preserve"> (ABS(D20) - EquilateralCross.SizeGap3) * SIGN(D20)</f>
        <v>6</v>
      </c>
    </row>
    <row r="34" spans="2:4">
      <c r="B34" t="s">
        <v>1566</v>
      </c>
      <c r="C34" cm="1">
        <f t="array" ref="C34" xml:space="preserve"> (ABS(C21) - EquilateralCross.SizeGap3) * SIGN(C21)</f>
        <v>-6</v>
      </c>
      <c r="D34" cm="1">
        <f t="array" ref="D34" xml:space="preserve"> (ABS(D21) - EquilateralCross.SizeGap3) * SIGN(D21)</f>
        <v>21</v>
      </c>
    </row>
    <row r="35" spans="2:4">
      <c r="B35" t="s">
        <v>1566</v>
      </c>
      <c r="C35" cm="1">
        <f t="array" ref="C35" xml:space="preserve"> (ABS(C22) - EquilateralCross.SizeGap3) * SIGN(C22)</f>
        <v>6</v>
      </c>
      <c r="D35" cm="1">
        <f t="array" ref="D35" xml:space="preserve"> (ABS(D22) - EquilateralCross.SizeGap3) * SIGN(D22)</f>
        <v>21</v>
      </c>
    </row>
    <row r="37" spans="2:4">
      <c r="B37" t="s">
        <v>1567</v>
      </c>
      <c r="C37" cm="1">
        <f t="array" ref="C37" xml:space="preserve"> (ABS(C24) - EquilateralCross.SizeGap3) * SIGN(C24)</f>
        <v>2</v>
      </c>
      <c r="D37" cm="1">
        <f t="array" ref="D37" xml:space="preserve"> (ABS(D24) - EquilateralCross.SizeGap3) * SIGN(D24)</f>
        <v>2</v>
      </c>
    </row>
    <row r="38" spans="2:4">
      <c r="B38" t="s">
        <v>1567</v>
      </c>
      <c r="C38" cm="1">
        <f t="array" ref="C38" xml:space="preserve"> (ABS(C25) - EquilateralCross.SizeGap3) * SIGN(C25)</f>
        <v>17</v>
      </c>
      <c r="D38" cm="1">
        <f t="array" ref="D38" xml:space="preserve"> (ABS(D25) - EquilateralCross.SizeGap3) * SIGN(D25)</f>
        <v>2</v>
      </c>
    </row>
    <row r="39" spans="2:4">
      <c r="B39" t="s">
        <v>1567</v>
      </c>
      <c r="C39" cm="1">
        <f t="array" ref="C39" xml:space="preserve"> (ABS(C26) - EquilateralCross.SizeGap3) * SIGN(C26)</f>
        <v>17</v>
      </c>
      <c r="D39" cm="1">
        <f t="array" ref="D39" xml:space="preserve"> (ABS(D26) - EquilateralCross.SizeGap3) * SIGN(D26)</f>
        <v>-2</v>
      </c>
    </row>
    <row r="40" spans="2:4">
      <c r="B40" t="s">
        <v>1567</v>
      </c>
      <c r="C40" cm="1">
        <f t="array" ref="C40" xml:space="preserve"> (ABS(C27) - EquilateralCross.SizeGap3) * SIGN(C27)</f>
        <v>2</v>
      </c>
      <c r="D40" cm="1">
        <f t="array" ref="D40" xml:space="preserve"> (ABS(D27) - EquilateralCross.SizeGap3) * SIGN(D27)</f>
        <v>-2</v>
      </c>
    </row>
    <row r="41" spans="2:4">
      <c r="B41" t="s">
        <v>1567</v>
      </c>
      <c r="C41" cm="1">
        <f t="array" ref="C41" xml:space="preserve"> (ABS(C28) - EquilateralCross.SizeGap3) * SIGN(C28)</f>
        <v>2</v>
      </c>
      <c r="D41" cm="1">
        <f t="array" ref="D41" xml:space="preserve"> (ABS(D28) - EquilateralCross.SizeGap3) * SIGN(D28)</f>
        <v>-17</v>
      </c>
    </row>
    <row r="42" spans="2:4">
      <c r="B42" t="s">
        <v>1567</v>
      </c>
      <c r="C42" cm="1">
        <f t="array" ref="C42" xml:space="preserve"> (ABS(C29) - EquilateralCross.SizeGap3) * SIGN(C29)</f>
        <v>-2</v>
      </c>
      <c r="D42" cm="1">
        <f t="array" ref="D42" xml:space="preserve"> (ABS(D29) - EquilateralCross.SizeGap3) * SIGN(D29)</f>
        <v>-17</v>
      </c>
    </row>
    <row r="43" spans="2:4">
      <c r="B43" t="s">
        <v>1567</v>
      </c>
      <c r="C43" cm="1">
        <f t="array" ref="C43" xml:space="preserve"> (ABS(C30) - EquilateralCross.SizeGap3) * SIGN(C30)</f>
        <v>-2</v>
      </c>
      <c r="D43" cm="1">
        <f t="array" ref="D43" xml:space="preserve"> (ABS(D30) - EquilateralCross.SizeGap3) * SIGN(D30)</f>
        <v>-2</v>
      </c>
    </row>
    <row r="44" spans="2:4">
      <c r="B44" t="s">
        <v>1567</v>
      </c>
      <c r="C44" cm="1">
        <f t="array" ref="C44" xml:space="preserve"> (ABS(C31) - EquilateralCross.SizeGap3) * SIGN(C31)</f>
        <v>-17</v>
      </c>
      <c r="D44" cm="1">
        <f t="array" ref="D44" xml:space="preserve"> (ABS(D31) - EquilateralCross.SizeGap3) * SIGN(D31)</f>
        <v>-2</v>
      </c>
    </row>
    <row r="45" spans="2:4">
      <c r="B45" t="s">
        <v>1567</v>
      </c>
      <c r="C45" cm="1">
        <f t="array" ref="C45" xml:space="preserve"> (ABS(C32) - EquilateralCross.SizeGap3) * SIGN(C32)</f>
        <v>-17</v>
      </c>
      <c r="D45" cm="1">
        <f t="array" ref="D45" xml:space="preserve"> (ABS(D32) - EquilateralCross.SizeGap3) * SIGN(D32)</f>
        <v>2</v>
      </c>
    </row>
    <row r="46" spans="2:4">
      <c r="B46" t="s">
        <v>1567</v>
      </c>
      <c r="C46" cm="1">
        <f t="array" ref="C46" xml:space="preserve"> (ABS(C33) - EquilateralCross.SizeGap3) * SIGN(C33)</f>
        <v>-2</v>
      </c>
      <c r="D46" cm="1">
        <f t="array" ref="D46" xml:space="preserve"> (ABS(D33) - EquilateralCross.SizeGap3) * SIGN(D33)</f>
        <v>2</v>
      </c>
    </row>
    <row r="47" spans="2:4">
      <c r="B47" t="s">
        <v>1567</v>
      </c>
      <c r="C47" cm="1">
        <f t="array" ref="C47" xml:space="preserve"> (ABS(C34) - EquilateralCross.SizeGap3) * SIGN(C34)</f>
        <v>-2</v>
      </c>
      <c r="D47" cm="1">
        <f t="array" ref="D47" xml:space="preserve"> (ABS(D34) - EquilateralCross.SizeGap3) * SIGN(D34)</f>
        <v>17</v>
      </c>
    </row>
    <row r="48" spans="2:4">
      <c r="B48" t="s">
        <v>1567</v>
      </c>
      <c r="C48" cm="1">
        <f t="array" ref="C48" xml:space="preserve"> (ABS(C35) - EquilateralCross.SizeGap3) * SIGN(C35)</f>
        <v>2</v>
      </c>
      <c r="D48" cm="1">
        <f t="array" ref="D48" xml:space="preserve"> (ABS(D35) - EquilateralCross.SizeGap3) * SIGN(D35)</f>
        <v>17</v>
      </c>
    </row>
    <row r="50" spans="2:4">
      <c r="B50" t="s">
        <v>1568</v>
      </c>
      <c r="C50">
        <f t="shared" ref="C50:D61" si="0" xml:space="preserve"> (ABS(C11) - EquilateralCross.SizeGap2) * SIGN(C11)</f>
        <v>5</v>
      </c>
      <c r="D50">
        <f t="shared" si="0"/>
        <v>5</v>
      </c>
    </row>
    <row r="51" spans="2:4">
      <c r="B51" t="s">
        <v>1568</v>
      </c>
      <c r="C51">
        <f t="shared" si="0"/>
        <v>20</v>
      </c>
      <c r="D51">
        <f t="shared" si="0"/>
        <v>5</v>
      </c>
    </row>
    <row r="52" spans="2:4">
      <c r="B52" t="s">
        <v>1568</v>
      </c>
      <c r="C52">
        <f t="shared" si="0"/>
        <v>20</v>
      </c>
      <c r="D52">
        <f t="shared" si="0"/>
        <v>-5</v>
      </c>
    </row>
    <row r="53" spans="2:4">
      <c r="B53" t="s">
        <v>1568</v>
      </c>
      <c r="C53">
        <f t="shared" si="0"/>
        <v>5</v>
      </c>
      <c r="D53">
        <f t="shared" si="0"/>
        <v>-5</v>
      </c>
    </row>
    <row r="54" spans="2:4">
      <c r="B54" t="s">
        <v>1568</v>
      </c>
      <c r="C54">
        <f t="shared" si="0"/>
        <v>5</v>
      </c>
      <c r="D54">
        <f t="shared" si="0"/>
        <v>-20</v>
      </c>
    </row>
    <row r="55" spans="2:4">
      <c r="B55" t="s">
        <v>1568</v>
      </c>
      <c r="C55">
        <f t="shared" si="0"/>
        <v>-5</v>
      </c>
      <c r="D55">
        <f t="shared" si="0"/>
        <v>-20</v>
      </c>
    </row>
    <row r="56" spans="2:4">
      <c r="B56" t="s">
        <v>1568</v>
      </c>
      <c r="C56">
        <f t="shared" si="0"/>
        <v>-5</v>
      </c>
      <c r="D56">
        <f t="shared" si="0"/>
        <v>-5</v>
      </c>
    </row>
    <row r="57" spans="2:4">
      <c r="B57" t="s">
        <v>1568</v>
      </c>
      <c r="C57">
        <f t="shared" si="0"/>
        <v>-20</v>
      </c>
      <c r="D57">
        <f t="shared" si="0"/>
        <v>-5</v>
      </c>
    </row>
    <row r="58" spans="2:4">
      <c r="B58" t="s">
        <v>1568</v>
      </c>
      <c r="C58">
        <f t="shared" si="0"/>
        <v>-20</v>
      </c>
      <c r="D58">
        <f t="shared" si="0"/>
        <v>5</v>
      </c>
    </row>
    <row r="59" spans="2:4">
      <c r="B59" t="s">
        <v>1568</v>
      </c>
      <c r="C59">
        <f t="shared" si="0"/>
        <v>-5</v>
      </c>
      <c r="D59">
        <f t="shared" si="0"/>
        <v>5</v>
      </c>
    </row>
    <row r="60" spans="2:4">
      <c r="B60" t="s">
        <v>1568</v>
      </c>
      <c r="C60">
        <f t="shared" si="0"/>
        <v>-5</v>
      </c>
      <c r="D60">
        <f t="shared" si="0"/>
        <v>20</v>
      </c>
    </row>
    <row r="61" spans="2:4">
      <c r="B61" t="s">
        <v>1568</v>
      </c>
      <c r="C61">
        <f t="shared" si="0"/>
        <v>5</v>
      </c>
      <c r="D61">
        <f t="shared" si="0"/>
        <v>20</v>
      </c>
    </row>
    <row r="63" spans="2:4">
      <c r="B63" t="s">
        <v>1573</v>
      </c>
      <c r="C63">
        <f xml:space="preserve"> AVERAGE(C37, C24)</f>
        <v>4</v>
      </c>
      <c r="D63">
        <f xml:space="preserve"> AVERAGE(D37, D24)</f>
        <v>4</v>
      </c>
    </row>
    <row r="64" spans="2:4">
      <c r="B64" t="s">
        <v>1573</v>
      </c>
      <c r="C64">
        <f t="shared" ref="C64:D64" si="1" xml:space="preserve"> AVERAGE(C38, C25)</f>
        <v>19</v>
      </c>
      <c r="D64">
        <f t="shared" si="1"/>
        <v>4</v>
      </c>
    </row>
    <row r="65" spans="2:24">
      <c r="B65" t="s">
        <v>1573</v>
      </c>
      <c r="C65">
        <f t="shared" ref="C65:D65" si="2" xml:space="preserve"> AVERAGE(C39, C26)</f>
        <v>19</v>
      </c>
      <c r="D65">
        <f t="shared" si="2"/>
        <v>-4</v>
      </c>
    </row>
    <row r="66" spans="2:24">
      <c r="B66" t="s">
        <v>1573</v>
      </c>
      <c r="C66">
        <f t="shared" ref="C66:D66" si="3" xml:space="preserve"> AVERAGE(C40, C27)</f>
        <v>4</v>
      </c>
      <c r="D66">
        <f t="shared" si="3"/>
        <v>-4</v>
      </c>
    </row>
    <row r="67" spans="2:24">
      <c r="B67" t="s">
        <v>1573</v>
      </c>
      <c r="C67">
        <f t="shared" ref="C67:D67" si="4" xml:space="preserve"> AVERAGE(C41, C28)</f>
        <v>4</v>
      </c>
      <c r="D67">
        <f t="shared" si="4"/>
        <v>-19</v>
      </c>
    </row>
    <row r="68" spans="2:24">
      <c r="B68" t="s">
        <v>1573</v>
      </c>
      <c r="C68">
        <f t="shared" ref="C68:D68" si="5" xml:space="preserve"> AVERAGE(C42, C29)</f>
        <v>-4</v>
      </c>
      <c r="D68">
        <f t="shared" si="5"/>
        <v>-19</v>
      </c>
    </row>
    <row r="69" spans="2:24">
      <c r="B69" t="s">
        <v>1573</v>
      </c>
      <c r="C69">
        <f t="shared" ref="C69:D69" si="6" xml:space="preserve"> AVERAGE(C43, C30)</f>
        <v>-4</v>
      </c>
      <c r="D69">
        <f t="shared" si="6"/>
        <v>-4</v>
      </c>
    </row>
    <row r="70" spans="2:24">
      <c r="B70" t="s">
        <v>1573</v>
      </c>
      <c r="C70">
        <f t="shared" ref="C70:D70" si="7" xml:space="preserve"> AVERAGE(C44, C31)</f>
        <v>-19</v>
      </c>
      <c r="D70">
        <f t="shared" si="7"/>
        <v>-4</v>
      </c>
    </row>
    <row r="71" spans="2:24">
      <c r="B71" t="s">
        <v>1573</v>
      </c>
      <c r="C71">
        <f t="shared" ref="C71:D71" si="8" xml:space="preserve"> AVERAGE(C45, C32)</f>
        <v>-19</v>
      </c>
      <c r="D71">
        <f t="shared" si="8"/>
        <v>4</v>
      </c>
    </row>
    <row r="72" spans="2:24">
      <c r="B72" t="s">
        <v>1573</v>
      </c>
      <c r="C72">
        <f t="shared" ref="C72:D72" si="9" xml:space="preserve"> AVERAGE(C46, C33)</f>
        <v>-4</v>
      </c>
      <c r="D72">
        <f t="shared" si="9"/>
        <v>4</v>
      </c>
    </row>
    <row r="73" spans="2:24">
      <c r="B73" t="s">
        <v>1573</v>
      </c>
      <c r="C73">
        <f t="shared" ref="C73:D73" si="10" xml:space="preserve"> AVERAGE(C47, C34)</f>
        <v>-4</v>
      </c>
      <c r="D73">
        <f t="shared" si="10"/>
        <v>19</v>
      </c>
    </row>
    <row r="74" spans="2:24">
      <c r="B74" t="s">
        <v>1573</v>
      </c>
      <c r="C74">
        <f t="shared" ref="C74:D74" si="11" xml:space="preserve"> AVERAGE(C48, C35)</f>
        <v>4</v>
      </c>
      <c r="D74">
        <f t="shared" si="11"/>
        <v>19</v>
      </c>
    </row>
    <row r="77" spans="2:24">
      <c r="H77" s="4" t="s">
        <v>1551</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1552</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1553</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1554</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1555</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1556</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1557</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1558</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1569</v>
      </c>
      <c r="J87" t="s">
        <v>737</v>
      </c>
      <c r="L87" t="str">
        <f t="shared" si="13"/>
        <v>fill='red'</v>
      </c>
      <c r="N87" s="5" t="s">
        <v>755</v>
      </c>
      <c r="P87" s="5" t="s">
        <v>1506</v>
      </c>
      <c r="R87" t="s">
        <v>791</v>
      </c>
      <c r="T87" t="s">
        <v>1541</v>
      </c>
      <c r="V87" s="5" t="s">
        <v>1485</v>
      </c>
      <c r="X87" s="5" t="str">
        <f xml:space="preserve"> $V87</f>
        <v>fill='#002F6C'</v>
      </c>
    </row>
    <row r="88" spans="6:26">
      <c r="H88" s="4" t="s">
        <v>1570</v>
      </c>
      <c r="P88" s="5"/>
      <c r="R88" t="s">
        <v>2087</v>
      </c>
      <c r="T88" t="s">
        <v>2087</v>
      </c>
      <c r="V88" s="5"/>
      <c r="X88" s="5"/>
    </row>
    <row r="89" spans="6:26">
      <c r="H89" s="4" t="s">
        <v>1571</v>
      </c>
      <c r="R89" t="s">
        <v>790</v>
      </c>
      <c r="T89" t="s">
        <v>1540</v>
      </c>
      <c r="V89" s="5"/>
      <c r="X89" s="5"/>
    </row>
    <row r="90" spans="6:26">
      <c r="H90" s="4" t="s">
        <v>1572</v>
      </c>
      <c r="J90" t="s">
        <v>2086</v>
      </c>
      <c r="L90" t="s">
        <v>2127</v>
      </c>
      <c r="N90" s="5" t="s">
        <v>721</v>
      </c>
      <c r="P90" s="5" t="s">
        <v>2086</v>
      </c>
      <c r="V90" s="5"/>
      <c r="X90" s="5"/>
    </row>
    <row r="91" spans="6:26">
      <c r="H91" s="4" t="s">
        <v>1574</v>
      </c>
      <c r="N91" s="5"/>
      <c r="P91" s="5"/>
      <c r="V91" s="5" t="s">
        <v>2086</v>
      </c>
      <c r="X91" s="63" t="s">
        <v>2285</v>
      </c>
    </row>
    <row r="93" spans="6:26" ht="17" thickBot="1">
      <c r="H93" s="6" t="s">
        <v>1559</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1783</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1784</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1782</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1785</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1786</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2292</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1069</v>
      </c>
      <c r="J5" s="5" t="s">
        <v>744</v>
      </c>
      <c r="L5" s="27" t="str">
        <f xml:space="preserve"> $J6</f>
        <v xml:space="preserve">  fill='#034DA3' </v>
      </c>
      <c r="N5" s="5" t="s">
        <v>745</v>
      </c>
    </row>
    <row r="6" spans="1:16">
      <c r="F6" s="4" t="s">
        <v>344</v>
      </c>
      <c r="H6" s="5" t="s">
        <v>1068</v>
      </c>
      <c r="J6" s="5" t="s">
        <v>1824</v>
      </c>
      <c r="L6" s="27" t="str">
        <f xml:space="preserve"> $J5</f>
        <v xml:space="preserve">  fill='#EF3340' </v>
      </c>
      <c r="N6" s="5" t="s">
        <v>746</v>
      </c>
    </row>
    <row r="7" spans="1:16">
      <c r="H7" s="5"/>
    </row>
    <row r="8" spans="1:16">
      <c r="A8" s="1">
        <v>1</v>
      </c>
      <c r="C8" s="4" t="s">
        <v>1679</v>
      </c>
      <c r="D8" s="1">
        <v>1</v>
      </c>
      <c r="F8" s="1"/>
      <c r="H8" s="5"/>
    </row>
    <row r="9" spans="1:16">
      <c r="A9" s="1">
        <v>3</v>
      </c>
      <c r="C9" s="4" t="s">
        <v>1674</v>
      </c>
      <c r="D9" s="1">
        <v>2</v>
      </c>
      <c r="F9" s="1"/>
      <c r="H9" s="5"/>
    </row>
    <row r="10" spans="1:16">
      <c r="A10" s="1">
        <v>8</v>
      </c>
      <c r="C10" s="4" t="s">
        <v>1676</v>
      </c>
      <c r="D10" s="1">
        <v>5</v>
      </c>
      <c r="F10" s="1"/>
      <c r="H10" s="5"/>
    </row>
    <row r="11" spans="1:16">
      <c r="A11" s="1">
        <v>1</v>
      </c>
      <c r="C11" s="4" t="s">
        <v>1675</v>
      </c>
      <c r="D11" s="1">
        <v>1</v>
      </c>
      <c r="F11" s="1"/>
      <c r="H11" s="5"/>
    </row>
    <row r="12" spans="1:16">
      <c r="A12" s="1">
        <v>7</v>
      </c>
      <c r="C12" s="4" t="s">
        <v>1677</v>
      </c>
      <c r="D12" s="1">
        <v>5</v>
      </c>
      <c r="F12" s="1"/>
      <c r="H12" s="5"/>
    </row>
    <row r="13" spans="1:16">
      <c r="A13" s="1">
        <v>11</v>
      </c>
      <c r="C13" s="4" t="s">
        <v>1678</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567</v>
      </c>
      <c r="C4">
        <f xml:space="preserve"> MAX(EC.RadiusX)</f>
        <v>378</v>
      </c>
      <c r="F4" s="4" t="s">
        <v>573</v>
      </c>
      <c r="G4">
        <f xml:space="preserve"> DecimalPlaces - INT(LOG(MIN(  EC.MaxX - EC.MinX,  EC.MaxY - EC.MinY  )/2, 10) + 0.2)</f>
        <v>3</v>
      </c>
    </row>
    <row r="5" spans="1:7">
      <c r="B5" s="4" t="s">
        <v>568</v>
      </c>
      <c r="C5">
        <f xml:space="preserve"> MAX(EC.RadiusY)</f>
        <v>513</v>
      </c>
      <c r="F5" s="4" t="s">
        <v>569</v>
      </c>
      <c r="G5" s="26">
        <f xml:space="preserve"> MODE(Circles.AreaMultiplier)</f>
        <v>1</v>
      </c>
    </row>
    <row r="6" spans="1:7">
      <c r="B6" s="4" t="s">
        <v>564</v>
      </c>
      <c r="C6">
        <f xml:space="preserve"> - EC.MaxX</f>
        <v>-378</v>
      </c>
      <c r="F6" s="4" t="s">
        <v>570</v>
      </c>
      <c r="G6">
        <f xml:space="preserve"> MAX(EC.MaxY, - EC.MinY) / MAX(EC.MaxX, - EC.MinX)</f>
        <v>1.3571428571428572</v>
      </c>
    </row>
    <row r="7" spans="1:7">
      <c r="B7" s="4" t="s">
        <v>565</v>
      </c>
      <c r="C7">
        <f xml:space="preserve"> - EC.MaxY</f>
        <v>-513</v>
      </c>
      <c r="F7" s="4" t="s">
        <v>571</v>
      </c>
      <c r="G7">
        <f xml:space="preserve"> VALUE(TEXT(SQRT(EC.AreaMultiplier * BasicBBoxArea * EC.Aspect), SVG.NumberFormatHeight))</f>
        <v>17.5</v>
      </c>
    </row>
    <row r="8" spans="1:7">
      <c r="F8" s="4" t="s">
        <v>572</v>
      </c>
      <c r="G8" cm="1">
        <f t="array" ref="G8" xml:space="preserve"> EC.Height / EC.Aspect</f>
        <v>12.894736842105262</v>
      </c>
    </row>
    <row r="9" spans="1:7">
      <c r="E9" cm="1">
        <f t="array" ref="E9" xml:space="preserve"> SVG_length(EC.svg)</f>
        <v>245</v>
      </c>
    </row>
    <row r="11" spans="1:7" ht="17" thickBot="1">
      <c r="B11" s="3" t="s">
        <v>560</v>
      </c>
      <c r="C11" s="3" t="s">
        <v>561</v>
      </c>
      <c r="E11" s="3" t="s">
        <v>563</v>
      </c>
      <c r="G11" s="36" t="s">
        <v>566</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716</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733</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721</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575</v>
      </c>
      <c r="C31" s="3" t="s">
        <v>576</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747</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748</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631</v>
      </c>
      <c r="C43">
        <f xml:space="preserve"> MAX(IT.RadiusX)</f>
        <v>82</v>
      </c>
      <c r="F43" s="4" t="s">
        <v>624</v>
      </c>
      <c r="G43" cm="1">
        <f t="array" ref="G43" xml:space="preserve"> DecimalPlaces - INT(LOG(MIN(  IT.MaxX - IT.MinX,  IT.MaxY - IT.MinY  )/2, 10) + 0.2)</f>
        <v>3</v>
      </c>
    </row>
    <row r="44" spans="2:7">
      <c r="B44" s="4" t="s">
        <v>633</v>
      </c>
      <c r="C44">
        <f xml:space="preserve"> MAX(IT.RadiusY)</f>
        <v>68</v>
      </c>
      <c r="F44" s="4" t="s">
        <v>626</v>
      </c>
      <c r="G44" s="26">
        <f xml:space="preserve"> MODE(Circles.AreaMultiplier)</f>
        <v>1</v>
      </c>
    </row>
    <row r="45" spans="2:7">
      <c r="B45" s="4" t="s">
        <v>630</v>
      </c>
      <c r="C45" cm="1">
        <f t="array" ref="C45" xml:space="preserve"> - IT.MaxX</f>
        <v>-82</v>
      </c>
      <c r="F45" s="4" t="s">
        <v>627</v>
      </c>
      <c r="G45" cm="1">
        <f t="array" ref="G45" xml:space="preserve"> MAX(IT.MaxY, - IT.MinY)  /  MAX(IT.MaxX, - IT.MinX)</f>
        <v>0.82926829268292679</v>
      </c>
    </row>
    <row r="46" spans="2:7">
      <c r="B46" s="4" t="s">
        <v>632</v>
      </c>
      <c r="C46" cm="1">
        <f t="array" ref="C46" xml:space="preserve"> - IT.MaxY</f>
        <v>-68</v>
      </c>
      <c r="F46" s="4" t="s">
        <v>628</v>
      </c>
      <c r="G46" cm="1">
        <f t="array" ref="G46" xml:space="preserve"> VALUE(TEXT(SQRT(IT.AreaMultiplier * BasicBBoxArea * IT.Aspect), SVG.NumberFormatHeight))</f>
        <v>13.7</v>
      </c>
    </row>
    <row r="47" spans="2:7">
      <c r="F47" s="4" t="s">
        <v>629</v>
      </c>
      <c r="G47" cm="1">
        <f t="array" ref="G47" xml:space="preserve"> IT.Height / IT.Aspect</f>
        <v>16.520588235294117</v>
      </c>
    </row>
    <row r="48" spans="2:7">
      <c r="B48" s="4" t="s">
        <v>1691</v>
      </c>
      <c r="C48">
        <f xml:space="preserve"> 2 / 15</f>
        <v>0.13333333333333333</v>
      </c>
    </row>
    <row r="50" spans="2:7" ht="17" thickBot="1">
      <c r="B50" s="3" t="s">
        <v>1688</v>
      </c>
      <c r="C50" s="3" t="s">
        <v>1689</v>
      </c>
      <c r="E50" s="3" t="s">
        <v>1690</v>
      </c>
      <c r="G50" s="36" t="s">
        <v>625</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778</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777</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779</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2270</v>
      </c>
      <c r="C60" s="3" t="s">
        <v>2271</v>
      </c>
      <c r="E60" s="3" t="s">
        <v>2272</v>
      </c>
      <c r="G60" s="36" t="s">
        <v>2269</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2127</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361</v>
      </c>
      <c r="D2" t="s">
        <v>404</v>
      </c>
      <c r="F2" t="s">
        <v>2671</v>
      </c>
      <c r="H2" t="s">
        <v>795</v>
      </c>
      <c r="J2" t="s">
        <v>2739</v>
      </c>
      <c r="L2" t="s">
        <v>878</v>
      </c>
      <c r="N2" t="s">
        <v>1613</v>
      </c>
      <c r="P2" t="s">
        <v>2153</v>
      </c>
      <c r="R2" t="s">
        <v>166</v>
      </c>
      <c r="T2" t="s">
        <v>2680</v>
      </c>
      <c r="V2" t="s">
        <v>2681</v>
      </c>
      <c r="X2" t="s">
        <v>491</v>
      </c>
      <c r="Z2" t="s">
        <v>2150</v>
      </c>
      <c r="AB2" t="s">
        <v>527</v>
      </c>
      <c r="AD2" t="s">
        <v>1775</v>
      </c>
      <c r="AF2" t="s">
        <v>168</v>
      </c>
      <c r="AH2" t="s">
        <v>577</v>
      </c>
      <c r="AJ2" t="s">
        <v>578</v>
      </c>
      <c r="AL2" t="s">
        <v>579</v>
      </c>
      <c r="AN2" t="s">
        <v>1626</v>
      </c>
      <c r="AP2" t="s">
        <v>1622</v>
      </c>
      <c r="AR2" t="s">
        <v>1619</v>
      </c>
      <c r="AT2" t="s">
        <v>580</v>
      </c>
      <c r="AV2" t="s">
        <v>2273</v>
      </c>
      <c r="AX2" t="s">
        <v>655</v>
      </c>
      <c r="AZ2" t="s">
        <v>2279</v>
      </c>
      <c r="BB2" t="s">
        <v>104</v>
      </c>
      <c r="BD2" t="s">
        <v>1665</v>
      </c>
      <c r="BF2" t="s">
        <v>372</v>
      </c>
      <c r="BH2" t="s">
        <v>2305</v>
      </c>
      <c r="BJ2" t="s">
        <v>794</v>
      </c>
      <c r="BL2" t="s">
        <v>2130</v>
      </c>
      <c r="BN2" t="s">
        <v>797</v>
      </c>
      <c r="BP2" t="s">
        <v>2031</v>
      </c>
      <c r="BR2" t="s">
        <v>1703</v>
      </c>
      <c r="BT2" t="s">
        <v>928</v>
      </c>
      <c r="BV2" t="s">
        <v>172</v>
      </c>
      <c r="BX2" t="s">
        <v>2041</v>
      </c>
      <c r="BZ2" t="s">
        <v>2313</v>
      </c>
      <c r="CB2" t="s">
        <v>2714</v>
      </c>
      <c r="CE2" t="e">
        <f xml:space="preserve"> NA()</f>
        <v>#N/A</v>
      </c>
    </row>
    <row r="3" spans="2:83">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363</v>
      </c>
      <c r="BN5">
        <v>44</v>
      </c>
      <c r="BP5">
        <v>44</v>
      </c>
    </row>
    <row r="6" spans="2:83">
      <c r="B6" s="4" t="s">
        <v>2304</v>
      </c>
      <c r="BH6" s="5" t="s">
        <v>2307</v>
      </c>
    </row>
    <row r="7" spans="2:83">
      <c r="B7" s="4" t="s">
        <v>373</v>
      </c>
      <c r="C7" s="5"/>
      <c r="D7" s="5" t="s">
        <v>715</v>
      </c>
      <c r="E7" s="5"/>
      <c r="F7" s="5" t="s">
        <v>2670</v>
      </c>
      <c r="G7" s="5"/>
      <c r="H7" s="5" t="s">
        <v>1823</v>
      </c>
      <c r="I7" s="5"/>
      <c r="J7" s="5" t="s">
        <v>1066</v>
      </c>
      <c r="K7" s="5"/>
      <c r="L7" s="5" t="s">
        <v>1503</v>
      </c>
      <c r="M7" s="5"/>
      <c r="N7" s="5" t="s">
        <v>1615</v>
      </c>
      <c r="O7" s="5"/>
      <c r="P7" s="5" t="s">
        <v>751</v>
      </c>
      <c r="Q7" s="5"/>
      <c r="R7" s="5" t="s">
        <v>722</v>
      </c>
      <c r="S7" s="5"/>
      <c r="T7" s="5" t="s">
        <v>2127</v>
      </c>
      <c r="U7" s="5"/>
      <c r="V7" s="5" t="s">
        <v>1069</v>
      </c>
      <c r="W7" s="5"/>
      <c r="X7" s="5" t="s">
        <v>754</v>
      </c>
      <c r="Y7" s="5"/>
      <c r="Z7" s="5" t="s">
        <v>2151</v>
      </c>
      <c r="AA7" s="5"/>
      <c r="AB7" s="5" t="s">
        <v>722</v>
      </c>
      <c r="AC7" s="5"/>
      <c r="AD7" s="5" t="s">
        <v>1776</v>
      </c>
      <c r="AE7" s="5"/>
      <c r="AF7" s="5" t="s">
        <v>722</v>
      </c>
      <c r="AG7" s="5"/>
      <c r="AH7" s="5"/>
      <c r="AI7" s="5"/>
      <c r="AJ7" s="5"/>
      <c r="AK7" s="5"/>
      <c r="AL7" s="5"/>
      <c r="AM7" s="5"/>
      <c r="AN7" s="5" t="s">
        <v>1627</v>
      </c>
      <c r="AO7" s="5"/>
      <c r="AP7" s="5"/>
      <c r="AQ7" s="5"/>
      <c r="AR7" s="5"/>
      <c r="AS7" s="5"/>
      <c r="AT7" s="5" t="s">
        <v>725</v>
      </c>
      <c r="AU7" s="5"/>
      <c r="AV7" s="5" t="s">
        <v>725</v>
      </c>
      <c r="AW7" s="5"/>
      <c r="AX7" s="5" t="s">
        <v>727</v>
      </c>
      <c r="AY7" s="5"/>
      <c r="AZ7" s="5" t="s">
        <v>727</v>
      </c>
      <c r="BA7" s="5"/>
      <c r="BB7" s="5" t="s">
        <v>716</v>
      </c>
      <c r="BC7" s="5"/>
      <c r="BD7" s="5" t="s">
        <v>2086</v>
      </c>
      <c r="BE7" s="5"/>
      <c r="BF7" s="5" t="s">
        <v>1070</v>
      </c>
      <c r="BG7" s="5"/>
      <c r="BH7" s="5" t="s">
        <v>2086</v>
      </c>
      <c r="BI7" s="5"/>
      <c r="BJ7" s="5" t="s">
        <v>1042</v>
      </c>
      <c r="BK7" s="5"/>
      <c r="BL7" s="5" t="str">
        <f xml:space="preserve"> $BB$9</f>
        <v>fill='#00A3E0'</v>
      </c>
      <c r="BM7" s="5"/>
      <c r="BN7" s="5" t="s">
        <v>2086</v>
      </c>
      <c r="BO7" s="5"/>
      <c r="BP7" s="5" t="s">
        <v>2032</v>
      </c>
      <c r="BQ7" s="5"/>
      <c r="BR7" s="5" t="s">
        <v>1704</v>
      </c>
      <c r="BS7" s="5"/>
      <c r="BT7" s="5" t="s">
        <v>929</v>
      </c>
      <c r="BU7" s="5"/>
      <c r="BV7" s="5" t="s">
        <v>2441</v>
      </c>
      <c r="BW7" s="5"/>
      <c r="BX7" s="5" t="s">
        <v>2044</v>
      </c>
      <c r="BY7" s="5"/>
      <c r="BZ7" s="5" t="s">
        <v>2314</v>
      </c>
      <c r="CA7" s="5"/>
      <c r="CB7" s="5" t="s">
        <v>2723</v>
      </c>
      <c r="CC7" s="5"/>
      <c r="CD7" s="5"/>
      <c r="CE7" s="5"/>
    </row>
    <row r="8" spans="2:83">
      <c r="B8" s="4" t="s">
        <v>374</v>
      </c>
      <c r="C8" s="5"/>
      <c r="D8" s="5" t="s">
        <v>2088</v>
      </c>
      <c r="E8" s="5"/>
      <c r="F8" s="5" t="s">
        <v>2088</v>
      </c>
      <c r="G8" s="5"/>
      <c r="H8" s="5" t="s">
        <v>2088</v>
      </c>
      <c r="I8" s="5"/>
      <c r="J8" s="5" t="s">
        <v>2086</v>
      </c>
      <c r="K8" s="5"/>
      <c r="L8" s="5" t="s">
        <v>1502</v>
      </c>
      <c r="M8" s="5"/>
      <c r="N8" s="5" t="s">
        <v>1614</v>
      </c>
      <c r="O8" s="5"/>
      <c r="P8" s="5" t="s">
        <v>2086</v>
      </c>
      <c r="Q8" s="5"/>
      <c r="R8" s="5" t="s">
        <v>2086</v>
      </c>
      <c r="S8" s="5"/>
      <c r="T8" s="5" t="s">
        <v>2086</v>
      </c>
      <c r="U8" s="5"/>
      <c r="V8" s="5" t="s">
        <v>2682</v>
      </c>
      <c r="W8" s="5"/>
      <c r="X8" s="5" t="s">
        <v>2086</v>
      </c>
      <c r="Y8" s="5"/>
      <c r="Z8" s="5" t="s">
        <v>2152</v>
      </c>
      <c r="AA8" s="5"/>
      <c r="AB8" s="5" t="s">
        <v>749</v>
      </c>
      <c r="AC8" s="5"/>
      <c r="AD8" s="5" t="s">
        <v>1777</v>
      </c>
      <c r="AE8" s="5"/>
      <c r="AF8" s="5" t="s">
        <v>2086</v>
      </c>
      <c r="AG8" s="5"/>
      <c r="AH8" s="5" t="s">
        <v>750</v>
      </c>
      <c r="AI8" s="5"/>
      <c r="AJ8" s="5" t="s">
        <v>727</v>
      </c>
      <c r="AK8" s="5"/>
      <c r="AL8" s="5" t="s">
        <v>722</v>
      </c>
      <c r="AM8" s="5"/>
      <c r="AN8" s="5" t="s">
        <v>725</v>
      </c>
      <c r="AO8" s="5"/>
      <c r="AP8" s="5" t="s">
        <v>758</v>
      </c>
      <c r="AQ8" s="5"/>
      <c r="AR8" s="5" t="s">
        <v>1620</v>
      </c>
      <c r="AS8" s="5"/>
      <c r="AT8" s="5" t="s">
        <v>2086</v>
      </c>
      <c r="AU8" s="5"/>
      <c r="AV8" s="5" t="s">
        <v>2274</v>
      </c>
      <c r="AW8" s="5"/>
      <c r="AX8" s="5" t="s">
        <v>2086</v>
      </c>
      <c r="AY8" s="5"/>
      <c r="AZ8" s="5" t="s">
        <v>2127</v>
      </c>
      <c r="BA8" s="5"/>
      <c r="BB8" s="5" t="s">
        <v>2086</v>
      </c>
      <c r="BC8" s="5"/>
      <c r="BD8" s="5" t="s">
        <v>737</v>
      </c>
      <c r="BE8" s="5"/>
      <c r="BF8" s="5" t="s">
        <v>1071</v>
      </c>
      <c r="BG8" s="5"/>
      <c r="BH8" s="5" t="s">
        <v>2127</v>
      </c>
      <c r="BI8" s="5"/>
      <c r="BJ8" s="5" t="s">
        <v>2086</v>
      </c>
      <c r="BK8" s="5"/>
      <c r="BL8" s="5" t="s">
        <v>2086</v>
      </c>
      <c r="BM8" s="5"/>
      <c r="BN8" s="5" t="str">
        <f xml:space="preserve"> "stroke-width='" &amp; _xlfn.SINGLE(Simple.SVG_borderWidth) &amp; "' stroke-linejoin='round' stroke='#1B618C' fill='none' "</f>
        <v xml:space="preserve">stroke-width='44' stroke-linejoin='round' stroke='#1B618C' fill='none' </v>
      </c>
      <c r="BO8" s="5"/>
      <c r="BP8" s="5" t="s">
        <v>2086</v>
      </c>
      <c r="BQ8" s="5"/>
      <c r="BR8" s="5" t="s">
        <v>1705</v>
      </c>
      <c r="BS8" s="5"/>
      <c r="BT8" s="5" t="s">
        <v>930</v>
      </c>
      <c r="BU8" s="5"/>
      <c r="BV8" s="5" t="s">
        <v>2442</v>
      </c>
      <c r="BW8" s="5"/>
      <c r="BX8" s="5" t="s">
        <v>2045</v>
      </c>
      <c r="BY8" s="5"/>
      <c r="BZ8" s="5" t="s">
        <v>2315</v>
      </c>
      <c r="CA8" s="5"/>
      <c r="CB8" s="5" t="s">
        <v>2724</v>
      </c>
      <c r="CC8" s="5"/>
      <c r="CD8" s="5"/>
      <c r="CE8" s="5"/>
    </row>
    <row r="9" spans="2:83">
      <c r="B9" s="4" t="s">
        <v>375</v>
      </c>
      <c r="C9" s="5"/>
      <c r="D9" s="5"/>
      <c r="E9" s="5"/>
      <c r="F9" s="5"/>
      <c r="G9" s="5"/>
      <c r="H9" s="5"/>
      <c r="I9" s="5"/>
      <c r="J9" s="5"/>
      <c r="K9" s="5"/>
      <c r="L9" s="5"/>
      <c r="M9" s="5"/>
      <c r="N9" s="5"/>
      <c r="O9" s="5"/>
      <c r="P9" s="5" t="s">
        <v>751</v>
      </c>
      <c r="Q9" s="5"/>
      <c r="R9" s="5"/>
      <c r="S9" s="5"/>
      <c r="T9" s="5"/>
      <c r="U9" s="5"/>
      <c r="V9" s="5" t="s">
        <v>2086</v>
      </c>
      <c r="W9" s="5"/>
      <c r="X9" s="5" t="s">
        <v>752</v>
      </c>
      <c r="Y9" s="5"/>
      <c r="Z9" s="5" t="s">
        <v>725</v>
      </c>
      <c r="AA9" s="5"/>
      <c r="AB9" s="5"/>
      <c r="AC9" s="5"/>
      <c r="AD9" s="5" t="s">
        <v>725</v>
      </c>
      <c r="AE9" s="5"/>
      <c r="AF9" s="5"/>
      <c r="AG9" s="5"/>
      <c r="AH9" s="5" t="s">
        <v>753</v>
      </c>
      <c r="AI9" s="5"/>
      <c r="AJ9" s="5" t="s">
        <v>725</v>
      </c>
      <c r="AK9" s="5"/>
      <c r="AL9" s="5" t="s">
        <v>725</v>
      </c>
      <c r="AM9" s="5"/>
      <c r="AN9" s="5" t="s">
        <v>2086</v>
      </c>
      <c r="AO9" s="5"/>
      <c r="AP9" s="5" t="s">
        <v>725</v>
      </c>
      <c r="AQ9" s="5"/>
      <c r="AR9" s="5" t="s">
        <v>1621</v>
      </c>
      <c r="AS9" s="5"/>
      <c r="AT9" s="5"/>
      <c r="AU9" s="5"/>
      <c r="AV9" s="5"/>
      <c r="AW9" s="5"/>
      <c r="AX9" s="5"/>
      <c r="AY9" s="5"/>
      <c r="AZ9" s="5"/>
      <c r="BA9" s="5"/>
      <c r="BB9" s="5" t="s">
        <v>732</v>
      </c>
      <c r="BC9" s="5"/>
      <c r="BD9" s="5"/>
      <c r="BE9" s="5"/>
      <c r="BF9" s="5" t="s">
        <v>2086</v>
      </c>
      <c r="BG9" s="5"/>
      <c r="BH9" s="5" t="s">
        <v>2306</v>
      </c>
      <c r="BI9" s="5"/>
      <c r="BJ9" s="5" t="s">
        <v>796</v>
      </c>
      <c r="BK9" s="5"/>
      <c r="BL9" s="5" t="str">
        <f xml:space="preserve"> $BB$7</f>
        <v>fill='#EF3340'</v>
      </c>
      <c r="BM9" s="5"/>
      <c r="BN9" s="5"/>
      <c r="BO9" s="5"/>
      <c r="BP9" s="5" t="s">
        <v>2033</v>
      </c>
      <c r="BQ9" s="5"/>
      <c r="BR9" s="5"/>
      <c r="BS9" s="5"/>
      <c r="BT9" s="5"/>
      <c r="BU9" s="5"/>
      <c r="BV9" s="5"/>
      <c r="BW9" s="5"/>
      <c r="BX9" s="5" t="s">
        <v>2086</v>
      </c>
      <c r="BY9" s="5"/>
      <c r="BZ9" s="5" t="s">
        <v>2316</v>
      </c>
      <c r="CA9" s="5"/>
      <c r="CB9" s="5"/>
      <c r="CC9" s="5"/>
      <c r="CD9" s="5"/>
      <c r="CE9" s="5"/>
    </row>
    <row r="10" spans="2:83">
      <c r="AA10" s="5"/>
      <c r="AD10" s="5"/>
      <c r="AH10" s="5"/>
      <c r="AJ10" s="5"/>
    </row>
    <row r="11" spans="2:83">
      <c r="B11" s="4" t="s">
        <v>365</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11.7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c r="CB18">
        <f xml:space="preserve"> VALUE(TEXT(SQRT(_xlfn.SINGLE(Simple.AreaMultiplier) * BasicBBoxArea * _xlfn.SINGLE(Simple.Aspect)), SVG.NumberFormatHeight))</f>
        <v>18.399999999999999</v>
      </c>
    </row>
    <row r="19" spans="2:83">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16.38</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c r="CB19">
        <f xml:space="preserve"> _xlfn.SINGLE(Simple.Height) / _xlfn.SINGLE(Simple.Aspect)</f>
        <v>12.266666666666666</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192</v>
      </c>
      <c r="V22" cm="1">
        <f t="array" ref="V22" xml:space="preserve"> SVG_length(V$24:V$29)</f>
        <v>246</v>
      </c>
      <c r="X22" cm="1">
        <f t="array" ref="X22" xml:space="preserve"> SVG_length(X$24:X$29)</f>
        <v>347</v>
      </c>
      <c r="Z22" cm="1">
        <f t="array" ref="Z22" xml:space="preserve"> SVG_length(Z$24:Z$29)</f>
        <v>283</v>
      </c>
      <c r="AB22" cm="1">
        <f t="array" ref="AB22" xml:space="preserve"> SVG_length(AB$24:AB$29)</f>
        <v>246</v>
      </c>
      <c r="AD22" cm="1">
        <f t="array" ref="AD22" xml:space="preserve"> SVG_length(AD$24:AD$29)</f>
        <v>329</v>
      </c>
      <c r="AF22" cm="1">
        <f t="array" ref="AF22" xml:space="preserve"> SVG_length(AF$24:AF$29)</f>
        <v>207</v>
      </c>
      <c r="AH22" cm="1">
        <f t="array" ref="AH22" xml:space="preserve"> SVG_length(AH$24:AH$29)</f>
        <v>218</v>
      </c>
      <c r="AJ22" cm="1">
        <f t="array" ref="AJ22" xml:space="preserve"> SVG_length(AJ$24:AJ$29)</f>
        <v>207</v>
      </c>
      <c r="AL22" cm="1">
        <f t="array" ref="AL22" xml:space="preserve"> SVG_length(AL$24:AL$29)</f>
        <v>208</v>
      </c>
      <c r="AN22" cm="1">
        <f t="array" ref="AN22" xml:space="preserve"> SVG_length(AN$24:AN$29)</f>
        <v>430</v>
      </c>
      <c r="AP22" cm="1">
        <f t="array" ref="AP22" xml:space="preserve"> SVG_length(AP$24:AP$29)</f>
        <v>203</v>
      </c>
      <c r="AR22" cm="1">
        <f t="array" ref="AR22" xml:space="preserve"> SVG_length(AR$24:AR$29)</f>
        <v>213</v>
      </c>
      <c r="AT22" cm="1">
        <f t="array" ref="AT22" xml:space="preserve"> SVG_length(AT$24:AT$29)</f>
        <v>207</v>
      </c>
      <c r="AV22" cm="1">
        <f t="array" ref="AV22" xml:space="preserve"> SVG_length(AV$24:AV$29)</f>
        <v>207</v>
      </c>
      <c r="AX22" cm="1">
        <f t="array" ref="AX22" xml:space="preserve"> SVG_length(AX$24:AX$29)</f>
        <v>206</v>
      </c>
      <c r="AZ22" cm="1">
        <f t="array" ref="AZ22" xml:space="preserve"> SVG_length(AZ$24:AZ$29)</f>
        <v>194</v>
      </c>
      <c r="BB22" cm="1">
        <f t="array" ref="BB22" xml:space="preserve"> SVG_length(BB$24:BB$29)</f>
        <v>280</v>
      </c>
      <c r="BD22" cm="1">
        <f t="array" ref="BD22" xml:space="preserve"> SVG_length(BD$24:BD$29)</f>
        <v>237</v>
      </c>
      <c r="BF22" cm="1">
        <f t="array" ref="BF22" xml:space="preserve"> SVG_length(BF$24:BF$29)</f>
        <v>282</v>
      </c>
      <c r="BH22" cm="1">
        <f t="array" ref="BH22" xml:space="preserve"> SVG_length(BH$24:BH$29)</f>
        <v>330</v>
      </c>
      <c r="BJ22" cm="1">
        <f t="array" ref="BJ22" xml:space="preserve"> SVG_length(BJ$24:BJ$29)</f>
        <v>285</v>
      </c>
      <c r="BL22" cm="1">
        <f t="array" ref="BL22" xml:space="preserve"> SVG_length(BL$24:BL$29)</f>
        <v>285</v>
      </c>
      <c r="BN22" cm="1">
        <f t="array" ref="BN22" xml:space="preserve"> SVG_length(BN$24:BN$29)</f>
        <v>307</v>
      </c>
      <c r="BP22" cm="1">
        <f t="array" ref="BP22" xml:space="preserve"> SVG_length(BP$24:BP$29)</f>
        <v>309</v>
      </c>
      <c r="BR22" cm="1">
        <f t="array" ref="BR22" xml:space="preserve"> SVG_length(BR$24:BR$29)</f>
        <v>218</v>
      </c>
      <c r="BT22" cm="1">
        <f t="array" ref="BT22" xml:space="preserve"> SVG_length(BT$24:BT$29)</f>
        <v>272</v>
      </c>
      <c r="BV22" cm="1">
        <f t="array" ref="BV22" xml:space="preserve"> SVG_length(BV$24:BV$29)</f>
        <v>371</v>
      </c>
      <c r="BX22" cm="1">
        <f t="array" ref="BX22" xml:space="preserve"> SVG_length(BX$24:BX$29)</f>
        <v>238</v>
      </c>
      <c r="BZ22" cm="1">
        <f t="array" ref="BZ22" xml:space="preserve"> SVG_length(BZ$24:BZ$29)</f>
        <v>237</v>
      </c>
      <c r="CB22" cm="1">
        <f t="array" ref="CB22" xml:space="preserve"> SVG_length(CB$24:CB$29)</f>
        <v>261</v>
      </c>
    </row>
    <row r="23" spans="2:83">
      <c r="B23" s="4" t="s">
        <v>371</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viewBox='-11.38885 -8.13489 22.7777 16.26978'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viewBox='-6.50791 -4.88094 13.01582 9.76188'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viewBox='-15 -22.5 30 45'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3:56">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56">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row>
    <row r="36" spans="3:56">
      <c r="C36" t="str" cm="1">
        <f t="array" aca="1" ref="C36" ca="1" xml:space="preserve"> "Used in " &amp; CELL("address", $D$27) &amp; ": do not delete:"</f>
        <v>Used in $D$27: do not delete:</v>
      </c>
      <c r="D36">
        <f xml:space="preserve"> MROUND(AVERAGE(D34:D35), 0.2)</f>
        <v>9</v>
      </c>
      <c r="F36">
        <f xml:space="preserve"> MROUND(AVERAGE(F34:F35), 0.2)</f>
        <v>9</v>
      </c>
    </row>
    <row r="37" spans="3:56">
      <c r="G37" t="str" cm="1">
        <f t="array" aca="1" ref="G37" ca="1" xml:space="preserve"> "Used in " &amp; CELL("address", $H$39) &amp; ": do not delete:"</f>
        <v>Used in $H$39: do not delete:</v>
      </c>
      <c r="H37">
        <f xml:space="preserve"> SQRT((Simple.MaxX - 2)^2 - 3^2)</f>
        <v>7.416198487095663</v>
      </c>
    </row>
    <row r="38" spans="3:56">
      <c r="G38" t="str" cm="1">
        <f t="array" aca="1" ref="G38" ca="1" xml:space="preserve"> "Used in " &amp; CELL("address", $H$39) &amp; ": do not delete:"</f>
        <v>Used in $H$39: do not delete:</v>
      </c>
      <c r="H38">
        <f xml:space="preserve"> SQRT((Simple.MaxX - 0)^2 - 3^2)</f>
        <v>9.5393920141694561</v>
      </c>
    </row>
    <row r="39" spans="3:56">
      <c r="G39" t="str" cm="1">
        <f t="array" aca="1" ref="G39" ca="1" xml:space="preserve"> "Used in " &amp; CELL("address", $H$27) &amp; ": do not delete:"</f>
        <v>Used in $H$27: do not delete:</v>
      </c>
      <c r="H39">
        <f xml:space="preserve"> MROUND(AVERAGE(MAX(H$34, H$37), MIN(H$35, H$38)), 1)</f>
        <v>9</v>
      </c>
    </row>
    <row r="40" spans="3:56">
      <c r="BD40" s="5"/>
    </row>
    <row r="41" spans="3:56">
      <c r="BD41" s="5"/>
    </row>
    <row r="48" spans="3: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1680</v>
      </c>
      <c r="G2" t="s">
        <v>1681</v>
      </c>
      <c r="I2" t="s">
        <v>327</v>
      </c>
      <c r="P2" t="s">
        <v>1682</v>
      </c>
      <c r="Q2" t="s">
        <v>1683</v>
      </c>
      <c r="S2" t="s">
        <v>623</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622</v>
      </c>
      <c r="C5" s="3" t="s">
        <v>621</v>
      </c>
      <c r="F5" s="3" t="s">
        <v>328</v>
      </c>
      <c r="G5" s="3" t="s">
        <v>329</v>
      </c>
      <c r="I5" s="3" t="s">
        <v>1762</v>
      </c>
      <c r="P5" s="3" t="s">
        <v>477</v>
      </c>
      <c r="Q5" s="3" t="s">
        <v>478</v>
      </c>
      <c r="S5" s="3" t="s">
        <v>1763</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485</v>
      </c>
      <c r="S22">
        <f xml:space="preserve"> ROUND( MIN(JOD.RawX), JOD.DecimalPlaces)</f>
        <v>-0.97492999999999996</v>
      </c>
    </row>
    <row r="23" spans="2:19">
      <c r="H23" s="4" t="s">
        <v>337</v>
      </c>
      <c r="I23">
        <f xml:space="preserve"> ROUND(MAX(AUD.RawX), AUD.DecimalPlaces)</f>
        <v>0.97492999999999996</v>
      </c>
      <c r="R23" s="4" t="s">
        <v>486</v>
      </c>
      <c r="S23">
        <f xml:space="preserve"> ROUND(MAX(JOD.RawX), JOD.DecimalPlaces)</f>
        <v>0.97492999999999996</v>
      </c>
    </row>
    <row r="24" spans="2:19">
      <c r="H24" s="4" t="s">
        <v>338</v>
      </c>
      <c r="I24">
        <f xml:space="preserve"> ROUND( MIN(AUD.RawY), AUD.DecimalPlaces)</f>
        <v>-1</v>
      </c>
      <c r="R24" s="4" t="s">
        <v>487</v>
      </c>
      <c r="S24">
        <f xml:space="preserve"> ROUND( MIN(JOD.RawY), JOD.DecimalPlaces)</f>
        <v>-1</v>
      </c>
    </row>
    <row r="25" spans="2:19">
      <c r="H25" s="4" t="s">
        <v>339</v>
      </c>
      <c r="I25">
        <f xml:space="preserve"> ROUND(MAX(AUD.RawY), AUD.DecimalPlaces)</f>
        <v>0.90097000000000005</v>
      </c>
      <c r="R25" s="4" t="s">
        <v>488</v>
      </c>
      <c r="S25">
        <f xml:space="preserve"> ROUND(MAX(JOD.RawY), JOD.DecimalPlaces)</f>
        <v>0.90097000000000005</v>
      </c>
    </row>
    <row r="27" spans="2:19">
      <c r="H27" s="4" t="s">
        <v>330</v>
      </c>
      <c r="I27" s="26">
        <v>1.75</v>
      </c>
      <c r="R27" s="4" t="s">
        <v>479</v>
      </c>
      <c r="S27" s="26">
        <f xml:space="preserve"> AUD.AreaMultiplier</f>
        <v>1.75</v>
      </c>
    </row>
    <row r="28" spans="2:19">
      <c r="H28" s="4" t="s">
        <v>331</v>
      </c>
      <c r="I28">
        <f xml:space="preserve">  MAX(AUD.MaxY, - AUD.MinY)   /   MAX(AUD.MaxX, - AUD.MinX)</f>
        <v>1.0257146666940191</v>
      </c>
      <c r="R28" s="4" t="s">
        <v>480</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481</v>
      </c>
      <c r="S29">
        <f xml:space="preserve"> VALUE(TEXT(SQRT(JOD.AreaMultiplier * BasicBBoxArea * JOD.Aspect), SVG.NumberFormatHeight))</f>
        <v>20.100000000000001</v>
      </c>
    </row>
    <row r="30" spans="2:19">
      <c r="H30" s="4" t="s">
        <v>333</v>
      </c>
      <c r="I30">
        <f xml:space="preserve"> AUD.Height / AUD.Aspect</f>
        <v>19.596093</v>
      </c>
      <c r="R30" s="4" t="s">
        <v>482</v>
      </c>
      <c r="S30" cm="1">
        <f t="array" ref="S30" xml:space="preserve"> JOD.Height / JOD.Aspect</f>
        <v>19.596093</v>
      </c>
    </row>
    <row r="32" spans="2:19">
      <c r="H32" s="4" t="s">
        <v>334</v>
      </c>
      <c r="I32" t="s">
        <v>1069</v>
      </c>
      <c r="R32" s="4" t="s">
        <v>483</v>
      </c>
      <c r="S32" t="s">
        <v>753</v>
      </c>
    </row>
    <row r="33" spans="7:19">
      <c r="H33" s="4" t="s">
        <v>335</v>
      </c>
      <c r="I33" t="s">
        <v>730</v>
      </c>
      <c r="R33" s="4" t="s">
        <v>484</v>
      </c>
      <c r="S33" t="s">
        <v>2086</v>
      </c>
    </row>
    <row r="35" spans="7:19">
      <c r="I35" cm="1">
        <f t="array" ref="I35" xml:space="preserve"> SVG_length(AUD.svg)</f>
        <v>445</v>
      </c>
      <c r="S35" cm="1">
        <f t="array" ref="S35" xml:space="preserve"> SVG_length(JOD.svg)</f>
        <v>439</v>
      </c>
    </row>
    <row r="37" spans="7:19" ht="17" thickBot="1">
      <c r="I37" s="3" t="s">
        <v>340</v>
      </c>
      <c r="S37" s="3" t="s">
        <v>489</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1459</v>
      </c>
      <c r="F2" s="3" t="s">
        <v>119</v>
      </c>
    </row>
    <row r="3" spans="2:16">
      <c r="B3">
        <v>5</v>
      </c>
      <c r="C3" s="5" t="s">
        <v>1472</v>
      </c>
      <c r="F3">
        <f xml:space="preserve"> DecimalPlaces - INT(LOG(MIN(  MAX(GBP.RawX) - MIN(GBP.RawX),  MAX(GBP.RawY) - MIN(GBP.RawY)  )/2, 10) + 0.2)</f>
        <v>4</v>
      </c>
    </row>
    <row r="5" spans="2:16" ht="17" thickBot="1">
      <c r="B5" s="3" t="s">
        <v>1460</v>
      </c>
      <c r="C5" s="3" t="s">
        <v>5</v>
      </c>
      <c r="D5" s="3" t="s">
        <v>6</v>
      </c>
      <c r="F5" s="3" t="s">
        <v>22</v>
      </c>
      <c r="K5" s="3" t="s">
        <v>1461</v>
      </c>
      <c r="L5" s="3" t="s">
        <v>1462</v>
      </c>
      <c r="M5" s="3" t="s">
        <v>1463</v>
      </c>
      <c r="N5" s="3" t="s">
        <v>1464</v>
      </c>
      <c r="O5" s="3" t="s">
        <v>1465</v>
      </c>
      <c r="P5" s="3" t="s">
        <v>1466</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1467</v>
      </c>
      <c r="I19">
        <f xml:space="preserve"> GBP.ArmHalfWidthOuter / -2.5</f>
        <v>-2</v>
      </c>
    </row>
    <row r="20" spans="2:16">
      <c r="B20" t="s">
        <v>23</v>
      </c>
      <c r="C20">
        <v>0</v>
      </c>
      <c r="D20" cm="1">
        <f t="array" ref="D20" xml:space="preserve"> GBP.ArmHalfWidthOuter * Sqrt5 / 2</f>
        <v>5.5901699437494745</v>
      </c>
      <c r="F20" t="str">
        <v>L0 5.5902</v>
      </c>
      <c r="H20" s="4" t="s">
        <v>1468</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2250</v>
      </c>
      <c r="K41" t="s">
        <v>0</v>
      </c>
      <c r="L41" t="s">
        <v>2253</v>
      </c>
      <c r="M41" t="s">
        <v>2254</v>
      </c>
      <c r="N41" t="s">
        <v>2255</v>
      </c>
      <c r="O41" t="s">
        <v>2256</v>
      </c>
      <c r="P41" t="s">
        <v>2257</v>
      </c>
    </row>
    <row r="42" spans="2:16">
      <c r="E42" s="4" t="s">
        <v>19</v>
      </c>
      <c r="F42">
        <f xml:space="preserve"> ROUND(MAX(GBP.RawX), GBP.DecimalPlaces)</f>
        <v>30</v>
      </c>
    </row>
    <row r="43" spans="2:16">
      <c r="E43" s="4" t="s">
        <v>20</v>
      </c>
      <c r="F43">
        <f xml:space="preserve"> ROUND( MIN(GBP.RawY), GBP.DecimalPlaces)</f>
        <v>-15</v>
      </c>
      <c r="J43" s="4" t="s">
        <v>1469</v>
      </c>
      <c r="K43" t="s">
        <v>1471</v>
      </c>
      <c r="L43" t="s">
        <v>1471</v>
      </c>
      <c r="M43" t="s">
        <v>719</v>
      </c>
      <c r="N43" t="s">
        <v>727</v>
      </c>
      <c r="O43" t="s">
        <v>2251</v>
      </c>
      <c r="P43" t="s">
        <v>727</v>
      </c>
    </row>
    <row r="44" spans="2:16">
      <c r="E44" s="4" t="s">
        <v>21</v>
      </c>
      <c r="F44">
        <f xml:space="preserve"> ROUND(MAX(GBP.RawY), GBP.DecimalPlaces)</f>
        <v>15</v>
      </c>
      <c r="J44" s="4" t="s">
        <v>1470</v>
      </c>
      <c r="K44" t="s">
        <v>727</v>
      </c>
      <c r="L44" t="s">
        <v>2086</v>
      </c>
      <c r="M44" t="s">
        <v>1777</v>
      </c>
      <c r="N44" t="s">
        <v>2086</v>
      </c>
      <c r="O44" t="s">
        <v>727</v>
      </c>
      <c r="P44" t="s">
        <v>2251</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1779</v>
      </c>
      <c r="D2" s="3" t="s">
        <v>1778</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1750</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737</v>
      </c>
    </row>
    <row r="47" spans="2:16">
      <c r="E47" s="4" t="s">
        <v>78</v>
      </c>
      <c r="F47" t="s">
        <v>2086</v>
      </c>
    </row>
    <row r="50" spans="4:7" ht="17" thickBot="1">
      <c r="F50" s="3" t="s">
        <v>92</v>
      </c>
      <c r="G50" s="3" t="s">
        <v>2278</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1780</v>
      </c>
      <c r="C2" s="3" t="s">
        <v>1781</v>
      </c>
      <c r="D2" s="3" t="s">
        <v>1686</v>
      </c>
      <c r="E2" s="3" t="s">
        <v>189</v>
      </c>
    </row>
    <row r="3" spans="2:5">
      <c r="B3" t="b">
        <v>0</v>
      </c>
      <c r="C3" t="b">
        <v>1</v>
      </c>
      <c r="D3">
        <v>1</v>
      </c>
      <c r="E3">
        <f xml:space="preserve"> DecimalPlaces - INT(LOG(HKD.Size, 10) + 0.2)</f>
        <v>5</v>
      </c>
    </row>
    <row r="5" spans="2:5" ht="17" thickBot="1">
      <c r="B5" s="3" t="s">
        <v>190</v>
      </c>
      <c r="C5" s="3" t="s">
        <v>191</v>
      </c>
      <c r="E5" s="3" t="s">
        <v>1749</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737</v>
      </c>
    </row>
    <row r="25" spans="4:5">
      <c r="D25" s="4" t="s">
        <v>202</v>
      </c>
      <c r="E25" s="5" t="s">
        <v>2086</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756</v>
      </c>
    </row>
    <row r="16" spans="5:6">
      <c r="E16" s="4" t="s">
        <v>218</v>
      </c>
      <c r="F16" s="5" t="s">
        <v>757</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939</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936</v>
      </c>
      <c r="H46" t="s">
        <v>937</v>
      </c>
    </row>
    <row r="47" spans="2:8">
      <c r="G47" s="4" t="s">
        <v>935</v>
      </c>
      <c r="H47" t="s">
        <v>938</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1577</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1748</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1063</v>
      </c>
    </row>
    <row r="51" spans="4:5">
      <c r="D51" s="4" t="s">
        <v>1578</v>
      </c>
      <c r="E51" s="5" t="s">
        <v>758</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1707</v>
      </c>
      <c r="H15">
        <f xml:space="preserve"> 17/48</f>
        <v>0.35416666666666669</v>
      </c>
    </row>
    <row r="16" spans="5:8">
      <c r="G16" s="4" t="s">
        <v>1708</v>
      </c>
      <c r="H16">
        <v>8.1500000000000003E-2</v>
      </c>
    </row>
    <row r="17" spans="2:8">
      <c r="G17" s="4" t="s">
        <v>297</v>
      </c>
      <c r="H17" s="5" t="s">
        <v>761</v>
      </c>
    </row>
    <row r="18" spans="2:8">
      <c r="G18" s="4" t="s">
        <v>298</v>
      </c>
      <c r="H18" s="5" t="s">
        <v>2086</v>
      </c>
    </row>
    <row r="20" spans="2:8" ht="17" thickBot="1">
      <c r="B20" s="3" t="s">
        <v>295</v>
      </c>
      <c r="C20" s="3" t="s">
        <v>300</v>
      </c>
      <c r="D20" s="3" t="s">
        <v>301</v>
      </c>
      <c r="E20" s="3" t="s">
        <v>1764</v>
      </c>
      <c r="F20" s="3" t="s">
        <v>1765</v>
      </c>
      <c r="H20" s="35" t="s">
        <v>1510</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759</v>
      </c>
    </row>
    <row r="6" spans="6:9">
      <c r="H6" s="4" t="s">
        <v>274</v>
      </c>
      <c r="I6" s="21" t="s">
        <v>760</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2258</v>
      </c>
    </row>
    <row r="26" spans="2:9">
      <c r="I26" s="21" t="s">
        <v>2259</v>
      </c>
    </row>
    <row r="27" spans="2:9">
      <c r="I27" s="21" t="s">
        <v>2260</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1747</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762</v>
      </c>
    </row>
    <row r="57" spans="3:6">
      <c r="E57" s="4" t="s">
        <v>324</v>
      </c>
      <c r="F57" s="5" t="s">
        <v>2086</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1746</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1507</v>
      </c>
    </row>
    <row r="43" spans="3:6">
      <c r="E43" s="4" t="s">
        <v>391</v>
      </c>
      <c r="F43" s="5" t="s">
        <v>763</v>
      </c>
    </row>
    <row r="44" spans="3:6">
      <c r="E44" s="4" t="s">
        <v>389</v>
      </c>
      <c r="F44" s="5" t="s">
        <v>764</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2072</v>
      </c>
      <c r="C2" s="3" t="s">
        <v>2073</v>
      </c>
      <c r="F2" t="s">
        <v>394</v>
      </c>
    </row>
    <row r="3" spans="2:6">
      <c r="B3">
        <v>7</v>
      </c>
      <c r="C3">
        <f xml:space="preserve"> MKD.Big - 2 * MKD.Big / (MKD.Big + 1)</f>
        <v>5.25</v>
      </c>
      <c r="F3" s="34">
        <f xml:space="preserve"> DecimalPlaces - INT(LOG(MIN(  MAX( MKD.RawX) - MIN( MKD.RawX),  MAX( MKD.RawY) - MIN( MKD.RawY)  )/2, 10) + 0.2)</f>
        <v>4</v>
      </c>
    </row>
    <row r="5" spans="2:6" ht="17" thickBot="1">
      <c r="B5" s="3" t="s">
        <v>2068</v>
      </c>
      <c r="C5" s="3" t="s">
        <v>2069</v>
      </c>
      <c r="D5" s="3" t="s">
        <v>2070</v>
      </c>
      <c r="F5" s="3" t="s">
        <v>2071</v>
      </c>
    </row>
    <row r="6" spans="2:6">
      <c r="B6" t="s">
        <v>1021</v>
      </c>
      <c r="C6">
        <f xml:space="preserve"> MKD.Big</f>
        <v>7</v>
      </c>
      <c r="D6">
        <f xml:space="preserve"> MKD.Little</f>
        <v>5.25</v>
      </c>
      <c r="F6" t="str" cm="1">
        <f t="array" ref="F6:F25" xml:space="preserve"> svgpath($C6:$C25, $D6:$D25,  MKD.DecimalPlaces)</f>
        <v>M7 5.25</v>
      </c>
    </row>
    <row r="7" spans="2:6">
      <c r="B7" t="s">
        <v>1021</v>
      </c>
      <c r="C7">
        <f xml:space="preserve"> MKD.Little</f>
        <v>5.25</v>
      </c>
      <c r="D7">
        <f xml:space="preserve"> MKD.Big</f>
        <v>7</v>
      </c>
      <c r="F7" t="str">
        <v>L5.25 7</v>
      </c>
    </row>
    <row r="8" spans="2:6">
      <c r="B8" t="s">
        <v>1021</v>
      </c>
      <c r="C8">
        <v>1</v>
      </c>
      <c r="D8">
        <f xml:space="preserve"> MKD.Big</f>
        <v>7</v>
      </c>
      <c r="F8" t="str">
        <v>H1</v>
      </c>
    </row>
    <row r="9" spans="2:6">
      <c r="B9" t="s">
        <v>1021</v>
      </c>
      <c r="C9">
        <v>0</v>
      </c>
      <c r="D9">
        <f xml:space="preserve"> MKD.Big - 1</f>
        <v>6</v>
      </c>
      <c r="F9" t="str">
        <v>L0 6</v>
      </c>
    </row>
    <row r="10" spans="2:6">
      <c r="B10" t="s">
        <v>1021</v>
      </c>
      <c r="C10">
        <v>-1</v>
      </c>
      <c r="D10">
        <f xml:space="preserve"> MKD.Big</f>
        <v>7</v>
      </c>
      <c r="F10" t="str">
        <v>L-1 7</v>
      </c>
    </row>
    <row r="11" spans="2:6">
      <c r="B11" t="s">
        <v>1021</v>
      </c>
      <c r="C11">
        <f xml:space="preserve"> - MKD.Little</f>
        <v>-5.25</v>
      </c>
      <c r="D11">
        <f xml:space="preserve"> MKD.Big</f>
        <v>7</v>
      </c>
      <c r="F11" t="str">
        <v>H-5.25</v>
      </c>
    </row>
    <row r="12" spans="2:6">
      <c r="B12" t="s">
        <v>1021</v>
      </c>
      <c r="C12">
        <f xml:space="preserve"> - MKD.Big</f>
        <v>-7</v>
      </c>
      <c r="D12">
        <f xml:space="preserve"> MKD.Little</f>
        <v>5.25</v>
      </c>
      <c r="F12" t="str">
        <v>L-7 5.25</v>
      </c>
    </row>
    <row r="13" spans="2:6">
      <c r="B13" t="s">
        <v>1021</v>
      </c>
      <c r="C13">
        <f xml:space="preserve"> - MKD.Big</f>
        <v>-7</v>
      </c>
      <c r="D13">
        <v>1</v>
      </c>
      <c r="F13" t="str">
        <v>V1</v>
      </c>
    </row>
    <row r="14" spans="2:6">
      <c r="B14" t="s">
        <v>1021</v>
      </c>
      <c r="C14">
        <f xml:space="preserve"> 1 - MKD.Big</f>
        <v>-6</v>
      </c>
      <c r="D14">
        <v>0</v>
      </c>
      <c r="F14" t="str">
        <v>L-6 0</v>
      </c>
    </row>
    <row r="15" spans="2:6">
      <c r="B15" t="s">
        <v>1021</v>
      </c>
      <c r="C15">
        <f xml:space="preserve"> - MKD.Big</f>
        <v>-7</v>
      </c>
      <c r="D15">
        <v>-1</v>
      </c>
      <c r="F15" t="str">
        <v>L-7 -1</v>
      </c>
    </row>
    <row r="16" spans="2:6">
      <c r="B16" t="s">
        <v>1021</v>
      </c>
      <c r="C16">
        <f xml:space="preserve"> - MKD.Big</f>
        <v>-7</v>
      </c>
      <c r="D16">
        <f xml:space="preserve"> - MKD.Little</f>
        <v>-5.25</v>
      </c>
      <c r="F16" t="str">
        <v>V-5.25</v>
      </c>
    </row>
    <row r="17" spans="2:10">
      <c r="B17" t="s">
        <v>1021</v>
      </c>
      <c r="C17">
        <f xml:space="preserve"> - MKD.Little</f>
        <v>-5.25</v>
      </c>
      <c r="D17">
        <f xml:space="preserve"> - MKD.Big</f>
        <v>-7</v>
      </c>
      <c r="F17" t="str">
        <v>L-5.25 -7</v>
      </c>
    </row>
    <row r="18" spans="2:10">
      <c r="B18" t="s">
        <v>1021</v>
      </c>
      <c r="C18">
        <v>-1</v>
      </c>
      <c r="D18">
        <f xml:space="preserve"> - MKD.Big</f>
        <v>-7</v>
      </c>
      <c r="F18" t="str">
        <v>H-1</v>
      </c>
    </row>
    <row r="19" spans="2:10">
      <c r="B19" t="s">
        <v>1021</v>
      </c>
      <c r="C19">
        <v>0</v>
      </c>
      <c r="D19">
        <f xml:space="preserve"> 1 - MKD.Big</f>
        <v>-6</v>
      </c>
      <c r="F19" t="str">
        <v>l1 1</v>
      </c>
    </row>
    <row r="20" spans="2:10">
      <c r="B20" t="s">
        <v>1021</v>
      </c>
      <c r="C20">
        <v>1</v>
      </c>
      <c r="D20">
        <f xml:space="preserve"> - MKD.Big</f>
        <v>-7</v>
      </c>
      <c r="F20" t="str">
        <v>L1 -7</v>
      </c>
    </row>
    <row r="21" spans="2:10">
      <c r="B21" t="s">
        <v>1021</v>
      </c>
      <c r="C21">
        <f xml:space="preserve"> MKD.Little</f>
        <v>5.25</v>
      </c>
      <c r="D21">
        <f xml:space="preserve"> - MKD.Big</f>
        <v>-7</v>
      </c>
      <c r="F21" t="str">
        <v>H5.25</v>
      </c>
    </row>
    <row r="22" spans="2:10">
      <c r="B22" t="s">
        <v>1021</v>
      </c>
      <c r="C22">
        <f xml:space="preserve"> MKD.Big</f>
        <v>7</v>
      </c>
      <c r="D22">
        <f xml:space="preserve"> - MKD.Little</f>
        <v>-5.25</v>
      </c>
      <c r="F22" t="str">
        <v>L7 -5.25</v>
      </c>
    </row>
    <row r="23" spans="2:10">
      <c r="B23" t="s">
        <v>1021</v>
      </c>
      <c r="C23">
        <f xml:space="preserve"> MKD.Big</f>
        <v>7</v>
      </c>
      <c r="D23">
        <v>-1</v>
      </c>
      <c r="F23" t="str">
        <v>V-1</v>
      </c>
    </row>
    <row r="24" spans="2:10">
      <c r="B24" t="s">
        <v>1021</v>
      </c>
      <c r="C24">
        <f xml:space="preserve"> MKD.Big - 1</f>
        <v>6</v>
      </c>
      <c r="D24">
        <v>0</v>
      </c>
      <c r="F24" t="str">
        <v>L6 0</v>
      </c>
    </row>
    <row r="25" spans="2:10">
      <c r="B25" t="s">
        <v>1021</v>
      </c>
      <c r="C25">
        <f xml:space="preserve"> MKD.Big</f>
        <v>7</v>
      </c>
      <c r="D25">
        <v>1</v>
      </c>
      <c r="F25" t="str">
        <v>L7 1Z</v>
      </c>
      <c r="J25" t="s">
        <v>2077</v>
      </c>
    </row>
    <row r="26" spans="2:10">
      <c r="J26" t="s">
        <v>2078</v>
      </c>
    </row>
    <row r="27" spans="2:10">
      <c r="B27" t="s">
        <v>1025</v>
      </c>
      <c r="C27">
        <v>1</v>
      </c>
      <c r="D27">
        <f xml:space="preserve"> MKD.Big</f>
        <v>7</v>
      </c>
      <c r="F27" t="str" cm="1">
        <f t="array" ref="F27:F30" xml:space="preserve"> svgpath($C27:$C30, $D27:$D30,  MKD.DecimalPlaces)</f>
        <v>M1 7</v>
      </c>
    </row>
    <row r="28" spans="2:10">
      <c r="B28" t="s">
        <v>1025</v>
      </c>
      <c r="C28">
        <v>-1</v>
      </c>
      <c r="D28">
        <f xml:space="preserve"> MKD.Big</f>
        <v>7</v>
      </c>
      <c r="F28" t="str">
        <v>H-1</v>
      </c>
      <c r="J28" t="s">
        <v>2079</v>
      </c>
    </row>
    <row r="29" spans="2:10">
      <c r="B29" t="s">
        <v>1025</v>
      </c>
      <c r="C29">
        <v>1</v>
      </c>
      <c r="D29">
        <f xml:space="preserve"> - MKD.Big</f>
        <v>-7</v>
      </c>
      <c r="F29" t="str">
        <v>L1 -7</v>
      </c>
      <c r="J29" t="s">
        <v>2080</v>
      </c>
    </row>
    <row r="30" spans="2:10">
      <c r="B30" t="s">
        <v>1025</v>
      </c>
      <c r="C30">
        <v>-1</v>
      </c>
      <c r="D30">
        <f xml:space="preserve"> - MKD.Big</f>
        <v>-7</v>
      </c>
      <c r="F30" t="str">
        <v>H-1Z</v>
      </c>
      <c r="J30" t="s">
        <v>2081</v>
      </c>
    </row>
    <row r="32" spans="2:10">
      <c r="B32" t="s">
        <v>1025</v>
      </c>
      <c r="C32">
        <f xml:space="preserve"> D27</f>
        <v>7</v>
      </c>
      <c r="D32">
        <f xml:space="preserve"> C27</f>
        <v>1</v>
      </c>
      <c r="F32" t="str" cm="1">
        <f t="array" ref="F32:F35" xml:space="preserve"> svgpath($C32:$C35, $D32:$D35,  MKD.DecimalPlaces)</f>
        <v>M7 1</v>
      </c>
    </row>
    <row r="33" spans="2:6">
      <c r="B33" t="s">
        <v>1025</v>
      </c>
      <c r="C33">
        <f t="shared" ref="C33:C35" si="0" xml:space="preserve"> D28</f>
        <v>7</v>
      </c>
      <c r="D33">
        <f t="shared" ref="D33:D35" si="1" xml:space="preserve"> C28</f>
        <v>-1</v>
      </c>
      <c r="F33" t="str">
        <v>V-1</v>
      </c>
    </row>
    <row r="34" spans="2:6">
      <c r="B34" t="s">
        <v>1025</v>
      </c>
      <c r="C34">
        <f t="shared" si="0"/>
        <v>-7</v>
      </c>
      <c r="D34">
        <f t="shared" si="1"/>
        <v>1</v>
      </c>
      <c r="F34" t="str">
        <v>L-7 1</v>
      </c>
    </row>
    <row r="35" spans="2:6">
      <c r="B35" t="s">
        <v>1025</v>
      </c>
      <c r="C35">
        <f t="shared" si="0"/>
        <v>-7</v>
      </c>
      <c r="D35">
        <f t="shared" si="1"/>
        <v>-1</v>
      </c>
      <c r="F35" t="str">
        <v>V-1Z</v>
      </c>
    </row>
    <row r="37" spans="2:6">
      <c r="B37" t="s">
        <v>1025</v>
      </c>
      <c r="C37">
        <f xml:space="preserve"> MKD.Little</f>
        <v>5.25</v>
      </c>
      <c r="D37">
        <f xml:space="preserve"> MKD.Big</f>
        <v>7</v>
      </c>
      <c r="F37" t="str" cm="1">
        <f t="array" ref="F37:F42" xml:space="preserve"> svgpath($C37:$C42, $D37:$D42,  MKD.DecimalPlaces)</f>
        <v>M5.25 7</v>
      </c>
    </row>
    <row r="38" spans="2:6">
      <c r="B38" t="s">
        <v>1025</v>
      </c>
      <c r="C38">
        <f xml:space="preserve"> MKD.Big</f>
        <v>7</v>
      </c>
      <c r="D38">
        <f xml:space="preserve"> MKD.Big</f>
        <v>7</v>
      </c>
      <c r="F38" t="str">
        <v>H7</v>
      </c>
    </row>
    <row r="39" spans="2:6">
      <c r="B39" t="s">
        <v>1025</v>
      </c>
      <c r="C39">
        <f xml:space="preserve"> MKD.Big</f>
        <v>7</v>
      </c>
      <c r="D39">
        <f xml:space="preserve"> MKD.Little</f>
        <v>5.25</v>
      </c>
      <c r="F39" t="str">
        <v>V5.25</v>
      </c>
    </row>
    <row r="40" spans="2:6">
      <c r="B40" t="s">
        <v>1025</v>
      </c>
      <c r="C40">
        <f xml:space="preserve"> - MKD.Big</f>
        <v>-7</v>
      </c>
      <c r="D40">
        <f xml:space="preserve"> - MKD.Little</f>
        <v>-5.25</v>
      </c>
      <c r="F40" t="str">
        <v>L-7 -5.25</v>
      </c>
    </row>
    <row r="41" spans="2:6">
      <c r="B41" t="s">
        <v>1025</v>
      </c>
      <c r="C41">
        <f xml:space="preserve"> - MKD.Big</f>
        <v>-7</v>
      </c>
      <c r="D41">
        <f xml:space="preserve"> - MKD.Big</f>
        <v>-7</v>
      </c>
      <c r="F41" t="str">
        <v>V-7</v>
      </c>
    </row>
    <row r="42" spans="2:6">
      <c r="B42" t="s">
        <v>1025</v>
      </c>
      <c r="C42">
        <f xml:space="preserve"> - MKD.Little</f>
        <v>-5.25</v>
      </c>
      <c r="D42">
        <f xml:space="preserve"> - MKD.Big</f>
        <v>-7</v>
      </c>
      <c r="F42" t="str">
        <v>h1.75Z</v>
      </c>
    </row>
    <row r="44" spans="2:6">
      <c r="B44" t="s">
        <v>1025</v>
      </c>
      <c r="C44">
        <f xml:space="preserve"> - C37</f>
        <v>-5.25</v>
      </c>
      <c r="D44">
        <f xml:space="preserve"> D37</f>
        <v>7</v>
      </c>
      <c r="F44" t="str" cm="1">
        <f t="array" ref="F44:F49" xml:space="preserve"> svgpath($C44:$C49, $D44:$D49,  MKD.DecimalPlaces)</f>
        <v>M-5.25 7</v>
      </c>
    </row>
    <row r="45" spans="2:6">
      <c r="B45" t="s">
        <v>1025</v>
      </c>
      <c r="C45">
        <f t="shared" ref="C45:C49" si="2" xml:space="preserve"> - C38</f>
        <v>-7</v>
      </c>
      <c r="D45">
        <f t="shared" ref="D45:D49" si="3" xml:space="preserve"> D38</f>
        <v>7</v>
      </c>
      <c r="F45" t="str">
        <v>H-7</v>
      </c>
    </row>
    <row r="46" spans="2:6">
      <c r="B46" t="s">
        <v>1025</v>
      </c>
      <c r="C46">
        <f t="shared" si="2"/>
        <v>-7</v>
      </c>
      <c r="D46">
        <f t="shared" si="3"/>
        <v>5.25</v>
      </c>
      <c r="F46" t="str">
        <v>V5.25</v>
      </c>
    </row>
    <row r="47" spans="2:6">
      <c r="B47" t="s">
        <v>1025</v>
      </c>
      <c r="C47">
        <f t="shared" si="2"/>
        <v>7</v>
      </c>
      <c r="D47">
        <f t="shared" si="3"/>
        <v>-5.25</v>
      </c>
      <c r="F47" t="str">
        <v>L7 -5.25</v>
      </c>
    </row>
    <row r="48" spans="2:6">
      <c r="B48" t="s">
        <v>1025</v>
      </c>
      <c r="C48">
        <f t="shared" si="2"/>
        <v>7</v>
      </c>
      <c r="D48">
        <f t="shared" si="3"/>
        <v>-7</v>
      </c>
      <c r="F48" t="str">
        <v>V-7</v>
      </c>
    </row>
    <row r="49" spans="2:6">
      <c r="B49" t="s">
        <v>1025</v>
      </c>
      <c r="C49">
        <f t="shared" si="2"/>
        <v>5.25</v>
      </c>
      <c r="D49">
        <f t="shared" si="3"/>
        <v>-7</v>
      </c>
      <c r="F49" t="str">
        <v>H5.25Z</v>
      </c>
    </row>
    <row r="52" spans="2:6">
      <c r="E52" s="4" t="s">
        <v>399</v>
      </c>
      <c r="F52">
        <f xml:space="preserve"> ROUND( MIN(MKD.RawX), MKD.DecimalPlaces)</f>
        <v>-7</v>
      </c>
    </row>
    <row r="53" spans="2:6">
      <c r="E53" s="4" t="s">
        <v>400</v>
      </c>
      <c r="F53">
        <f xml:space="preserve"> ROUND(MAX(MKD.RawX), MKD.DecimalPlaces)</f>
        <v>7</v>
      </c>
    </row>
    <row r="54" spans="2:6">
      <c r="E54" s="4" t="s">
        <v>401</v>
      </c>
      <c r="F54">
        <f xml:space="preserve"> ROUND( MIN(MKD.RawY), MKD.DecimalPlaces)</f>
        <v>-7</v>
      </c>
    </row>
    <row r="55" spans="2:6">
      <c r="E55" s="4" t="s">
        <v>402</v>
      </c>
      <c r="F55">
        <f xml:space="preserve"> ROUND(MAX(MKD.RawY), MKD.DecimalPlaces)</f>
        <v>7</v>
      </c>
    </row>
    <row r="57" spans="2:6">
      <c r="E57" s="4" t="s">
        <v>1022</v>
      </c>
      <c r="F57" s="5" t="s">
        <v>765</v>
      </c>
    </row>
    <row r="58" spans="2:6">
      <c r="E58" s="4" t="s">
        <v>1023</v>
      </c>
      <c r="F58" s="5" t="s">
        <v>766</v>
      </c>
    </row>
    <row r="60" spans="2:6">
      <c r="E60" s="4" t="s">
        <v>395</v>
      </c>
      <c r="F60">
        <f xml:space="preserve"> MODE(Squares.AreaMultiplier)</f>
        <v>0.85</v>
      </c>
    </row>
    <row r="61" spans="2:6">
      <c r="E61" s="4" t="s">
        <v>396</v>
      </c>
      <c r="F61">
        <f xml:space="preserve">  MAX(MKD.MaxY, - MKD.MinY)   /   MAX(MKD.MaxX, - MKD.MinX)</f>
        <v>1</v>
      </c>
    </row>
    <row r="62" spans="2:6">
      <c r="E62" s="4" t="s">
        <v>397</v>
      </c>
      <c r="F62">
        <f xml:space="preserve"> VALUE(TEXT(SQRT( MKD.AreaMultiplier * BasicBBoxArea *  MKD.Aspect), SVG.NumberFormatHeight))</f>
        <v>13.8</v>
      </c>
    </row>
    <row r="63" spans="2:6">
      <c r="E63" s="4" t="s">
        <v>398</v>
      </c>
      <c r="F63">
        <f xml:space="preserve">  MKD.Height /  MKD.Aspect</f>
        <v>13.8</v>
      </c>
    </row>
    <row r="65" spans="4:6">
      <c r="F65">
        <f xml:space="preserve"> MKD.MaxX*2/7</f>
        <v>2</v>
      </c>
    </row>
    <row r="66" spans="4:6">
      <c r="F66">
        <f xml:space="preserve"> F65 * AVERAGE(1, 1.25)</f>
        <v>2.25</v>
      </c>
    </row>
    <row r="67" spans="4:6">
      <c r="E67" s="4" t="s">
        <v>1024</v>
      </c>
      <c r="F67">
        <f xml:space="preserve"> ROUND(AVERAGE(F$65:F$66), MKD.DecimalPlaces - 4)</f>
        <v>2</v>
      </c>
    </row>
    <row r="69" spans="4:6" ht="17" thickBot="1">
      <c r="F69" s="3" t="s">
        <v>403</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2074</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2338</v>
      </c>
      <c r="D2" s="3" t="s">
        <v>2339</v>
      </c>
      <c r="F2" t="s">
        <v>2340</v>
      </c>
    </row>
    <row r="3" spans="2:6">
      <c r="C3">
        <f>AZN.SizeOuter / 2</f>
        <v>27</v>
      </c>
      <c r="D3" s="64">
        <v>54</v>
      </c>
      <c r="F3" s="34" cm="1">
        <f t="array" ref="F3" xml:space="preserve"> DecimalPlaces - INT(LOG(MIN(  AZN.MaxX - AZN.MinX,  AZN.MaxY - AZN.MinY  )/2, 10) + 0.2)</f>
        <v>4</v>
      </c>
    </row>
    <row r="5" spans="2:6" ht="17" thickBot="1">
      <c r="B5" s="3" t="s">
        <v>2355</v>
      </c>
      <c r="C5" s="3" t="s">
        <v>2341</v>
      </c>
      <c r="D5" s="3" t="s">
        <v>2342</v>
      </c>
      <c r="F5" s="3" t="s">
        <v>2343</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2344</v>
      </c>
      <c r="F23" s="64">
        <v>60</v>
      </c>
    </row>
    <row r="24" spans="2:6">
      <c r="E24" s="4" t="s">
        <v>2345</v>
      </c>
      <c r="F24">
        <f xml:space="preserve"> AZN.MaxX</f>
        <v>60</v>
      </c>
    </row>
    <row r="25" spans="2:6">
      <c r="E25" s="4" t="s">
        <v>2346</v>
      </c>
      <c r="F25">
        <f xml:space="preserve"> - AZN.MaxX</f>
        <v>-60</v>
      </c>
    </row>
    <row r="26" spans="2:6">
      <c r="E26" s="4" t="s">
        <v>2347</v>
      </c>
      <c r="F26">
        <f xml:space="preserve"> - AZN.MaxY</f>
        <v>-60</v>
      </c>
    </row>
    <row r="28" spans="2:6">
      <c r="E28" s="4" t="s">
        <v>2400</v>
      </c>
      <c r="F28" s="5" t="s">
        <v>2401</v>
      </c>
    </row>
    <row r="29" spans="2:6">
      <c r="E29" s="4" t="s">
        <v>2348</v>
      </c>
      <c r="F29" s="5" t="s">
        <v>716</v>
      </c>
    </row>
    <row r="30" spans="2:6">
      <c r="E30" s="4" t="s">
        <v>2349</v>
      </c>
      <c r="F30" s="5" t="s">
        <v>2086</v>
      </c>
    </row>
    <row r="32" spans="2:6">
      <c r="E32" s="4" t="s">
        <v>2350</v>
      </c>
      <c r="F32">
        <f xml:space="preserve"> MODE(Circles.AreaMultiplier)</f>
        <v>1</v>
      </c>
    </row>
    <row r="33" spans="4:6">
      <c r="E33" s="4" t="s">
        <v>2351</v>
      </c>
      <c r="F33" cm="1">
        <f t="array" ref="F33" xml:space="preserve">  MAX(AZN.MaxY, - AZN.MinY)   /   MAX(AZN.MaxX, - AZN.MinX)</f>
        <v>1</v>
      </c>
    </row>
    <row r="34" spans="4:6">
      <c r="E34" s="4" t="s">
        <v>2352</v>
      </c>
      <c r="F34" cm="1">
        <f t="array" ref="F34" xml:space="preserve"> VALUE(TEXT(SQRT( AZN.AreaMultiplier * BasicBBoxArea *  AZN.Aspect), SVG.NumberFormatHeight))</f>
        <v>15</v>
      </c>
    </row>
    <row r="35" spans="4:6">
      <c r="E35" s="4" t="s">
        <v>2353</v>
      </c>
      <c r="F35" cm="1">
        <f t="array" ref="F35" xml:space="preserve">  AZN.Height /  AZN.Aspect</f>
        <v>15</v>
      </c>
    </row>
    <row r="38" spans="4:6" ht="17" thickBot="1">
      <c r="F38" s="3" t="s">
        <v>2354</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2317</v>
      </c>
      <c r="C2" s="3" t="s">
        <v>2333</v>
      </c>
      <c r="E2" t="s">
        <v>2318</v>
      </c>
    </row>
    <row r="3" spans="2:5">
      <c r="B3">
        <v>1</v>
      </c>
      <c r="C3">
        <f xml:space="preserve"> AMD.SizeInner * SQRT(2)</f>
        <v>1.4142135623730951</v>
      </c>
      <c r="E3" s="34">
        <f xml:space="preserve"> DecimalPlaces - INT(LOG(MIN(  AMD.MaxX - AMD.MinX,  AMD.MaxY - AMD.MinY  )/2, 10) + 0.2)</f>
        <v>5</v>
      </c>
    </row>
    <row r="5" spans="2:5" ht="17" thickBot="1">
      <c r="B5" s="3" t="s">
        <v>2319</v>
      </c>
      <c r="C5" s="3" t="s">
        <v>2320</v>
      </c>
      <c r="E5" s="3" t="s">
        <v>2321</v>
      </c>
    </row>
    <row r="6" spans="2:5">
      <c r="E6" t="s">
        <v>2180</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2181</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558</v>
      </c>
    </row>
    <row r="28" spans="2:6">
      <c r="D28" s="4" t="s">
        <v>2322</v>
      </c>
      <c r="E28">
        <f xml:space="preserve"> _xlfn.MAXIFS(AMD.RawX,   AMD.RawX,"&gt;0")</f>
        <v>1.4142135623730951</v>
      </c>
    </row>
    <row r="29" spans="2:6">
      <c r="D29" s="4" t="s">
        <v>2323</v>
      </c>
      <c r="E29">
        <f xml:space="preserve"> _xlfn.MAXIFS(AMD.RawY,   AMD.RawY,"&gt;0")</f>
        <v>1.4142135623730951</v>
      </c>
    </row>
    <row r="30" spans="2:6">
      <c r="D30" s="4" t="s">
        <v>2324</v>
      </c>
      <c r="E30">
        <f xml:space="preserve">  _xlfn.MINIFS(AMD.RawX,   AMD.RawX,"&lt;0")</f>
        <v>-1.4142135623730951</v>
      </c>
    </row>
    <row r="31" spans="2:6">
      <c r="D31" s="4" t="s">
        <v>2325</v>
      </c>
      <c r="E31">
        <f xml:space="preserve">  _xlfn.MINIFS(AMD.RawY,   AMD.RawY,"&lt;0")</f>
        <v>-1.4142135623730951</v>
      </c>
    </row>
    <row r="33" spans="2:6">
      <c r="D33" s="4" t="s">
        <v>2326</v>
      </c>
      <c r="E33" s="5" t="s">
        <v>2335</v>
      </c>
    </row>
    <row r="34" spans="2:6">
      <c r="D34" s="4" t="s">
        <v>2327</v>
      </c>
      <c r="E34" s="5" t="s">
        <v>780</v>
      </c>
    </row>
    <row r="35" spans="2:6">
      <c r="D35" s="4" t="s">
        <v>2334</v>
      </c>
      <c r="E35" s="5" t="s">
        <v>2336</v>
      </c>
    </row>
    <row r="37" spans="2:6">
      <c r="B37">
        <f xml:space="preserve"> 19999899241 / 50097997976</f>
        <v>0.39921553852473651</v>
      </c>
      <c r="D37" s="4" t="s">
        <v>2328</v>
      </c>
      <c r="E37">
        <f xml:space="preserve"> CHOOSE(1,   19999899241 / 50097997976,   (8 + SQRT(2)*3) * 3 / 92)   *   MODE(Circles.AreaMultiplier) * PI()</f>
        <v>1.2541726030282052</v>
      </c>
      <c r="F37" s="5" t="s">
        <v>2337</v>
      </c>
    </row>
    <row r="38" spans="2:6">
      <c r="B38">
        <f xml:space="preserve"> (8 + SQRT(2)*3) * 3 / 92</f>
        <v>0.39921654414519414</v>
      </c>
      <c r="D38" s="4" t="s">
        <v>2329</v>
      </c>
      <c r="E38" cm="1">
        <f t="array" ref="E38" xml:space="preserve">  MAX(AMD.MaxY, - AMD.MinY)   /   MAX(AMD.MaxX, - AMD.MinX)</f>
        <v>1</v>
      </c>
    </row>
    <row r="39" spans="2:6">
      <c r="B39">
        <f xml:space="preserve"> LN(B37/B38)</f>
        <v>-2.5189881004052337E-6</v>
      </c>
      <c r="D39" s="4" t="s">
        <v>2330</v>
      </c>
      <c r="E39" cm="1">
        <f t="array" ref="E39" xml:space="preserve"> VALUE(TEXT(SQRT( AMD.AreaMultiplier * BasicBBoxArea *  AMD.Aspect), SVG.NumberFormatHeight))</f>
        <v>16.8</v>
      </c>
    </row>
    <row r="40" spans="2:6">
      <c r="D40" s="4" t="s">
        <v>2331</v>
      </c>
      <c r="E40" cm="1">
        <f t="array" ref="E40" xml:space="preserve">  AMD.Height /  AMD.Aspect</f>
        <v>16.8</v>
      </c>
    </row>
    <row r="43" spans="2:6" ht="17" thickBot="1">
      <c r="E43" s="3" t="s">
        <v>2332</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2357</v>
      </c>
      <c r="D2" s="3" t="s">
        <v>2358</v>
      </c>
      <c r="F2" t="s">
        <v>2359</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2374</v>
      </c>
      <c r="C5" s="3" t="s">
        <v>2360</v>
      </c>
      <c r="D5" s="3" t="s">
        <v>2361</v>
      </c>
      <c r="F5" s="3" t="s">
        <v>2362</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2363</v>
      </c>
      <c r="F24">
        <f xml:space="preserve"> TMT.SizeOuter</f>
        <v>3.4142135623730949</v>
      </c>
    </row>
    <row r="25" spans="2:6">
      <c r="E25" s="4" t="s">
        <v>2364</v>
      </c>
      <c r="F25">
        <f xml:space="preserve"> TMT.SizeOuter</f>
        <v>3.4142135623730949</v>
      </c>
    </row>
    <row r="26" spans="2:6">
      <c r="E26" s="4" t="s">
        <v>2365</v>
      </c>
      <c r="F26">
        <f xml:space="preserve"> - TMT.MaxX</f>
        <v>-3.4142135623730949</v>
      </c>
    </row>
    <row r="27" spans="2:6">
      <c r="E27" s="4" t="s">
        <v>2366</v>
      </c>
      <c r="F27">
        <f xml:space="preserve"> - TMT.MaxY</f>
        <v>-3.4142135623730949</v>
      </c>
    </row>
    <row r="29" spans="2:6">
      <c r="E29" s="4" t="s">
        <v>2367</v>
      </c>
      <c r="F29" s="5" t="s">
        <v>1777</v>
      </c>
    </row>
    <row r="30" spans="2:6">
      <c r="E30" s="4" t="s">
        <v>2368</v>
      </c>
      <c r="F30" s="5" t="s">
        <v>2375</v>
      </c>
    </row>
    <row r="32" spans="2:6">
      <c r="E32" s="4" t="s">
        <v>2369</v>
      </c>
      <c r="F32">
        <f xml:space="preserve"> PI() / (16 * (1 - SqrtHalf) / 2)</f>
        <v>1.3407585306672443</v>
      </c>
    </row>
    <row r="33" spans="4:6">
      <c r="E33" s="4" t="s">
        <v>2370</v>
      </c>
      <c r="F33" cm="1">
        <f t="array" ref="F33" xml:space="preserve">  MAX(TMT.MaxY, - TMT.MinY)   /   MAX(TMT.MaxX, - TMT.MinX)</f>
        <v>1</v>
      </c>
    </row>
    <row r="34" spans="4:6">
      <c r="E34" s="4" t="s">
        <v>2371</v>
      </c>
      <c r="F34" cm="1">
        <f t="array" ref="F34" xml:space="preserve"> VALUE(TEXT(SQRT( TMT.AreaMultiplier * BasicBBoxArea *  TMT.Aspect), SVG.NumberFormatHeight))</f>
        <v>17.399999999999999</v>
      </c>
    </row>
    <row r="35" spans="4:6">
      <c r="E35" s="4" t="s">
        <v>2372</v>
      </c>
      <c r="F35" cm="1">
        <f t="array" ref="F35" xml:space="preserve">  TMT.Height /  TMT.Aspect</f>
        <v>17.399999999999999</v>
      </c>
    </row>
    <row r="38" spans="4:6" ht="17" thickBot="1">
      <c r="F38" s="3" t="s">
        <v>2373</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2438</v>
      </c>
      <c r="F2">
        <v>750</v>
      </c>
      <c r="H2" cm="1">
        <f t="array" ref="H2" xml:space="preserve"> GCD(IF(NPR.RawX &lt;= 0, NPR.MaxX, NPR.RawX))</f>
        <v>15</v>
      </c>
    </row>
    <row r="3" spans="2:8">
      <c r="E3" s="4" t="s">
        <v>2439</v>
      </c>
      <c r="F3">
        <f xml:space="preserve"> NPR.HalfWidth * 8 / 15</f>
        <v>400</v>
      </c>
      <c r="H3" cm="1">
        <f t="array" ref="H3" xml:space="preserve"> GCD(IF(NPR.RawY &lt;= 0, NPR.MaxY, NPR.RawY))</f>
        <v>8</v>
      </c>
    </row>
    <row r="4" spans="2:8">
      <c r="E4" s="4" t="s">
        <v>2440</v>
      </c>
      <c r="F4">
        <v>60</v>
      </c>
    </row>
    <row r="6" spans="2:8">
      <c r="E6" s="4" t="s">
        <v>2422</v>
      </c>
      <c r="F6">
        <f xml:space="preserve"> DecimalPlaces - INT(LOG(MIN(NPR.HalfWidth, NPR.HalfHeight), 10) + 0.2)</f>
        <v>3</v>
      </c>
    </row>
    <row r="8" spans="2:8" ht="17" thickBot="1">
      <c r="B8" s="3" t="s">
        <v>2436</v>
      </c>
      <c r="C8" s="3" t="s">
        <v>2423</v>
      </c>
      <c r="D8" s="3" t="s">
        <v>2424</v>
      </c>
      <c r="F8" s="3" t="s">
        <v>2425</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2428</v>
      </c>
      <c r="F22" cm="1">
        <f t="array" ref="F22" xml:space="preserve"> ROUND( MIN(NPR.RawX), NPR.DecimalPlaces)</f>
        <v>-750</v>
      </c>
    </row>
    <row r="23" spans="2:6">
      <c r="E23" s="4" t="s">
        <v>2426</v>
      </c>
      <c r="F23" cm="1">
        <f t="array" ref="F23" xml:space="preserve"> ROUND(MAX(NPR.RawX), NPR.DecimalPlaces)</f>
        <v>750</v>
      </c>
    </row>
    <row r="24" spans="2:6">
      <c r="E24" s="4" t="s">
        <v>2429</v>
      </c>
      <c r="F24" cm="1">
        <f t="array" ref="F24" xml:space="preserve"> ROUND( MIN(NPR.RawY), NPR.DecimalPlaces)</f>
        <v>-400</v>
      </c>
    </row>
    <row r="25" spans="2:6">
      <c r="E25" s="4" t="s">
        <v>2427</v>
      </c>
      <c r="F25" cm="1">
        <f t="array" ref="F25" xml:space="preserve"> ROUND(MAX(NPR.RawY), NPR.DecimalPlaces)</f>
        <v>400</v>
      </c>
    </row>
    <row r="27" spans="2:6">
      <c r="E27" s="4" t="s">
        <v>2437</v>
      </c>
      <c r="F27" s="5" t="s">
        <v>2420</v>
      </c>
    </row>
    <row r="28" spans="2:6">
      <c r="E28" s="4" t="s">
        <v>2430</v>
      </c>
      <c r="F28" s="5" t="s">
        <v>2086</v>
      </c>
    </row>
    <row r="30" spans="2:6">
      <c r="E30" s="4" t="s">
        <v>2431</v>
      </c>
      <c r="F30">
        <f xml:space="preserve"> INDEX(Simple.AreaMultiplier, MATCH("LU", Simple.ID, 0))</f>
        <v>1.3812499999999999</v>
      </c>
    </row>
    <row r="31" spans="2:6">
      <c r="E31" s="4" t="s">
        <v>2432</v>
      </c>
      <c r="F31" cm="1">
        <f t="array" ref="F31" xml:space="preserve">  MAX(NPR.MaxY, - NPR.MinY)   /   MAX(NPR.MaxX, - NPR.MinX)</f>
        <v>0.53333333333333333</v>
      </c>
    </row>
    <row r="32" spans="2:6">
      <c r="E32" s="4" t="s">
        <v>2433</v>
      </c>
      <c r="F32" cm="1">
        <f t="array" ref="F32" xml:space="preserve"> VALUE(TEXT(SQRT( NPR.AreaMultiplier * BasicBBoxArea *  NPR.Aspect), SVG.NumberFormatHeight))</f>
        <v>12.9</v>
      </c>
    </row>
    <row r="33" spans="4:6">
      <c r="E33" s="4" t="s">
        <v>2434</v>
      </c>
      <c r="F33" cm="1">
        <f t="array" ref="F33" xml:space="preserve">  NPR.Height /  NPR.Aspect</f>
        <v>24.1875</v>
      </c>
    </row>
    <row r="36" spans="4:6" ht="17" thickBot="1">
      <c r="F36" s="3" t="s">
        <v>2435</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913</v>
      </c>
      <c r="F2" s="3" t="s">
        <v>911</v>
      </c>
      <c r="G2" s="3" t="s">
        <v>912</v>
      </c>
      <c r="H2" s="3" t="s">
        <v>914</v>
      </c>
      <c r="I2" s="3" t="s">
        <v>915</v>
      </c>
      <c r="K2" s="3" t="s">
        <v>917</v>
      </c>
      <c r="L2" s="3" t="s">
        <v>918</v>
      </c>
      <c r="N2" s="35" t="s">
        <v>1511</v>
      </c>
      <c r="O2" s="35" t="s">
        <v>916</v>
      </c>
    </row>
    <row r="3" spans="2:15">
      <c r="B3" s="4" t="s">
        <v>903</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905</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902</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2261</v>
      </c>
    </row>
    <row r="7" spans="2:15">
      <c r="B7" s="4" t="s">
        <v>904</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906</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2262</v>
      </c>
    </row>
    <row r="11" spans="2:15">
      <c r="B11" s="4" t="s">
        <v>907</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908</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2263</v>
      </c>
    </row>
    <row r="13" spans="2:15">
      <c r="B13" s="4"/>
    </row>
    <row r="14" spans="2:15">
      <c r="B14" s="4" t="s">
        <v>909</v>
      </c>
      <c r="C14">
        <f xml:space="preserve"> VALUE(TEXT(SQRT(GEL.AreaMultiplier* BasicBBoxArea * GEL.Aspect), SVG.NumberFormatHeight))</f>
        <v>18.8</v>
      </c>
      <c r="O14" s="5" t="s">
        <v>15</v>
      </c>
    </row>
    <row r="15" spans="2:15">
      <c r="B15" s="4" t="s">
        <v>910</v>
      </c>
      <c r="C15" cm="1">
        <f t="array" ref="C15" xml:space="preserve"> GEL.Height / GEL.Aspect</f>
        <v>18.8</v>
      </c>
      <c r="O15"/>
    </row>
    <row r="16" spans="2:15">
      <c r="O16"/>
    </row>
    <row r="17" spans="2:15">
      <c r="B17" s="4" t="s">
        <v>1512</v>
      </c>
      <c r="C17" t="s">
        <v>737</v>
      </c>
      <c r="O17"/>
    </row>
    <row r="18" spans="2:15">
      <c r="B18" s="4" t="s">
        <v>1513</v>
      </c>
      <c r="C18" t="s">
        <v>2086</v>
      </c>
      <c r="O18"/>
    </row>
    <row r="19" spans="2:15">
      <c r="O19"/>
    </row>
    <row r="20" spans="2:15">
      <c r="C20">
        <f xml:space="preserve"> 2 * GEL.MaxX / (GEL.MaxX - 20)</f>
        <v>88.981078620567899</v>
      </c>
      <c r="D20" s="5" t="s">
        <v>920</v>
      </c>
      <c r="O20"/>
    </row>
    <row r="21" spans="2:15">
      <c r="B21" s="4" t="s">
        <v>919</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2057</v>
      </c>
      <c r="C2" s="3" t="s">
        <v>2059</v>
      </c>
      <c r="D2" s="3" t="s">
        <v>2060</v>
      </c>
      <c r="I2" s="3" t="s">
        <v>2046</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1514</v>
      </c>
      <c r="C5" s="3" t="s">
        <v>2047</v>
      </c>
      <c r="D5" s="3" t="s">
        <v>2056</v>
      </c>
      <c r="E5" s="3" t="s">
        <v>2048</v>
      </c>
      <c r="F5" s="3" t="s">
        <v>2049</v>
      </c>
      <c r="G5" s="3" t="s">
        <v>2064</v>
      </c>
      <c r="H5" s="3" t="s">
        <v>2065</v>
      </c>
      <c r="I5" s="3" t="s">
        <v>2066</v>
      </c>
      <c r="K5" s="3" t="s">
        <v>2050</v>
      </c>
    </row>
    <row r="7" spans="2:11">
      <c r="B7" t="s">
        <v>2058</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2058</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2058</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2083</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2083</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2083</v>
      </c>
      <c r="C20">
        <v>54</v>
      </c>
      <c r="D20" s="28"/>
      <c r="E20" s="28"/>
      <c r="F20" s="28"/>
      <c r="G20" s="28"/>
      <c r="H20" s="28">
        <f xml:space="preserve"> H19</f>
        <v>0.30976000000000004</v>
      </c>
      <c r="I20" s="28">
        <f xml:space="preserve"> I21</f>
        <v>0.30902000000000002</v>
      </c>
    </row>
    <row r="21" spans="2:9">
      <c r="B21" t="s">
        <v>2083</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2083</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2083</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2083</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2083</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2083</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2083</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2083</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2083</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2083</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2083</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2083</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1019</v>
      </c>
      <c r="K35" s="28" t="s">
        <v>2082</v>
      </c>
    </row>
    <row r="36" spans="2:11">
      <c r="B36" t="s">
        <v>1019</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1019</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1019</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1019</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1019</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1019</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1019</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1019</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1019</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1019</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2128</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2128</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2128</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2128</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2128</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875</v>
      </c>
      <c r="K70" s="28">
        <f xml:space="preserve"> ROUND(MAX(RUB.X), RUB.DecimalPlaces)</f>
        <v>0.95106000000000002</v>
      </c>
    </row>
    <row r="71" spans="10:13">
      <c r="J71" s="4" t="s">
        <v>877</v>
      </c>
      <c r="K71" s="28">
        <f xml:space="preserve"> ROUND(MAX(RUB.Y), RUB.DecimalPlaces)</f>
        <v>1</v>
      </c>
    </row>
    <row r="72" spans="10:13">
      <c r="J72" s="4" t="s">
        <v>874</v>
      </c>
      <c r="K72" s="28">
        <f xml:space="preserve"> ROUND( MIN(RUB.X), RUB.DecimalPlaces)</f>
        <v>-0.95106000000000002</v>
      </c>
    </row>
    <row r="73" spans="10:13">
      <c r="J73" s="4" t="s">
        <v>876</v>
      </c>
      <c r="K73" s="28">
        <f xml:space="preserve"> ROUND( MIN(RUB.Y), RUB.DecimalPlaces)</f>
        <v>-0.80901999999999996</v>
      </c>
    </row>
    <row r="75" spans="10:13">
      <c r="J75" s="4" t="s">
        <v>2061</v>
      </c>
      <c r="K75" s="5" t="s">
        <v>2063</v>
      </c>
      <c r="M75" t="str">
        <f xml:space="preserve"> DEC2HEX(INT(HEX2DEC("D4")/2),2)  &amp;  DEC2HEX(INT(HEX2DEC("AF")/2),2)  &amp;  DEC2HEX(INT(HEX2DEC("37")/2),2)</f>
        <v>6A571B</v>
      </c>
    </row>
    <row r="76" spans="10:13">
      <c r="J76" s="4" t="s">
        <v>2062</v>
      </c>
      <c r="K76" s="5" t="s">
        <v>2075</v>
      </c>
    </row>
    <row r="78" spans="10:13">
      <c r="J78" s="4" t="s">
        <v>2051</v>
      </c>
      <c r="K78" s="26">
        <v>1.55</v>
      </c>
    </row>
    <row r="79" spans="10:13">
      <c r="J79" s="4" t="s">
        <v>2052</v>
      </c>
      <c r="K79" cm="1">
        <f t="array" ref="K79" xml:space="preserve">  MAX(RUB.MaxY, - RUB.MinY)   /   MAX(RUB.MaxX, - RUB.MinX)</f>
        <v>1.0514583727630222</v>
      </c>
    </row>
    <row r="80" spans="10:13">
      <c r="J80" s="4" t="s">
        <v>2053</v>
      </c>
      <c r="K80" cm="1">
        <f t="array" ref="K80" xml:space="preserve"> VALUE(TEXT(SQRT( RUB.AreaMultiplier * BasicBBoxArea *  RUB.Aspect), SVG.NumberFormatHeight))</f>
        <v>19.100000000000001</v>
      </c>
    </row>
    <row r="81" spans="8:11">
      <c r="J81" s="4" t="s">
        <v>2054</v>
      </c>
      <c r="K81" cm="1">
        <f t="array" ref="K81" xml:space="preserve">  RUB.Height /  RUB.Aspect</f>
        <v>18.165246000000003</v>
      </c>
    </row>
    <row r="83" spans="8:11" ht="17" thickBot="1">
      <c r="K83" s="3" t="s">
        <v>2055</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433</v>
      </c>
      <c r="D2" s="2" t="s">
        <v>434</v>
      </c>
      <c r="F2" s="3" t="s">
        <v>435</v>
      </c>
    </row>
    <row r="3" spans="2:16">
      <c r="C3" t="b">
        <v>0</v>
      </c>
      <c r="D3" t="b">
        <v>1</v>
      </c>
      <c r="F3">
        <f xml:space="preserve"> DecimalPlaces - INT(LOG(MIN(  MAX(AED.RawX) - MIN(AED.RawX),  MAX(AED.RawY) - MIN(AED.RawY)  )/2, 10) + 0.2)</f>
        <v>3</v>
      </c>
    </row>
    <row r="5" spans="2:16" ht="17" thickBot="1">
      <c r="B5" s="3" t="s">
        <v>436</v>
      </c>
      <c r="C5" s="3" t="s">
        <v>437</v>
      </c>
      <c r="D5" s="3" t="s">
        <v>438</v>
      </c>
      <c r="F5" s="3" t="s">
        <v>1755</v>
      </c>
      <c r="K5" s="3" t="s">
        <v>439</v>
      </c>
      <c r="L5" s="3" t="s">
        <v>440</v>
      </c>
      <c r="M5" s="3" t="s">
        <v>441</v>
      </c>
      <c r="N5" s="3" t="s">
        <v>442</v>
      </c>
      <c r="O5" s="3" t="s">
        <v>443</v>
      </c>
      <c r="P5" s="3" t="s">
        <v>444</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445</v>
      </c>
      <c r="I19">
        <v>16</v>
      </c>
    </row>
    <row r="20" spans="2:16">
      <c r="H20" s="4" t="s">
        <v>446</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453</v>
      </c>
      <c r="F36">
        <f xml:space="preserve"> ROUND( MIN(AED.RawX), AED.DecimalPlaces)</f>
        <v>-126.44</v>
      </c>
    </row>
    <row r="37" spans="2:16">
      <c r="E37" s="4" t="s">
        <v>454</v>
      </c>
      <c r="F37">
        <f xml:space="preserve"> ROUND(MAX(AED.RawX), AED.DecimalPlaces)</f>
        <v>126.44</v>
      </c>
    </row>
    <row r="38" spans="2:16">
      <c r="E38" s="4" t="s">
        <v>455</v>
      </c>
      <c r="F38">
        <f xml:space="preserve"> ROUND( MIN(AED.RawY), AED.DecimalPlaces)</f>
        <v>-84.516999999999996</v>
      </c>
    </row>
    <row r="39" spans="2:16">
      <c r="E39" s="4" t="s">
        <v>456</v>
      </c>
      <c r="F39">
        <f xml:space="preserve"> ROUND(MAX(AED.RawY), AED.DecimalPlaces)</f>
        <v>146</v>
      </c>
    </row>
    <row r="41" spans="2:16">
      <c r="E41" s="4" t="s">
        <v>447</v>
      </c>
      <c r="F41" s="26">
        <f xml:space="preserve"> ZAR.AreaMultiplier</f>
        <v>2</v>
      </c>
    </row>
    <row r="42" spans="2:16">
      <c r="E42" s="4" t="s">
        <v>448</v>
      </c>
      <c r="F42">
        <f xml:space="preserve">  MAX(AED.MaxY, - AED.MinY)   /   MAX(AED.MaxX, - AED.MinX)</f>
        <v>1.1546978804175894</v>
      </c>
    </row>
    <row r="43" spans="2:16">
      <c r="E43" s="4" t="s">
        <v>449</v>
      </c>
      <c r="F43">
        <f xml:space="preserve"> VALUE(TEXT(SQRT(AED.AreaMultiplier* BasicBBoxArea * AED.Aspect), SVG.NumberFormatHeight))</f>
        <v>22.8</v>
      </c>
    </row>
    <row r="44" spans="2:16">
      <c r="E44" s="4" t="s">
        <v>450</v>
      </c>
      <c r="F44" cm="1">
        <f t="array" ref="F44" xml:space="preserve"> AED.Height / AED.Aspect</f>
        <v>19.745424657534247</v>
      </c>
    </row>
    <row r="46" spans="2:16">
      <c r="E46" s="4" t="s">
        <v>451</v>
      </c>
      <c r="F46" t="s">
        <v>768</v>
      </c>
    </row>
    <row r="47" spans="2:16">
      <c r="E47" s="4" t="s">
        <v>452</v>
      </c>
      <c r="F47" t="s">
        <v>769</v>
      </c>
    </row>
    <row r="49" spans="3:6" ht="17" thickBot="1">
      <c r="F49" s="3" t="s">
        <v>457</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1975</v>
      </c>
      <c r="C2" s="3" t="s">
        <v>1976</v>
      </c>
      <c r="E2" t="s">
        <v>1960</v>
      </c>
    </row>
    <row r="3" spans="2:5">
      <c r="B3" s="34">
        <v>5</v>
      </c>
      <c r="C3">
        <v>1</v>
      </c>
      <c r="E3" s="34">
        <f xml:space="preserve"> DecimalPlaces - INT(LOG(MIN(  MAX( OMR.RawX) - MIN( OMR.RawX),  MAX( OMR.RawY) - MIN( OMR.RawY)  )/2, 10) + 0.2)</f>
        <v>5</v>
      </c>
    </row>
    <row r="5" spans="2:5" ht="17" thickBot="1">
      <c r="B5" s="3" t="s">
        <v>1961</v>
      </c>
      <c r="C5" s="3" t="s">
        <v>1962</v>
      </c>
      <c r="E5" s="3" t="s">
        <v>1963</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1965</v>
      </c>
      <c r="E20">
        <f xml:space="preserve"> 1 + OMR.SizeInner</f>
        <v>6</v>
      </c>
    </row>
    <row r="21" spans="2:5">
      <c r="D21" s="4" t="s">
        <v>1967</v>
      </c>
      <c r="E21">
        <f xml:space="preserve"> OMR.MaxX</f>
        <v>6</v>
      </c>
    </row>
    <row r="22" spans="2:5">
      <c r="D22" s="4" t="s">
        <v>1964</v>
      </c>
      <c r="E22">
        <f xml:space="preserve"> - OMR.MaxX</f>
        <v>-6</v>
      </c>
    </row>
    <row r="23" spans="2:5">
      <c r="D23" s="4" t="s">
        <v>1966</v>
      </c>
      <c r="E23">
        <f xml:space="preserve"> - OMR.MaxY</f>
        <v>-6</v>
      </c>
    </row>
    <row r="25" spans="2:5">
      <c r="D25" s="4" t="s">
        <v>1968</v>
      </c>
      <c r="E25" s="5" t="s">
        <v>727</v>
      </c>
    </row>
    <row r="26" spans="2:5">
      <c r="D26" s="4" t="s">
        <v>1969</v>
      </c>
      <c r="E26" s="5" t="s">
        <v>1959</v>
      </c>
    </row>
    <row r="28" spans="2:5">
      <c r="D28" s="4" t="s">
        <v>1970</v>
      </c>
      <c r="E28">
        <f xml:space="preserve"> MODE(Squares.AreaMultiplier)</f>
        <v>0.85</v>
      </c>
    </row>
    <row r="29" spans="2:5">
      <c r="D29" s="4" t="s">
        <v>1971</v>
      </c>
      <c r="E29" cm="1">
        <f t="array" ref="E29" xml:space="preserve">  MAX(OMR.MaxY, - OMR.MinY)   /   MAX(OMR.MaxX, - OMR.MinX)</f>
        <v>1</v>
      </c>
    </row>
    <row r="30" spans="2:5">
      <c r="D30" s="4" t="s">
        <v>1972</v>
      </c>
      <c r="E30" cm="1">
        <f t="array" ref="E30" xml:space="preserve"> VALUE(TEXT(SQRT( OMR.AreaMultiplier * BasicBBoxArea *  OMR.Aspect), SVG.NumberFormatHeight))</f>
        <v>13.8</v>
      </c>
    </row>
    <row r="31" spans="2:5">
      <c r="D31" s="4" t="s">
        <v>1973</v>
      </c>
      <c r="E31" cm="1">
        <f t="array" ref="E31" xml:space="preserve">  OMR.Height /  OMR.Aspect</f>
        <v>13.8</v>
      </c>
    </row>
    <row r="34" spans="3:5" ht="17" thickBot="1">
      <c r="E34" s="3" t="s">
        <v>1974</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459</v>
      </c>
    </row>
    <row r="3" spans="2:6">
      <c r="F3">
        <f xml:space="preserve"> DecimalPlaces - INT(LOG(MIN(  MAX(QAR.RawX) - MIN(QAR.RawX),  MAX(QAR.RawY) - MIN(QAR.RawY)  )/2, 10) + 0.2)</f>
        <v>3</v>
      </c>
    </row>
    <row r="5" spans="2:6" ht="17" thickBot="1">
      <c r="C5" s="3" t="s">
        <v>476</v>
      </c>
    </row>
    <row r="6" spans="2:6">
      <c r="C6" cm="1">
        <f t="array" ref="C6" xml:space="preserve"> SQRT(1417) * 45 / 88 / GoldenRatio</f>
        <v>11.896716885504146</v>
      </c>
    </row>
    <row r="8" spans="2:6" ht="17" thickBot="1">
      <c r="B8" s="3" t="s">
        <v>460</v>
      </c>
      <c r="C8" s="3" t="s">
        <v>461</v>
      </c>
      <c r="D8" s="3" t="s">
        <v>462</v>
      </c>
      <c r="F8" s="3" t="s">
        <v>1745</v>
      </c>
    </row>
    <row r="9" spans="2:6">
      <c r="B9" s="34" t="s">
        <v>475</v>
      </c>
      <c r="C9" s="1">
        <v>121</v>
      </c>
      <c r="D9" s="1">
        <f xml:space="preserve"> _xlfn.SINGLE(QAR.RawX)</f>
        <v>121</v>
      </c>
    </row>
    <row r="10" spans="2:6">
      <c r="B10" t="s">
        <v>475</v>
      </c>
      <c r="C10" s="1">
        <f xml:space="preserve"> - C9</f>
        <v>-121</v>
      </c>
      <c r="D10" s="1">
        <f xml:space="preserve"> D9</f>
        <v>121</v>
      </c>
    </row>
    <row r="11" spans="2:6">
      <c r="B11" t="s">
        <v>475</v>
      </c>
      <c r="C11" s="1">
        <f xml:space="preserve"> C10</f>
        <v>-121</v>
      </c>
      <c r="D11" s="1">
        <f xml:space="preserve"> - D10</f>
        <v>-121</v>
      </c>
    </row>
    <row r="12" spans="2:6">
      <c r="B12" t="s">
        <v>475</v>
      </c>
      <c r="C12" s="1">
        <f xml:space="preserve"> - C11</f>
        <v>121</v>
      </c>
      <c r="D12" s="1">
        <f xml:space="preserve"> D11</f>
        <v>-121</v>
      </c>
    </row>
    <row r="13" spans="2:6">
      <c r="B13" t="s">
        <v>475</v>
      </c>
      <c r="C13" s="1">
        <f xml:space="preserve"> C12</f>
        <v>121</v>
      </c>
      <c r="D13" s="1">
        <f xml:space="preserve"> - D12</f>
        <v>121</v>
      </c>
    </row>
    <row r="14" spans="2:6">
      <c r="C14" s="1"/>
      <c r="D14" s="1"/>
    </row>
    <row r="15" spans="2:6">
      <c r="B15" t="s">
        <v>1744</v>
      </c>
      <c r="C15" s="54">
        <v>-99</v>
      </c>
      <c r="D15" s="1">
        <v>-99</v>
      </c>
      <c r="F15" t="str">
        <f t="array" ref="F15:F26" xml:space="preserve"> svgpath($C15:$C26, $D15:$D26, QAR.DecimalPlaces)</f>
        <v>M-99 -99</v>
      </c>
    </row>
    <row r="16" spans="2:6">
      <c r="B16" t="s">
        <v>1744</v>
      </c>
      <c r="C16">
        <v>-72</v>
      </c>
      <c r="D16" s="1">
        <f xml:space="preserve"> D15</f>
        <v>-99</v>
      </c>
      <c r="F16" t="str">
        <v>h27</v>
      </c>
    </row>
    <row r="17" spans="2:6">
      <c r="B17" t="s">
        <v>1744</v>
      </c>
      <c r="C17">
        <f xml:space="preserve"> -72 - C16</f>
        <v>0</v>
      </c>
      <c r="D17">
        <f xml:space="preserve"> 22 + D16</f>
        <v>-77</v>
      </c>
      <c r="F17" t="str">
        <v>L0 -77</v>
      </c>
    </row>
    <row r="18" spans="2:6">
      <c r="B18" t="s">
        <v>1744</v>
      </c>
      <c r="C18">
        <f t="shared" ref="C18:C25" si="0" xml:space="preserve"> -72 - C17</f>
        <v>-72</v>
      </c>
      <c r="D18">
        <f t="shared" ref="D18:D25" si="1" xml:space="preserve"> 22 + D17</f>
        <v>-55</v>
      </c>
      <c r="F18" t="str">
        <v>l-72 22</v>
      </c>
    </row>
    <row r="19" spans="2:6">
      <c r="B19" t="s">
        <v>1744</v>
      </c>
      <c r="C19">
        <f t="shared" si="0"/>
        <v>0</v>
      </c>
      <c r="D19">
        <f t="shared" si="1"/>
        <v>-33</v>
      </c>
      <c r="F19" t="str">
        <v>L0 -33</v>
      </c>
    </row>
    <row r="20" spans="2:6">
      <c r="B20" t="s">
        <v>1744</v>
      </c>
      <c r="C20">
        <f t="shared" si="0"/>
        <v>-72</v>
      </c>
      <c r="D20">
        <f t="shared" si="1"/>
        <v>-11</v>
      </c>
      <c r="F20" t="str">
        <v>l-72 22</v>
      </c>
    </row>
    <row r="21" spans="2:6">
      <c r="B21" t="s">
        <v>1744</v>
      </c>
      <c r="C21">
        <f t="shared" si="0"/>
        <v>0</v>
      </c>
      <c r="D21">
        <f t="shared" si="1"/>
        <v>11</v>
      </c>
      <c r="F21" t="str">
        <v>L0 11</v>
      </c>
    </row>
    <row r="22" spans="2:6">
      <c r="B22" t="s">
        <v>1744</v>
      </c>
      <c r="C22">
        <f t="shared" si="0"/>
        <v>-72</v>
      </c>
      <c r="D22">
        <f t="shared" si="1"/>
        <v>33</v>
      </c>
      <c r="F22" t="str">
        <v>L-72 33</v>
      </c>
    </row>
    <row r="23" spans="2:6">
      <c r="B23" t="s">
        <v>1744</v>
      </c>
      <c r="C23">
        <f t="shared" si="0"/>
        <v>0</v>
      </c>
      <c r="D23">
        <f t="shared" si="1"/>
        <v>55</v>
      </c>
      <c r="F23" t="str">
        <v>L0 55</v>
      </c>
    </row>
    <row r="24" spans="2:6">
      <c r="B24" t="s">
        <v>1744</v>
      </c>
      <c r="C24">
        <f t="shared" si="0"/>
        <v>-72</v>
      </c>
      <c r="D24">
        <f t="shared" si="1"/>
        <v>77</v>
      </c>
      <c r="F24" t="str">
        <v>L-72 77</v>
      </c>
    </row>
    <row r="25" spans="2:6">
      <c r="B25" t="s">
        <v>1744</v>
      </c>
      <c r="C25">
        <f t="shared" si="0"/>
        <v>0</v>
      </c>
      <c r="D25">
        <f t="shared" si="1"/>
        <v>99</v>
      </c>
      <c r="F25" t="str">
        <v>L0 99</v>
      </c>
    </row>
    <row r="26" spans="2:6">
      <c r="B26" t="s">
        <v>1744</v>
      </c>
      <c r="C26">
        <f xml:space="preserve"> C15</f>
        <v>-99</v>
      </c>
      <c r="D26">
        <f xml:space="preserve"> D25</f>
        <v>99</v>
      </c>
      <c r="F26" t="str">
        <v>H-99Z</v>
      </c>
    </row>
    <row r="28" spans="2:6">
      <c r="B28" t="s">
        <v>1744</v>
      </c>
      <c r="C28" s="54">
        <f xml:space="preserve"> - C15</f>
        <v>99</v>
      </c>
      <c r="D28">
        <f xml:space="preserve"> D15</f>
        <v>-99</v>
      </c>
      <c r="F28" t="str">
        <f t="array" ref="F28:F39" xml:space="preserve"> svgpath($C28:$C39, $D28:$D39, QAR.DecimalPlaces)</f>
        <v>M99 -99</v>
      </c>
    </row>
    <row r="29" spans="2:6">
      <c r="B29" t="s">
        <v>1744</v>
      </c>
      <c r="C29" s="1">
        <f xml:space="preserve"> 72 + C16</f>
        <v>0</v>
      </c>
      <c r="D29">
        <f t="shared" ref="D29:D39" si="2" xml:space="preserve"> D16</f>
        <v>-99</v>
      </c>
      <c r="F29" t="str">
        <v>H0</v>
      </c>
    </row>
    <row r="30" spans="2:6">
      <c r="B30" t="s">
        <v>1744</v>
      </c>
      <c r="C30" s="1">
        <f t="shared" ref="C30:C38" si="3" xml:space="preserve"> 72 + C17</f>
        <v>72</v>
      </c>
      <c r="D30">
        <f t="shared" si="2"/>
        <v>-77</v>
      </c>
      <c r="F30" t="str">
        <v>l72 22</v>
      </c>
    </row>
    <row r="31" spans="2:6">
      <c r="B31" t="s">
        <v>1744</v>
      </c>
      <c r="C31" s="1">
        <f t="shared" si="3"/>
        <v>0</v>
      </c>
      <c r="D31">
        <f t="shared" si="2"/>
        <v>-55</v>
      </c>
      <c r="F31" t="str">
        <v>L0 -55</v>
      </c>
    </row>
    <row r="32" spans="2:6">
      <c r="B32" t="s">
        <v>1744</v>
      </c>
      <c r="C32" s="1">
        <f t="shared" si="3"/>
        <v>72</v>
      </c>
      <c r="D32">
        <f t="shared" si="2"/>
        <v>-33</v>
      </c>
      <c r="F32" t="str">
        <v>l72 22</v>
      </c>
    </row>
    <row r="33" spans="2:6">
      <c r="B33" t="s">
        <v>1744</v>
      </c>
      <c r="C33" s="1">
        <f t="shared" si="3"/>
        <v>0</v>
      </c>
      <c r="D33">
        <f t="shared" si="2"/>
        <v>-11</v>
      </c>
      <c r="F33" t="str">
        <v>L0 -11</v>
      </c>
    </row>
    <row r="34" spans="2:6">
      <c r="B34" t="s">
        <v>1744</v>
      </c>
      <c r="C34" s="1">
        <f t="shared" si="3"/>
        <v>72</v>
      </c>
      <c r="D34">
        <f t="shared" si="2"/>
        <v>11</v>
      </c>
      <c r="F34" t="str">
        <v>L72 11</v>
      </c>
    </row>
    <row r="35" spans="2:6">
      <c r="B35" t="s">
        <v>1744</v>
      </c>
      <c r="C35" s="1">
        <f t="shared" si="3"/>
        <v>0</v>
      </c>
      <c r="D35">
        <f t="shared" si="2"/>
        <v>33</v>
      </c>
      <c r="F35" t="str">
        <v>L0 33</v>
      </c>
    </row>
    <row r="36" spans="2:6">
      <c r="B36" t="s">
        <v>1744</v>
      </c>
      <c r="C36" s="1">
        <f t="shared" si="3"/>
        <v>72</v>
      </c>
      <c r="D36">
        <f t="shared" si="2"/>
        <v>55</v>
      </c>
      <c r="F36" t="str">
        <v>L72 55</v>
      </c>
    </row>
    <row r="37" spans="2:6">
      <c r="B37" t="s">
        <v>1744</v>
      </c>
      <c r="C37" s="1">
        <f t="shared" si="3"/>
        <v>0</v>
      </c>
      <c r="D37">
        <f t="shared" si="2"/>
        <v>77</v>
      </c>
      <c r="F37" t="str">
        <v>L0 77</v>
      </c>
    </row>
    <row r="38" spans="2:6">
      <c r="B38" t="s">
        <v>1744</v>
      </c>
      <c r="C38" s="1">
        <f t="shared" si="3"/>
        <v>72</v>
      </c>
      <c r="D38">
        <f t="shared" si="2"/>
        <v>99</v>
      </c>
      <c r="F38" t="str">
        <v>L72 99</v>
      </c>
    </row>
    <row r="39" spans="2:6">
      <c r="B39" t="s">
        <v>1744</v>
      </c>
      <c r="C39" s="54">
        <f xml:space="preserve"> - C26</f>
        <v>99</v>
      </c>
      <c r="D39">
        <f t="shared" si="2"/>
        <v>99</v>
      </c>
      <c r="F39" t="str">
        <v>H99Z</v>
      </c>
    </row>
    <row r="42" spans="2:6">
      <c r="E42" s="4" t="s">
        <v>467</v>
      </c>
      <c r="F42">
        <f xml:space="preserve"> ROUND( MIN(QAR.RawX), QAR.DecimalPlaces)</f>
        <v>-121</v>
      </c>
    </row>
    <row r="43" spans="2:6">
      <c r="E43" s="4" t="s">
        <v>468</v>
      </c>
      <c r="F43">
        <f xml:space="preserve"> ROUND(MAX(QAR.RawX), QAR.DecimalPlaces)</f>
        <v>121</v>
      </c>
    </row>
    <row r="44" spans="2:6">
      <c r="E44" s="4" t="s">
        <v>469</v>
      </c>
      <c r="F44">
        <f xml:space="preserve"> ROUND( MIN(QAR.RawY), QAR.DecimalPlaces)</f>
        <v>-121</v>
      </c>
    </row>
    <row r="45" spans="2:6">
      <c r="E45" s="4" t="s">
        <v>470</v>
      </c>
      <c r="F45">
        <f xml:space="preserve"> ROUND(MAX(QAR.RawY), QAR.DecimalPlaces)</f>
        <v>121</v>
      </c>
    </row>
    <row r="47" spans="2:6">
      <c r="E47" s="4" t="s">
        <v>463</v>
      </c>
      <c r="F47" s="26">
        <v>0.8</v>
      </c>
    </row>
    <row r="48" spans="2:6">
      <c r="E48" s="4" t="s">
        <v>464</v>
      </c>
      <c r="F48">
        <f xml:space="preserve">  MAX(QAR.MaxY, - QAR.MinY)   /   MAX(QAR.MaxX, - QAR.MinX)</f>
        <v>1</v>
      </c>
    </row>
    <row r="49" spans="5:6">
      <c r="E49" s="4" t="s">
        <v>465</v>
      </c>
      <c r="F49">
        <f xml:space="preserve"> VALUE(TEXT(SQRT(QAR.AreaMultiplier * BasicBBoxArea * QAR.Aspect), SVG.NumberFormatHeight))</f>
        <v>13.4</v>
      </c>
    </row>
    <row r="50" spans="5:6">
      <c r="E50" s="4" t="s">
        <v>466</v>
      </c>
      <c r="F50" cm="1">
        <f t="array" ref="F50" xml:space="preserve"> QAR.Height / QAR.Aspect</f>
        <v>13.4</v>
      </c>
    </row>
    <row r="51" spans="5:6">
      <c r="E51" s="4"/>
      <c r="F51" s="5"/>
    </row>
    <row r="52" spans="5:6">
      <c r="E52" s="4" t="s">
        <v>473</v>
      </c>
      <c r="F52" s="5" t="s">
        <v>770</v>
      </c>
    </row>
    <row r="53" spans="5:6">
      <c r="E53" s="4" t="s">
        <v>474</v>
      </c>
      <c r="F53" s="5" t="s">
        <v>2086</v>
      </c>
    </row>
    <row r="55" spans="5:6" ht="17" thickBot="1">
      <c r="F55" s="3" t="s">
        <v>471</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2382</v>
      </c>
    </row>
    <row r="3" spans="2:6">
      <c r="F3">
        <f xml:space="preserve"> DecimalPlaces - INT(LOG(MIN(  MAX(BHD.RawX) - MIN(BHD.RawX),  MAX(BHD.RawY) - MIN(BHD.RawY)  )/2, 10) + 0.2)</f>
        <v>4</v>
      </c>
    </row>
    <row r="5" spans="2:6" ht="17" thickBot="1">
      <c r="C5" s="3" t="s">
        <v>2383</v>
      </c>
    </row>
    <row r="6" spans="2:6">
      <c r="C6" cm="1">
        <f t="array" ref="C6" xml:space="preserve"> SQRT(1417) * 45 / 88 / GoldenRatio</f>
        <v>11.896716885504146</v>
      </c>
    </row>
    <row r="8" spans="2:6" ht="17" thickBot="1">
      <c r="B8" s="3" t="s">
        <v>2384</v>
      </c>
      <c r="C8" s="3" t="s">
        <v>2385</v>
      </c>
      <c r="D8" s="3" t="s">
        <v>2386</v>
      </c>
      <c r="F8" s="3" t="s">
        <v>2387</v>
      </c>
    </row>
    <row r="9" spans="2:6">
      <c r="B9" s="34" t="s">
        <v>475</v>
      </c>
      <c r="C9" s="1">
        <v>61</v>
      </c>
      <c r="D9" s="1">
        <v>48</v>
      </c>
    </row>
    <row r="10" spans="2:6">
      <c r="B10" t="s">
        <v>475</v>
      </c>
      <c r="C10" s="1">
        <f xml:space="preserve"> - C9</f>
        <v>-61</v>
      </c>
      <c r="D10" s="1">
        <f xml:space="preserve"> D9</f>
        <v>48</v>
      </c>
    </row>
    <row r="11" spans="2:6">
      <c r="B11" t="s">
        <v>475</v>
      </c>
      <c r="C11" s="1">
        <f xml:space="preserve"> C10</f>
        <v>-61</v>
      </c>
      <c r="D11" s="1">
        <f xml:space="preserve"> - D10</f>
        <v>-48</v>
      </c>
    </row>
    <row r="12" spans="2:6">
      <c r="B12" t="s">
        <v>475</v>
      </c>
      <c r="C12" s="1">
        <f xml:space="preserve"> - C11</f>
        <v>61</v>
      </c>
      <c r="D12" s="1">
        <f xml:space="preserve"> D11</f>
        <v>-48</v>
      </c>
    </row>
    <row r="13" spans="2:6">
      <c r="B13" t="s">
        <v>475</v>
      </c>
      <c r="C13" s="1">
        <f xml:space="preserve"> C12</f>
        <v>61</v>
      </c>
      <c r="D13" s="1">
        <f xml:space="preserve"> - D12</f>
        <v>48</v>
      </c>
    </row>
    <row r="14" spans="2:6">
      <c r="C14" s="1"/>
      <c r="D14" s="1"/>
    </row>
    <row r="15" spans="2:6">
      <c r="B15" t="s">
        <v>1744</v>
      </c>
      <c r="C15" s="54">
        <v>-48</v>
      </c>
      <c r="D15" s="1">
        <v>35</v>
      </c>
      <c r="F15" t="str" cm="1">
        <f t="array" ref="F15:F22" xml:space="preserve"> svgpath($C15:$C22, $D15:$D22, BHD.DecimalPlaces)</f>
        <v>M-48 35</v>
      </c>
    </row>
    <row r="16" spans="2:6">
      <c r="B16" t="s">
        <v>1744</v>
      </c>
      <c r="C16">
        <v>-35</v>
      </c>
      <c r="D16" s="1">
        <f xml:space="preserve"> D15</f>
        <v>35</v>
      </c>
      <c r="F16" t="str">
        <v>h13</v>
      </c>
    </row>
    <row r="17" spans="2:6">
      <c r="B17" t="s">
        <v>1744</v>
      </c>
      <c r="C17">
        <v>0</v>
      </c>
      <c r="D17">
        <f xml:space="preserve"> D16 - 14</f>
        <v>21</v>
      </c>
      <c r="F17" t="str">
        <v>L0 21</v>
      </c>
    </row>
    <row r="18" spans="2:6">
      <c r="B18" t="s">
        <v>1744</v>
      </c>
      <c r="C18">
        <f xml:space="preserve"> C16</f>
        <v>-35</v>
      </c>
      <c r="D18">
        <f t="shared" ref="D18:D21" si="0" xml:space="preserve"> D17 - 14</f>
        <v>7</v>
      </c>
      <c r="F18" t="str">
        <v>L-35 7</v>
      </c>
    </row>
    <row r="19" spans="2:6">
      <c r="B19" t="s">
        <v>1744</v>
      </c>
      <c r="C19">
        <f t="shared" ref="C19:C21" si="1" xml:space="preserve"> C17</f>
        <v>0</v>
      </c>
      <c r="D19">
        <f t="shared" si="0"/>
        <v>-7</v>
      </c>
      <c r="F19" t="str">
        <v>L0 -7</v>
      </c>
    </row>
    <row r="20" spans="2:6">
      <c r="B20" t="s">
        <v>1744</v>
      </c>
      <c r="C20">
        <f t="shared" si="1"/>
        <v>-35</v>
      </c>
      <c r="D20">
        <f t="shared" si="0"/>
        <v>-21</v>
      </c>
      <c r="F20" t="str">
        <v>L-35 -21</v>
      </c>
    </row>
    <row r="21" spans="2:6">
      <c r="B21" t="s">
        <v>1744</v>
      </c>
      <c r="C21">
        <f t="shared" si="1"/>
        <v>0</v>
      </c>
      <c r="D21">
        <f t="shared" si="0"/>
        <v>-35</v>
      </c>
      <c r="F21" t="str">
        <v>L0 -35</v>
      </c>
    </row>
    <row r="22" spans="2:6">
      <c r="B22" t="s">
        <v>1744</v>
      </c>
      <c r="C22" s="54">
        <f xml:space="preserve"> C15</f>
        <v>-48</v>
      </c>
      <c r="D22">
        <f xml:space="preserve"> D21</f>
        <v>-35</v>
      </c>
      <c r="F22" t="str">
        <v>H-48Z</v>
      </c>
    </row>
    <row r="24" spans="2:6">
      <c r="B24" t="s">
        <v>1744</v>
      </c>
      <c r="C24" s="1">
        <f t="shared" ref="C24:D31" si="2" xml:space="preserve"> - C15</f>
        <v>48</v>
      </c>
      <c r="D24" s="1">
        <f t="shared" si="2"/>
        <v>-35</v>
      </c>
      <c r="F24" t="str" cm="1">
        <f t="array" ref="F24:F31" xml:space="preserve"> svgpath($C24:$C31, $D24:$D31, BHD.DecimalPlaces)</f>
        <v>M48 -35</v>
      </c>
    </row>
    <row r="25" spans="2:6">
      <c r="B25" t="s">
        <v>1744</v>
      </c>
      <c r="C25" s="1">
        <f t="shared" si="2"/>
        <v>35</v>
      </c>
      <c r="D25" s="1">
        <f t="shared" si="2"/>
        <v>-35</v>
      </c>
      <c r="F25" t="str">
        <v>H35</v>
      </c>
    </row>
    <row r="26" spans="2:6">
      <c r="B26" t="s">
        <v>1744</v>
      </c>
      <c r="C26" s="1">
        <f t="shared" si="2"/>
        <v>0</v>
      </c>
      <c r="D26" s="1">
        <f t="shared" si="2"/>
        <v>-21</v>
      </c>
      <c r="F26" t="str">
        <v>L0 -21</v>
      </c>
    </row>
    <row r="27" spans="2:6">
      <c r="B27" t="s">
        <v>1744</v>
      </c>
      <c r="C27" s="1">
        <f t="shared" si="2"/>
        <v>35</v>
      </c>
      <c r="D27" s="1">
        <f t="shared" si="2"/>
        <v>-7</v>
      </c>
      <c r="F27" t="str">
        <v>L35 -7</v>
      </c>
    </row>
    <row r="28" spans="2:6">
      <c r="B28" t="s">
        <v>1744</v>
      </c>
      <c r="C28" s="1">
        <f t="shared" si="2"/>
        <v>0</v>
      </c>
      <c r="D28" s="1">
        <f t="shared" si="2"/>
        <v>7</v>
      </c>
      <c r="F28" t="str">
        <v>L0 7</v>
      </c>
    </row>
    <row r="29" spans="2:6">
      <c r="B29" t="s">
        <v>1744</v>
      </c>
      <c r="C29" s="1">
        <f t="shared" si="2"/>
        <v>35</v>
      </c>
      <c r="D29" s="1">
        <f t="shared" si="2"/>
        <v>21</v>
      </c>
      <c r="F29" t="str">
        <v>L35 21</v>
      </c>
    </row>
    <row r="30" spans="2:6">
      <c r="B30" t="s">
        <v>1744</v>
      </c>
      <c r="C30" s="1">
        <f t="shared" si="2"/>
        <v>0</v>
      </c>
      <c r="D30" s="1">
        <f t="shared" si="2"/>
        <v>35</v>
      </c>
      <c r="F30" t="str">
        <v>L0 35</v>
      </c>
    </row>
    <row r="31" spans="2:6">
      <c r="B31" t="s">
        <v>1744</v>
      </c>
      <c r="C31" s="1">
        <f t="shared" si="2"/>
        <v>48</v>
      </c>
      <c r="D31" s="1">
        <f t="shared" si="2"/>
        <v>35</v>
      </c>
      <c r="F31" t="str">
        <v>H48Z</v>
      </c>
    </row>
    <row r="34" spans="4:6">
      <c r="E34" s="4" t="s">
        <v>2388</v>
      </c>
      <c r="F34" cm="1">
        <f t="array" ref="F34" xml:space="preserve"> ROUND( MIN(BHD.RawX), BHD.DecimalPlaces)</f>
        <v>-61</v>
      </c>
    </row>
    <row r="35" spans="4:6">
      <c r="E35" s="4" t="s">
        <v>2389</v>
      </c>
      <c r="F35" cm="1">
        <f t="array" ref="F35" xml:space="preserve"> ROUND(MAX(BHD.RawX), BHD.DecimalPlaces)</f>
        <v>61</v>
      </c>
    </row>
    <row r="36" spans="4:6">
      <c r="E36" s="4" t="s">
        <v>2390</v>
      </c>
      <c r="F36" cm="1">
        <f t="array" ref="F36" xml:space="preserve"> ROUND( MIN(BHD.RawY), BHD.DecimalPlaces)</f>
        <v>-48</v>
      </c>
    </row>
    <row r="37" spans="4:6">
      <c r="E37" s="4" t="s">
        <v>2391</v>
      </c>
      <c r="F37" cm="1">
        <f t="array" ref="F37" xml:space="preserve"> ROUND(MAX(BHD.RawY), BHD.DecimalPlaces)</f>
        <v>48</v>
      </c>
    </row>
    <row r="39" spans="4:6">
      <c r="E39" s="4" t="s">
        <v>2392</v>
      </c>
      <c r="F39" s="26">
        <v>0.8</v>
      </c>
    </row>
    <row r="40" spans="4:6">
      <c r="E40" s="4" t="s">
        <v>2393</v>
      </c>
      <c r="F40" cm="1">
        <f t="array" ref="F40" xml:space="preserve">  MAX(BHD.MaxY, - BHD.MinY)   /   MAX(BHD.MaxX, - BHD.MinX)</f>
        <v>0.78688524590163933</v>
      </c>
    </row>
    <row r="41" spans="4:6">
      <c r="E41" s="4" t="s">
        <v>2394</v>
      </c>
      <c r="F41" cm="1">
        <f t="array" ref="F41" xml:space="preserve"> VALUE(TEXT(SQRT(BHD.AreaMultiplier * BasicBBoxArea * BHD.Aspect), SVG.NumberFormatHeight))</f>
        <v>11.9</v>
      </c>
    </row>
    <row r="42" spans="4:6">
      <c r="E42" s="4" t="s">
        <v>2395</v>
      </c>
      <c r="F42" cm="1">
        <f t="array" ref="F42" xml:space="preserve"> BHD.Height / BHD.Aspect</f>
        <v>15.122916666666667</v>
      </c>
    </row>
    <row r="43" spans="4:6">
      <c r="E43" s="4"/>
      <c r="F43" s="5"/>
    </row>
    <row r="44" spans="4:6">
      <c r="E44" s="4" t="s">
        <v>2396</v>
      </c>
      <c r="F44" s="5" t="s">
        <v>2399</v>
      </c>
    </row>
    <row r="45" spans="4:6">
      <c r="E45" s="4" t="s">
        <v>2397</v>
      </c>
      <c r="F45" s="5" t="s">
        <v>2086</v>
      </c>
    </row>
    <row r="47" spans="4:6" ht="17" thickBot="1">
      <c r="F47" s="3" t="s">
        <v>2398</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1660</v>
      </c>
      <c r="D2" s="3" t="s">
        <v>1650</v>
      </c>
      <c r="F2" s="3" t="s">
        <v>1639</v>
      </c>
      <c r="H2" s="3" t="s">
        <v>1667</v>
      </c>
    </row>
    <row r="3" spans="2:18">
      <c r="B3">
        <v>3</v>
      </c>
      <c r="D3">
        <v>6</v>
      </c>
      <c r="F3">
        <f xml:space="preserve"> DecimalPlaces - INT(LOG(3 * KWD.Multiplier, 10) + 0.2)</f>
        <v>4</v>
      </c>
      <c r="H3">
        <f xml:space="preserve"> KWD.Multiplier * (Sqrt13 + 2) / 9</f>
        <v>1.8685170918213301</v>
      </c>
    </row>
    <row r="5" spans="2:18" ht="17" thickBot="1">
      <c r="B5" s="3" t="s">
        <v>1640</v>
      </c>
      <c r="C5" s="3" t="s">
        <v>1641</v>
      </c>
      <c r="D5" s="3" t="s">
        <v>1642</v>
      </c>
      <c r="F5" s="3" t="s">
        <v>1743</v>
      </c>
      <c r="H5" s="3" t="s">
        <v>1649</v>
      </c>
      <c r="M5" s="3" t="s">
        <v>1643</v>
      </c>
      <c r="N5" s="3" t="s">
        <v>1644</v>
      </c>
      <c r="O5" s="3" t="s">
        <v>1645</v>
      </c>
      <c r="P5" s="3" t="s">
        <v>1646</v>
      </c>
      <c r="Q5" s="3" t="s">
        <v>1647</v>
      </c>
      <c r="R5" s="3" t="s">
        <v>1648</v>
      </c>
    </row>
    <row r="6" spans="2:18">
      <c r="B6" t="s">
        <v>1566</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1568</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1573</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1567</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1651</v>
      </c>
      <c r="F34">
        <f xml:space="preserve"> ROUND( MIN(KWD.RawX), KWD.DecimalPlaces)</f>
        <v>-9</v>
      </c>
    </row>
    <row r="35" spans="5:6">
      <c r="E35" s="4" t="s">
        <v>1652</v>
      </c>
      <c r="F35">
        <f xml:space="preserve"> ROUND(MAX(KWD.RawX), KWD.DecimalPlaces)</f>
        <v>9</v>
      </c>
    </row>
    <row r="36" spans="5:6">
      <c r="E36" s="4" t="s">
        <v>1653</v>
      </c>
      <c r="F36">
        <f xml:space="preserve"> ROUND( MIN(KWD.RawY), KWD.DecimalPlaces)</f>
        <v>-9</v>
      </c>
    </row>
    <row r="37" spans="5:6">
      <c r="E37" s="4" t="s">
        <v>1654</v>
      </c>
      <c r="F37">
        <f xml:space="preserve"> ROUND(MAX(KWD.RawY), KWD.DecimalPlaces)</f>
        <v>9</v>
      </c>
    </row>
    <row r="39" spans="5:6">
      <c r="E39" s="4" t="s">
        <v>1655</v>
      </c>
      <c r="F39" s="26">
        <f xml:space="preserve"> FR.AreaMultiplier</f>
        <v>1.0625</v>
      </c>
    </row>
    <row r="40" spans="5:6">
      <c r="E40" s="4" t="s">
        <v>1656</v>
      </c>
      <c r="F40" cm="1">
        <f t="array" ref="F40" xml:space="preserve">  MAX(KWD.MaxY, - KWD.MinY)   /   MAX(KWD.MaxX, - KWD.MinX)</f>
        <v>1</v>
      </c>
    </row>
    <row r="41" spans="5:6">
      <c r="E41" s="4" t="s">
        <v>1657</v>
      </c>
      <c r="F41" cm="1">
        <f t="array" ref="F41" xml:space="preserve"> VALUE(TEXT(SQRT(KWD.AreaMultiplier* BasicBBoxArea * KWD.Aspect), SVG.NumberFormatHeight))</f>
        <v>15.5</v>
      </c>
    </row>
    <row r="42" spans="5:6">
      <c r="E42" s="4" t="s">
        <v>1658</v>
      </c>
      <c r="F42" cm="1">
        <f t="array" ref="F42" xml:space="preserve"> KWD.Height / KWD.Aspect</f>
        <v>15.5</v>
      </c>
    </row>
    <row r="44" spans="5:6">
      <c r="E44" s="4" t="s">
        <v>1661</v>
      </c>
      <c r="F44" t="s">
        <v>725</v>
      </c>
    </row>
    <row r="45" spans="5:6">
      <c r="E45" s="4" t="s">
        <v>1662</v>
      </c>
      <c r="F45" t="s">
        <v>753</v>
      </c>
    </row>
    <row r="46" spans="5:6">
      <c r="E46" s="4" t="s">
        <v>1663</v>
      </c>
      <c r="F46" t="s">
        <v>2086</v>
      </c>
    </row>
    <row r="47" spans="5:6">
      <c r="E47" s="4" t="s">
        <v>1664</v>
      </c>
      <c r="F47" t="s">
        <v>1666</v>
      </c>
    </row>
    <row r="49" spans="4:6" ht="17" thickBot="1">
      <c r="F49" s="3" t="s">
        <v>1659</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2028</v>
      </c>
      <c r="C2" s="3" t="s">
        <v>2029</v>
      </c>
    </row>
    <row r="3" spans="2:6">
      <c r="B3">
        <v>6</v>
      </c>
      <c r="C3">
        <v>16</v>
      </c>
    </row>
    <row r="5" spans="2:6" ht="17" thickBot="1">
      <c r="B5" s="3" t="s">
        <v>2026</v>
      </c>
      <c r="C5" s="3" t="s">
        <v>2027</v>
      </c>
      <c r="E5" s="3" t="s">
        <v>2005</v>
      </c>
      <c r="F5" s="35" t="s">
        <v>2006</v>
      </c>
    </row>
    <row r="6" spans="2:6">
      <c r="E6" t="s">
        <v>23</v>
      </c>
      <c r="F6" s="5" t="s">
        <v>2030</v>
      </c>
    </row>
    <row r="7" spans="2:6">
      <c r="E7" t="s">
        <v>23</v>
      </c>
      <c r="F7" s="5" t="s">
        <v>2018</v>
      </c>
    </row>
    <row r="8" spans="2:6">
      <c r="E8" t="s">
        <v>23</v>
      </c>
      <c r="F8" s="5" t="s">
        <v>2019</v>
      </c>
    </row>
    <row r="9" spans="2:6">
      <c r="F9" s="5"/>
    </row>
    <row r="10" spans="2:6">
      <c r="F10" s="5"/>
    </row>
    <row r="11" spans="2:6">
      <c r="E11" t="s">
        <v>23</v>
      </c>
      <c r="F11" s="5" t="s">
        <v>2020</v>
      </c>
    </row>
    <row r="12" spans="2:6">
      <c r="E12" t="s">
        <v>23</v>
      </c>
      <c r="F12" s="5" t="s">
        <v>2021</v>
      </c>
    </row>
    <row r="13" spans="2:6">
      <c r="E13" t="s">
        <v>23</v>
      </c>
      <c r="F13" s="5" t="s">
        <v>2022</v>
      </c>
    </row>
    <row r="14" spans="2:6">
      <c r="F14" s="5"/>
    </row>
    <row r="15" spans="2:6">
      <c r="F15" s="5"/>
    </row>
    <row r="16" spans="2:6">
      <c r="E16" t="s">
        <v>23</v>
      </c>
      <c r="F16" s="5" t="s">
        <v>558</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2007</v>
      </c>
      <c r="F30">
        <v>20</v>
      </c>
    </row>
    <row r="31" spans="2:6">
      <c r="E31" s="4" t="s">
        <v>2008</v>
      </c>
      <c r="F31">
        <v>30</v>
      </c>
    </row>
    <row r="32" spans="2:6">
      <c r="E32" s="4" t="s">
        <v>2009</v>
      </c>
      <c r="F32">
        <f xml:space="preserve"> - F30</f>
        <v>-20</v>
      </c>
    </row>
    <row r="33" spans="4:6">
      <c r="E33" s="4" t="s">
        <v>2010</v>
      </c>
      <c r="F33">
        <f xml:space="preserve"> - F31</f>
        <v>-30</v>
      </c>
    </row>
    <row r="35" spans="4:6">
      <c r="E35" s="4" t="s">
        <v>2011</v>
      </c>
      <c r="F35" s="5" t="s">
        <v>2023</v>
      </c>
    </row>
    <row r="36" spans="4:6">
      <c r="E36" s="4" t="s">
        <v>2012</v>
      </c>
      <c r="F36" s="5" t="s">
        <v>725</v>
      </c>
    </row>
    <row r="38" spans="4:6">
      <c r="E38" s="4" t="s">
        <v>2013</v>
      </c>
      <c r="F38">
        <f xml:space="preserve"> 17 / 16</f>
        <v>1.0625</v>
      </c>
    </row>
    <row r="39" spans="4:6">
      <c r="E39" s="4" t="s">
        <v>2014</v>
      </c>
      <c r="F39" cm="1">
        <f t="array" ref="F39" xml:space="preserve">  MAX(YER.MaxY, - YER.MinY)   /   MAX(YER.MaxX, - YER.MinX)</f>
        <v>1.5</v>
      </c>
    </row>
    <row r="40" spans="4:6">
      <c r="E40" s="4" t="s">
        <v>2015</v>
      </c>
      <c r="F40" cm="1">
        <f t="array" ref="F40" xml:space="preserve"> VALUE(TEXT(SQRT( YER.AreaMultiplier * BasicBBoxArea *  YER.Aspect), SVG.NumberFormatHeight))</f>
        <v>18.899999999999999</v>
      </c>
    </row>
    <row r="41" spans="4:6">
      <c r="E41" s="4" t="s">
        <v>2016</v>
      </c>
      <c r="F41" cm="1">
        <f t="array" ref="F41" xml:space="preserve">  YER.Height /  YER.Aspect</f>
        <v>12.6</v>
      </c>
    </row>
    <row r="44" spans="4:6" ht="17" thickBot="1">
      <c r="F44" s="3" t="s">
        <v>2017</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1787</v>
      </c>
      <c r="F2" s="3" t="s">
        <v>1788</v>
      </c>
    </row>
    <row r="3" spans="2:6">
      <c r="B3">
        <v>5.77</v>
      </c>
      <c r="F3">
        <f xml:space="preserve"> DecimalPlaces - INT(LOG(EGP.Multiplier, 10) + 0.2)</f>
        <v>5</v>
      </c>
    </row>
    <row r="5" spans="2:6" ht="17" thickBot="1">
      <c r="B5" s="3" t="s">
        <v>1789</v>
      </c>
      <c r="C5" s="3" t="s">
        <v>1790</v>
      </c>
      <c r="D5" s="3" t="s">
        <v>1791</v>
      </c>
      <c r="F5" s="3" t="s">
        <v>1792</v>
      </c>
    </row>
    <row r="6" spans="2:6">
      <c r="B6" t="s">
        <v>1804</v>
      </c>
      <c r="C6">
        <f xml:space="preserve"> EGP.Multiplier</f>
        <v>5.77</v>
      </c>
      <c r="D6">
        <f xml:space="preserve"> EGP.Multiplier</f>
        <v>5.77</v>
      </c>
      <c r="F6" s="42" t="str">
        <f t="array" ref="F6:F9" xml:space="preserve">  svgpath($C6:$C9, $D6:$D9, EGP.DecimalPlaces)</f>
        <v>M5.77 5.77</v>
      </c>
    </row>
    <row r="7" spans="2:6">
      <c r="B7" t="s">
        <v>1804</v>
      </c>
      <c r="C7">
        <f xml:space="preserve"> - EGP.Multiplier</f>
        <v>-5.77</v>
      </c>
      <c r="D7">
        <f xml:space="preserve"> EGP.Multiplier</f>
        <v>5.77</v>
      </c>
      <c r="F7" t="str">
        <v>H-5.77</v>
      </c>
    </row>
    <row r="8" spans="2:6">
      <c r="B8" t="s">
        <v>1804</v>
      </c>
      <c r="C8">
        <f xml:space="preserve"> - EGP.Multiplier</f>
        <v>-5.77</v>
      </c>
      <c r="D8">
        <f xml:space="preserve"> - EGP.Multiplier</f>
        <v>-5.77</v>
      </c>
      <c r="F8" t="str">
        <v>V-5.77</v>
      </c>
    </row>
    <row r="9" spans="2:6">
      <c r="B9" t="s">
        <v>1804</v>
      </c>
      <c r="C9">
        <f xml:space="preserve"> EGP.Multiplier</f>
        <v>5.77</v>
      </c>
      <c r="D9">
        <f xml:space="preserve"> - EGP.Multiplier</f>
        <v>-5.77</v>
      </c>
      <c r="F9" t="str">
        <v>H5.77Z</v>
      </c>
    </row>
    <row r="11" spans="2:6">
      <c r="B11" t="s">
        <v>1805</v>
      </c>
      <c r="C11">
        <f xml:space="preserve"> EGP.Multiplier * Sqrt2 / 10</f>
        <v>0.81600122548927578</v>
      </c>
      <c r="D11">
        <v>0</v>
      </c>
      <c r="F11" s="42" t="str">
        <f t="array" ref="F11:F13" xml:space="preserve">  svgpath($C11:$C13, $D11:$D13, EGP.DecimalPlaces)</f>
        <v>M.816 0</v>
      </c>
    </row>
    <row r="12" spans="2:6">
      <c r="B12" t="s">
        <v>1805</v>
      </c>
      <c r="C12">
        <f xml:space="preserve"> EGP.Multiplier * 4 / 5</f>
        <v>4.6159999999999997</v>
      </c>
      <c r="D12">
        <f xml:space="preserve"> EGP.Multiplier * (4 / 5  -  Sqrt2 / 10)</f>
        <v>3.7999987745107244</v>
      </c>
      <c r="F12" t="str">
        <v>l3.8 3.8</v>
      </c>
    </row>
    <row r="13" spans="2:6">
      <c r="B13" t="s">
        <v>1805</v>
      </c>
      <c r="C13">
        <f xml:space="preserve"> EGP.Multiplier * 4 / 5</f>
        <v>4.6159999999999997</v>
      </c>
      <c r="D13">
        <f xml:space="preserve"> EGP.Multiplier * (Sqrt2 / 10  -  4 / 5)</f>
        <v>-3.7999987745107244</v>
      </c>
      <c r="F13" t="str">
        <v>V-3.8Z</v>
      </c>
    </row>
    <row r="15" spans="2:6">
      <c r="B15" t="s">
        <v>1805</v>
      </c>
      <c r="C15">
        <f xml:space="preserve"> D11</f>
        <v>0</v>
      </c>
      <c r="D15">
        <f xml:space="preserve"> C11</f>
        <v>0.81600122548927578</v>
      </c>
      <c r="F15" s="42" t="str">
        <f t="array" ref="F15:F17" xml:space="preserve">  svgpath($C15:$C17, $D15:$D17, EGP.DecimalPlaces)</f>
        <v>M0 .816</v>
      </c>
    </row>
    <row r="16" spans="2:6">
      <c r="B16" t="s">
        <v>1805</v>
      </c>
      <c r="C16">
        <f t="shared" ref="C16:C17" si="0" xml:space="preserve"> D12</f>
        <v>3.7999987745107244</v>
      </c>
      <c r="D16">
        <f t="shared" ref="D16:D17" si="1" xml:space="preserve"> C12</f>
        <v>4.6159999999999997</v>
      </c>
      <c r="F16" t="str">
        <v>l3.8 3.8</v>
      </c>
    </row>
    <row r="17" spans="2:6">
      <c r="B17" t="s">
        <v>1805</v>
      </c>
      <c r="C17">
        <f t="shared" si="0"/>
        <v>-3.7999987745107244</v>
      </c>
      <c r="D17">
        <f t="shared" si="1"/>
        <v>4.6159999999999997</v>
      </c>
      <c r="F17" t="str">
        <v>H-3.8Z</v>
      </c>
    </row>
    <row r="18" spans="2:6">
      <c r="F18" s="42"/>
    </row>
    <row r="19" spans="2:6">
      <c r="B19" t="s">
        <v>1805</v>
      </c>
      <c r="C19">
        <f xml:space="preserve"> - C11</f>
        <v>-0.81600122548927578</v>
      </c>
      <c r="D19">
        <f xml:space="preserve"> - D11</f>
        <v>0</v>
      </c>
      <c r="F19" s="42" t="str">
        <f t="array" ref="F19:F21" xml:space="preserve">  svgpath($C19:$C21, $D19:$D21, EGP.DecimalPlaces)</f>
        <v>M-.816 0</v>
      </c>
    </row>
    <row r="20" spans="2:6">
      <c r="B20" t="s">
        <v>1805</v>
      </c>
      <c r="C20">
        <f t="shared" ref="C20:D21" si="2" xml:space="preserve"> - C12</f>
        <v>-4.6159999999999997</v>
      </c>
      <c r="D20">
        <f t="shared" si="2"/>
        <v>-3.7999987745107244</v>
      </c>
      <c r="F20" t="str">
        <v>l-3.8 -3.8</v>
      </c>
    </row>
    <row r="21" spans="2:6">
      <c r="B21" t="s">
        <v>1805</v>
      </c>
      <c r="C21">
        <f t="shared" si="2"/>
        <v>-4.6159999999999997</v>
      </c>
      <c r="D21">
        <f t="shared" si="2"/>
        <v>3.7999987745107244</v>
      </c>
      <c r="F21" t="str">
        <v>V3.8Z</v>
      </c>
    </row>
    <row r="23" spans="2:6">
      <c r="B23" t="s">
        <v>1805</v>
      </c>
      <c r="C23">
        <f xml:space="preserve"> - C15</f>
        <v>0</v>
      </c>
      <c r="D23">
        <f xml:space="preserve"> - D15</f>
        <v>-0.81600122548927578</v>
      </c>
      <c r="F23" s="42" t="str">
        <f t="array" ref="F23:F25" xml:space="preserve">  svgpath($C23:$C25, $D23:$D25, EGP.DecimalPlaces)</f>
        <v>M0 -.816</v>
      </c>
    </row>
    <row r="24" spans="2:6">
      <c r="B24" t="s">
        <v>1805</v>
      </c>
      <c r="C24">
        <f t="shared" ref="C24:D24" si="3" xml:space="preserve"> - C16</f>
        <v>-3.7999987745107244</v>
      </c>
      <c r="D24">
        <f t="shared" si="3"/>
        <v>-4.6159999999999997</v>
      </c>
      <c r="F24" t="str">
        <v>l-3.8 -3.8</v>
      </c>
    </row>
    <row r="25" spans="2:6">
      <c r="B25" t="s">
        <v>1805</v>
      </c>
      <c r="C25">
        <f t="shared" ref="C25:D25" si="4" xml:space="preserve"> - C17</f>
        <v>3.7999987745107244</v>
      </c>
      <c r="D25">
        <f t="shared" si="4"/>
        <v>-4.6159999999999997</v>
      </c>
      <c r="F25" t="str">
        <v>H3.8Z</v>
      </c>
    </row>
    <row r="28" spans="2:6">
      <c r="E28" s="4" t="s">
        <v>1793</v>
      </c>
      <c r="F28" cm="1">
        <f t="array" ref="F28" xml:space="preserve"> ROUND( MIN(EGP.RawX), EGP.DecimalPlaces)</f>
        <v>-5.77</v>
      </c>
    </row>
    <row r="29" spans="2:6">
      <c r="E29" s="4" t="s">
        <v>1794</v>
      </c>
      <c r="F29" cm="1">
        <f t="array" ref="F29" xml:space="preserve"> ROUND(MAX(EGP.RawX), EGP.DecimalPlaces)</f>
        <v>5.77</v>
      </c>
    </row>
    <row r="30" spans="2:6">
      <c r="E30" s="4" t="s">
        <v>1795</v>
      </c>
      <c r="F30" cm="1">
        <f t="array" ref="F30" xml:space="preserve"> ROUND( MIN(EGP.RawY), EGP.DecimalPlaces)</f>
        <v>-5.77</v>
      </c>
    </row>
    <row r="31" spans="2:6">
      <c r="E31" s="4" t="s">
        <v>1796</v>
      </c>
      <c r="F31" cm="1">
        <f t="array" ref="F31" xml:space="preserve"> ROUND(MAX(EGP.RawY), EGP.DecimalPlaces)</f>
        <v>5.77</v>
      </c>
    </row>
    <row r="33" spans="4:6">
      <c r="E33" s="4" t="s">
        <v>1797</v>
      </c>
      <c r="F33" s="26">
        <f xml:space="preserve"> MODE(Squares.AreaMultiplier)</f>
        <v>0.85</v>
      </c>
    </row>
    <row r="34" spans="4:6">
      <c r="E34" s="4" t="s">
        <v>1798</v>
      </c>
      <c r="F34" cm="1">
        <f t="array" ref="F34" xml:space="preserve">  MAX(EGP.MaxY, - EGP.MinY)   /   MAX(EGP.MaxX, - EGP.MinX)</f>
        <v>1</v>
      </c>
    </row>
    <row r="35" spans="4:6">
      <c r="E35" s="4" t="s">
        <v>1799</v>
      </c>
      <c r="F35" cm="1">
        <f t="array" ref="F35" xml:space="preserve"> VALUE(TEXT(SQRT(EGP.AreaMultiplier* BasicBBoxArea * EGP.Aspect), SVG.NumberFormatHeight))</f>
        <v>13.8</v>
      </c>
    </row>
    <row r="36" spans="4:6">
      <c r="E36" s="4" t="s">
        <v>1800</v>
      </c>
      <c r="F36" cm="1">
        <f t="array" ref="F36" xml:space="preserve"> EGP.Height / EGP.Aspect</f>
        <v>13.8</v>
      </c>
    </row>
    <row r="38" spans="4:6">
      <c r="E38" s="4" t="s">
        <v>1801</v>
      </c>
      <c r="F38" t="s">
        <v>725</v>
      </c>
    </row>
    <row r="39" spans="4:6">
      <c r="E39" s="4" t="s">
        <v>1802</v>
      </c>
      <c r="F39" t="s">
        <v>2086</v>
      </c>
    </row>
    <row r="41" spans="4:6" ht="17" thickBot="1">
      <c r="F41" s="3" t="s">
        <v>1803</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1457</v>
      </c>
      <c r="F2" s="3" t="s">
        <v>879</v>
      </c>
      <c r="G2" s="3" t="s">
        <v>880</v>
      </c>
      <c r="H2" s="3" t="s">
        <v>881</v>
      </c>
      <c r="I2" s="3" t="s">
        <v>882</v>
      </c>
      <c r="J2" s="3" t="s">
        <v>883</v>
      </c>
      <c r="K2" s="3" t="s">
        <v>884</v>
      </c>
      <c r="L2" s="3" t="s">
        <v>885</v>
      </c>
      <c r="M2" s="3" t="s">
        <v>886</v>
      </c>
      <c r="O2" s="36" t="s">
        <v>1458</v>
      </c>
    </row>
    <row r="3" spans="2:15">
      <c r="B3" s="4" t="s">
        <v>889</v>
      </c>
      <c r="C3">
        <f xml:space="preserve"> MAX(IQD.X0, IQD.X1, IQD.X2, IQD.X3)</f>
        <v>72</v>
      </c>
    </row>
    <row r="4" spans="2:15">
      <c r="B4" s="4" t="s">
        <v>891</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888</v>
      </c>
      <c r="C5">
        <f xml:space="preserve">  MIN(IQD.X0, IQD.X1, IQD.X2, IQD.X3)</f>
        <v>-72</v>
      </c>
    </row>
    <row r="6" spans="2:15">
      <c r="B6" s="4" t="s">
        <v>890</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892</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893</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894</v>
      </c>
      <c r="C11">
        <f xml:space="preserve">  MAX(IQD.MaxY, - IQD.MinY)   /   MAX(IQD.MaxX, - IQD.MinX)</f>
        <v>1</v>
      </c>
    </row>
    <row r="12" spans="2:15">
      <c r="B12" s="4" t="s">
        <v>895</v>
      </c>
      <c r="C12">
        <f xml:space="preserve"> VALUE(TEXT(SQRT(IQD.AreaMultiplier* BasicBBoxArea * IQD.Aspect), SVG.NumberFormatHeight))</f>
        <v>15.9</v>
      </c>
    </row>
    <row r="13" spans="2:15">
      <c r="B13" s="4" t="s">
        <v>896</v>
      </c>
      <c r="C13" cm="1">
        <f t="array" ref="C13" xml:space="preserve"> IQD.Height / IQD.Aspect</f>
        <v>15.9</v>
      </c>
    </row>
    <row r="15" spans="2:15">
      <c r="B15" s="4" t="s">
        <v>897</v>
      </c>
      <c r="C15" t="s">
        <v>901</v>
      </c>
    </row>
    <row r="16" spans="2:15">
      <c r="B16" s="4" t="s">
        <v>898</v>
      </c>
      <c r="C16" t="s">
        <v>900</v>
      </c>
    </row>
    <row r="20" spans="15:15">
      <c r="O20" s="21" cm="1">
        <f t="array" ref="O20" xml:space="preserve"> SVG_length(IQD.svg)</f>
        <v>631</v>
      </c>
    </row>
    <row r="22" spans="15:15" ht="17" thickBot="1">
      <c r="O22" s="36" t="s">
        <v>887</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2264</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492</v>
      </c>
      <c r="D2" s="2" t="s">
        <v>493</v>
      </c>
      <c r="F2" s="3" t="s">
        <v>494</v>
      </c>
    </row>
    <row r="3" spans="2:6">
      <c r="C3" t="b">
        <v>0</v>
      </c>
      <c r="D3" t="b">
        <f xml:space="preserve"> ILS.ReflectX</f>
        <v>0</v>
      </c>
      <c r="F3">
        <f xml:space="preserve"> DecimalPlaces - INT(LOG(MIN(  MAX(ILS.RawX) - MIN(ILS.RawX),  MAX(ILS.RawY) - MIN(ILS.RawY)  )/2, 10) + 0.2)</f>
        <v>4</v>
      </c>
    </row>
    <row r="5" spans="2:6" ht="17" thickBot="1">
      <c r="B5" s="3" t="s">
        <v>495</v>
      </c>
      <c r="C5" s="3" t="s">
        <v>496</v>
      </c>
      <c r="D5" s="3" t="s">
        <v>497</v>
      </c>
      <c r="F5" s="3" t="s">
        <v>1756</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504</v>
      </c>
      <c r="F51">
        <f xml:space="preserve"> ROUND( MIN(ILS.RawX), ILS.DecimalPlaces)</f>
        <v>-9</v>
      </c>
    </row>
    <row r="52" spans="5:6">
      <c r="E52" s="4" t="s">
        <v>505</v>
      </c>
      <c r="F52">
        <f xml:space="preserve"> ROUND(MAX(ILS.RawX), ILS.DecimalPlaces)</f>
        <v>9</v>
      </c>
    </row>
    <row r="53" spans="5:6">
      <c r="E53" s="4" t="s">
        <v>506</v>
      </c>
      <c r="F53">
        <f xml:space="preserve"> ROUND( MIN(ILS.RawY), ILS.DecimalPlaces)</f>
        <v>-10.392300000000001</v>
      </c>
    </row>
    <row r="54" spans="5:6">
      <c r="E54" s="4" t="s">
        <v>507</v>
      </c>
      <c r="F54">
        <f xml:space="preserve"> ROUND(MAX(ILS.RawY), ILS.DecimalPlaces)</f>
        <v>10.392300000000001</v>
      </c>
    </row>
    <row r="56" spans="5:6">
      <c r="E56" s="4" t="s">
        <v>498</v>
      </c>
      <c r="F56" s="26">
        <v>1.25</v>
      </c>
    </row>
    <row r="57" spans="5:6">
      <c r="E57" s="4" t="s">
        <v>499</v>
      </c>
      <c r="F57">
        <f xml:space="preserve">  MAX(ILS.MaxY, - ILS.MinY)   /   MAX(ILS.MaxX, - ILS.MinX)</f>
        <v>1.1547000000000001</v>
      </c>
    </row>
    <row r="58" spans="5:6">
      <c r="E58" s="4" t="s">
        <v>500</v>
      </c>
      <c r="F58">
        <f xml:space="preserve"> VALUE(TEXT(SQRT(ILS.AreaMultiplier * BasicBBoxArea * ILS.Aspect), SVG.NumberFormatHeight))</f>
        <v>18</v>
      </c>
    </row>
    <row r="59" spans="5:6">
      <c r="E59" s="4" t="s">
        <v>501</v>
      </c>
      <c r="F59" cm="1">
        <f t="array" ref="F59" xml:space="preserve"> ILS.Height / ILS.Aspect</f>
        <v>15.58846453624318</v>
      </c>
    </row>
    <row r="60" spans="5:6">
      <c r="E60" s="4"/>
      <c r="F60" s="5"/>
    </row>
    <row r="61" spans="5:6">
      <c r="E61" s="4" t="s">
        <v>502</v>
      </c>
      <c r="F61" s="5" t="s">
        <v>771</v>
      </c>
    </row>
    <row r="62" spans="5:6">
      <c r="E62" s="4" t="s">
        <v>503</v>
      </c>
      <c r="F62" s="5" t="s">
        <v>2086</v>
      </c>
    </row>
    <row r="64" spans="5:6" ht="17" thickBot="1">
      <c r="F64" s="3" t="s">
        <v>508</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407</v>
      </c>
      <c r="D2" s="2" t="s">
        <v>408</v>
      </c>
      <c r="F2" s="3" t="s">
        <v>409</v>
      </c>
    </row>
    <row r="3" spans="2:16">
      <c r="C3" t="b">
        <v>0</v>
      </c>
      <c r="D3" t="b">
        <v>0</v>
      </c>
      <c r="F3">
        <f xml:space="preserve"> DecimalPlaces - INT(LOG(MIN(  MAX(ZAR.RawX) - MIN(ZAR.RawX),  MAX(ZAR.RawY) - MIN(ZAR.RawY)  )/2, 10) + 0.2)</f>
        <v>5</v>
      </c>
    </row>
    <row r="5" spans="2:16" ht="17" thickBot="1">
      <c r="B5" s="3" t="s">
        <v>410</v>
      </c>
      <c r="C5" s="3" t="s">
        <v>411</v>
      </c>
      <c r="D5" s="3" t="s">
        <v>412</v>
      </c>
      <c r="F5" s="3" t="s">
        <v>1742</v>
      </c>
      <c r="K5" s="3" t="s">
        <v>415</v>
      </c>
      <c r="L5" s="3" t="s">
        <v>416</v>
      </c>
      <c r="M5" s="3" t="s">
        <v>417</v>
      </c>
      <c r="N5" s="3" t="s">
        <v>418</v>
      </c>
      <c r="O5" s="3" t="s">
        <v>419</v>
      </c>
      <c r="P5" s="3" t="s">
        <v>420</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413</v>
      </c>
      <c r="I19">
        <v>0.12</v>
      </c>
    </row>
    <row r="20" spans="2:16">
      <c r="H20" s="4" t="s">
        <v>414</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427</v>
      </c>
      <c r="F36">
        <f xml:space="preserve"> ROUND( MIN(ZAR.RawX), ZAR.DecimalPlaces)</f>
        <v>-0.59150999999999998</v>
      </c>
    </row>
    <row r="37" spans="2:16">
      <c r="E37" s="4" t="s">
        <v>428</v>
      </c>
      <c r="F37">
        <f xml:space="preserve"> ROUND(MAX(ZAR.RawX), ZAR.DecimalPlaces)</f>
        <v>1</v>
      </c>
    </row>
    <row r="38" spans="2:16">
      <c r="E38" s="4" t="s">
        <v>429</v>
      </c>
      <c r="F38">
        <f xml:space="preserve"> ROUND( MIN(ZAR.RawY), ZAR.DecimalPlaces)</f>
        <v>-0.86602999999999997</v>
      </c>
    </row>
    <row r="39" spans="2:16">
      <c r="E39" s="4" t="s">
        <v>430</v>
      </c>
      <c r="F39">
        <f xml:space="preserve"> ROUND(MAX(ZAR.RawY), ZAR.DecimalPlaces)</f>
        <v>0.86602999999999997</v>
      </c>
    </row>
    <row r="41" spans="2:16">
      <c r="E41" s="4" t="s">
        <v>421</v>
      </c>
      <c r="F41" s="26">
        <v>2</v>
      </c>
    </row>
    <row r="42" spans="2:16">
      <c r="E42" s="4" t="s">
        <v>422</v>
      </c>
      <c r="F42">
        <f xml:space="preserve">  MAX(ZAR.MaxY, - ZAR.MinY)   /   MAX(ZAR.MaxX, - ZAR.MinX)</f>
        <v>0.86602999999999997</v>
      </c>
    </row>
    <row r="43" spans="2:16">
      <c r="E43" s="4" t="s">
        <v>423</v>
      </c>
      <c r="F43">
        <f xml:space="preserve"> VALUE(TEXT(SQRT(ZAR.AreaMultiplier* BasicBBoxArea * ZAR.Aspect), SVG.NumberFormatHeight))</f>
        <v>19.7</v>
      </c>
    </row>
    <row r="44" spans="2:16">
      <c r="E44" s="4" t="s">
        <v>424</v>
      </c>
      <c r="F44" cm="1">
        <f t="array" ref="F44" xml:space="preserve"> ZAR.Height / ZAR.Aspect</f>
        <v>22.747479879449905</v>
      </c>
    </row>
    <row r="46" spans="2:16">
      <c r="E46" s="4" t="s">
        <v>425</v>
      </c>
      <c r="F46" t="s">
        <v>767</v>
      </c>
    </row>
    <row r="47" spans="2:16">
      <c r="E47" s="4" t="s">
        <v>426</v>
      </c>
      <c r="F47" t="s">
        <v>792</v>
      </c>
    </row>
    <row r="49" spans="3:6" ht="17" thickBot="1">
      <c r="F49" s="3" t="s">
        <v>431</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1987</v>
      </c>
    </row>
    <row r="3" spans="2:6">
      <c r="F3">
        <f xml:space="preserve"> DecimalPlaces - INT(LOG(MAX(SDG.RawX, SDG.RawY), 10) + 0.2)</f>
        <v>5</v>
      </c>
    </row>
    <row r="5" spans="2:6" ht="17" thickBot="1">
      <c r="B5" s="3" t="s">
        <v>1988</v>
      </c>
      <c r="C5" s="3" t="s">
        <v>1989</v>
      </c>
      <c r="D5" s="3" t="s">
        <v>1990</v>
      </c>
      <c r="F5" s="3" t="s">
        <v>1991</v>
      </c>
    </row>
    <row r="6" spans="2:6">
      <c r="B6" t="s">
        <v>1804</v>
      </c>
      <c r="C6">
        <v>5</v>
      </c>
      <c r="D6">
        <f xml:space="preserve"> $C$6</f>
        <v>5</v>
      </c>
      <c r="F6" s="42"/>
    </row>
    <row r="7" spans="2:6">
      <c r="B7" t="s">
        <v>1804</v>
      </c>
      <c r="C7">
        <f xml:space="preserve"> C6</f>
        <v>5</v>
      </c>
      <c r="D7">
        <f xml:space="preserve"> - D6</f>
        <v>-5</v>
      </c>
    </row>
    <row r="8" spans="2:6">
      <c r="B8" t="s">
        <v>1804</v>
      </c>
      <c r="C8">
        <f xml:space="preserve"> - C7</f>
        <v>-5</v>
      </c>
      <c r="D8">
        <f xml:space="preserve"> D7</f>
        <v>-5</v>
      </c>
    </row>
    <row r="9" spans="2:6">
      <c r="B9" t="s">
        <v>1804</v>
      </c>
      <c r="C9">
        <f xml:space="preserve"> C8</f>
        <v>-5</v>
      </c>
      <c r="D9">
        <f xml:space="preserve"> - D8</f>
        <v>5</v>
      </c>
    </row>
    <row r="11" spans="2:6">
      <c r="B11" t="s">
        <v>2003</v>
      </c>
      <c r="C11">
        <f xml:space="preserve"> $C$6 - 1</f>
        <v>4</v>
      </c>
      <c r="D11">
        <f xml:space="preserve"> $C$6 - 2</f>
        <v>3</v>
      </c>
      <c r="F11" s="42" t="str">
        <f t="array" ref="F11:F14" xml:space="preserve">  svgpath($C11:$C14, $D11:$D14, SDG.DecimalPlaces, 1, -1)</f>
        <v>M4 -3</v>
      </c>
    </row>
    <row r="12" spans="2:6">
      <c r="B12" t="s">
        <v>2003</v>
      </c>
      <c r="C12">
        <f xml:space="preserve"> $C$6 - 1</f>
        <v>4</v>
      </c>
      <c r="D12">
        <f xml:space="preserve"> D11 - 2</f>
        <v>1</v>
      </c>
      <c r="F12" t="str">
        <v>v2</v>
      </c>
    </row>
    <row r="13" spans="2:6">
      <c r="B13" t="s">
        <v>2003</v>
      </c>
      <c r="C13">
        <f xml:space="preserve"> - $D12</f>
        <v>-1</v>
      </c>
      <c r="D13">
        <f xml:space="preserve"> - $C11</f>
        <v>-4</v>
      </c>
      <c r="F13" t="str">
        <v>L-1 4</v>
      </c>
    </row>
    <row r="14" spans="2:6">
      <c r="B14" t="s">
        <v>2003</v>
      </c>
      <c r="C14">
        <f xml:space="preserve"> - D11</f>
        <v>-3</v>
      </c>
      <c r="D14">
        <f xml:space="preserve"> - C11</f>
        <v>-4</v>
      </c>
      <c r="F14" t="str">
        <v>H-3Z</v>
      </c>
    </row>
    <row r="15" spans="2:6">
      <c r="F15" s="42"/>
    </row>
    <row r="16" spans="2:6">
      <c r="B16" t="s">
        <v>2003</v>
      </c>
      <c r="C16">
        <f xml:space="preserve"> $C$6 - 1</f>
        <v>4</v>
      </c>
      <c r="D16">
        <f xml:space="preserve"> D12 - 2</f>
        <v>-1</v>
      </c>
      <c r="F16" s="42" t="str">
        <f t="array" ref="F16:F19" xml:space="preserve">  svgpath($C16:$C19, $D16:$D19, SDG.DecimalPlaces, 1, -1)</f>
        <v>M4 1</v>
      </c>
    </row>
    <row r="17" spans="2:6">
      <c r="B17" t="s">
        <v>2003</v>
      </c>
      <c r="C17">
        <f xml:space="preserve"> $C$6 - 1</f>
        <v>4</v>
      </c>
      <c r="D17">
        <f xml:space="preserve"> D16 - 2</f>
        <v>-3</v>
      </c>
      <c r="F17" t="str">
        <v>V3</v>
      </c>
    </row>
    <row r="18" spans="2:6">
      <c r="B18" t="s">
        <v>2003</v>
      </c>
      <c r="C18">
        <f xml:space="preserve"> - $D17</f>
        <v>3</v>
      </c>
      <c r="D18">
        <f xml:space="preserve"> - $C16</f>
        <v>-4</v>
      </c>
      <c r="F18" t="str">
        <v>L3 4</v>
      </c>
    </row>
    <row r="19" spans="2:6">
      <c r="B19" t="s">
        <v>2003</v>
      </c>
      <c r="C19">
        <f xml:space="preserve"> - D16</f>
        <v>1</v>
      </c>
      <c r="D19">
        <f xml:space="preserve"> - C16</f>
        <v>-4</v>
      </c>
      <c r="F19" t="str">
        <v>H1Z</v>
      </c>
    </row>
    <row r="21" spans="2:6">
      <c r="B21" t="s">
        <v>2003</v>
      </c>
      <c r="C21">
        <f t="shared" ref="C21:D24" si="0" xml:space="preserve"> - C11</f>
        <v>-4</v>
      </c>
      <c r="D21">
        <f t="shared" si="0"/>
        <v>-3</v>
      </c>
      <c r="F21" s="42" t="str">
        <f t="array" ref="F21:F24" xml:space="preserve">  svgpath($C21:$C24, $D21:$D24, SDG.DecimalPlaces, 1, -1)</f>
        <v>M-4 3</v>
      </c>
    </row>
    <row r="22" spans="2:6">
      <c r="B22" t="s">
        <v>2003</v>
      </c>
      <c r="C22">
        <f t="shared" si="0"/>
        <v>-4</v>
      </c>
      <c r="D22">
        <f t="shared" si="0"/>
        <v>-1</v>
      </c>
      <c r="F22" t="str">
        <v>V1</v>
      </c>
    </row>
    <row r="23" spans="2:6">
      <c r="B23" t="s">
        <v>2003</v>
      </c>
      <c r="C23">
        <f t="shared" si="0"/>
        <v>1</v>
      </c>
      <c r="D23">
        <f t="shared" si="0"/>
        <v>4</v>
      </c>
      <c r="F23" t="str">
        <v>L1 -4</v>
      </c>
    </row>
    <row r="24" spans="2:6">
      <c r="B24" t="s">
        <v>2003</v>
      </c>
      <c r="C24">
        <f t="shared" si="0"/>
        <v>3</v>
      </c>
      <c r="D24">
        <f t="shared" si="0"/>
        <v>4</v>
      </c>
      <c r="F24" t="str">
        <v>H3Z</v>
      </c>
    </row>
    <row r="26" spans="2:6">
      <c r="B26" t="s">
        <v>2003</v>
      </c>
      <c r="C26">
        <f t="shared" ref="C26:D29" si="1" xml:space="preserve"> - C16</f>
        <v>-4</v>
      </c>
      <c r="D26">
        <f t="shared" si="1"/>
        <v>1</v>
      </c>
      <c r="F26" s="42" t="str">
        <f t="array" ref="F26:F29" xml:space="preserve">  svgpath($C26:$C29, $D26:$D29, SDG.DecimalPlaces, 1, -1)</f>
        <v>M-4 -1</v>
      </c>
    </row>
    <row r="27" spans="2:6">
      <c r="B27" t="s">
        <v>2003</v>
      </c>
      <c r="C27">
        <f t="shared" si="1"/>
        <v>-4</v>
      </c>
      <c r="D27">
        <f t="shared" si="1"/>
        <v>3</v>
      </c>
      <c r="F27" t="str">
        <v>V-3</v>
      </c>
    </row>
    <row r="28" spans="2:6">
      <c r="B28" t="s">
        <v>2003</v>
      </c>
      <c r="C28">
        <f t="shared" si="1"/>
        <v>-3</v>
      </c>
      <c r="D28">
        <f t="shared" si="1"/>
        <v>4</v>
      </c>
      <c r="F28" t="str">
        <v>l1 -1</v>
      </c>
    </row>
    <row r="29" spans="2:6">
      <c r="B29" t="s">
        <v>2003</v>
      </c>
      <c r="C29">
        <f t="shared" si="1"/>
        <v>-1</v>
      </c>
      <c r="D29">
        <f t="shared" si="1"/>
        <v>4</v>
      </c>
      <c r="F29" t="str">
        <v>h2Z</v>
      </c>
    </row>
    <row r="32" spans="2:6">
      <c r="E32" s="4" t="s">
        <v>1992</v>
      </c>
      <c r="F32" cm="1">
        <f t="array" ref="F32" xml:space="preserve"> ROUND( MIN(SDG.RawX), SDG.DecimalPlaces)</f>
        <v>-5</v>
      </c>
    </row>
    <row r="33" spans="4:6">
      <c r="E33" s="4" t="s">
        <v>1993</v>
      </c>
      <c r="F33" cm="1">
        <f t="array" ref="F33" xml:space="preserve"> ROUND(MAX(SDG.RawX), SDG.DecimalPlaces)</f>
        <v>5</v>
      </c>
    </row>
    <row r="34" spans="4:6">
      <c r="E34" s="4" t="s">
        <v>1994</v>
      </c>
      <c r="F34" cm="1">
        <f t="array" ref="F34" xml:space="preserve"> ROUND( MIN(SDG.RawY), SDG.DecimalPlaces)</f>
        <v>-5</v>
      </c>
    </row>
    <row r="35" spans="4:6">
      <c r="E35" s="4" t="s">
        <v>1995</v>
      </c>
      <c r="F35" cm="1">
        <f t="array" ref="F35" xml:space="preserve"> ROUND(MAX(SDG.RawY), SDG.DecimalPlaces)</f>
        <v>5</v>
      </c>
    </row>
    <row r="37" spans="4:6">
      <c r="E37" s="4" t="s">
        <v>1996</v>
      </c>
      <c r="F37" s="26">
        <f xml:space="preserve"> MODE(Squares.AreaMultiplier)</f>
        <v>0.85</v>
      </c>
    </row>
    <row r="38" spans="4:6">
      <c r="E38" s="4" t="s">
        <v>1997</v>
      </c>
      <c r="F38" cm="1">
        <f t="array" ref="F38" xml:space="preserve">  MAX(SDG.MaxY, - SDG.MinY)   /   MAX(SDG.MaxX, - SDG.MinX)</f>
        <v>1</v>
      </c>
    </row>
    <row r="39" spans="4:6">
      <c r="E39" s="4" t="s">
        <v>1998</v>
      </c>
      <c r="F39" cm="1">
        <f t="array" ref="F39" xml:space="preserve"> VALUE(TEXT(SQRT(SDG.AreaMultiplier* BasicBBoxArea * SDG.Aspect), SVG.NumberFormatHeight))</f>
        <v>13.8</v>
      </c>
    </row>
    <row r="40" spans="4:6">
      <c r="E40" s="4" t="s">
        <v>1999</v>
      </c>
      <c r="F40" cm="1">
        <f t="array" ref="F40" xml:space="preserve"> SDG.Height / SDG.Aspect</f>
        <v>13.8</v>
      </c>
    </row>
    <row r="42" spans="4:6">
      <c r="E42" s="4" t="s">
        <v>2000</v>
      </c>
      <c r="F42" t="s">
        <v>725</v>
      </c>
    </row>
    <row r="43" spans="4:6">
      <c r="E43" s="4" t="s">
        <v>2001</v>
      </c>
      <c r="F43" t="s">
        <v>2086</v>
      </c>
    </row>
    <row r="45" spans="4:6" ht="17" thickBot="1">
      <c r="F45" s="3" t="s">
        <v>2002</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1685</v>
      </c>
      <c r="F2" s="3" t="s">
        <v>510</v>
      </c>
    </row>
    <row r="3" spans="2:6">
      <c r="D3">
        <v>4</v>
      </c>
      <c r="F3">
        <f xml:space="preserve"> DecimalPlaces - INT(LOG(MXN.Multiplier, 10) + 0.2)</f>
        <v>5</v>
      </c>
    </row>
    <row r="5" spans="2:6" ht="17" thickBot="1">
      <c r="B5" s="3" t="s">
        <v>511</v>
      </c>
      <c r="C5" s="3" t="s">
        <v>512</v>
      </c>
      <c r="D5" s="3" t="s">
        <v>513</v>
      </c>
      <c r="F5" s="3" t="s">
        <v>1757</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520</v>
      </c>
      <c r="F24">
        <f xml:space="preserve"> ROUND( MIN(MXN.RawX), MXN.DecimalPlaces)</f>
        <v>-1</v>
      </c>
    </row>
    <row r="25" spans="2:7">
      <c r="E25" s="4" t="s">
        <v>521</v>
      </c>
      <c r="F25">
        <f xml:space="preserve"> ROUND(MAX(MXN.RawX), MXN.DecimalPlaces)</f>
        <v>1</v>
      </c>
    </row>
    <row r="26" spans="2:7">
      <c r="E26" s="4" t="s">
        <v>522</v>
      </c>
      <c r="F26">
        <f xml:space="preserve"> ROUND( MIN(MXN.RawY), MXN.DecimalPlaces)</f>
        <v>-1</v>
      </c>
    </row>
    <row r="27" spans="2:7">
      <c r="E27" s="4" t="s">
        <v>523</v>
      </c>
      <c r="F27">
        <f xml:space="preserve"> ROUND(MAX(MXN.RawY), MXN.DecimalPlaces)</f>
        <v>1</v>
      </c>
    </row>
    <row r="29" spans="2:7">
      <c r="E29" s="4" t="s">
        <v>514</v>
      </c>
      <c r="F29" s="26">
        <v>1.375</v>
      </c>
    </row>
    <row r="30" spans="2:7">
      <c r="E30" s="4" t="s">
        <v>515</v>
      </c>
      <c r="F30">
        <f xml:space="preserve">  MAX(MXN.MaxY, - MXN.MinY)   /   MAX(MXN.MaxX, - MXN.MinX)</f>
        <v>1</v>
      </c>
    </row>
    <row r="31" spans="2:7">
      <c r="E31" s="4" t="s">
        <v>516</v>
      </c>
      <c r="F31">
        <f xml:space="preserve"> VALUE(TEXT(SQRT(MXN.AreaMultiplier * BasicBBoxArea * MXN.Aspect), SVG.NumberFormatHeight))</f>
        <v>17.600000000000001</v>
      </c>
      <c r="G31" s="5"/>
    </row>
    <row r="32" spans="2:7">
      <c r="E32" s="4" t="s">
        <v>517</v>
      </c>
      <c r="F32" cm="1">
        <f t="array" ref="F32" xml:space="preserve"> MXN.Height / MXN.Aspect</f>
        <v>17.600000000000001</v>
      </c>
    </row>
    <row r="33" spans="3:6">
      <c r="E33" s="4"/>
      <c r="F33" s="5"/>
    </row>
    <row r="34" spans="3:6">
      <c r="E34" s="4" t="s">
        <v>518</v>
      </c>
      <c r="F34" s="5" t="s">
        <v>774</v>
      </c>
    </row>
    <row r="35" spans="3:6">
      <c r="E35" s="4" t="s">
        <v>526</v>
      </c>
      <c r="F35" s="5" t="s">
        <v>2086</v>
      </c>
    </row>
    <row r="36" spans="3:6">
      <c r="E36" s="4" t="s">
        <v>519</v>
      </c>
      <c r="F36" s="5" t="s">
        <v>727</v>
      </c>
    </row>
    <row r="38" spans="3:6" ht="17" thickBot="1">
      <c r="F38" s="3" t="s">
        <v>524</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528</v>
      </c>
      <c r="C2" s="3" t="s">
        <v>529</v>
      </c>
      <c r="D2" s="3" t="s">
        <v>530</v>
      </c>
      <c r="F2" s="3" t="s">
        <v>531</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1065</v>
      </c>
      <c r="C32" s="1">
        <v>13</v>
      </c>
      <c r="D32" s="1">
        <v>13</v>
      </c>
    </row>
    <row r="33" spans="2:7">
      <c r="B33" t="s">
        <v>1065</v>
      </c>
      <c r="C33" s="1">
        <v>-13</v>
      </c>
      <c r="D33" s="1">
        <v>13</v>
      </c>
    </row>
    <row r="34" spans="2:7">
      <c r="B34" t="s">
        <v>1065</v>
      </c>
      <c r="C34" s="1">
        <v>-13</v>
      </c>
      <c r="D34" s="1">
        <v>-13</v>
      </c>
    </row>
    <row r="35" spans="2:7">
      <c r="B35" t="s">
        <v>1065</v>
      </c>
      <c r="C35" s="1">
        <v>13</v>
      </c>
      <c r="D35" s="1">
        <v>-13</v>
      </c>
    </row>
    <row r="38" spans="2:7">
      <c r="E38" s="4" t="s">
        <v>538</v>
      </c>
      <c r="F38">
        <f xml:space="preserve"> MIN(UYU.RawX)</f>
        <v>-34</v>
      </c>
    </row>
    <row r="39" spans="2:7">
      <c r="E39" s="4" t="s">
        <v>539</v>
      </c>
      <c r="F39">
        <f xml:space="preserve"> MAX(UYU.RawX)</f>
        <v>34</v>
      </c>
    </row>
    <row r="40" spans="2:7">
      <c r="E40" s="4" t="s">
        <v>540</v>
      </c>
      <c r="F40">
        <f xml:space="preserve"> MIN(UYU.RawY)</f>
        <v>-34</v>
      </c>
    </row>
    <row r="41" spans="2:7">
      <c r="E41" s="4" t="s">
        <v>541</v>
      </c>
      <c r="F41">
        <f xml:space="preserve"> MAX(UYU.RawY)</f>
        <v>34</v>
      </c>
    </row>
    <row r="43" spans="2:7">
      <c r="E43" s="4" t="s">
        <v>532</v>
      </c>
      <c r="F43" s="26">
        <v>1</v>
      </c>
    </row>
    <row r="44" spans="2:7">
      <c r="E44" s="4" t="s">
        <v>533</v>
      </c>
      <c r="F44">
        <f xml:space="preserve">  MAX(UYU.MaxY, - UYU.MinY)   /   MAX(UYU.MaxX, - UYU.MinX)</f>
        <v>1</v>
      </c>
      <c r="G44" s="5"/>
    </row>
    <row r="45" spans="2:7">
      <c r="E45" s="4" t="s">
        <v>534</v>
      </c>
      <c r="F45">
        <f xml:space="preserve"> VALUE(TEXT(SQRT(UYU.AreaMultiplier * BasicBBoxArea * UYU.Aspect), SVG.NumberFormatHeight))</f>
        <v>15</v>
      </c>
    </row>
    <row r="46" spans="2:7">
      <c r="E46" s="4" t="s">
        <v>535</v>
      </c>
      <c r="F46" cm="1">
        <f t="array" ref="F46" xml:space="preserve"> UYU.Height / UYU.Aspect</f>
        <v>15</v>
      </c>
    </row>
    <row r="47" spans="2:7">
      <c r="E47" s="4"/>
      <c r="F47" s="5"/>
    </row>
    <row r="48" spans="2:7">
      <c r="E48" s="4" t="s">
        <v>536</v>
      </c>
      <c r="F48" s="5" t="s">
        <v>1064</v>
      </c>
    </row>
    <row r="49" spans="3:6">
      <c r="E49" s="4" t="s">
        <v>537</v>
      </c>
      <c r="F49" s="5" t="s">
        <v>2086</v>
      </c>
    </row>
    <row r="51" spans="3:6" ht="17" thickBot="1">
      <c r="F51" s="3" t="s">
        <v>542</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1018</v>
      </c>
      <c r="C2" s="3" t="s">
        <v>544</v>
      </c>
      <c r="D2" s="3" t="s">
        <v>545</v>
      </c>
      <c r="F2" s="3" t="s">
        <v>546</v>
      </c>
    </row>
    <row r="3" spans="2:6">
      <c r="B3" t="s">
        <v>1020</v>
      </c>
      <c r="C3">
        <v>4</v>
      </c>
      <c r="D3">
        <v>0</v>
      </c>
      <c r="F3" t="str">
        <f t="array" ref="F3:F22" xml:space="preserve"> svgpath($C3:$C22, $D3:$D22, 5)</f>
        <v>M4 0</v>
      </c>
    </row>
    <row r="4" spans="2:6">
      <c r="B4" t="s">
        <v>1020</v>
      </c>
      <c r="C4">
        <v>5</v>
      </c>
      <c r="D4">
        <v>1</v>
      </c>
      <c r="F4" t="str">
        <v>L5 1</v>
      </c>
    </row>
    <row r="5" spans="2:6">
      <c r="B5" t="s">
        <v>1020</v>
      </c>
      <c r="C5">
        <v>5</v>
      </c>
      <c r="D5">
        <v>3</v>
      </c>
      <c r="F5" t="str">
        <v>V3</v>
      </c>
    </row>
    <row r="6" spans="2:6">
      <c r="B6" t="s">
        <v>1020</v>
      </c>
      <c r="C6">
        <v>3</v>
      </c>
      <c r="D6">
        <v>5</v>
      </c>
      <c r="F6" t="str">
        <v>L3 5</v>
      </c>
    </row>
    <row r="7" spans="2:6">
      <c r="B7" t="s">
        <v>1020</v>
      </c>
      <c r="C7">
        <v>1</v>
      </c>
      <c r="D7">
        <v>5</v>
      </c>
      <c r="F7" t="str">
        <v>H1</v>
      </c>
    </row>
    <row r="8" spans="2:6">
      <c r="B8" t="s">
        <v>1020</v>
      </c>
      <c r="C8">
        <v>0</v>
      </c>
      <c r="D8">
        <v>4</v>
      </c>
      <c r="F8" t="str">
        <v>L0 4</v>
      </c>
    </row>
    <row r="9" spans="2:6">
      <c r="B9" t="s">
        <v>1020</v>
      </c>
      <c r="C9">
        <v>-1</v>
      </c>
      <c r="D9">
        <v>5</v>
      </c>
      <c r="F9" t="str">
        <v>L-1 5</v>
      </c>
    </row>
    <row r="10" spans="2:6">
      <c r="B10" t="s">
        <v>1020</v>
      </c>
      <c r="C10">
        <v>-3</v>
      </c>
      <c r="D10">
        <v>5</v>
      </c>
      <c r="F10" t="str">
        <v>H-3</v>
      </c>
    </row>
    <row r="11" spans="2:6">
      <c r="B11" t="s">
        <v>1020</v>
      </c>
      <c r="C11">
        <v>-5</v>
      </c>
      <c r="D11">
        <v>3</v>
      </c>
      <c r="F11" t="str">
        <v>L-5 3</v>
      </c>
    </row>
    <row r="12" spans="2:6">
      <c r="B12" t="s">
        <v>1020</v>
      </c>
      <c r="C12">
        <v>-5</v>
      </c>
      <c r="D12">
        <v>1</v>
      </c>
      <c r="F12" t="str">
        <v>V1</v>
      </c>
    </row>
    <row r="13" spans="2:6">
      <c r="B13" t="s">
        <v>1020</v>
      </c>
      <c r="C13">
        <f xml:space="preserve"> - C3</f>
        <v>-4</v>
      </c>
      <c r="D13">
        <f xml:space="preserve"> - D3</f>
        <v>0</v>
      </c>
      <c r="F13" t="str">
        <v>L-4 0</v>
      </c>
    </row>
    <row r="14" spans="2:6">
      <c r="B14" t="s">
        <v>1020</v>
      </c>
      <c r="C14">
        <f t="shared" ref="C14:D22" si="0" xml:space="preserve"> - C4</f>
        <v>-5</v>
      </c>
      <c r="D14">
        <f t="shared" si="0"/>
        <v>-1</v>
      </c>
      <c r="F14" t="str">
        <v>L-5 -1</v>
      </c>
    </row>
    <row r="15" spans="2:6">
      <c r="B15" t="s">
        <v>1020</v>
      </c>
      <c r="C15">
        <f t="shared" si="0"/>
        <v>-5</v>
      </c>
      <c r="D15">
        <f t="shared" si="0"/>
        <v>-3</v>
      </c>
      <c r="F15" t="str">
        <v>V-3</v>
      </c>
    </row>
    <row r="16" spans="2:6">
      <c r="B16" t="s">
        <v>1020</v>
      </c>
      <c r="C16">
        <f t="shared" si="0"/>
        <v>-3</v>
      </c>
      <c r="D16">
        <f t="shared" si="0"/>
        <v>-5</v>
      </c>
      <c r="F16" t="str">
        <v>l2 -2</v>
      </c>
    </row>
    <row r="17" spans="2:6">
      <c r="B17" t="s">
        <v>1020</v>
      </c>
      <c r="C17">
        <f t="shared" si="0"/>
        <v>-1</v>
      </c>
      <c r="D17">
        <f t="shared" si="0"/>
        <v>-5</v>
      </c>
      <c r="F17" t="str">
        <v>h2</v>
      </c>
    </row>
    <row r="18" spans="2:6">
      <c r="B18" t="s">
        <v>1020</v>
      </c>
      <c r="C18">
        <f t="shared" si="0"/>
        <v>0</v>
      </c>
      <c r="D18">
        <f t="shared" si="0"/>
        <v>-4</v>
      </c>
      <c r="F18" t="str">
        <v>l1 1</v>
      </c>
    </row>
    <row r="19" spans="2:6">
      <c r="B19" t="s">
        <v>1020</v>
      </c>
      <c r="C19">
        <f t="shared" si="0"/>
        <v>1</v>
      </c>
      <c r="D19">
        <f t="shared" si="0"/>
        <v>-5</v>
      </c>
      <c r="F19" t="str">
        <v>L1 -5</v>
      </c>
    </row>
    <row r="20" spans="2:6">
      <c r="B20" t="s">
        <v>1020</v>
      </c>
      <c r="C20">
        <f t="shared" si="0"/>
        <v>3</v>
      </c>
      <c r="D20">
        <f t="shared" si="0"/>
        <v>-5</v>
      </c>
      <c r="F20" t="str">
        <v>H3</v>
      </c>
    </row>
    <row r="21" spans="2:6">
      <c r="B21" t="s">
        <v>1020</v>
      </c>
      <c r="C21">
        <f t="shared" si="0"/>
        <v>5</v>
      </c>
      <c r="D21">
        <f t="shared" si="0"/>
        <v>-3</v>
      </c>
      <c r="F21" t="str">
        <v>l2 2</v>
      </c>
    </row>
    <row r="22" spans="2:6">
      <c r="B22" t="s">
        <v>1020</v>
      </c>
      <c r="C22">
        <f t="shared" si="0"/>
        <v>5</v>
      </c>
      <c r="D22">
        <f t="shared" si="0"/>
        <v>-1</v>
      </c>
      <c r="F22" t="str">
        <v>v2Z</v>
      </c>
    </row>
    <row r="24" spans="2:6">
      <c r="B24" t="s">
        <v>1019</v>
      </c>
      <c r="C24" s="1">
        <v>5</v>
      </c>
      <c r="D24" s="1">
        <v>5</v>
      </c>
      <c r="F24" t="str">
        <f t="array" ref="F24:F35" xml:space="preserve"> svgpath($C24:$C35, $D24:$D35, 5)</f>
        <v>M5 5</v>
      </c>
    </row>
    <row r="25" spans="2:6">
      <c r="B25" t="s">
        <v>1019</v>
      </c>
      <c r="C25" s="1">
        <v>5</v>
      </c>
      <c r="D25" s="1">
        <v>3</v>
      </c>
      <c r="F25" t="str">
        <v>V3</v>
      </c>
    </row>
    <row r="26" spans="2:6">
      <c r="B26" t="s">
        <v>1019</v>
      </c>
      <c r="C26" s="1">
        <v>-5</v>
      </c>
      <c r="D26" s="1">
        <v>3</v>
      </c>
      <c r="F26" t="str">
        <v>H-5</v>
      </c>
    </row>
    <row r="27" spans="2:6">
      <c r="B27" t="s">
        <v>1019</v>
      </c>
      <c r="C27" s="1">
        <v>-5</v>
      </c>
      <c r="D27" s="1">
        <v>5</v>
      </c>
      <c r="F27" t="str">
        <v>V5</v>
      </c>
    </row>
    <row r="28" spans="2:6">
      <c r="B28" t="s">
        <v>1019</v>
      </c>
      <c r="C28" s="1">
        <v>-3</v>
      </c>
      <c r="D28" s="1">
        <v>5</v>
      </c>
      <c r="F28" t="str">
        <v>h2</v>
      </c>
    </row>
    <row r="29" spans="2:6">
      <c r="B29" t="s">
        <v>1019</v>
      </c>
      <c r="C29" s="1">
        <v>-3</v>
      </c>
      <c r="D29" s="1">
        <v>-5</v>
      </c>
      <c r="F29" t="str">
        <v>V-5</v>
      </c>
    </row>
    <row r="30" spans="2:6">
      <c r="B30" t="s">
        <v>1019</v>
      </c>
      <c r="C30" s="1">
        <v>-5</v>
      </c>
      <c r="D30" s="1">
        <v>-5</v>
      </c>
      <c r="F30" t="str">
        <v>H-5</v>
      </c>
    </row>
    <row r="31" spans="2:6">
      <c r="B31" t="s">
        <v>1019</v>
      </c>
      <c r="C31">
        <v>-5</v>
      </c>
      <c r="D31" s="1">
        <v>-3</v>
      </c>
      <c r="F31" t="str">
        <v>v2</v>
      </c>
    </row>
    <row r="32" spans="2:6">
      <c r="B32" t="s">
        <v>1019</v>
      </c>
      <c r="C32">
        <v>5</v>
      </c>
      <c r="D32">
        <v>-3</v>
      </c>
      <c r="F32" t="str">
        <v>H5</v>
      </c>
    </row>
    <row r="33" spans="2:6">
      <c r="B33" t="s">
        <v>1019</v>
      </c>
      <c r="C33">
        <v>5</v>
      </c>
      <c r="D33">
        <v>-5</v>
      </c>
      <c r="F33" t="str">
        <v>V-5</v>
      </c>
    </row>
    <row r="34" spans="2:6">
      <c r="B34" t="s">
        <v>1019</v>
      </c>
      <c r="C34">
        <v>3</v>
      </c>
      <c r="D34">
        <v>-5</v>
      </c>
      <c r="F34" t="str">
        <v>H3</v>
      </c>
    </row>
    <row r="35" spans="2:6">
      <c r="B35" t="s">
        <v>1019</v>
      </c>
      <c r="C35">
        <v>3</v>
      </c>
      <c r="D35">
        <v>5</v>
      </c>
      <c r="F35" t="str">
        <v>V5Z</v>
      </c>
    </row>
    <row r="37" spans="2:6">
      <c r="B37" t="s">
        <v>1019</v>
      </c>
      <c r="C37">
        <v>5</v>
      </c>
      <c r="D37">
        <v>1</v>
      </c>
      <c r="F37" t="str">
        <f t="array" ref="F37:F40" xml:space="preserve"> svgpath($C37:$C40, $D37:$D40, 5)</f>
        <v>M5 1</v>
      </c>
    </row>
    <row r="38" spans="2:6">
      <c r="B38" t="s">
        <v>1019</v>
      </c>
      <c r="C38">
        <v>5</v>
      </c>
      <c r="D38">
        <v>-1</v>
      </c>
      <c r="F38" t="str">
        <v>V-1</v>
      </c>
    </row>
    <row r="39" spans="2:6">
      <c r="B39" t="s">
        <v>1019</v>
      </c>
      <c r="C39">
        <v>-5</v>
      </c>
      <c r="D39">
        <v>-1</v>
      </c>
      <c r="F39" t="str">
        <v>H-5</v>
      </c>
    </row>
    <row r="40" spans="2:6">
      <c r="B40" t="s">
        <v>1019</v>
      </c>
      <c r="C40">
        <v>-5</v>
      </c>
      <c r="D40">
        <v>1</v>
      </c>
      <c r="F40" t="str">
        <v>V1Z</v>
      </c>
    </row>
    <row r="42" spans="2:6">
      <c r="B42" t="s">
        <v>1019</v>
      </c>
      <c r="C42">
        <v>-1</v>
      </c>
      <c r="D42">
        <v>5</v>
      </c>
      <c r="F42" t="str">
        <f t="array" ref="F42:F45" xml:space="preserve"> svgpath($C42:$C45, $D42:$D45, 5)</f>
        <v>M-1 5</v>
      </c>
    </row>
    <row r="43" spans="2:6">
      <c r="B43" t="s">
        <v>1019</v>
      </c>
      <c r="C43">
        <v>1</v>
      </c>
      <c r="D43">
        <v>5</v>
      </c>
      <c r="F43" t="str">
        <v>H1</v>
      </c>
    </row>
    <row r="44" spans="2:6">
      <c r="B44" t="s">
        <v>1019</v>
      </c>
      <c r="C44">
        <v>1</v>
      </c>
      <c r="D44">
        <v>-5</v>
      </c>
      <c r="F44" t="str">
        <v>V-5</v>
      </c>
    </row>
    <row r="45" spans="2:6">
      <c r="B45" t="s">
        <v>1019</v>
      </c>
      <c r="C45">
        <v>-1</v>
      </c>
      <c r="D45">
        <v>-5</v>
      </c>
      <c r="F45" t="str">
        <v>H-1Z</v>
      </c>
    </row>
    <row r="48" spans="2:6">
      <c r="E48" s="4" t="s">
        <v>553</v>
      </c>
      <c r="F48">
        <f xml:space="preserve"> MIN(BOB.RawX)</f>
        <v>-5</v>
      </c>
    </row>
    <row r="49" spans="3:7">
      <c r="E49" s="4" t="s">
        <v>554</v>
      </c>
      <c r="F49">
        <f xml:space="preserve"> MAX(BOB.RawX)</f>
        <v>5</v>
      </c>
    </row>
    <row r="50" spans="3:7">
      <c r="E50" s="4" t="s">
        <v>555</v>
      </c>
      <c r="F50">
        <f xml:space="preserve"> MIN(BOB.RawY)</f>
        <v>-5</v>
      </c>
    </row>
    <row r="51" spans="3:7">
      <c r="E51" s="4" t="s">
        <v>556</v>
      </c>
      <c r="F51">
        <f xml:space="preserve"> MAX(BOB.RawY)</f>
        <v>5</v>
      </c>
    </row>
    <row r="53" spans="3:7">
      <c r="E53" s="4" t="s">
        <v>547</v>
      </c>
      <c r="F53" s="26">
        <f xml:space="preserve"> MODE(Squares.AreaMultiplier)</f>
        <v>0.85</v>
      </c>
    </row>
    <row r="54" spans="3:7">
      <c r="E54" s="4" t="s">
        <v>548</v>
      </c>
      <c r="F54">
        <f xml:space="preserve">  MAX(BOB.MaxY, - BOB.MinY)   /   MAX(BOB.MaxX, - BOB.MinX)</f>
        <v>1</v>
      </c>
      <c r="G54" s="5"/>
    </row>
    <row r="55" spans="3:7">
      <c r="E55" s="4" t="s">
        <v>549</v>
      </c>
      <c r="F55">
        <f xml:space="preserve"> VALUE(TEXT(SQRT(BOB.AreaMultiplier * BasicBBoxArea * BOB.Aspect), SVG.NumberFormatHeight))</f>
        <v>13.8</v>
      </c>
    </row>
    <row r="56" spans="3:7">
      <c r="E56" s="4" t="s">
        <v>550</v>
      </c>
      <c r="F56" cm="1">
        <f t="array" ref="F56" xml:space="preserve"> BOB.Height / BOB.Aspect</f>
        <v>13.8</v>
      </c>
    </row>
    <row r="57" spans="3:7">
      <c r="E57" s="4"/>
      <c r="F57" s="5"/>
    </row>
    <row r="58" spans="3:7">
      <c r="E58" s="4" t="s">
        <v>551</v>
      </c>
      <c r="F58" s="5" t="str">
        <f>"fill='#FFF'"</f>
        <v>fill='#FFF'</v>
      </c>
    </row>
    <row r="59" spans="3:7">
      <c r="E59" s="4" t="s">
        <v>552</v>
      </c>
      <c r="F59" s="5" t="s">
        <v>725</v>
      </c>
    </row>
    <row r="61" spans="3:7" ht="17" thickBot="1">
      <c r="F61" s="3" t="s">
        <v>557</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581</v>
      </c>
      <c r="F2">
        <f xml:space="preserve"> DecimalPlaces - INT(LOG(MIN(  MAX(FR.RawX) - MIN(FR.RawX),  MAX(FR.RawY) - MIN(FR.RawY)  )/2, 10) + 0.2)</f>
        <v>5</v>
      </c>
    </row>
    <row r="4" spans="2:6" ht="17" thickBot="1">
      <c r="B4" s="3" t="s">
        <v>582</v>
      </c>
      <c r="C4" s="3" t="s">
        <v>583</v>
      </c>
      <c r="D4" s="3" t="s">
        <v>584</v>
      </c>
      <c r="F4" s="3" t="s">
        <v>1741</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592</v>
      </c>
      <c r="F13">
        <f xml:space="preserve"> ROUND( MIN(FR.RawX), FR.DecimalPlaces)</f>
        <v>-3.4641000000000002</v>
      </c>
    </row>
    <row r="14" spans="2:6">
      <c r="E14" s="4" t="s">
        <v>593</v>
      </c>
      <c r="F14">
        <f xml:space="preserve"> ROUND(MAX(FR.RawX), FR.DecimalPlaces)</f>
        <v>3.4641000000000002</v>
      </c>
    </row>
    <row r="15" spans="2:6">
      <c r="E15" s="4" t="s">
        <v>594</v>
      </c>
      <c r="F15">
        <f xml:space="preserve"> ROUND( MIN(FR.RawY), FR.DecimalPlaces)</f>
        <v>-4</v>
      </c>
    </row>
    <row r="16" spans="2:6">
      <c r="E16" s="4" t="s">
        <v>595</v>
      </c>
      <c r="F16">
        <f xml:space="preserve"> ROUND(MAX(FR.RawY), FR.DecimalPlaces)</f>
        <v>4</v>
      </c>
    </row>
    <row r="18" spans="2:8">
      <c r="E18" s="4" t="s">
        <v>585</v>
      </c>
      <c r="F18" s="26">
        <f xml:space="preserve"> 17 / 16</f>
        <v>1.0625</v>
      </c>
    </row>
    <row r="19" spans="2:8">
      <c r="E19" s="4" t="s">
        <v>586</v>
      </c>
      <c r="F19">
        <f xml:space="preserve">  MAX(FR.MaxY, - FR.MinY)   /   MAX(FR.MaxX, - FR.MinX)</f>
        <v>1.154701076758754</v>
      </c>
    </row>
    <row r="20" spans="2:8">
      <c r="E20" s="4" t="s">
        <v>587</v>
      </c>
      <c r="F20">
        <f xml:space="preserve"> VALUE(TEXT(SQRT(FR.AreaMultiplier * BasicBBoxArea * FR.Aspect), SVG.NumberFormatHeight))</f>
        <v>16.600000000000001</v>
      </c>
    </row>
    <row r="21" spans="2:8">
      <c r="E21" s="4" t="s">
        <v>588</v>
      </c>
      <c r="F21" cm="1">
        <f t="array" ref="F21" xml:space="preserve"> FR.Height / FR.Aspect</f>
        <v>14.376015000000002</v>
      </c>
    </row>
    <row r="23" spans="2:8">
      <c r="E23" s="4" t="s">
        <v>589</v>
      </c>
      <c r="F23" t="s">
        <v>775</v>
      </c>
    </row>
    <row r="24" spans="2:8">
      <c r="E24" s="4" t="s">
        <v>590</v>
      </c>
      <c r="F24" t="s">
        <v>2086</v>
      </c>
    </row>
    <row r="25" spans="2:8">
      <c r="E25" s="4" t="s">
        <v>591</v>
      </c>
      <c r="F25" t="s">
        <v>776</v>
      </c>
    </row>
    <row r="27" spans="2:8" ht="17" thickBot="1">
      <c r="F27" s="3" t="s">
        <v>596</v>
      </c>
      <c r="H27" s="3" t="s">
        <v>2268</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1714</v>
      </c>
      <c r="D2" s="2" t="s">
        <v>1715</v>
      </c>
      <c r="F2" s="3" t="s">
        <v>1716</v>
      </c>
    </row>
    <row r="3" spans="2:16">
      <c r="C3" t="b">
        <v>1</v>
      </c>
      <c r="D3" t="b" cm="1">
        <f t="array" ref="D3" xml:space="preserve"> NL.ReflectX</f>
        <v>1</v>
      </c>
      <c r="F3">
        <f xml:space="preserve"> DecimalPlaces - INT(LOG(MIN(  MAX(NL.RawX) - MIN(NL.RawX),  MAX(NL.RawY) - MIN(NL.RawY)  )/2, 10) + 0.2)</f>
        <v>4</v>
      </c>
    </row>
    <row r="5" spans="2:16" ht="17" thickBot="1">
      <c r="B5" s="3" t="s">
        <v>1717</v>
      </c>
      <c r="C5" s="3" t="s">
        <v>1718</v>
      </c>
      <c r="D5" s="3" t="s">
        <v>1719</v>
      </c>
      <c r="F5" s="3" t="s">
        <v>1740</v>
      </c>
      <c r="K5" s="3" t="s">
        <v>1720</v>
      </c>
      <c r="L5" s="3" t="s">
        <v>1721</v>
      </c>
      <c r="M5" s="3" t="s">
        <v>1722</v>
      </c>
      <c r="N5" s="3" t="s">
        <v>1723</v>
      </c>
      <c r="O5" s="3" t="s">
        <v>1724</v>
      </c>
      <c r="P5" s="3" t="s">
        <v>1725</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1726</v>
      </c>
      <c r="I23">
        <v>-1</v>
      </c>
    </row>
    <row r="24" spans="2:16">
      <c r="H24" s="4" t="s">
        <v>1727</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1728</v>
      </c>
      <c r="F43">
        <f xml:space="preserve"> ROUND( MIN(NL.RawX), NL.DecimalPlaces)</f>
        <v>-10</v>
      </c>
    </row>
    <row r="44" spans="2:16">
      <c r="E44" s="4" t="s">
        <v>1729</v>
      </c>
      <c r="F44">
        <f xml:space="preserve"> ROUND(MAX(NL.RawX), NL.DecimalPlaces)</f>
        <v>10</v>
      </c>
    </row>
    <row r="45" spans="2:16">
      <c r="E45" s="4" t="s">
        <v>1730</v>
      </c>
      <c r="F45">
        <f xml:space="preserve"> ROUND( MIN(NL.RawY), NL.DecimalPlaces)</f>
        <v>-7</v>
      </c>
    </row>
    <row r="46" spans="2:16">
      <c r="E46" s="4" t="s">
        <v>1731</v>
      </c>
      <c r="F46">
        <f xml:space="preserve"> ROUND(MAX(NL.RawY), NL.DecimalPlaces)</f>
        <v>7</v>
      </c>
    </row>
    <row r="48" spans="2:16">
      <c r="E48" s="4" t="s">
        <v>1732</v>
      </c>
      <c r="F48" s="26">
        <v>0.875</v>
      </c>
    </row>
    <row r="49" spans="4:7">
      <c r="E49" s="4" t="s">
        <v>1733</v>
      </c>
      <c r="F49" cm="1">
        <f t="array" ref="F49" xml:space="preserve">  MAX(NL.MaxY, - NL.MinY)   /   MAX(NL.MaxX, - NL.MinX)</f>
        <v>0.7</v>
      </c>
    </row>
    <row r="50" spans="4:7">
      <c r="E50" s="4" t="s">
        <v>1734</v>
      </c>
      <c r="F50" cm="1">
        <f t="array" ref="F50" xml:space="preserve"> VALUE(TEXT(SQRT(NL.AreaMultiplier* BasicBBoxArea * NL.Aspect), SVG.NumberFormatHeight))</f>
        <v>11.7</v>
      </c>
    </row>
    <row r="51" spans="4:7">
      <c r="E51" s="4" t="s">
        <v>1735</v>
      </c>
      <c r="F51" cm="1">
        <f t="array" ref="F51" xml:space="preserve"> NL.Height / NL.Aspect</f>
        <v>16.714285714285715</v>
      </c>
    </row>
    <row r="53" spans="4:7">
      <c r="E53" s="4" t="s">
        <v>1736</v>
      </c>
      <c r="F53" t="s">
        <v>720</v>
      </c>
    </row>
    <row r="54" spans="4:7">
      <c r="E54" s="4" t="s">
        <v>1737</v>
      </c>
      <c r="F54" t="s">
        <v>1739</v>
      </c>
    </row>
    <row r="55" spans="4:7">
      <c r="E55" s="4" t="s">
        <v>2282</v>
      </c>
      <c r="F55" t="s">
        <v>2284</v>
      </c>
    </row>
    <row r="57" spans="4:7" ht="17" thickBot="1">
      <c r="F57" s="3" t="s">
        <v>1738</v>
      </c>
      <c r="G57" s="3" t="s">
        <v>2283</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648</v>
      </c>
      <c r="C2" cm="1">
        <f t="array" ref="C2" xml:space="preserve"> DecimalPlaces - INT(LOG(MIN(  2*BE.RadiusOuter  )/2, 10) + 0.2)</f>
        <v>4</v>
      </c>
    </row>
    <row r="4" spans="2:6">
      <c r="B4" s="4" t="s">
        <v>642</v>
      </c>
      <c r="C4" cm="1">
        <f t="array" ref="C4" xml:space="preserve"> BE.RadiusOuter</f>
        <v>10</v>
      </c>
    </row>
    <row r="5" spans="2:6">
      <c r="B5" s="4" t="s">
        <v>643</v>
      </c>
      <c r="C5" cm="1">
        <f t="array" ref="C5" xml:space="preserve"> BE.MaxX</f>
        <v>10</v>
      </c>
    </row>
    <row r="6" spans="2:6">
      <c r="B6" s="4" t="s">
        <v>644</v>
      </c>
      <c r="C6" cm="1">
        <f t="array" ref="C6" xml:space="preserve"> - BE.MaxX</f>
        <v>-10</v>
      </c>
    </row>
    <row r="7" spans="2:6">
      <c r="B7" s="4" t="s">
        <v>645</v>
      </c>
      <c r="C7" cm="1">
        <f t="array" ref="C7" xml:space="preserve"> - BE.MaxY</f>
        <v>-10</v>
      </c>
    </row>
    <row r="9" spans="2:6">
      <c r="B9" s="4" t="s">
        <v>636</v>
      </c>
      <c r="C9" s="26">
        <f xml:space="preserve"> MODE(Circles.AreaMultiplier)</f>
        <v>1</v>
      </c>
      <c r="F9"/>
    </row>
    <row r="10" spans="2:6">
      <c r="B10" s="4" t="s">
        <v>637</v>
      </c>
      <c r="C10">
        <f xml:space="preserve"> MAX(BE.MaxY, - BE.MinY)   /   MAX(BE.MaxX, - BE.MinX)</f>
        <v>1</v>
      </c>
    </row>
    <row r="11" spans="2:6">
      <c r="B11" s="4" t="s">
        <v>638</v>
      </c>
      <c r="C11">
        <f xml:space="preserve"> VALUE(TEXT(SQRT(BE.AreaMultiplier * BasicBBoxArea * BE.Aspect), SVG.NumberFormatHeight))</f>
        <v>15</v>
      </c>
    </row>
    <row r="12" spans="2:6">
      <c r="B12" s="4" t="s">
        <v>639</v>
      </c>
      <c r="C12" cm="1">
        <f t="array" ref="C12" xml:space="preserve"> BE.Height / BE.Aspect</f>
        <v>15</v>
      </c>
    </row>
    <row r="14" spans="2:6">
      <c r="B14" s="4" t="s">
        <v>640</v>
      </c>
      <c r="C14" t="str">
        <f xml:space="preserve"> "='#FFCC33'"</f>
        <v>='#FFCC33'</v>
      </c>
    </row>
    <row r="15" spans="2:6">
      <c r="B15" s="4" t="s">
        <v>641</v>
      </c>
      <c r="C15" t="str">
        <f xml:space="preserve"> "='#663319'"</f>
        <v>='#663319'</v>
      </c>
    </row>
    <row r="17" spans="2:7" ht="17" thickBot="1">
      <c r="B17" s="3" t="s">
        <v>646</v>
      </c>
      <c r="C17" s="3" t="s">
        <v>647</v>
      </c>
      <c r="D17" s="3" t="s">
        <v>650</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651</v>
      </c>
      <c r="C20" s="3" t="s">
        <v>652</v>
      </c>
      <c r="D20" s="3" t="s">
        <v>653</v>
      </c>
      <c r="F20" s="36" t="s">
        <v>1505</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649</v>
      </c>
      <c r="G27" s="36" t="s">
        <v>2286</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1563</v>
      </c>
      <c r="J2" t="b">
        <v>1</v>
      </c>
    </row>
    <row r="3" spans="9:11">
      <c r="I3" s="4" t="s">
        <v>1490</v>
      </c>
      <c r="J3" s="21" t="s">
        <v>1491</v>
      </c>
      <c r="K3" s="21"/>
    </row>
    <row r="4" spans="9:11">
      <c r="I4" s="4" t="s">
        <v>1564</v>
      </c>
      <c r="J4" s="21" t="s">
        <v>1487</v>
      </c>
    </row>
    <row r="6" spans="9:11">
      <c r="I6" s="4" t="s">
        <v>1561</v>
      </c>
      <c r="J6">
        <f xml:space="preserve"> VALUE("100.6598934115317093127546795530849115415227559341255318889896735120632206040829530102514681")</f>
        <v>100.659893411531</v>
      </c>
    </row>
    <row r="7" spans="9:11">
      <c r="I7" s="4" t="s">
        <v>665</v>
      </c>
      <c r="J7">
        <f xml:space="preserve"> DecimalPlaces - INT(LOG(MIN(  2*IE.RadiusShamrock  )/2, 10) + 0.2)</f>
        <v>3</v>
      </c>
    </row>
    <row r="8" spans="9:11">
      <c r="I8" s="4" t="s">
        <v>1562</v>
      </c>
      <c r="J8">
        <f xml:space="preserve"> IF(IE.BoundingCircle, ROUND(1.083 * IE.RadiusShamrock, IE.DecimalPlaces - 2), #N/A)</f>
        <v>109</v>
      </c>
    </row>
    <row r="10" spans="9:11">
      <c r="I10" s="4" t="s">
        <v>661</v>
      </c>
      <c r="J10" cm="1">
        <f t="array" ref="J10" xml:space="preserve"> IF(IE.BoundingCircle, IE.Radius, CEILING( ( (16315 + 2128*Sqrt3)^1.5  -  458634*Sqrt3  -  2028376 ) / (17019 - 9792*Sqrt3), 10^-IE.DecimalPlaces) )</f>
        <v>109</v>
      </c>
    </row>
    <row r="11" spans="9:11">
      <c r="I11" s="4" t="s">
        <v>662</v>
      </c>
      <c r="J11">
        <f xml:space="preserve"> IF(IE.BoundingCircle, IE.Radius, CEILING(2 * (3817^1.5 - 110510) / 2601, 10^-IE.DecimalPlaces) )</f>
        <v>109</v>
      </c>
    </row>
    <row r="12" spans="9:11">
      <c r="I12" s="4" t="s">
        <v>663</v>
      </c>
      <c r="J12" cm="1">
        <f t="array" ref="J12" xml:space="preserve"> - IE.MaxX</f>
        <v>-109</v>
      </c>
    </row>
    <row r="13" spans="9:11">
      <c r="I13" s="4" t="s">
        <v>664</v>
      </c>
      <c r="J13" cm="1">
        <f t="array" ref="J13" xml:space="preserve"> - IE.MaxY</f>
        <v>-109</v>
      </c>
    </row>
    <row r="15" spans="9:11">
      <c r="I15" s="4" t="s">
        <v>1489</v>
      </c>
      <c r="J15" t="e">
        <f>IF(IE.BoundingCircle, #N/A, (19^1.5 - 28 ) * 2 / 9)</f>
        <v>#N/A</v>
      </c>
    </row>
    <row r="17" spans="2:12">
      <c r="I17" s="4" t="s">
        <v>657</v>
      </c>
      <c r="J17" s="26">
        <f xml:space="preserve"> IF(IE.BoundingCircle, MODE(Circles.AreaMultiplier), 1.5)</f>
        <v>1</v>
      </c>
    </row>
    <row r="18" spans="2:12">
      <c r="I18" s="4" t="s">
        <v>658</v>
      </c>
      <c r="J18">
        <f xml:space="preserve"> MAX(IE.MaxY, - IE.MinY)   /   MAX(IE.MaxX, - IE.MinX)</f>
        <v>1</v>
      </c>
    </row>
    <row r="19" spans="2:12">
      <c r="I19" s="4" t="s">
        <v>659</v>
      </c>
      <c r="J19">
        <f xml:space="preserve"> VALUE(TEXT(SQRT(IE.AreaMultiplier * BasicBBoxArea * IE.Aspect), SVG.NumberFormatHeight))</f>
        <v>15</v>
      </c>
    </row>
    <row r="20" spans="2:12">
      <c r="I20" s="4" t="s">
        <v>660</v>
      </c>
      <c r="J20" cm="1">
        <f t="array" ref="J20" xml:space="preserve"> IE.Height / IE.Aspect</f>
        <v>15</v>
      </c>
    </row>
    <row r="22" spans="2:12" ht="17" thickBot="1">
      <c r="B22" s="3" t="s">
        <v>1488</v>
      </c>
      <c r="C22" s="3" t="s">
        <v>667</v>
      </c>
      <c r="D22" s="3"/>
      <c r="E22" s="3" t="s">
        <v>668</v>
      </c>
      <c r="F22" s="3" t="s">
        <v>669</v>
      </c>
      <c r="G22" s="3" t="s">
        <v>670</v>
      </c>
      <c r="H22" s="3" t="s">
        <v>671</v>
      </c>
      <c r="I22" s="3" t="s">
        <v>672</v>
      </c>
      <c r="J22" s="3" t="s">
        <v>673</v>
      </c>
      <c r="L22" s="36" t="s">
        <v>1486</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558</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558</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558</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558</v>
      </c>
    </row>
    <row r="51" spans="2:13">
      <c r="L51" cm="1">
        <f t="array" ref="L51">SVG_length(IE.svg)</f>
        <v>318</v>
      </c>
    </row>
    <row r="53" spans="2:13" ht="17" thickBot="1">
      <c r="L53" s="36" t="s">
        <v>666</v>
      </c>
      <c r="M53" s="36" t="s">
        <v>2281</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2131</v>
      </c>
    </row>
    <row r="3" spans="2:5">
      <c r="E3">
        <f xml:space="preserve"> DecimalPlaces - INT(LOG(MIN(  MAX(GR.RawX) - MIN(GR.RawX),  MAX(GR.RawY) - MIN(GR.RawY)  )/2, 10) + 0.2)</f>
        <v>5</v>
      </c>
    </row>
    <row r="5" spans="2:5" ht="17" thickBot="1">
      <c r="B5" s="3" t="s">
        <v>2132</v>
      </c>
      <c r="C5" s="3" t="s">
        <v>2133</v>
      </c>
      <c r="E5" s="3" t="s">
        <v>2134</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2136</v>
      </c>
      <c r="E20">
        <f xml:space="preserve"> ROUND(MAX(GR.RawX), GR.DecimalPlaces) + 1</f>
        <v>6</v>
      </c>
    </row>
    <row r="21" spans="2:5">
      <c r="D21" s="4" t="s">
        <v>2138</v>
      </c>
      <c r="E21">
        <f xml:space="preserve"> GR.MaxX</f>
        <v>6</v>
      </c>
    </row>
    <row r="22" spans="2:5">
      <c r="D22" s="4" t="s">
        <v>2135</v>
      </c>
      <c r="E22">
        <f xml:space="preserve"> - GR.MaxX</f>
        <v>-6</v>
      </c>
    </row>
    <row r="23" spans="2:5">
      <c r="D23" s="4" t="s">
        <v>2137</v>
      </c>
      <c r="E23">
        <f xml:space="preserve"> - GR.MaxY</f>
        <v>-6</v>
      </c>
    </row>
    <row r="25" spans="2:5">
      <c r="D25" s="4" t="s">
        <v>2139</v>
      </c>
      <c r="E25" s="26">
        <f xml:space="preserve"> MODE(Squares.AreaMultiplier)</f>
        <v>0.85</v>
      </c>
    </row>
    <row r="26" spans="2:5">
      <c r="D26" s="4" t="s">
        <v>2140</v>
      </c>
      <c r="E26" cm="1">
        <f t="array" ref="E26" xml:space="preserve">  MAX(GR.MaxY, - GR.MinY)   /   MAX(GR.MaxX, - GR.MinX)</f>
        <v>1</v>
      </c>
    </row>
    <row r="27" spans="2:5">
      <c r="D27" s="4" t="s">
        <v>2141</v>
      </c>
      <c r="E27" cm="1">
        <f t="array" ref="E27" xml:space="preserve"> VALUE(TEXT(SQRT(GR.AreaMultiplier * BasicBBoxArea * GR.Aspect), SVG.NumberFormatHeight))</f>
        <v>13.8</v>
      </c>
    </row>
    <row r="28" spans="2:5">
      <c r="D28" s="4" t="s">
        <v>2142</v>
      </c>
      <c r="E28" cm="1">
        <f t="array" ref="E28" xml:space="preserve"> GR.Height / GR.Aspect</f>
        <v>13.8</v>
      </c>
    </row>
    <row r="29" spans="2:5">
      <c r="D29" s="4"/>
      <c r="E29" s="5"/>
    </row>
    <row r="30" spans="2:5">
      <c r="D30" s="4" t="s">
        <v>2143</v>
      </c>
      <c r="E30" s="5" t="s">
        <v>789</v>
      </c>
    </row>
    <row r="31" spans="2:5">
      <c r="D31" s="4" t="s">
        <v>2144</v>
      </c>
      <c r="E31" s="5" t="s">
        <v>2086</v>
      </c>
    </row>
    <row r="32" spans="2:5">
      <c r="D32" s="4" t="s">
        <v>2293</v>
      </c>
      <c r="E32" s="5" t="s">
        <v>2299</v>
      </c>
    </row>
    <row r="34" spans="5:6">
      <c r="E34" cm="1">
        <f t="array" ref="E34" xml:space="preserve"> SVG_length(GR.svg)</f>
        <v>225</v>
      </c>
    </row>
    <row r="36" spans="5:6" ht="17" thickBot="1">
      <c r="E36" s="3" t="s">
        <v>2145</v>
      </c>
      <c r="F36" s="3" t="s">
        <v>2294</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615</v>
      </c>
      <c r="C2" s="2" t="s">
        <v>614</v>
      </c>
      <c r="F2" s="3" t="s">
        <v>598</v>
      </c>
    </row>
    <row r="3" spans="2:6">
      <c r="B3">
        <v>8</v>
      </c>
      <c r="C3">
        <f xml:space="preserve"> SI.OuterRadius / 2</f>
        <v>4</v>
      </c>
      <c r="F3">
        <f xml:space="preserve"> DecimalPlaces - INT(LOG(MIN(  MAX(SI.RawX) - MIN(SI.RawX),  MAX(SI.RawY) - MIN(SI.RawY)  )/2, 10) + 0.2)</f>
        <v>4</v>
      </c>
    </row>
    <row r="5" spans="2:6" ht="17" thickBot="1">
      <c r="B5" s="3" t="s">
        <v>616</v>
      </c>
      <c r="C5" s="3" t="s">
        <v>599</v>
      </c>
      <c r="D5" s="3" t="s">
        <v>600</v>
      </c>
      <c r="F5" s="3" t="s">
        <v>601</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608</v>
      </c>
      <c r="F20">
        <f xml:space="preserve"> ROUND( MIN(SI.RawX), SI.DecimalPlaces)</f>
        <v>-6.9282000000000004</v>
      </c>
    </row>
    <row r="21" spans="2:6">
      <c r="E21" s="4" t="s">
        <v>609</v>
      </c>
      <c r="F21">
        <f xml:space="preserve"> ROUND(MAX(SI.RawX), SI.DecimalPlaces)</f>
        <v>6.9282000000000004</v>
      </c>
    </row>
    <row r="22" spans="2:6">
      <c r="E22" s="4" t="s">
        <v>610</v>
      </c>
      <c r="F22">
        <f xml:space="preserve"> ROUND( MIN(SI.RawY), SI.DecimalPlaces)</f>
        <v>-8</v>
      </c>
    </row>
    <row r="23" spans="2:6">
      <c r="E23" s="4" t="s">
        <v>611</v>
      </c>
      <c r="F23">
        <f xml:space="preserve"> ROUND(MAX(SI.RawY), SI.DecimalPlaces)</f>
        <v>8</v>
      </c>
    </row>
    <row r="25" spans="2:6">
      <c r="E25" s="4" t="s">
        <v>602</v>
      </c>
      <c r="F25" s="26">
        <v>1.125</v>
      </c>
    </row>
    <row r="26" spans="2:6">
      <c r="E26" s="4" t="s">
        <v>603</v>
      </c>
      <c r="F26">
        <f xml:space="preserve">  MAX(SI.MaxY, - SI.MinY)   /   MAX(SI.MaxX, - SI.MinX)</f>
        <v>1.154701076758754</v>
      </c>
    </row>
    <row r="27" spans="2:6">
      <c r="E27" s="4" t="s">
        <v>604</v>
      </c>
      <c r="F27">
        <f xml:space="preserve"> VALUE(TEXT(SQRT(SI.AreaMultiplier * BasicBBoxArea * SI.Aspect), SVG.NumberFormatHeight))</f>
        <v>17.100000000000001</v>
      </c>
    </row>
    <row r="28" spans="2:6">
      <c r="E28" s="4" t="s">
        <v>605</v>
      </c>
      <c r="F28" cm="1">
        <f t="array" ref="F28" xml:space="preserve"> SI.Height / SI.Aspect</f>
        <v>14.809027500000003</v>
      </c>
    </row>
    <row r="29" spans="2:6">
      <c r="E29" s="4"/>
      <c r="F29" s="5"/>
    </row>
    <row r="30" spans="2:6">
      <c r="E30" s="4" t="s">
        <v>606</v>
      </c>
      <c r="F30" s="5" t="s">
        <v>772</v>
      </c>
    </row>
    <row r="31" spans="2:6">
      <c r="E31" s="4" t="s">
        <v>607</v>
      </c>
      <c r="F31" s="5" t="s">
        <v>773</v>
      </c>
    </row>
    <row r="33" spans="6:7">
      <c r="F33" cm="1">
        <f t="array" ref="F33" xml:space="preserve"> SVG_length(SI.svg)</f>
        <v>353</v>
      </c>
    </row>
    <row r="35" spans="6:7" ht="17" thickBot="1">
      <c r="F35" s="3" t="s">
        <v>612</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618</v>
      </c>
      <c r="G45" s="5" t="s">
        <v>619</v>
      </c>
    </row>
    <row r="46" spans="6:7">
      <c r="F46" t="s">
        <v>617</v>
      </c>
      <c r="G46" s="5" t="s">
        <v>620</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1497</v>
      </c>
      <c r="I2" s="5" t="s">
        <v>1500</v>
      </c>
    </row>
    <row r="3" spans="2:11">
      <c r="H3" s="4" t="s">
        <v>1498</v>
      </c>
      <c r="I3" s="5" t="s">
        <v>1495</v>
      </c>
    </row>
    <row r="5" spans="2:11">
      <c r="H5" s="4" t="s">
        <v>1536</v>
      </c>
      <c r="I5">
        <f xml:space="preserve"> 39*4*10</f>
        <v>1560</v>
      </c>
    </row>
    <row r="6" spans="2:11">
      <c r="H6" s="4" t="s">
        <v>680</v>
      </c>
      <c r="I6">
        <f xml:space="preserve"> DecimalPlaces - INT(LOG(CY.Rescale) + 0.2)</f>
        <v>2</v>
      </c>
    </row>
    <row r="7" spans="2:11">
      <c r="B7" s="4" t="s">
        <v>694</v>
      </c>
      <c r="C7">
        <f xml:space="preserve"> MATCH(MAX(CY.Y1), CY.Y1, 0)</f>
        <v>10</v>
      </c>
      <c r="H7" s="4" t="s">
        <v>1499</v>
      </c>
      <c r="I7">
        <f xml:space="preserve"> CY.Y_Max / 4</f>
        <v>161.77081323372275</v>
      </c>
      <c r="J7" s="5"/>
      <c r="K7" s="5"/>
    </row>
    <row r="8" spans="2:11">
      <c r="B8" s="4" t="s">
        <v>696</v>
      </c>
      <c r="C8" cm="1">
        <f t="array" ref="C8" xml:space="preserve"> INDEX(CY.Y3, CY.Points_RowNum - 1)</f>
        <v>600</v>
      </c>
      <c r="H8" s="4" t="s">
        <v>681</v>
      </c>
      <c r="I8">
        <f xml:space="preserve"> CEILING(MAX($D$26:$D$31, $F$26:$F$31, $H$26:$H$31) + CY.RectExtra, 10^(2-CY.DecimalPlaces))</f>
        <v>882</v>
      </c>
    </row>
    <row r="9" spans="2:11">
      <c r="B9" s="4" t="s">
        <v>697</v>
      </c>
      <c r="C9" cm="1">
        <f t="array" ref="C9" xml:space="preserve"> 3 * INDEX(CY.Y1, CY.Points_RowNum) - 3 * INDEX(CY.Y3, CY.Points_RowNum - 1)</f>
        <v>495</v>
      </c>
      <c r="H9" s="4" t="s">
        <v>682</v>
      </c>
      <c r="I9">
        <f xml:space="preserve"> CEILING( ABS(CY.Y_Max) + CY.RectExtra, 10^(2-CY.DecimalPlaces))</f>
        <v>809</v>
      </c>
    </row>
    <row r="10" spans="2:11">
      <c r="B10" s="4" t="s">
        <v>698</v>
      </c>
      <c r="C10" cm="1">
        <f t="array" ref="C10" xml:space="preserve"> 3 * INDEX(CY.Y2, CY.Points_RowNum)  -  6 * INDEX(CY.Y1, CY.Points_RowNum) + 3 * INDEX(CY.Y3, CY.Points_RowNum - 1)</f>
        <v>-1350</v>
      </c>
      <c r="H10" s="4" t="s">
        <v>683</v>
      </c>
      <c r="I10" cm="1">
        <f t="array" ref="I10" xml:space="preserve"> - CY.MaxX</f>
        <v>-882</v>
      </c>
    </row>
    <row r="11" spans="2:11">
      <c r="B11" s="4" t="s">
        <v>699</v>
      </c>
      <c r="C11" cm="1">
        <f t="array" ref="C11" xml:space="preserve"> INDEX(CY.Y3, CY.Points_RowNum)  -  3 * INDEX(CY.Y2, CY.Points_RowNum)  + 3 * INDEX(CY.Y1, CY.Points_RowNum) - INDEX(CY.Y3, CY.Points_RowNum - 1)</f>
        <v>255</v>
      </c>
      <c r="H11" s="4" t="s">
        <v>684</v>
      </c>
      <c r="I11" cm="1">
        <f t="array" ref="I11" xml:space="preserve"> - CY.MaxY</f>
        <v>-809</v>
      </c>
    </row>
    <row r="12" spans="2:11">
      <c r="B12" s="4" t="s">
        <v>695</v>
      </c>
      <c r="C12">
        <f xml:space="preserve"> (-2*CY.Y_Coeff2 - SQRT( (2*CY.Y_Coeff2)^2 - 4*CY.Y_Coeff1*3*CY.Y_Coeff3) ) / (2*3*CY.Y_Coeff3)</f>
        <v>0.19399647966838945</v>
      </c>
    </row>
    <row r="13" spans="2:11">
      <c r="B13" s="4" t="s">
        <v>700</v>
      </c>
      <c r="C13">
        <f xml:space="preserve"> ((CY.Y_Coeff3*CY.t_Turn + CY.Y_Coeff2)*CY.t_Turn + CY.Y_Coeff1)*CY.t_Turn + CY.Y_Coeff0</f>
        <v>647.08325293489099</v>
      </c>
      <c r="H13" s="4" t="s">
        <v>676</v>
      </c>
      <c r="I13" s="26">
        <f xml:space="preserve"> MODE(Squares.AreaMultiplier)</f>
        <v>0.85</v>
      </c>
    </row>
    <row r="14" spans="2:11">
      <c r="H14" s="4" t="s">
        <v>677</v>
      </c>
      <c r="I14">
        <f xml:space="preserve"> MAX(CY.MaxY, -CY.MinY) / MAX(CY.MaxX, -CY.MinX)</f>
        <v>0.91723356009070289</v>
      </c>
    </row>
    <row r="15" spans="2:11">
      <c r="H15" s="4" t="s">
        <v>678</v>
      </c>
      <c r="I15">
        <f xml:space="preserve"> VALUE(TEXT(SQRT(CY.AreaMultiplier * BasicBBoxArea * CY.Aspect), SVG.NumberFormatHeight))</f>
        <v>13.2</v>
      </c>
    </row>
    <row r="16" spans="2:11">
      <c r="H16" s="4" t="s">
        <v>679</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685</v>
      </c>
      <c r="C21" s="3" t="s">
        <v>1535</v>
      </c>
      <c r="D21" s="3" t="s">
        <v>686</v>
      </c>
      <c r="E21" s="3" t="s">
        <v>687</v>
      </c>
      <c r="F21" s="3" t="s">
        <v>688</v>
      </c>
      <c r="G21" s="3" t="s">
        <v>689</v>
      </c>
      <c r="H21" s="3" t="s">
        <v>690</v>
      </c>
      <c r="I21" s="3" t="s">
        <v>691</v>
      </c>
      <c r="K21" s="36" t="s">
        <v>1496</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558</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558</v>
      </c>
    </row>
    <row r="35" spans="11:11" ht="17" thickBot="1">
      <c r="K35" s="36" t="s">
        <v>692</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701</v>
      </c>
      <c r="E2">
        <f xml:space="preserve"> DecimalPlaces - INT(LOG(MIN(  MAX(MT.RawX) - MIN(MT.RawX),  MAX(MT.RawY) - MIN(MT.RawY)  )/2, 10) + 0.2)</f>
        <v>5</v>
      </c>
    </row>
    <row r="4" spans="2:5" ht="17" thickBot="1">
      <c r="B4" s="3" t="s">
        <v>702</v>
      </c>
      <c r="C4" s="3" t="s">
        <v>703</v>
      </c>
      <c r="E4" s="3" t="s">
        <v>1758</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708</v>
      </c>
      <c r="E21">
        <f xml:space="preserve"> ROUND( MIN(MT.RawX), MT.DecimalPlaces)</f>
        <v>-1</v>
      </c>
    </row>
    <row r="22" spans="2:5">
      <c r="D22" s="4" t="s">
        <v>709</v>
      </c>
      <c r="E22">
        <f xml:space="preserve"> ROUND(MAX(MT.RawX), MT.DecimalPlaces)</f>
        <v>1</v>
      </c>
    </row>
    <row r="23" spans="2:5">
      <c r="D23" s="4" t="s">
        <v>710</v>
      </c>
      <c r="E23">
        <f xml:space="preserve"> ROUND( MIN(MT.RawY), MT.DecimalPlaces)</f>
        <v>-1</v>
      </c>
    </row>
    <row r="24" spans="2:5">
      <c r="D24" s="4" t="s">
        <v>711</v>
      </c>
      <c r="E24">
        <f xml:space="preserve"> ROUND(MAX(MT.RawY), MT.DecimalPlaces)</f>
        <v>1</v>
      </c>
    </row>
    <row r="26" spans="2:5">
      <c r="D26" s="4" t="s">
        <v>704</v>
      </c>
      <c r="E26" s="26">
        <f xml:space="preserve"> MODE(Squares.AreaMultiplier)</f>
        <v>0.85</v>
      </c>
    </row>
    <row r="27" spans="2:5">
      <c r="D27" s="4" t="s">
        <v>705</v>
      </c>
      <c r="E27">
        <f xml:space="preserve"> MAX(MT.MaxY, - MT.MinY) / MAX(MT.MaxX, - MT.MinX)</f>
        <v>1</v>
      </c>
    </row>
    <row r="28" spans="2:5">
      <c r="D28" s="4" t="s">
        <v>706</v>
      </c>
      <c r="E28">
        <f xml:space="preserve"> VALUE(TEXT(SQRT(MT.AreaMultiplier * BasicBBoxArea * MT.Aspect), SVG.NumberFormatHeight))</f>
        <v>13.8</v>
      </c>
    </row>
    <row r="29" spans="2:5">
      <c r="D29" s="4" t="s">
        <v>707</v>
      </c>
      <c r="E29" cm="1">
        <f t="array" ref="E29" xml:space="preserve"> MT.Height / MT.Aspect</f>
        <v>13.8</v>
      </c>
    </row>
    <row r="31" spans="2:5">
      <c r="D31" s="4" t="s">
        <v>1492</v>
      </c>
      <c r="E31" s="5" t="s">
        <v>1494</v>
      </c>
    </row>
    <row r="32" spans="2:5">
      <c r="D32" s="4" t="s">
        <v>1493</v>
      </c>
      <c r="E32" s="5" t="s">
        <v>2086</v>
      </c>
    </row>
    <row r="34" spans="3:5" ht="17" thickBot="1">
      <c r="E34" s="3" t="s">
        <v>712</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1509</v>
      </c>
      <c r="H5" s="3" t="s">
        <v>1508</v>
      </c>
    </row>
    <row r="6" spans="2:8">
      <c r="B6" s="4" t="s">
        <v>956</v>
      </c>
      <c r="C6">
        <v>8</v>
      </c>
      <c r="G6" t="s">
        <v>23</v>
      </c>
      <c r="H6" s="5" t="str">
        <f xml:space="preserve"> "M 0 " &amp; _EBRD.yIntersection</f>
        <v>M 0 10.3923</v>
      </c>
    </row>
    <row r="7" spans="2:8">
      <c r="B7" s="4" t="s">
        <v>957</v>
      </c>
      <c r="C7">
        <v>12</v>
      </c>
      <c r="G7" t="s">
        <v>23</v>
      </c>
      <c r="H7" s="5" t="str">
        <f xml:space="preserve"> "A " &amp; _EBRD.OvalHalfWidth &amp; " " &amp; _EBRD.OvalHalfHeight &amp; " 0 1 0 0 " &amp; (- _EBRD.yIntersection)</f>
        <v>A 8 12 0 1 0 0 -10.3923</v>
      </c>
    </row>
    <row r="8" spans="2:8">
      <c r="B8" s="4" t="s">
        <v>958</v>
      </c>
      <c r="C8">
        <v>4</v>
      </c>
      <c r="G8" t="s">
        <v>23</v>
      </c>
      <c r="H8" s="5" t="str">
        <f xml:space="preserve"> "A " &amp; _EBRD.OvalHalfWidth &amp; " " &amp; _EBRD.OvalHalfHeight &amp; " 0 1 0 0 " &amp; (_EBRD.yIntersection)</f>
        <v>A 8 12 0 1 0 0 10.3923</v>
      </c>
    </row>
    <row r="9" spans="2:8">
      <c r="G9" t="s">
        <v>23</v>
      </c>
      <c r="H9" s="5" t="s">
        <v>558</v>
      </c>
    </row>
    <row r="10" spans="2:8">
      <c r="B10" s="4" t="s">
        <v>960</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959</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558</v>
      </c>
    </row>
    <row r="15" spans="2:8">
      <c r="B15" s="4" t="s">
        <v>966</v>
      </c>
      <c r="C15">
        <f xml:space="preserve"> _EBRD.OvalHalfSeparation + _EBRD.OvalHalfWidth</f>
        <v>12</v>
      </c>
    </row>
    <row r="16" spans="2:8">
      <c r="B16" s="4" t="s">
        <v>968</v>
      </c>
      <c r="C16">
        <f xml:space="preserve"> _EBRD.OvalHalfHeight</f>
        <v>12</v>
      </c>
    </row>
    <row r="17" spans="2:3">
      <c r="B17" s="4" t="s">
        <v>965</v>
      </c>
      <c r="C17">
        <f xml:space="preserve"> - _EBRD.MaxX</f>
        <v>-12</v>
      </c>
    </row>
    <row r="18" spans="2:3">
      <c r="B18" s="4" t="s">
        <v>967</v>
      </c>
      <c r="C18">
        <f xml:space="preserve"> - _EBRD.MaxY</f>
        <v>-12</v>
      </c>
    </row>
    <row r="20" spans="2:3">
      <c r="B20" s="4" t="s">
        <v>961</v>
      </c>
      <c r="C20" s="26">
        <f xml:space="preserve"> MODE(Circles.AreaMultiplier)</f>
        <v>1</v>
      </c>
    </row>
    <row r="21" spans="2:3">
      <c r="B21" s="4" t="s">
        <v>962</v>
      </c>
      <c r="C21">
        <f xml:space="preserve"> MAX( _EBRD.MaxY, -  _EBRD.MinY) / MAX( _EBRD.MaxX, -  _EBRD.MinX)</f>
        <v>1</v>
      </c>
    </row>
    <row r="22" spans="2:3">
      <c r="B22" s="4" t="s">
        <v>963</v>
      </c>
      <c r="C22">
        <f xml:space="preserve"> VALUE(TEXT(SQRT(_EBRD.AreaMultiplier * BasicBBoxArea * _EBRD.Aspect), SVG.NumberFormatHeight))</f>
        <v>15</v>
      </c>
    </row>
    <row r="23" spans="2:3">
      <c r="B23" s="4" t="s">
        <v>964</v>
      </c>
      <c r="C23" cm="1">
        <f t="array" ref="C23" xml:space="preserve"> _EBRD.Height / _EBRD.Aspect</f>
        <v>15</v>
      </c>
    </row>
    <row r="25" spans="2:3">
      <c r="B25" s="4" t="s">
        <v>971</v>
      </c>
      <c r="C25" s="5" t="s">
        <v>1501</v>
      </c>
    </row>
    <row r="26" spans="2:3">
      <c r="B26" s="4" t="s">
        <v>972</v>
      </c>
      <c r="C26" s="5" t="s">
        <v>2086</v>
      </c>
    </row>
    <row r="29" spans="2:3" ht="17" thickBot="1">
      <c r="C29" s="3" t="s">
        <v>969</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992</v>
      </c>
    </row>
    <row r="3" spans="2:16">
      <c r="F3">
        <f xml:space="preserve"> DecimalPlaces - INT(LOG(MIN(  MAX(_NIB.RawX) - MIN(_NIB.RawX),  MAX(_NIB.RawY) - MIN(_NIB.RawY)  )/2, 10) + 0.2)</f>
        <v>4</v>
      </c>
    </row>
    <row r="5" spans="2:16" ht="17" thickBot="1">
      <c r="B5" s="3" t="s">
        <v>993</v>
      </c>
      <c r="C5" s="3" t="s">
        <v>994</v>
      </c>
      <c r="D5" s="3" t="s">
        <v>995</v>
      </c>
      <c r="F5" s="3" t="s">
        <v>1759</v>
      </c>
      <c r="K5" s="3" t="s">
        <v>1005</v>
      </c>
      <c r="L5" s="3" t="s">
        <v>1006</v>
      </c>
      <c r="M5" s="3" t="s">
        <v>1007</v>
      </c>
      <c r="N5" s="3" t="s">
        <v>1008</v>
      </c>
      <c r="O5" s="3" t="s">
        <v>1009</v>
      </c>
      <c r="P5" s="3" t="s">
        <v>1010</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1011</v>
      </c>
      <c r="I17">
        <v>1</v>
      </c>
    </row>
    <row r="18" spans="2:16">
      <c r="H18" s="4" t="s">
        <v>1012</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1000</v>
      </c>
      <c r="F32">
        <f xml:space="preserve"> ROUND( MIN(_NIB.RawX), _NIB.DecimalPlaces)</f>
        <v>-9</v>
      </c>
    </row>
    <row r="33" spans="4:6">
      <c r="E33" s="4" t="s">
        <v>1001</v>
      </c>
      <c r="F33">
        <f xml:space="preserve"> ROUND(MAX(_NIB.RawX), _NIB.DecimalPlaces)</f>
        <v>9</v>
      </c>
    </row>
    <row r="34" spans="4:6">
      <c r="E34" s="4" t="s">
        <v>1002</v>
      </c>
      <c r="F34">
        <f xml:space="preserve"> ROUND( MIN(_NIB.RawY), _NIB.DecimalPlaces)</f>
        <v>-9</v>
      </c>
    </row>
    <row r="35" spans="4:6">
      <c r="E35" s="4" t="s">
        <v>1003</v>
      </c>
      <c r="F35">
        <f xml:space="preserve"> ROUND(MAX(_NIB.RawY), _NIB.DecimalPlaces)</f>
        <v>9</v>
      </c>
    </row>
    <row r="37" spans="4:6">
      <c r="E37" s="4" t="s">
        <v>996</v>
      </c>
      <c r="F37" s="26">
        <f xml:space="preserve"> MODE(Squares.AreaMultiplier)</f>
        <v>0.85</v>
      </c>
    </row>
    <row r="38" spans="4:6">
      <c r="E38" s="4" t="s">
        <v>997</v>
      </c>
      <c r="F38">
        <f xml:space="preserve"> MAX( _NIB.MaxY, -  _NIB.MinY) / MAX( _NIB.MaxX, -  _NIB.MinX)</f>
        <v>1</v>
      </c>
    </row>
    <row r="39" spans="4:6">
      <c r="E39" s="4" t="s">
        <v>998</v>
      </c>
      <c r="F39">
        <f xml:space="preserve"> VALUE(TEXT(SQRT(_NIB.AreaMultiplier* BasicBBoxArea * _NIB.Aspect), SVG.NumberFormatHeight))</f>
        <v>13.8</v>
      </c>
    </row>
    <row r="40" spans="4:6">
      <c r="E40" s="4" t="s">
        <v>999</v>
      </c>
      <c r="F40" cm="1">
        <f t="array" ref="F40" xml:space="preserve"> _NIB.Height / _NIB.Aspect</f>
        <v>13.8</v>
      </c>
    </row>
    <row r="42" spans="4:6">
      <c r="E42" s="4" t="s">
        <v>1013</v>
      </c>
      <c r="F42" t="s">
        <v>1015</v>
      </c>
    </row>
    <row r="43" spans="4:6">
      <c r="E43" s="4" t="s">
        <v>1014</v>
      </c>
      <c r="F43" t="s">
        <v>1016</v>
      </c>
    </row>
    <row r="45" spans="4:6" ht="17" thickBot="1">
      <c r="F45" s="3" t="s">
        <v>1004</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1692</v>
      </c>
      <c r="C2">
        <v>6</v>
      </c>
    </row>
    <row r="3" spans="2:3">
      <c r="B3" s="4" t="s">
        <v>1693</v>
      </c>
      <c r="C3">
        <f xml:space="preserve"> _AIIB.RadiusOuter - 1</f>
        <v>5</v>
      </c>
    </row>
    <row r="5" spans="2:3">
      <c r="B5" s="4" t="s">
        <v>973</v>
      </c>
      <c r="C5">
        <f xml:space="preserve"> DecimalPlaces - INT(LOG(_AIIB.RadiusOuter, 10) + 0.2)</f>
        <v>5</v>
      </c>
    </row>
    <row r="7" spans="2:3">
      <c r="B7" s="4" t="s">
        <v>986</v>
      </c>
      <c r="C7">
        <v>1</v>
      </c>
    </row>
    <row r="8" spans="2:3">
      <c r="B8" s="4" t="s">
        <v>987</v>
      </c>
      <c r="C8">
        <f xml:space="preserve"> _AIIB.X1 + _AIIB.RadiusOuter - _AIIB.RadiusInner</f>
        <v>2</v>
      </c>
    </row>
    <row r="9" spans="2:3">
      <c r="B9" s="4" t="s">
        <v>988</v>
      </c>
      <c r="C9">
        <f xml:space="preserve"> ROUND(SQRT( AVERAGE(_AIIB.RadiusOuter, _AIIB.RadiusInner)^2 - _AIIB.X1^2 ), _AIIB.DecimalPlaces - 4)</f>
        <v>5.4</v>
      </c>
    </row>
    <row r="10" spans="2:3">
      <c r="B10" s="4" t="s">
        <v>989</v>
      </c>
      <c r="C10">
        <f xml:space="preserve"> ROUND(SQRT( AVERAGE(_AIIB.RadiusOuter, _AIIB.RadiusInner)^2 - _AIIB.X2^2 ), _AIIB.DecimalPlaces - 4)</f>
        <v>5.0999999999999996</v>
      </c>
    </row>
    <row r="12" spans="2:3">
      <c r="B12" s="4" t="s">
        <v>980</v>
      </c>
      <c r="C12">
        <f xml:space="preserve"> _AIIB.RadiusOuter</f>
        <v>6</v>
      </c>
    </row>
    <row r="13" spans="2:3">
      <c r="B13" s="4" t="s">
        <v>981</v>
      </c>
      <c r="C13">
        <f xml:space="preserve"> _AIIB.MaxX</f>
        <v>6</v>
      </c>
    </row>
    <row r="14" spans="2:3">
      <c r="B14" s="4" t="s">
        <v>982</v>
      </c>
      <c r="C14" cm="1">
        <f t="array" ref="C14" xml:space="preserve"> - _AIIB.MaxX</f>
        <v>-6</v>
      </c>
    </row>
    <row r="15" spans="2:3">
      <c r="B15" s="4" t="s">
        <v>983</v>
      </c>
      <c r="C15" cm="1">
        <f t="array" ref="C15" xml:space="preserve"> - _AIIB.MaxY</f>
        <v>-6</v>
      </c>
    </row>
    <row r="17" spans="2:3">
      <c r="B17" s="4" t="s">
        <v>974</v>
      </c>
      <c r="C17" s="26">
        <f xml:space="preserve"> MODE(Circles.AreaMultiplier)</f>
        <v>1</v>
      </c>
    </row>
    <row r="18" spans="2:3">
      <c r="B18" s="4" t="s">
        <v>975</v>
      </c>
      <c r="C18">
        <f xml:space="preserve"> MAX( _AIIB.MaxY, -  _AIIB.MinY) / MAX( _AIIB.MaxX, -  _AIIB.MinX)</f>
        <v>1</v>
      </c>
    </row>
    <row r="19" spans="2:3">
      <c r="B19" s="4" t="s">
        <v>976</v>
      </c>
      <c r="C19">
        <f xml:space="preserve"> VALUE(TEXT(SQRT(_AIIB.AreaMultiplier * BasicBBoxArea * _AIIB.Aspect), SVG.NumberFormatHeight))</f>
        <v>15</v>
      </c>
    </row>
    <row r="20" spans="2:3">
      <c r="B20" s="4" t="s">
        <v>977</v>
      </c>
      <c r="C20" cm="1">
        <f t="array" ref="C20" xml:space="preserve"> _AIIB.Height / _AIIB.Aspect</f>
        <v>15</v>
      </c>
    </row>
    <row r="22" spans="2:3">
      <c r="B22" s="4" t="s">
        <v>978</v>
      </c>
      <c r="C22" s="5" t="s">
        <v>985</v>
      </c>
    </row>
    <row r="23" spans="2:3">
      <c r="B23" s="4" t="s">
        <v>979</v>
      </c>
      <c r="C23" s="5" t="s">
        <v>2086</v>
      </c>
    </row>
    <row r="25" spans="2:3" ht="17" thickBot="1">
      <c r="C25" s="3" t="s">
        <v>984</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1673</v>
      </c>
      <c r="E2" t="s">
        <v>940</v>
      </c>
    </row>
    <row r="3" spans="2:5">
      <c r="B3" s="34">
        <v>6</v>
      </c>
      <c r="E3" s="34">
        <f xml:space="preserve"> DecimalPlaces - INT(LOG(MIN(  MAX(_IsDB.RawX) - MIN(_IsDB.RawX),  MAX(_IsDB.RawY) - MIN(_IsDB.RawY)  )/2, 10) + 0.2)</f>
        <v>5</v>
      </c>
    </row>
    <row r="5" spans="2:5" ht="17" thickBot="1">
      <c r="B5" s="3" t="s">
        <v>941</v>
      </c>
      <c r="C5" s="3" t="s">
        <v>942</v>
      </c>
      <c r="E5" s="3" t="s">
        <v>1760</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949</v>
      </c>
      <c r="E14">
        <f xml:space="preserve"> ROUND( MIN(_IsDB.RawX), _IsDB.DecimalPlaces)</f>
        <v>-6.9282000000000004</v>
      </c>
    </row>
    <row r="15" spans="2:5">
      <c r="D15" s="4" t="s">
        <v>950</v>
      </c>
      <c r="E15">
        <f xml:space="preserve"> ROUND(MAX(_IsDB.RawX), _IsDB.DecimalPlaces)</f>
        <v>6.9282000000000004</v>
      </c>
    </row>
    <row r="16" spans="2:5">
      <c r="D16" s="4" t="s">
        <v>951</v>
      </c>
      <c r="E16">
        <f xml:space="preserve"> ROUND( MIN(_IsDB.RawY), _IsDB.DecimalPlaces)</f>
        <v>-6</v>
      </c>
    </row>
    <row r="17" spans="3:5">
      <c r="D17" s="4" t="s">
        <v>952</v>
      </c>
      <c r="E17">
        <f xml:space="preserve"> ROUND(MAX(_IsDB.RawY), _IsDB.DecimalPlaces)</f>
        <v>6</v>
      </c>
    </row>
    <row r="19" spans="3:5">
      <c r="D19" s="4" t="s">
        <v>943</v>
      </c>
      <c r="E19" s="26">
        <f xml:space="preserve"> FR.AreaMultiplier</f>
        <v>1.0625</v>
      </c>
    </row>
    <row r="20" spans="3:5">
      <c r="D20" s="4" t="s">
        <v>944</v>
      </c>
      <c r="E20">
        <f xml:space="preserve"> MAX( _IsDB.MaxY, -  _IsDB.MinY) / MAX( _IsDB.MaxX, -  _IsDB.MinX)</f>
        <v>0.86602580756906555</v>
      </c>
    </row>
    <row r="21" spans="3:5">
      <c r="D21" s="4" t="s">
        <v>945</v>
      </c>
      <c r="E21">
        <f xml:space="preserve"> VALUE(TEXT(SQRT(_IsDB.AreaMultiplier * BasicBBoxArea * _IsDB.Aspect), SVG.NumberFormatHeight))</f>
        <v>14.4</v>
      </c>
    </row>
    <row r="22" spans="3:5">
      <c r="D22" s="4" t="s">
        <v>946</v>
      </c>
      <c r="E22" cm="1">
        <f t="array" ref="E22" xml:space="preserve"> _IsDB.Height / _IsDB.Aspect</f>
        <v>16.627680000000002</v>
      </c>
    </row>
    <row r="24" spans="3:5">
      <c r="D24" s="4" t="s">
        <v>947</v>
      </c>
      <c r="E24" t="s">
        <v>736</v>
      </c>
    </row>
    <row r="25" spans="3:5">
      <c r="D25" s="4" t="s">
        <v>948</v>
      </c>
      <c r="E25" t="s">
        <v>2086</v>
      </c>
    </row>
    <row r="27" spans="3:5">
      <c r="D27" s="4" t="s">
        <v>955</v>
      </c>
      <c r="E27" cm="1">
        <f t="array" ref="E27" xml:space="preserve"> ROUND( MAX(_IsDB.MaxX,_IsDB.MaxY) * (Sqrt3 / 2) * (2/3), _IsDB.DecimalPlaces )</f>
        <v>4</v>
      </c>
    </row>
    <row r="30" spans="3:5" ht="17" thickBot="1">
      <c r="E30" s="3" t="s">
        <v>953</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1028</v>
      </c>
      <c r="G2" s="3" t="s">
        <v>1046</v>
      </c>
      <c r="H2" s="3" t="s">
        <v>1030</v>
      </c>
      <c r="I2" s="3" t="s">
        <v>1029</v>
      </c>
      <c r="K2" s="3" t="s">
        <v>1026</v>
      </c>
      <c r="L2" s="3" t="s">
        <v>1027</v>
      </c>
      <c r="M2" s="3" t="s">
        <v>1032</v>
      </c>
      <c r="O2" s="35" t="s">
        <v>1041</v>
      </c>
    </row>
    <row r="3" spans="2:15">
      <c r="B3" s="4" t="s">
        <v>1047</v>
      </c>
      <c r="C3">
        <v>90</v>
      </c>
    </row>
    <row r="4" spans="2:15">
      <c r="B4" s="4" t="s">
        <v>1043</v>
      </c>
      <c r="C4">
        <f xml:space="preserve"> _NDB.RadiusMaster * 8/3</f>
        <v>240</v>
      </c>
      <c r="F4" t="s">
        <v>1044</v>
      </c>
      <c r="K4">
        <f xml:space="preserve"> _NDB.TriangleEdge / 2 -_NDB.Radius</f>
        <v>30</v>
      </c>
      <c r="L4" cm="1">
        <f t="array" ref="L4" xml:space="preserve"> - _NDB.TriangleEdge * Sqrt3 / 6</f>
        <v>-69.282032302755084</v>
      </c>
      <c r="M4">
        <f xml:space="preserve"> _NDB.RadiusMaster</f>
        <v>90</v>
      </c>
    </row>
    <row r="5" spans="2:15">
      <c r="B5" s="4" t="s">
        <v>1056</v>
      </c>
      <c r="C5">
        <f xml:space="preserve"> _NDB.TriangleEdge^2 / _NDB.RadiusMaster / 8  -  _NDB.RadiusMaster / 2</f>
        <v>35</v>
      </c>
      <c r="F5" t="s">
        <v>1044</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1057</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1031</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1053</v>
      </c>
      <c r="C14" s="5" t="s">
        <v>1050</v>
      </c>
    </row>
    <row r="15" spans="2:15">
      <c r="B15" s="4" t="s">
        <v>1054</v>
      </c>
      <c r="C15" s="5" t="s">
        <v>1051</v>
      </c>
    </row>
    <row r="16" spans="2:15">
      <c r="F16" t="s">
        <v>1055</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1037</v>
      </c>
      <c r="C17">
        <f xml:space="preserve"> CEILING( _xlfn.MAXIFS(_NDB.RawX,   _NDB.Part,"Outer"), 10^-_NDB.DecimalPlaces )</f>
        <v>70.203000000000003</v>
      </c>
      <c r="F17" t="s">
        <v>1055</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1038</v>
      </c>
      <c r="C18">
        <f xml:space="preserve"> CEILING(_xlfn.MAXIFS(_NDB.RawY,   _NDB.Part,"Outer"), 10^-_NDB.DecimalPlaces)</f>
        <v>74.686000000000007</v>
      </c>
    </row>
    <row r="19" spans="2:17">
      <c r="B19" s="4" t="s">
        <v>1039</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1040</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1033</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1034</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1035</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1036</v>
      </c>
      <c r="C25">
        <f xml:space="preserve"> _NDB.Height / _NDB.Aspect</f>
        <v>16.8</v>
      </c>
    </row>
    <row r="28" spans="2:17">
      <c r="C28" cm="1">
        <f t="array" ref="C28" xml:space="preserve"> SVG_length(_NDB.svg)</f>
        <v>574</v>
      </c>
      <c r="F28" t="s">
        <v>1045</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1045</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1052</v>
      </c>
      <c r="G38" t="e">
        <f xml:space="preserve"> NA()</f>
        <v>#N/A</v>
      </c>
      <c r="H38" t="e">
        <f t="shared" si="5"/>
        <v>#N/A</v>
      </c>
      <c r="I38" t="e">
        <f t="shared" si="6"/>
        <v>#N/A</v>
      </c>
      <c r="M38" s="42" t="e">
        <f xml:space="preserve"> NA()</f>
        <v>#N/A</v>
      </c>
    </row>
    <row r="41" spans="6:15" ht="17" thickBot="1">
      <c r="O41" s="35" t="s">
        <v>1048</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2178</v>
      </c>
      <c r="D2" s="3" t="s">
        <v>2179</v>
      </c>
      <c r="E2" s="3" t="s">
        <v>2210</v>
      </c>
      <c r="I2" t="s">
        <v>2162</v>
      </c>
    </row>
    <row r="3" spans="3:36">
      <c r="C3">
        <v>60</v>
      </c>
      <c r="D3">
        <f xml:space="preserve"> FLOOR(_IADB.RadiusI * 6/5, 1)</f>
        <v>72</v>
      </c>
      <c r="E3">
        <f xml:space="preserve"> _IADB.RadiusI * -0.073722838915784</f>
        <v>-4.4233703349470401</v>
      </c>
      <c r="I3" s="34">
        <f xml:space="preserve"> DecimalPlaces - INT(LOG(_IADB.RadiusO, 10) + 0.2)</f>
        <v>3</v>
      </c>
      <c r="T3" s="4" t="s">
        <v>2185</v>
      </c>
      <c r="U3">
        <f t="array" ref="U3:V5" xml:space="preserve"> $D$22:$E$24</f>
        <v>34.778228978880634</v>
      </c>
      <c r="V3">
        <v>17.493275692479227</v>
      </c>
      <c r="Z3" s="4" t="s">
        <v>2195</v>
      </c>
      <c r="AA3" cm="1">
        <f t="array" ref="AA3:AB6" xml:space="preserve"> D25:E28</f>
        <v>17.693481339788161</v>
      </c>
      <c r="AB3">
        <v>0</v>
      </c>
    </row>
    <row r="4" spans="3:36">
      <c r="T4" s="4" t="s">
        <v>2186</v>
      </c>
      <c r="U4">
        <v>43.759270416190446</v>
      </c>
      <c r="V4">
        <v>6.5164472691005715</v>
      </c>
      <c r="Z4" s="4" t="s">
        <v>2196</v>
      </c>
      <c r="AA4">
        <v>0</v>
      </c>
      <c r="AB4">
        <v>-4.4233703349470401</v>
      </c>
    </row>
    <row r="5" spans="3:36">
      <c r="T5" s="4" t="s">
        <v>2187</v>
      </c>
      <c r="U5">
        <v>30.000000000000004</v>
      </c>
      <c r="V5">
        <v>3.0766296650529608</v>
      </c>
      <c r="Z5" s="4" t="s">
        <v>2197</v>
      </c>
      <c r="AA5">
        <v>0</v>
      </c>
      <c r="AB5">
        <v>-4.4233703349470401</v>
      </c>
    </row>
    <row r="6" spans="3:36">
      <c r="E6">
        <v>-6.1629474202226898E-2</v>
      </c>
      <c r="F6">
        <v>5.0115259951281468</v>
      </c>
      <c r="Z6" s="4" t="s">
        <v>2206</v>
      </c>
      <c r="AA6">
        <v>0</v>
      </c>
      <c r="AB6">
        <v>-22.700000000000003</v>
      </c>
    </row>
    <row r="7" spans="3:36">
      <c r="E7">
        <v>-7.4999999999999997E-2</v>
      </c>
      <c r="F7">
        <v>6.1043176067272302</v>
      </c>
    </row>
    <row r="8" spans="3:36">
      <c r="E8">
        <f xml:space="preserve"> ( (F7-6)*E6 + (6-F6)*E7 ) / (F7 - F6)</f>
        <v>-7.3723653039514642E-2</v>
      </c>
      <c r="F8">
        <v>6.0000523400182324</v>
      </c>
      <c r="T8" s="4" t="s">
        <v>2188</v>
      </c>
      <c r="U8" cm="1">
        <f t="array" ref="U8:V8" xml:space="preserve"> _IADB.Quartic_Z0</f>
        <v>34.778228978880634</v>
      </c>
      <c r="V8">
        <v>17.493275692479227</v>
      </c>
      <c r="Z8" s="4" t="s">
        <v>2198</v>
      </c>
      <c r="AA8" cm="1">
        <f t="array" ref="AA8:AB8" xml:space="preserve"> _IADB.Cubic_Z0</f>
        <v>17.693481339788161</v>
      </c>
      <c r="AB8">
        <v>0</v>
      </c>
    </row>
    <row r="9" spans="3:36">
      <c r="E9">
        <f xml:space="preserve"> ( (F8-6)*E7 + (6-F7)*E8 ) / (F8 - F7)</f>
        <v>-7.3723012327364834E-2</v>
      </c>
      <c r="F9">
        <v>6.0000111486410219</v>
      </c>
      <c r="T9" s="4" t="s">
        <v>2189</v>
      </c>
      <c r="U9" cm="1">
        <f t="array" ref="U9:V9" xml:space="preserve"> 2 * (_IADB.Quartic_Z1 - _IADB.Quartic_Z0)</f>
        <v>17.962082874619625</v>
      </c>
      <c r="V9">
        <v>-21.953656846757312</v>
      </c>
      <c r="Z9" s="4" t="s">
        <v>2199</v>
      </c>
      <c r="AA9" cm="1">
        <f t="array" ref="AA9:AB9" xml:space="preserve"> 3 * (_IADB.Cubic_Z1 - _IADB.Cubic_Z0)</f>
        <v>-53.080444019364478</v>
      </c>
      <c r="AB9">
        <v>-13.270111004841119</v>
      </c>
    </row>
    <row r="10" spans="3:36">
      <c r="E10">
        <f xml:space="preserve"> ( (F9-6)*E8 + (6-F8)*E9 ) / (F9 - F8)</f>
        <v>-7.3722838915591796E-2</v>
      </c>
      <c r="F10">
        <v>5.999999999987641</v>
      </c>
      <c r="T10" s="4" t="s">
        <v>2190</v>
      </c>
      <c r="U10" cm="1">
        <f t="array" ref="U10:V10" xml:space="preserve"> _IADB.Quartic_Z2 + _IADB.Quartic_Z0 - 2*_IADB.Quartic_Z1</f>
        <v>-22.740311853500259</v>
      </c>
      <c r="V10">
        <v>7.5370108193310426</v>
      </c>
      <c r="Z10" s="4" t="s">
        <v>2200</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2207</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2216</v>
      </c>
      <c r="Z13" s="3" t="s">
        <v>2217</v>
      </c>
      <c r="AA13" s="3" t="s">
        <v>2218</v>
      </c>
      <c r="AB13" s="3" t="s">
        <v>2219</v>
      </c>
      <c r="AC13" s="3" t="s">
        <v>2220</v>
      </c>
      <c r="AG13" s="3" t="s">
        <v>2223</v>
      </c>
      <c r="AJ13" s="3" t="s">
        <v>2222</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2177</v>
      </c>
      <c r="D20" s="3" t="s">
        <v>2163</v>
      </c>
      <c r="E20" s="3" t="s">
        <v>2164</v>
      </c>
      <c r="F20" s="3" t="s">
        <v>2184</v>
      </c>
      <c r="I20" s="3" t="s">
        <v>2165</v>
      </c>
      <c r="S20" s="3" t="s">
        <v>2194</v>
      </c>
      <c r="T20" s="3" t="s">
        <v>2193</v>
      </c>
      <c r="U20" s="3" t="s">
        <v>2191</v>
      </c>
      <c r="V20" s="3" t="s">
        <v>2192</v>
      </c>
      <c r="Y20" s="3" t="s">
        <v>2201</v>
      </c>
      <c r="Z20" s="3" t="s">
        <v>2202</v>
      </c>
      <c r="AA20" s="3" t="s">
        <v>2203</v>
      </c>
      <c r="AB20" s="3" t="s">
        <v>2204</v>
      </c>
      <c r="AC20" s="3" t="s">
        <v>2205</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2180</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2181</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2182</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2183</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2221</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2182</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2181</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2183</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2221</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2167</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2169</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2166</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2168</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2170</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2171</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2172</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2173</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2174</v>
      </c>
      <c r="I49" s="5" t="s">
        <v>990</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2175</v>
      </c>
      <c r="I50" s="5" t="s">
        <v>2086</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2209</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2176</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2208</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2211</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2212</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2213</v>
      </c>
      <c r="I57" s="5" t="s">
        <v>15</v>
      </c>
    </row>
    <row r="58" spans="3:29">
      <c r="C58" t="s">
        <v>2213</v>
      </c>
    </row>
    <row r="59" spans="3:29">
      <c r="C59" t="s">
        <v>2214</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2215</v>
      </c>
      <c r="E65">
        <f xml:space="preserve"> ($E23 - $E21) / ($D23 - $D21)</f>
        <v>0.14891581160113579</v>
      </c>
    </row>
    <row r="66" spans="3:5">
      <c r="C66" t="s">
        <v>2215</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1517</v>
      </c>
      <c r="G2" s="3" t="s">
        <v>1518</v>
      </c>
      <c r="H2" s="3" t="s">
        <v>1519</v>
      </c>
      <c r="I2" s="3" t="s">
        <v>1520</v>
      </c>
      <c r="J2" s="3" t="s">
        <v>1521</v>
      </c>
      <c r="K2" s="3" t="s">
        <v>1522</v>
      </c>
      <c r="L2" s="3" t="s">
        <v>1523</v>
      </c>
      <c r="M2" s="3" t="s">
        <v>1524</v>
      </c>
      <c r="O2" s="3" t="s">
        <v>1530</v>
      </c>
      <c r="P2" s="35" t="s">
        <v>1516</v>
      </c>
    </row>
    <row r="3" spans="2:16">
      <c r="B3" s="4" t="s">
        <v>1525</v>
      </c>
      <c r="C3">
        <v>400</v>
      </c>
    </row>
    <row r="4" spans="2:16">
      <c r="B4" s="4" t="s">
        <v>1526</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1531</v>
      </c>
      <c r="P4" s="5" t="str">
        <f xml:space="preserve"> _xlfn.TEXTJOIN(" ",TRUE, "M", _xlfn.SINGLE(_IBRD.X1), _xlfn.SINGLE(_IBRD.Y1), " A ", _xlfn.SINGLE(_IBRD.Radius), _xlfn.SINGLE(_IBRD.Radius), 0, 0, 0, _xlfn.SINGLE(_IBRD.X2), _xlfn.SINGLE(_IBRD.Y2))</f>
        <v>M 309.027 219.416  A  530 530 0 0 0 -309.027 219.416</v>
      </c>
    </row>
    <row r="5" spans="2:16">
      <c r="B5" s="4" t="s">
        <v>1527</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1531</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1528</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1531</v>
      </c>
      <c r="P7" s="5" t="str">
        <f xml:space="preserve"> _xlfn.TEXTJOIN(" ",TRUE, "M", _xlfn.SINGLE(_IBRD.X1), _xlfn.SINGLE(_IBRD.Y1), " A ", _xlfn.SINGLE(_IBRD.Radius), _xlfn.SINGLE(_IBRD.Radius), 0, 0, 1, _xlfn.SINGLE(_IBRD.X2), _xlfn.SINGLE(_IBRD.Y2))</f>
        <v>M 309.027 -219.416  A  530 530 0 0 1 -309.027 -219.416</v>
      </c>
    </row>
    <row r="8" spans="2:16">
      <c r="B8" s="4" t="s">
        <v>921</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1531</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922</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1532</v>
      </c>
      <c r="P10" s="5" t="str">
        <f xml:space="preserve"> _xlfn.TEXTJOIN(" ",TRUE, "M", _xlfn.SINGLE(_IBRD.X1), _xlfn.SINGLE(_IBRD.Y1), " A ", _xlfn.SINGLE(_IBRD.Radius), _xlfn.SINGLE(_IBRD.Radius), 0, 0, 1, _xlfn.SINGLE(_IBRD.X2), _xlfn.SINGLE(_IBRD.Y2))</f>
        <v>M -57.805 374.566  A  518 518 0 0 1 -57.805 -374.566</v>
      </c>
    </row>
    <row r="11" spans="2:16">
      <c r="B11" s="4" t="s">
        <v>923</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1532</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924</v>
      </c>
      <c r="C12" s="28">
        <f xml:space="preserve"> VALUE(TEXT(SQRT(_IBRD.AreaMultiplier* BasicBBoxArea * _IBRD.Aspect), SVG.NumberFormatHeight))</f>
        <v>15</v>
      </c>
    </row>
    <row r="13" spans="2:16">
      <c r="B13" s="4" t="s">
        <v>925</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1532</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1532</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927</v>
      </c>
      <c r="C16">
        <v>42</v>
      </c>
      <c r="P16" s="41"/>
    </row>
    <row r="17" spans="2:16" ht="17" thickBot="1">
      <c r="B17" s="4" t="s">
        <v>926</v>
      </c>
      <c r="C17">
        <f xml:space="preserve"> CEILING(400 - _IBRD.LineThickness / 2, 1)</f>
        <v>379</v>
      </c>
      <c r="M17" s="3" t="s">
        <v>1515</v>
      </c>
      <c r="P17" s="35" t="s">
        <v>1529</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2237</v>
      </c>
      <c r="D2" t="s">
        <v>2238</v>
      </c>
      <c r="E2" t="s">
        <v>2239</v>
      </c>
      <c r="G2" t="s">
        <v>2224</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2240</v>
      </c>
      <c r="C5" s="3" t="s">
        <v>2241</v>
      </c>
      <c r="D5" s="3" t="s">
        <v>2225</v>
      </c>
      <c r="E5" s="3" t="s">
        <v>2226</v>
      </c>
      <c r="G5" s="3" t="s">
        <v>2227</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-27.999999999999986</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2.45029690981724E-15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-1.3721662694976544E-14</v>
      </c>
      <c r="E23">
        <v>56</v>
      </c>
      <c r="G23" t="str">
        <v>L0 -56Z</v>
      </c>
    </row>
    <row r="26" spans="2:7">
      <c r="F26" s="4" t="s">
        <v>2229</v>
      </c>
      <c r="G26">
        <f xml:space="preserve"> _CoEDB.Radius_1</f>
        <v>64</v>
      </c>
    </row>
    <row r="27" spans="2:7">
      <c r="F27" s="4" t="s">
        <v>2231</v>
      </c>
      <c r="G27">
        <f xml:space="preserve"> _CoEDB.MaxX</f>
        <v>64</v>
      </c>
    </row>
    <row r="28" spans="2:7">
      <c r="F28" s="4" t="s">
        <v>2228</v>
      </c>
      <c r="G28">
        <f xml:space="preserve"> - G26</f>
        <v>-64</v>
      </c>
    </row>
    <row r="29" spans="2:7">
      <c r="F29" s="4" t="s">
        <v>2230</v>
      </c>
      <c r="G29">
        <f xml:space="preserve"> - G27</f>
        <v>-64</v>
      </c>
    </row>
    <row r="31" spans="2:7">
      <c r="F31" s="4" t="s">
        <v>2232</v>
      </c>
      <c r="G31" s="26">
        <f xml:space="preserve"> MODE(Circles.AreaMultiplier)</f>
        <v>1</v>
      </c>
    </row>
    <row r="32" spans="2:7">
      <c r="F32" s="4" t="s">
        <v>2233</v>
      </c>
      <c r="G32" cm="1">
        <f t="array" ref="G32" xml:space="preserve">  MAX(_CoEDB.MaxY, - _CoEDB.MinY)   /   MAX(_CoEDB.MaxX, - _CoEDB.MinX)</f>
        <v>1</v>
      </c>
    </row>
    <row r="33" spans="5:7">
      <c r="F33" s="4" t="s">
        <v>2234</v>
      </c>
      <c r="G33" cm="1">
        <f t="array" ref="G33" xml:space="preserve"> VALUE(TEXT(SQRT(_CoEDB.AreaMultiplier * BasicBBoxArea * _CoEDB.Aspect), SVG.NumberFormatHeight))</f>
        <v>15</v>
      </c>
    </row>
    <row r="34" spans="5:7">
      <c r="F34" s="4" t="s">
        <v>2235</v>
      </c>
      <c r="G34" cm="1">
        <f t="array" ref="G34" xml:space="preserve"> _CoEDB.Height / _CoEDB.Aspect</f>
        <v>15</v>
      </c>
    </row>
    <row r="36" spans="5:7">
      <c r="F36" s="4" t="s">
        <v>2242</v>
      </c>
      <c r="G36" s="5" t="s">
        <v>2244</v>
      </c>
    </row>
    <row r="37" spans="5:7">
      <c r="F37" s="4" t="s">
        <v>2243</v>
      </c>
      <c r="G37" s="5" t="s">
        <v>2086</v>
      </c>
    </row>
    <row r="39" spans="5:7" ht="17" thickBot="1">
      <c r="G39" s="3" t="s">
        <v>2236</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viewBox='-96 -96 192 192'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2686</v>
      </c>
      <c r="C2">
        <f xml:space="preserve"> 35</f>
        <v>35</v>
      </c>
    </row>
    <row r="3" spans="2:25">
      <c r="B3" s="4" t="s">
        <v>2687</v>
      </c>
      <c r="C3">
        <f xml:space="preserve"> XPF.RadiusOuter * 0.8</f>
        <v>28</v>
      </c>
    </row>
    <row r="4" spans="2:25">
      <c r="B4" s="4" t="s">
        <v>2736</v>
      </c>
      <c r="C4">
        <f xml:space="preserve"> AVERAGE(XPF.RadiusInner,  XPF.RadiusOuter)</f>
        <v>31.5</v>
      </c>
    </row>
    <row r="5" spans="2:25">
      <c r="B5" s="4" t="s">
        <v>2735</v>
      </c>
      <c r="C5">
        <f xml:space="preserve"> _xlfn.LET(_xlpm.r_bet,INT(XPF.RadiusMiddle), IF(AND(XPF.RadiusInner&lt;_xlpm.r_bet, _xlpm.r_bet&lt;XPF.RadiusOuter), _xlpm.r_bet, XPF.RadiusMiddle) )</f>
        <v>31</v>
      </c>
    </row>
    <row r="6" spans="2:25">
      <c r="B6" s="4" t="s">
        <v>2737</v>
      </c>
      <c r="C6">
        <f xml:space="preserve"> XPF.RadiusOuter - XPF.RadiusInner</f>
        <v>7</v>
      </c>
    </row>
    <row r="7" spans="2:25">
      <c r="H7">
        <f xml:space="preserve"> GCD(XPF.RadiusOuter, XPF.RadiusInner, $H$10, $H$14, $I$10, $I$11)</f>
        <v>1</v>
      </c>
      <c r="I7"/>
      <c r="J7"/>
      <c r="K7" s="70"/>
      <c r="L7" s="68"/>
    </row>
    <row r="8" spans="2:25">
      <c r="B8" s="4" t="s">
        <v>2688</v>
      </c>
      <c r="C8">
        <f xml:space="preserve"> DecimalPlaces - INT(LOG(XPF.RadiusOuter, 10) + 0.2)</f>
        <v>4</v>
      </c>
      <c r="I8"/>
      <c r="J8"/>
      <c r="K8" s="70"/>
      <c r="L8" s="68"/>
    </row>
    <row r="9" spans="2:25" ht="17" thickBot="1">
      <c r="H9" s="3" t="s">
        <v>2700</v>
      </c>
      <c r="I9" s="3" t="s">
        <v>2701</v>
      </c>
      <c r="J9"/>
      <c r="K9" s="71" t="s">
        <v>2702</v>
      </c>
      <c r="L9" s="69" t="s">
        <v>2728</v>
      </c>
      <c r="O9" s="3" t="s">
        <v>2707</v>
      </c>
      <c r="P9" s="3" t="s">
        <v>2708</v>
      </c>
      <c r="Q9" s="3" t="s">
        <v>2709</v>
      </c>
      <c r="R9" s="3" t="s">
        <v>2710</v>
      </c>
      <c r="S9" s="3" t="s">
        <v>2711</v>
      </c>
      <c r="U9" s="3" t="s">
        <v>2726</v>
      </c>
      <c r="V9" s="3" t="s">
        <v>2727</v>
      </c>
      <c r="X9" s="3" t="s">
        <v>2729</v>
      </c>
      <c r="Y9" s="3" t="s">
        <v>2730</v>
      </c>
    </row>
    <row r="10" spans="2:25">
      <c r="B10" s="4" t="s">
        <v>2698</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2699</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2738</v>
      </c>
      <c r="H16">
        <f xml:space="preserve"> - H$11</f>
        <v>0</v>
      </c>
      <c r="I16">
        <f xml:space="preserve"> - I$11</f>
        <v>-13.250000000000002</v>
      </c>
      <c r="J16"/>
      <c r="K16" s="70">
        <v>13.250000000000002</v>
      </c>
      <c r="L16" s="68">
        <v>-2.1071428571428568</v>
      </c>
      <c r="O16">
        <v>90</v>
      </c>
      <c r="P16">
        <v>2.144009796090085E-15</v>
      </c>
      <c r="Q16">
        <v>35</v>
      </c>
      <c r="R16">
        <v>1.715207836872068E-15</v>
      </c>
      <c r="S16">
        <v>28</v>
      </c>
      <c r="U16">
        <v>4.28801959218017E-16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-13.999999999999993</v>
      </c>
      <c r="S18">
        <v>24.248711305964285</v>
      </c>
      <c r="U18">
        <v>-3.4999999999999982</v>
      </c>
      <c r="V18">
        <v>19.312177826491073</v>
      </c>
      <c r="X18">
        <v>6.5800000000000036</v>
      </c>
      <c r="Y18">
        <v>-10.137822173508932</v>
      </c>
    </row>
    <row r="19" spans="2:25">
      <c r="B19" s="4" t="s">
        <v>2689</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2690</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2691</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2692</v>
      </c>
      <c r="C22" cm="1">
        <f t="array" ref="C22" xml:space="preserve"> - XPF.MaxY</f>
        <v>-35</v>
      </c>
      <c r="O22">
        <v>180</v>
      </c>
      <c r="P22">
        <v>-35</v>
      </c>
      <c r="Q22">
        <v>4.28801959218017E-15</v>
      </c>
      <c r="R22">
        <v>-28</v>
      </c>
      <c r="S22">
        <v>3.430415673744136E-15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2693</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2694</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2695</v>
      </c>
      <c r="C26" cm="1">
        <f t="array" ref="C26" xml:space="preserve"> VALUE(TEXT(SQRT(XPF.AreaMultiplier * BasicBBoxArea * XPF.Aspect), SVG.NumberFormatHeight))</f>
        <v>15</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2696</v>
      </c>
      <c r="C27" cm="1">
        <f t="array" ref="C27" xml:space="preserve"> XPF.Height / XPF.Aspect</f>
        <v>15</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-6.4320293882702551E-15</v>
      </c>
      <c r="Q28">
        <v>-35</v>
      </c>
      <c r="R28">
        <v>-5.145623510616204E-15</v>
      </c>
      <c r="S28">
        <v>-28</v>
      </c>
      <c r="U28">
        <v>-1.286405877654051E-15</v>
      </c>
      <c r="V28">
        <v>6.2500000000000018</v>
      </c>
      <c r="X28">
        <v>10.08</v>
      </c>
      <c r="Y28">
        <v>-23.200000000000003</v>
      </c>
    </row>
    <row r="29" spans="2:25">
      <c r="B29" s="4" t="s">
        <v>2703</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2704</v>
      </c>
      <c r="C30" s="5" t="s">
        <v>2706</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2705</v>
      </c>
      <c r="C31" s="5" t="s">
        <v>2086</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2697</v>
      </c>
      <c r="O34">
        <v>360</v>
      </c>
      <c r="P34">
        <v>35</v>
      </c>
      <c r="Q34">
        <v>-8.5760391843603401E-15</v>
      </c>
      <c r="R34">
        <v>28</v>
      </c>
      <c r="S34">
        <v>-6.8608313474882721E-15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width='15' height='15' viewBox='-52.5 -52.5 105 105'  id='%thisID%' xmlns='http://www.w3.org/2000/svg'&gt;</v>
      </c>
      <c r="E35" cm="1">
        <f t="array" ref="E35" xml:space="preserve"> SVG_length(XPF.svg)</f>
        <v>309</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1834</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1699</v>
      </c>
      <c r="F2" t="s">
        <v>828</v>
      </c>
    </row>
    <row r="3" spans="2:6">
      <c r="B3" s="49">
        <v>2</v>
      </c>
      <c r="F3" s="34">
        <f xml:space="preserve"> DecimalPlaces - INT(LOG(MIN(  MAX(XDR.RawX) - MIN(XDR.RawX),  MAX(XDR.RawY) - MIN(XDR.RawY)  )/2, 10) + 0.2)</f>
        <v>4</v>
      </c>
    </row>
    <row r="5" spans="2:6" ht="17" thickBot="1">
      <c r="B5" s="3" t="s">
        <v>829</v>
      </c>
      <c r="C5" s="3" t="s">
        <v>830</v>
      </c>
      <c r="D5" s="3" t="s">
        <v>831</v>
      </c>
      <c r="F5" s="3" t="s">
        <v>1700</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838</v>
      </c>
      <c r="F34">
        <f xml:space="preserve"> MIN(XDR.RawX)</f>
        <v>-12</v>
      </c>
    </row>
    <row r="35" spans="4:6">
      <c r="E35" s="4" t="s">
        <v>839</v>
      </c>
      <c r="F35">
        <f xml:space="preserve"> MAX(XDR.RawX)</f>
        <v>12</v>
      </c>
    </row>
    <row r="36" spans="4:6">
      <c r="E36" s="4" t="s">
        <v>840</v>
      </c>
      <c r="F36">
        <f xml:space="preserve"> MIN(XDR.RawY)</f>
        <v>-14</v>
      </c>
    </row>
    <row r="37" spans="4:6">
      <c r="E37" s="4" t="s">
        <v>841</v>
      </c>
      <c r="F37">
        <f xml:space="preserve"> MAX(XDR.RawY)</f>
        <v>14</v>
      </c>
    </row>
    <row r="39" spans="4:6">
      <c r="E39" s="4" t="s">
        <v>832</v>
      </c>
      <c r="F39" s="26">
        <v>0.875</v>
      </c>
    </row>
    <row r="40" spans="4:6">
      <c r="E40" s="4" t="s">
        <v>833</v>
      </c>
      <c r="F40">
        <f xml:space="preserve">  MAX(XDR.MaxY, - XDR.MinY)   /   MAX(XDR.MaxX, - XDR.MinX)</f>
        <v>1.1666666666666667</v>
      </c>
    </row>
    <row r="41" spans="4:6">
      <c r="E41" s="4" t="s">
        <v>834</v>
      </c>
      <c r="F41">
        <f xml:space="preserve"> VALUE(TEXT(SQRT(XDR.AreaMultiplier * BasicBBoxArea * XDR.Aspect), SVG.NumberFormatHeight))</f>
        <v>15.2</v>
      </c>
    </row>
    <row r="42" spans="4:6">
      <c r="E42" s="4" t="s">
        <v>835</v>
      </c>
      <c r="F42" cm="1">
        <f t="array" ref="F42" xml:space="preserve"> XDR.Height / XDR.Aspect</f>
        <v>13.028571428571427</v>
      </c>
    </row>
    <row r="44" spans="4:6">
      <c r="E44" s="4" t="s">
        <v>836</v>
      </c>
      <c r="F44" t="s">
        <v>1701</v>
      </c>
    </row>
    <row r="45" spans="4:6">
      <c r="E45" s="4" t="s">
        <v>837</v>
      </c>
      <c r="F45" t="s">
        <v>2087</v>
      </c>
    </row>
    <row r="47" spans="4:6" ht="17" thickBot="1">
      <c r="F47" s="3" t="s">
        <v>842</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821</v>
      </c>
      <c r="C2" s="3" t="s">
        <v>843</v>
      </c>
      <c r="D2" s="3" t="s">
        <v>822</v>
      </c>
      <c r="F2" s="3" t="s">
        <v>798</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799</v>
      </c>
      <c r="C5" s="3" t="s">
        <v>800</v>
      </c>
      <c r="D5" s="3" t="s">
        <v>801</v>
      </c>
      <c r="F5" s="3" t="s">
        <v>1761</v>
      </c>
      <c r="K5" s="3" t="s">
        <v>802</v>
      </c>
      <c r="L5" s="3" t="s">
        <v>803</v>
      </c>
      <c r="M5" s="3" t="s">
        <v>804</v>
      </c>
      <c r="N5" s="3" t="s">
        <v>805</v>
      </c>
      <c r="O5" s="3" t="s">
        <v>806</v>
      </c>
      <c r="P5" s="3" t="s">
        <v>807</v>
      </c>
    </row>
    <row r="6" spans="2:16">
      <c r="B6" t="s">
        <v>824</v>
      </c>
      <c r="C6">
        <v>41</v>
      </c>
      <c r="D6">
        <v>0</v>
      </c>
      <c r="F6" t="str">
        <f t="shared" ref="F6:F9" si="0" xml:space="preserve"> ROUND(XAU.RawX, XAU.DecimalPlaces) &amp; " " &amp; ROUND(XAU.RawY, XAU.DecimalPlaces)</f>
        <v>41 0</v>
      </c>
    </row>
    <row r="7" spans="2:16">
      <c r="B7" t="s">
        <v>824</v>
      </c>
      <c r="C7">
        <f xml:space="preserve"> - C6</f>
        <v>-41</v>
      </c>
      <c r="D7">
        <f xml:space="preserve"> D6</f>
        <v>0</v>
      </c>
      <c r="F7" t="str">
        <f t="shared" si="0"/>
        <v>-41 0</v>
      </c>
    </row>
    <row r="8" spans="2:16">
      <c r="B8" t="s">
        <v>824</v>
      </c>
      <c r="C8">
        <v>-56</v>
      </c>
      <c r="D8">
        <v>56</v>
      </c>
      <c r="F8" t="str">
        <f t="shared" si="0"/>
        <v>-56 56</v>
      </c>
    </row>
    <row r="9" spans="2:16">
      <c r="B9" t="s">
        <v>824</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808</v>
      </c>
      <c r="I17">
        <f xml:space="preserve"> ROUND( -$D$8 / 8, 0 )</f>
        <v>-7</v>
      </c>
    </row>
    <row r="18" spans="2:16">
      <c r="H18" s="4" t="s">
        <v>809</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823</v>
      </c>
      <c r="E31" s="4" t="s">
        <v>816</v>
      </c>
      <c r="F31">
        <f xml:space="preserve"> ROUND( MIN(XAU.RawX), XAU.DecimalPlaces)</f>
        <v>-56</v>
      </c>
    </row>
    <row r="32" spans="2:16">
      <c r="B32" t="s">
        <v>825</v>
      </c>
      <c r="E32" s="4" t="s">
        <v>817</v>
      </c>
      <c r="F32">
        <f xml:space="preserve"> ROUND(MAX(XAU.RawX), XAU.DecimalPlaces)</f>
        <v>56</v>
      </c>
    </row>
    <row r="33" spans="2:6">
      <c r="B33" t="s">
        <v>844</v>
      </c>
      <c r="E33" s="4" t="s">
        <v>818</v>
      </c>
      <c r="F33">
        <f xml:space="preserve"> ROUND( MIN(XAU.RawY), XAU.DecimalPlaces)</f>
        <v>-56</v>
      </c>
    </row>
    <row r="34" spans="2:6">
      <c r="E34" s="4" t="s">
        <v>819</v>
      </c>
      <c r="F34">
        <f xml:space="preserve"> ROUND(MAX(XAU.RawY), XAU.DecimalPlaces)</f>
        <v>56</v>
      </c>
    </row>
    <row r="36" spans="2:6">
      <c r="E36" s="4" t="s">
        <v>810</v>
      </c>
      <c r="F36" s="26">
        <f xml:space="preserve"> MODE(Squares.AreaMultiplier)</f>
        <v>0.85</v>
      </c>
    </row>
    <row r="37" spans="2:6">
      <c r="E37" s="4" t="s">
        <v>811</v>
      </c>
      <c r="F37">
        <f xml:space="preserve">  MAX(XAU.MaxY, - XAU.MinY)   /   MAX(XAU.MaxX, - XAU.MinX)</f>
        <v>1</v>
      </c>
    </row>
    <row r="38" spans="2:6">
      <c r="E38" s="4" t="s">
        <v>812</v>
      </c>
      <c r="F38">
        <f xml:space="preserve"> VALUE(TEXT(SQRT(XAU.AreaMultiplier* BasicBBoxArea * XAU.Aspect), SVG.NumberFormatHeight))</f>
        <v>13.8</v>
      </c>
    </row>
    <row r="39" spans="2:6">
      <c r="E39" s="4" t="s">
        <v>813</v>
      </c>
      <c r="F39" cm="1">
        <f t="array" ref="F39" xml:space="preserve"> XAU.Height / XAU.Aspect</f>
        <v>13.8</v>
      </c>
    </row>
    <row r="41" spans="2:6">
      <c r="E41" s="4" t="s">
        <v>814</v>
      </c>
      <c r="F41" t="s">
        <v>827</v>
      </c>
    </row>
    <row r="42" spans="2:6">
      <c r="E42" s="4" t="s">
        <v>815</v>
      </c>
      <c r="F42" t="s">
        <v>826</v>
      </c>
    </row>
    <row r="44" spans="2:6" ht="17" thickBot="1">
      <c r="F44" s="3" t="s">
        <v>820</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845</v>
      </c>
      <c r="C2" s="3" t="s">
        <v>846</v>
      </c>
      <c r="D2" s="3" t="s">
        <v>847</v>
      </c>
      <c r="F2" s="3" t="s">
        <v>848</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849</v>
      </c>
      <c r="C5" s="3" t="s">
        <v>850</v>
      </c>
      <c r="D5" s="3" t="s">
        <v>851</v>
      </c>
      <c r="F5" s="3" t="s">
        <v>852</v>
      </c>
      <c r="K5" s="3" t="s">
        <v>853</v>
      </c>
      <c r="L5" s="3" t="s">
        <v>854</v>
      </c>
      <c r="M5" s="3" t="s">
        <v>855</v>
      </c>
      <c r="N5" s="3" t="s">
        <v>856</v>
      </c>
      <c r="O5" s="3" t="s">
        <v>857</v>
      </c>
      <c r="P5" s="3" t="s">
        <v>858</v>
      </c>
    </row>
    <row r="6" spans="2:16">
      <c r="B6" t="s">
        <v>824</v>
      </c>
      <c r="C6">
        <v>173</v>
      </c>
      <c r="D6">
        <v>0</v>
      </c>
      <c r="F6" t="str" cm="1">
        <f t="array" ref="F6" xml:space="preserve"> ROUND(_xlfn.SINGLE(XAG.RawX), XAG.DecimalPlaces) &amp; " " &amp; ROUND(_xlfn.SINGLE(XAG.RawY), XAG.DecimalPlaces)</f>
        <v>173 0</v>
      </c>
    </row>
    <row r="7" spans="2:16">
      <c r="B7" t="s">
        <v>824</v>
      </c>
      <c r="C7">
        <f xml:space="preserve"> - C6</f>
        <v>-173</v>
      </c>
      <c r="D7">
        <v>0</v>
      </c>
      <c r="F7" t="str" cm="1">
        <f t="array" ref="F7" xml:space="preserve"> ROUND(_xlfn.SINGLE(XAG.RawX), XAG.DecimalPlaces) &amp; " " &amp; ROUND(_xlfn.SINGLE(XAG.RawY), XAG.DecimalPlaces)</f>
        <v>-173 0</v>
      </c>
    </row>
    <row r="8" spans="2:16">
      <c r="B8" t="s">
        <v>824</v>
      </c>
      <c r="C8">
        <v>-221</v>
      </c>
      <c r="D8">
        <v>272</v>
      </c>
      <c r="F8" t="str" cm="1">
        <f t="array" ref="F8" xml:space="preserve"> ROUND(_xlfn.SINGLE(XAG.RawX), XAG.DecimalPlaces) &amp; " " &amp; ROUND(_xlfn.SINGLE(XAG.RawY), XAG.DecimalPlaces)</f>
        <v>-221 272</v>
      </c>
    </row>
    <row r="9" spans="2:16">
      <c r="B9" t="s">
        <v>824</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859</v>
      </c>
      <c r="I17">
        <f xml:space="preserve"> ROUND( -$D$9 / 8, 0 )</f>
        <v>-34</v>
      </c>
    </row>
    <row r="18" spans="2:16">
      <c r="H18" s="4" t="s">
        <v>860</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823</v>
      </c>
      <c r="E31" s="4" t="s">
        <v>867</v>
      </c>
      <c r="F31">
        <f xml:space="preserve"> ROUND( MIN(XAG.RawX), XAG.DecimalPlaces)</f>
        <v>-221</v>
      </c>
    </row>
    <row r="32" spans="2:16">
      <c r="B32" t="s">
        <v>825</v>
      </c>
      <c r="E32" s="4" t="s">
        <v>868</v>
      </c>
      <c r="F32">
        <f xml:space="preserve"> ROUND(MAX(XAG.RawX), XAG.DecimalPlaces)</f>
        <v>221</v>
      </c>
    </row>
    <row r="33" spans="2:6">
      <c r="B33" t="s">
        <v>844</v>
      </c>
      <c r="E33" s="4" t="s">
        <v>869</v>
      </c>
      <c r="F33">
        <f xml:space="preserve"> ROUND( MIN(XAG.RawY), XAG.DecimalPlaces)</f>
        <v>-272</v>
      </c>
    </row>
    <row r="34" spans="2:6">
      <c r="E34" s="4" t="s">
        <v>870</v>
      </c>
      <c r="F34">
        <f xml:space="preserve"> ROUND(MAX(XAG.RawY), XAG.DecimalPlaces)</f>
        <v>272</v>
      </c>
    </row>
    <row r="36" spans="2:6">
      <c r="E36" s="4" t="s">
        <v>861</v>
      </c>
      <c r="F36" s="26">
        <f xml:space="preserve"> MODE(Squares.AreaMultiplier)</f>
        <v>0.85</v>
      </c>
    </row>
    <row r="37" spans="2:6">
      <c r="E37" s="4" t="s">
        <v>862</v>
      </c>
      <c r="F37">
        <f xml:space="preserve">  MAX(XAG.MaxY, - XAG.MinY)   /   MAX(XAG.MaxX, - XAG.MinX)</f>
        <v>1.2307692307692308</v>
      </c>
    </row>
    <row r="38" spans="2:6">
      <c r="E38" s="4" t="s">
        <v>863</v>
      </c>
      <c r="F38">
        <f xml:space="preserve"> VALUE(TEXT(SQRT(XAG.AreaMultiplier* BasicBBoxArea * XAG.Aspect), SVG.NumberFormatHeight))</f>
        <v>15.3</v>
      </c>
    </row>
    <row r="39" spans="2:6">
      <c r="E39" s="4" t="s">
        <v>864</v>
      </c>
      <c r="F39" cm="1">
        <f t="array" ref="F39" xml:space="preserve"> XAG.Height / XAG.Aspect</f>
        <v>12.43125</v>
      </c>
    </row>
    <row r="41" spans="2:6">
      <c r="E41" s="4" t="s">
        <v>865</v>
      </c>
      <c r="F41" t="s">
        <v>873</v>
      </c>
    </row>
    <row r="42" spans="2:6">
      <c r="E42" s="4" t="s">
        <v>866</v>
      </c>
      <c r="F42" t="s">
        <v>872</v>
      </c>
    </row>
    <row r="44" spans="2:6" ht="17" thickBot="1">
      <c r="F44" s="3" t="s">
        <v>871</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workbookViewId="0">
      <pane ySplit="2" topLeftCell="A3" activePane="bottomLeft" state="frozenSplit"/>
      <selection pane="bottomLeft" activeCell="B2" sqref="B2"/>
    </sheetView>
  </sheetViews>
  <sheetFormatPr baseColWidth="10" defaultRowHeight="16"/>
  <sheetData>
    <row r="2" spans="2:19" ht="17" thickBot="1">
      <c r="B2" s="3" t="s">
        <v>1826</v>
      </c>
      <c r="C2" s="3" t="s">
        <v>1827</v>
      </c>
      <c r="E2" s="3" t="s">
        <v>1828</v>
      </c>
      <c r="F2" s="3" t="s">
        <v>1829</v>
      </c>
      <c r="G2" s="3" t="s">
        <v>1982</v>
      </c>
      <c r="H2" s="3" t="s">
        <v>1830</v>
      </c>
      <c r="I2" s="3" t="s">
        <v>1831</v>
      </c>
      <c r="J2" s="3" t="s">
        <v>1832</v>
      </c>
      <c r="K2" s="3" t="s">
        <v>1833</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2646</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2646</v>
      </c>
      <c r="C5" t="s">
        <v>2657</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2649</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2649</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1980</v>
      </c>
      <c r="P7" t="s">
        <v>23</v>
      </c>
      <c r="Q7" t="s">
        <v>24</v>
      </c>
      <c r="R7" t="s">
        <v>1984</v>
      </c>
      <c r="S7" t="s">
        <v>1985</v>
      </c>
    </row>
    <row r="8" spans="2:19">
      <c r="B8" t="s">
        <v>1834</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1981</v>
      </c>
      <c r="P8">
        <v>3.6</v>
      </c>
      <c r="Q8">
        <v>1.2</v>
      </c>
      <c r="R8">
        <f xml:space="preserve"> $P8 - $Q8</f>
        <v>2.4000000000000004</v>
      </c>
      <c r="S8">
        <f xml:space="preserve"> MAX($P8:$R8)</f>
        <v>3.6</v>
      </c>
    </row>
    <row r="9" spans="2:19">
      <c r="B9" t="s">
        <v>404</v>
      </c>
      <c r="C9" t="s">
        <v>1835</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1986</v>
      </c>
      <c r="P9">
        <v>3</v>
      </c>
      <c r="Q9">
        <v>1</v>
      </c>
      <c r="R9">
        <f xml:space="preserve"> $P9 - $Q9</f>
        <v>2</v>
      </c>
      <c r="S9">
        <f xml:space="preserve"> MAX($P9:$R9)</f>
        <v>3</v>
      </c>
    </row>
    <row r="10" spans="2:19">
      <c r="B10" t="s">
        <v>2671</v>
      </c>
      <c r="C10" t="s">
        <v>1835</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2671</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1983</v>
      </c>
      <c r="P11">
        <f xml:space="preserve"> _xlfn.MAXIFS(ChartLines_Thicknesses.StrokeWidth,   ChartLines_Thicknesses.StrokeWidth,"&gt;0")</f>
        <v>3.6</v>
      </c>
    </row>
    <row r="12" spans="2:19">
      <c r="B12" t="s">
        <v>1834</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1957</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1954</v>
      </c>
      <c r="P13" s="5" t="s">
        <v>1955</v>
      </c>
    </row>
    <row r="14" spans="2:19">
      <c r="B14" t="s">
        <v>1834</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1956</v>
      </c>
      <c r="P14" s="5" t="s">
        <v>15</v>
      </c>
    </row>
    <row r="15" spans="2:19">
      <c r="B15" t="s">
        <v>2253</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2253</v>
      </c>
      <c r="C16" t="s">
        <v>1838</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2254</v>
      </c>
      <c r="C17" t="s">
        <v>1856</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2254</v>
      </c>
      <c r="C18" t="s">
        <v>1939</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2255</v>
      </c>
      <c r="C19" t="s">
        <v>1843</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2255</v>
      </c>
      <c r="C20" t="s">
        <v>1838</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2256</v>
      </c>
      <c r="C21" t="s">
        <v>2252</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2256</v>
      </c>
      <c r="C22" t="s">
        <v>1843</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2257</v>
      </c>
      <c r="C23" t="s">
        <v>1843</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2257</v>
      </c>
      <c r="C24" t="s">
        <v>2252</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1836</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1834</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1538</v>
      </c>
      <c r="C27" t="s">
        <v>1837</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1538</v>
      </c>
      <c r="C28" t="s">
        <v>1838</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2280</v>
      </c>
      <c r="C29" t="s">
        <v>1837</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2280</v>
      </c>
      <c r="C30" t="s">
        <v>2287</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1839</v>
      </c>
      <c r="C31" t="s">
        <v>1837</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1839</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2298</v>
      </c>
      <c r="C33" t="s">
        <v>1837</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2298</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1840</v>
      </c>
      <c r="C35" t="s">
        <v>1841</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1840</v>
      </c>
      <c r="C36" t="s">
        <v>1842</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1843</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1844</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1845</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1846</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793</v>
      </c>
      <c r="C44" t="s">
        <v>1835</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793</v>
      </c>
      <c r="C45" t="s">
        <v>1838</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2650</v>
      </c>
      <c r="C46" t="s">
        <v>1835</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2650</v>
      </c>
      <c r="C47" t="s">
        <v>2658</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2651</v>
      </c>
      <c r="C48" t="s">
        <v>1835</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2651</v>
      </c>
      <c r="C49" t="s">
        <v>2659</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2652</v>
      </c>
      <c r="C50" t="s">
        <v>1835</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2652</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795</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795</v>
      </c>
      <c r="C53" t="s">
        <v>1835</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580</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580</v>
      </c>
      <c r="C55" t="s">
        <v>1838</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2273</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2273</v>
      </c>
      <c r="C57" t="s">
        <v>1837</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597</v>
      </c>
      <c r="C58" t="s">
        <v>1847</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597</v>
      </c>
      <c r="C59" t="s">
        <v>1848</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2275</v>
      </c>
      <c r="C60" t="s">
        <v>1847</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2275</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634</v>
      </c>
      <c r="C62" t="s">
        <v>1849</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634</v>
      </c>
      <c r="C63" t="s">
        <v>1850</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2276</v>
      </c>
      <c r="C64" t="s">
        <v>1849</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2276</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2146</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2147</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2277</v>
      </c>
      <c r="C68" t="s">
        <v>2146</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2277</v>
      </c>
      <c r="C69" t="s">
        <v>2287</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635</v>
      </c>
      <c r="C70" t="s">
        <v>1851</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635</v>
      </c>
      <c r="C71" t="s">
        <v>1852</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2288</v>
      </c>
      <c r="C72" t="s">
        <v>2289</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2288</v>
      </c>
      <c r="C73" t="s">
        <v>1852</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654</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654</v>
      </c>
      <c r="C75" t="s">
        <v>1853</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2290</v>
      </c>
      <c r="C76" t="s">
        <v>1853</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2290</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655</v>
      </c>
      <c r="C78" t="s">
        <v>1843</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655</v>
      </c>
      <c r="C79" t="s">
        <v>1838</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2279</v>
      </c>
      <c r="C80" t="s">
        <v>1843</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2279</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656</v>
      </c>
      <c r="C82" t="s">
        <v>1854</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1834</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2291</v>
      </c>
      <c r="C84" t="s">
        <v>1854</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2291</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1855</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1838</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2295</v>
      </c>
      <c r="C88" t="s">
        <v>1855</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2295</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1856</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1834</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2296</v>
      </c>
      <c r="C92" t="s">
        <v>1856</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2296</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674</v>
      </c>
      <c r="C94" t="s">
        <v>1857</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674</v>
      </c>
      <c r="C95" t="s">
        <v>1858</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2297</v>
      </c>
      <c r="C96" t="s">
        <v>1858</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2297</v>
      </c>
      <c r="C97" t="s">
        <v>1857</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1836</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1859</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2292</v>
      </c>
      <c r="C100" t="s">
        <v>1859</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2292</v>
      </c>
      <c r="C101" t="s">
        <v>1836</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613</v>
      </c>
      <c r="C102" t="s">
        <v>2161</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613</v>
      </c>
      <c r="C103" t="s">
        <v>1860</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1861</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1834</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1665</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1834</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1862</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1863</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675</v>
      </c>
      <c r="C110" t="s">
        <v>1864</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675</v>
      </c>
      <c r="C111" t="s">
        <v>1838</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1865</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693</v>
      </c>
      <c r="C114" t="s">
        <v>1866</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693</v>
      </c>
      <c r="C115" t="s">
        <v>1867</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713</v>
      </c>
      <c r="C116" t="s">
        <v>1868</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713</v>
      </c>
      <c r="C117" t="s">
        <v>2159</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714</v>
      </c>
      <c r="C118" t="s">
        <v>1869</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714</v>
      </c>
      <c r="C119" t="s">
        <v>1870</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1703</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1703</v>
      </c>
      <c r="C121" t="s">
        <v>1871</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794</v>
      </c>
      <c r="C122" t="s">
        <v>1872</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794</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2130</v>
      </c>
      <c r="C124" t="s">
        <v>1861</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2130</v>
      </c>
      <c r="C125" t="s">
        <v>1836</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1856</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1838</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1539</v>
      </c>
      <c r="C129" t="s">
        <v>1873</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1539</v>
      </c>
      <c r="C130" t="s">
        <v>1874</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1979</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1834</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1876</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1875</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1841</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1877</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1878</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1879</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2739</v>
      </c>
      <c r="C139" t="s">
        <v>1880</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2739</v>
      </c>
      <c r="C140" t="s">
        <v>1838</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1881</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1882</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1883</v>
      </c>
      <c r="C144" t="s">
        <v>1837</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1834</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1884</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1838</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1885</v>
      </c>
      <c r="C148" t="s">
        <v>1886</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1885</v>
      </c>
      <c r="C149" t="s">
        <v>1887</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1888</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1834</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1889</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1837</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1838</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1890</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2378</v>
      </c>
      <c r="C158" t="s">
        <v>2407</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2378</v>
      </c>
      <c r="C159" t="s">
        <v>2406</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1891</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1879</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1892</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1893</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1838</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1894</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1838</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1895</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1896</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1897</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1898</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1899</v>
      </c>
      <c r="C172" t="s">
        <v>1900</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1899</v>
      </c>
      <c r="C173" t="s">
        <v>1901</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2310</v>
      </c>
      <c r="C174" t="s">
        <v>2405</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2310</v>
      </c>
      <c r="C175" t="s">
        <v>2404</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2408</v>
      </c>
      <c r="C176" t="s">
        <v>1939</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2408</v>
      </c>
      <c r="C177" t="s">
        <v>2409</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1613</v>
      </c>
      <c r="C178" t="s">
        <v>1902</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1613</v>
      </c>
      <c r="C179" t="s">
        <v>1903</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2419</v>
      </c>
      <c r="C180" t="s">
        <v>2421</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2419</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2267</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2267</v>
      </c>
      <c r="C183" t="s">
        <v>2300</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2680</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1834</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878</v>
      </c>
      <c r="C187" t="s">
        <v>1904</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878</v>
      </c>
      <c r="C188" t="s">
        <v>1905</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393</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393</v>
      </c>
      <c r="C190" t="s">
        <v>1856</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405</v>
      </c>
      <c r="C191" t="s">
        <v>1906</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405</v>
      </c>
      <c r="C192" t="s">
        <v>1907</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1669</v>
      </c>
      <c r="C193" t="s">
        <v>1908</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1669</v>
      </c>
      <c r="C194" t="s">
        <v>1909</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1910</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1978</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1911</v>
      </c>
      <c r="C197" t="s">
        <v>1837</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1911</v>
      </c>
      <c r="C198" t="s">
        <v>1838</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2413</v>
      </c>
      <c r="C199" t="s">
        <v>2415</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2413</v>
      </c>
      <c r="C200" t="s">
        <v>1838</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2414</v>
      </c>
      <c r="C201" t="s">
        <v>1933</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2414</v>
      </c>
      <c r="C202" t="s">
        <v>2416</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2153</v>
      </c>
      <c r="C203" t="s">
        <v>1912</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2153</v>
      </c>
      <c r="C204" t="s">
        <v>1838</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406</v>
      </c>
      <c r="C205" t="s">
        <v>2076</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406</v>
      </c>
      <c r="C206" t="s">
        <v>2067</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1913</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1834</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1838</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458</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458</v>
      </c>
      <c r="C213" t="s">
        <v>1836</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1977</v>
      </c>
      <c r="C214" t="s">
        <v>1843</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1977</v>
      </c>
      <c r="C215" t="s">
        <v>1978</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472</v>
      </c>
      <c r="C216" t="s">
        <v>1914</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472</v>
      </c>
      <c r="C217" t="s">
        <v>1838</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2412</v>
      </c>
      <c r="C218" t="s">
        <v>1856</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1915</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1915</v>
      </c>
      <c r="C220" t="s">
        <v>1916</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2025</v>
      </c>
      <c r="C221" t="s">
        <v>2024</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2025</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2309</v>
      </c>
      <c r="C223" t="s">
        <v>2403</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2309</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490</v>
      </c>
      <c r="C225" t="s">
        <v>1916</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490</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1836</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2305</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2305</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1917</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1917</v>
      </c>
      <c r="C232" t="s">
        <v>1838</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1918</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1838</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1919</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1623</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1623</v>
      </c>
      <c r="C238" t="s">
        <v>1838</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491</v>
      </c>
      <c r="C239" t="s">
        <v>1920</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491</v>
      </c>
      <c r="C240" t="s">
        <v>1838</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899</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899</v>
      </c>
      <c r="C242" t="s">
        <v>1921</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509</v>
      </c>
      <c r="C243" t="s">
        <v>1922</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509</v>
      </c>
      <c r="C244" t="s">
        <v>1838</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432</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432</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1838</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1616</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1616</v>
      </c>
      <c r="C251" t="s">
        <v>1923</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2004</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2004</v>
      </c>
      <c r="C253" t="s">
        <v>1838</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1626</v>
      </c>
      <c r="C254" t="s">
        <v>1924</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1626</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1622</v>
      </c>
      <c r="C256" t="s">
        <v>1879</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1622</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1636</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1636</v>
      </c>
      <c r="C259" t="s">
        <v>1925</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1619</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1619</v>
      </c>
      <c r="C261" t="s">
        <v>1926</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1958</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1958</v>
      </c>
      <c r="C263" t="s">
        <v>1844</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1928</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1927</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1851</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1929</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1930</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2417</v>
      </c>
      <c r="C270" t="s">
        <v>1879</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2417</v>
      </c>
      <c r="C271" t="s">
        <v>1916</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2150</v>
      </c>
      <c r="C272" t="s">
        <v>1843</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2150</v>
      </c>
      <c r="C273" t="s">
        <v>1842</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2675</v>
      </c>
      <c r="C274" t="s">
        <v>2679</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1834</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2681</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2681</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525</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525</v>
      </c>
      <c r="C280" t="s">
        <v>1843</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527</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527</v>
      </c>
      <c r="C282" t="s">
        <v>1931</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1932</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1933</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1842</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1843</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1838</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543</v>
      </c>
      <c r="C289" t="s">
        <v>2160</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543</v>
      </c>
      <c r="C290" t="s">
        <v>1838</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1934</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1838</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1935</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1935</v>
      </c>
      <c r="C294" t="s">
        <v>1838</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559</v>
      </c>
      <c r="C295" t="s">
        <v>1936</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559</v>
      </c>
      <c r="C296" t="s">
        <v>1843</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562</v>
      </c>
      <c r="C297" t="s">
        <v>1865</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562</v>
      </c>
      <c r="C298" t="s">
        <v>1844</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2313</v>
      </c>
      <c r="C299" t="s">
        <v>2410</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2313</v>
      </c>
      <c r="C300" t="s">
        <v>2411</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2308</v>
      </c>
      <c r="C301" t="s">
        <v>1937</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2308</v>
      </c>
      <c r="C302" t="s">
        <v>1851</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1922</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1838</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2356</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2356</v>
      </c>
      <c r="C306" t="s">
        <v>1856</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2376</v>
      </c>
      <c r="C307" t="s">
        <v>2402</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2376</v>
      </c>
      <c r="C308" t="s">
        <v>1838</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1706</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1706</v>
      </c>
      <c r="C310" t="s">
        <v>1938</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577</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577</v>
      </c>
      <c r="C312" t="s">
        <v>1916</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578</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578</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579</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579</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1775</v>
      </c>
      <c r="C317" t="s">
        <v>1939</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1775</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2443</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970</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970</v>
      </c>
      <c r="C323" t="s">
        <v>1838</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2245</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2245</v>
      </c>
      <c r="C325" t="s">
        <v>1838</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1940</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1940</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797</v>
      </c>
      <c r="C328" t="s">
        <v>2129</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2246</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2246</v>
      </c>
      <c r="C330" t="s">
        <v>2249</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1834</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1941</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1834</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1942</v>
      </c>
      <c r="C334" t="s">
        <v>1943</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1942</v>
      </c>
      <c r="C335" t="s">
        <v>1838</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954</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954</v>
      </c>
      <c r="C337" t="s">
        <v>1838</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2041</v>
      </c>
      <c r="C340" t="s">
        <v>2042</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2041</v>
      </c>
      <c r="C341" t="s">
        <v>2043</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991</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991</v>
      </c>
      <c r="C343" t="s">
        <v>1838</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2031</v>
      </c>
      <c r="C344" t="s">
        <v>2034</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2031</v>
      </c>
      <c r="C345" t="s">
        <v>2035</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2036</v>
      </c>
      <c r="C346" t="s">
        <v>2039</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2036</v>
      </c>
      <c r="C347" t="s">
        <v>2040</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1049</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1049</v>
      </c>
      <c r="C349" t="s">
        <v>1944</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1945</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1945</v>
      </c>
      <c r="C351" t="s">
        <v>1838</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1946</v>
      </c>
      <c r="C352" t="s">
        <v>1947</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1834</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2712</v>
      </c>
      <c r="C355" t="s">
        <v>2721</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1834</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2714</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2714</v>
      </c>
      <c r="C358" t="s">
        <v>2722</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2715</v>
      </c>
      <c r="C359" t="s">
        <v>2719</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2715</v>
      </c>
      <c r="C360" t="s">
        <v>2720</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2716</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2716</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1948</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1948</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1949</v>
      </c>
      <c r="C366" t="s">
        <v>1950</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1949</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928</v>
      </c>
      <c r="C368" t="s">
        <v>1951</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928</v>
      </c>
      <c r="C369" t="s">
        <v>1952</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2615</v>
      </c>
      <c r="C371" t="s">
        <v>2615</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2445</v>
      </c>
      <c r="C5" s="35" t="s">
        <v>2446</v>
      </c>
      <c r="D5" s="35" t="s">
        <v>2447</v>
      </c>
      <c r="E5" s="35" t="s">
        <v>2448</v>
      </c>
    </row>
    <row r="7" spans="2:5">
      <c r="B7" s="5" t="s">
        <v>2</v>
      </c>
      <c r="C7" s="5" t="s">
        <v>2638</v>
      </c>
      <c r="E7" s="5" t="s">
        <v>2639</v>
      </c>
    </row>
    <row r="8" spans="2:5">
      <c r="B8" s="5" t="s">
        <v>2646</v>
      </c>
      <c r="C8" s="5" t="s">
        <v>2660</v>
      </c>
      <c r="D8" s="5" t="s">
        <v>2662</v>
      </c>
    </row>
    <row r="9" spans="2:5">
      <c r="B9" s="5" t="s">
        <v>2649</v>
      </c>
      <c r="C9" s="5" t="s">
        <v>2661</v>
      </c>
      <c r="D9" s="5" t="s">
        <v>2663</v>
      </c>
    </row>
    <row r="10" spans="2:5">
      <c r="B10" s="5" t="s">
        <v>404</v>
      </c>
      <c r="C10" s="5" t="s">
        <v>2449</v>
      </c>
      <c r="D10" s="5" t="s">
        <v>2672</v>
      </c>
    </row>
    <row r="11" spans="2:5">
      <c r="B11" s="5" t="s">
        <v>2671</v>
      </c>
      <c r="C11" s="5" t="s">
        <v>2674</v>
      </c>
      <c r="D11" s="5" t="s">
        <v>2673</v>
      </c>
    </row>
    <row r="12" spans="2:5">
      <c r="B12" s="5" t="s">
        <v>0</v>
      </c>
      <c r="C12" s="5" t="s">
        <v>2450</v>
      </c>
      <c r="D12" s="5" t="s">
        <v>2451</v>
      </c>
    </row>
    <row r="13" spans="2:5">
      <c r="B13" s="5" t="s">
        <v>2255</v>
      </c>
      <c r="C13" s="5" t="s">
        <v>2452</v>
      </c>
    </row>
    <row r="14" spans="2:5">
      <c r="B14" s="5" t="s">
        <v>2253</v>
      </c>
      <c r="C14" s="5" t="s">
        <v>2453</v>
      </c>
    </row>
    <row r="15" spans="2:5">
      <c r="B15" s="5" t="s">
        <v>2256</v>
      </c>
      <c r="C15" s="5" t="s">
        <v>2454</v>
      </c>
    </row>
    <row r="16" spans="2:5">
      <c r="B16" s="5" t="s">
        <v>2254</v>
      </c>
      <c r="C16" s="5" t="s">
        <v>2455</v>
      </c>
    </row>
    <row r="17" spans="2:5">
      <c r="B17" s="5" t="s">
        <v>2257</v>
      </c>
      <c r="C17" s="5" t="s">
        <v>2456</v>
      </c>
      <c r="D17" s="5" t="s">
        <v>2624</v>
      </c>
    </row>
    <row r="18" spans="2:5">
      <c r="B18" s="5" t="s">
        <v>7</v>
      </c>
      <c r="C18" s="5" t="s">
        <v>2457</v>
      </c>
    </row>
    <row r="19" spans="2:5">
      <c r="B19" s="5" t="s">
        <v>1538</v>
      </c>
      <c r="C19" s="5" t="s">
        <v>2458</v>
      </c>
      <c r="D19" s="5" t="s">
        <v>2459</v>
      </c>
    </row>
    <row r="20" spans="2:5">
      <c r="B20" s="5" t="s">
        <v>2280</v>
      </c>
      <c r="C20" s="5" t="s">
        <v>2460</v>
      </c>
      <c r="D20" s="5" t="s">
        <v>2461</v>
      </c>
    </row>
    <row r="21" spans="2:5">
      <c r="B21" s="5" t="s">
        <v>1839</v>
      </c>
      <c r="C21" s="5" t="s">
        <v>2462</v>
      </c>
      <c r="D21" s="5" t="s">
        <v>2463</v>
      </c>
    </row>
    <row r="22" spans="2:5">
      <c r="B22" s="5" t="s">
        <v>2298</v>
      </c>
      <c r="C22" s="5" t="s">
        <v>2464</v>
      </c>
      <c r="D22" s="5" t="s">
        <v>2465</v>
      </c>
    </row>
    <row r="23" spans="2:5">
      <c r="B23" s="5" t="s">
        <v>1840</v>
      </c>
      <c r="C23" s="5" t="s">
        <v>2466</v>
      </c>
    </row>
    <row r="24" spans="2:5">
      <c r="B24" s="5" t="s">
        <v>122</v>
      </c>
      <c r="C24" s="5" t="s">
        <v>2467</v>
      </c>
    </row>
    <row r="25" spans="2:5">
      <c r="B25" s="5" t="s">
        <v>126</v>
      </c>
      <c r="C25" s="5" t="s">
        <v>2468</v>
      </c>
    </row>
    <row r="26" spans="2:5">
      <c r="B26" s="5" t="s">
        <v>128</v>
      </c>
      <c r="C26" s="5" t="s">
        <v>2469</v>
      </c>
    </row>
    <row r="27" spans="2:5">
      <c r="B27" s="5" t="s">
        <v>133</v>
      </c>
      <c r="C27" s="5" t="s">
        <v>2470</v>
      </c>
    </row>
    <row r="28" spans="2:5">
      <c r="B28" s="5" t="s">
        <v>1883</v>
      </c>
      <c r="C28" s="5" t="s">
        <v>2645</v>
      </c>
    </row>
    <row r="29" spans="2:5">
      <c r="B29" s="5" t="s">
        <v>203</v>
      </c>
      <c r="C29" s="5" t="s">
        <v>2471</v>
      </c>
    </row>
    <row r="30" spans="2:5">
      <c r="B30" s="5" t="s">
        <v>1885</v>
      </c>
      <c r="C30" s="5" t="s">
        <v>2628</v>
      </c>
      <c r="E30" s="5" t="s">
        <v>2629</v>
      </c>
    </row>
    <row r="31" spans="2:5">
      <c r="B31" s="5" t="s">
        <v>136</v>
      </c>
      <c r="C31" s="5" t="s">
        <v>2741</v>
      </c>
    </row>
    <row r="32" spans="2:5">
      <c r="B32" s="5" t="s">
        <v>235</v>
      </c>
      <c r="C32" s="5" t="s">
        <v>2630</v>
      </c>
      <c r="E32" s="5" t="s">
        <v>2631</v>
      </c>
    </row>
    <row r="33" spans="2:3">
      <c r="B33" s="5" t="s">
        <v>162</v>
      </c>
      <c r="C33" s="5" t="s">
        <v>2472</v>
      </c>
    </row>
    <row r="34" spans="2:3">
      <c r="B34" s="5" t="s">
        <v>163</v>
      </c>
      <c r="C34" s="5" t="s">
        <v>2473</v>
      </c>
    </row>
    <row r="35" spans="2:3">
      <c r="B35" s="5" t="s">
        <v>2378</v>
      </c>
      <c r="C35" s="5" t="s">
        <v>2474</v>
      </c>
    </row>
    <row r="36" spans="2:3">
      <c r="B36" s="5" t="s">
        <v>248</v>
      </c>
      <c r="C36" s="5" t="s">
        <v>2475</v>
      </c>
    </row>
    <row r="37" spans="2:3">
      <c r="B37" s="5" t="s">
        <v>261</v>
      </c>
      <c r="C37" s="5" t="s">
        <v>2476</v>
      </c>
    </row>
    <row r="38" spans="2:3">
      <c r="B38" s="5" t="s">
        <v>296</v>
      </c>
      <c r="C38" s="5" t="s">
        <v>2477</v>
      </c>
    </row>
    <row r="39" spans="2:3">
      <c r="B39" s="5" t="s">
        <v>135</v>
      </c>
      <c r="C39" s="5" t="s">
        <v>2478</v>
      </c>
    </row>
    <row r="40" spans="2:3">
      <c r="B40" s="5" t="s">
        <v>97</v>
      </c>
      <c r="C40" s="5" t="s">
        <v>2479</v>
      </c>
    </row>
    <row r="41" spans="2:3">
      <c r="B41" s="5" t="s">
        <v>164</v>
      </c>
      <c r="C41" s="5" t="s">
        <v>2480</v>
      </c>
    </row>
    <row r="42" spans="2:3">
      <c r="B42" s="5" t="s">
        <v>2419</v>
      </c>
      <c r="C42" s="5" t="s">
        <v>2623</v>
      </c>
    </row>
    <row r="43" spans="2:3">
      <c r="B43" s="5" t="s">
        <v>1899</v>
      </c>
      <c r="C43" s="5" t="s">
        <v>2481</v>
      </c>
    </row>
    <row r="44" spans="2:3">
      <c r="B44" s="5" t="s">
        <v>2310</v>
      </c>
      <c r="C44" s="5" t="s">
        <v>2482</v>
      </c>
    </row>
    <row r="45" spans="2:3">
      <c r="B45" s="5" t="s">
        <v>2408</v>
      </c>
      <c r="C45" s="5" t="s">
        <v>2483</v>
      </c>
    </row>
    <row r="46" spans="2:3">
      <c r="B46" s="5" t="s">
        <v>1613</v>
      </c>
      <c r="C46" s="5" t="s">
        <v>2484</v>
      </c>
    </row>
    <row r="47" spans="2:3">
      <c r="B47" s="5" t="s">
        <v>2267</v>
      </c>
      <c r="C47" s="5" t="s">
        <v>2485</v>
      </c>
    </row>
    <row r="48" spans="2:3">
      <c r="B48" s="5" t="s">
        <v>2680</v>
      </c>
      <c r="C48" s="5" t="s">
        <v>2684</v>
      </c>
    </row>
    <row r="49" spans="2:5">
      <c r="B49" s="5" t="s">
        <v>132</v>
      </c>
      <c r="C49" s="5" t="s">
        <v>2486</v>
      </c>
    </row>
    <row r="50" spans="2:5">
      <c r="B50" s="5" t="s">
        <v>1539</v>
      </c>
      <c r="C50" s="5" t="s">
        <v>2487</v>
      </c>
    </row>
    <row r="51" spans="2:5">
      <c r="B51" s="5" t="s">
        <v>326</v>
      </c>
      <c r="C51" s="5" t="s">
        <v>2488</v>
      </c>
    </row>
    <row r="52" spans="2:5">
      <c r="B52" s="5" t="s">
        <v>372</v>
      </c>
      <c r="C52" s="5" t="s">
        <v>2489</v>
      </c>
    </row>
    <row r="53" spans="2:5">
      <c r="B53" s="5" t="s">
        <v>357</v>
      </c>
      <c r="C53" s="5" t="s">
        <v>2636</v>
      </c>
    </row>
    <row r="54" spans="2:5">
      <c r="B54" s="5" t="s">
        <v>376</v>
      </c>
      <c r="C54" s="5" t="s">
        <v>2490</v>
      </c>
    </row>
    <row r="55" spans="2:5">
      <c r="B55" s="5" t="s">
        <v>2739</v>
      </c>
      <c r="C55" s="5" t="s">
        <v>2491</v>
      </c>
    </row>
    <row r="56" spans="2:5">
      <c r="B56" s="5" t="s">
        <v>878</v>
      </c>
      <c r="C56" s="5" t="s">
        <v>2492</v>
      </c>
    </row>
    <row r="57" spans="2:5">
      <c r="B57" s="5" t="s">
        <v>393</v>
      </c>
      <c r="C57" s="5" t="s">
        <v>2493</v>
      </c>
    </row>
    <row r="58" spans="2:5">
      <c r="B58" s="5" t="s">
        <v>405</v>
      </c>
      <c r="C58" s="5" t="s">
        <v>2494</v>
      </c>
    </row>
    <row r="59" spans="2:5">
      <c r="B59" s="5" t="s">
        <v>1669</v>
      </c>
      <c r="C59" s="5" t="s">
        <v>2495</v>
      </c>
    </row>
    <row r="60" spans="2:5">
      <c r="B60" s="5" t="s">
        <v>165</v>
      </c>
      <c r="C60" s="5" t="s">
        <v>2496</v>
      </c>
    </row>
    <row r="61" spans="2:5">
      <c r="B61" s="5" t="s">
        <v>1911</v>
      </c>
      <c r="C61" s="5" t="s">
        <v>2497</v>
      </c>
      <c r="E61" s="5" t="s">
        <v>2498</v>
      </c>
    </row>
    <row r="62" spans="2:5">
      <c r="B62" s="5" t="s">
        <v>2413</v>
      </c>
      <c r="C62" s="5" t="s">
        <v>2499</v>
      </c>
    </row>
    <row r="63" spans="2:5">
      <c r="B63" s="5" t="s">
        <v>2414</v>
      </c>
      <c r="C63" s="5" t="s">
        <v>2500</v>
      </c>
    </row>
    <row r="64" spans="2:5">
      <c r="B64" s="5" t="s">
        <v>2153</v>
      </c>
      <c r="C64" s="5" t="s">
        <v>2501</v>
      </c>
    </row>
    <row r="65" spans="2:5">
      <c r="B65" s="5" t="s">
        <v>406</v>
      </c>
      <c r="C65" s="5" t="s">
        <v>2632</v>
      </c>
      <c r="E65" s="5" t="s">
        <v>2633</v>
      </c>
    </row>
    <row r="66" spans="2:5">
      <c r="B66" s="5" t="s">
        <v>134</v>
      </c>
      <c r="C66" s="5" t="s">
        <v>2640</v>
      </c>
    </row>
    <row r="67" spans="2:5">
      <c r="B67" s="5" t="s">
        <v>166</v>
      </c>
      <c r="C67" s="5" t="s">
        <v>2502</v>
      </c>
    </row>
    <row r="68" spans="2:5">
      <c r="B68" s="5" t="s">
        <v>458</v>
      </c>
      <c r="C68" s="5" t="s">
        <v>2503</v>
      </c>
    </row>
    <row r="69" spans="2:5">
      <c r="B69" s="5" t="s">
        <v>1977</v>
      </c>
      <c r="C69" s="5" t="s">
        <v>2504</v>
      </c>
    </row>
    <row r="70" spans="2:5">
      <c r="B70" s="5" t="s">
        <v>472</v>
      </c>
      <c r="C70" s="5" t="s">
        <v>2505</v>
      </c>
    </row>
    <row r="71" spans="2:5">
      <c r="B71" s="5" t="s">
        <v>2412</v>
      </c>
      <c r="C71" s="5" t="s">
        <v>2506</v>
      </c>
    </row>
    <row r="72" spans="2:5">
      <c r="B72" s="5" t="s">
        <v>1915</v>
      </c>
      <c r="C72" s="5" t="s">
        <v>2507</v>
      </c>
    </row>
    <row r="73" spans="2:5">
      <c r="B73" s="5" t="s">
        <v>2025</v>
      </c>
      <c r="C73" s="5" t="s">
        <v>2508</v>
      </c>
    </row>
    <row r="74" spans="2:5">
      <c r="B74" s="5" t="s">
        <v>490</v>
      </c>
      <c r="C74" s="5" t="s">
        <v>2509</v>
      </c>
    </row>
    <row r="75" spans="2:5">
      <c r="B75" s="5" t="s">
        <v>167</v>
      </c>
      <c r="C75" s="5" t="s">
        <v>2510</v>
      </c>
    </row>
    <row r="76" spans="2:5">
      <c r="B76" s="5" t="s">
        <v>2309</v>
      </c>
      <c r="C76" s="5" t="s">
        <v>2642</v>
      </c>
    </row>
    <row r="77" spans="2:5">
      <c r="B77" s="5" t="s">
        <v>2305</v>
      </c>
      <c r="C77" s="5" t="s">
        <v>2511</v>
      </c>
    </row>
    <row r="78" spans="2:5">
      <c r="B78" s="5" t="s">
        <v>1917</v>
      </c>
      <c r="C78" s="5" t="s">
        <v>2512</v>
      </c>
    </row>
    <row r="79" spans="2:5">
      <c r="B79" s="5" t="s">
        <v>137</v>
      </c>
      <c r="C79" s="5" t="s">
        <v>2513</v>
      </c>
    </row>
    <row r="80" spans="2:5">
      <c r="B80" s="5" t="s">
        <v>138</v>
      </c>
      <c r="C80" s="5" t="s">
        <v>2514</v>
      </c>
    </row>
    <row r="81" spans="2:5">
      <c r="B81" s="5" t="s">
        <v>1623</v>
      </c>
      <c r="C81" s="5" t="s">
        <v>2515</v>
      </c>
      <c r="E81" s="5" t="s">
        <v>2641</v>
      </c>
    </row>
    <row r="82" spans="2:5">
      <c r="B82" s="5" t="s">
        <v>491</v>
      </c>
      <c r="C82" s="5" t="s">
        <v>2516</v>
      </c>
    </row>
    <row r="83" spans="2:5">
      <c r="B83" s="5" t="s">
        <v>899</v>
      </c>
      <c r="C83" s="5" t="s">
        <v>2517</v>
      </c>
    </row>
    <row r="84" spans="2:5">
      <c r="B84" s="5" t="s">
        <v>509</v>
      </c>
      <c r="C84" s="5" t="s">
        <v>2626</v>
      </c>
      <c r="E84" s="5" t="s">
        <v>2627</v>
      </c>
    </row>
    <row r="85" spans="2:5">
      <c r="B85" s="5" t="s">
        <v>432</v>
      </c>
      <c r="C85" s="5" t="s">
        <v>2518</v>
      </c>
    </row>
    <row r="86" spans="2:5">
      <c r="B86" s="5" t="s">
        <v>168</v>
      </c>
      <c r="C86" s="5" t="s">
        <v>2519</v>
      </c>
    </row>
    <row r="87" spans="2:5">
      <c r="B87" s="5" t="s">
        <v>1616</v>
      </c>
      <c r="C87" s="5" t="s">
        <v>2520</v>
      </c>
    </row>
    <row r="88" spans="2:5">
      <c r="B88" s="5" t="s">
        <v>2004</v>
      </c>
      <c r="C88" s="5" t="s">
        <v>2521</v>
      </c>
    </row>
    <row r="89" spans="2:5">
      <c r="B89" s="5" t="s">
        <v>1626</v>
      </c>
      <c r="C89" s="5" t="s">
        <v>2522</v>
      </c>
    </row>
    <row r="90" spans="2:5">
      <c r="B90" s="5" t="s">
        <v>1622</v>
      </c>
      <c r="C90" s="5" t="s">
        <v>2523</v>
      </c>
    </row>
    <row r="91" spans="2:5">
      <c r="B91" s="5" t="s">
        <v>1636</v>
      </c>
      <c r="C91" s="5" t="s">
        <v>2524</v>
      </c>
    </row>
    <row r="92" spans="2:5">
      <c r="B92" s="5" t="s">
        <v>1619</v>
      </c>
      <c r="C92" s="5" t="s">
        <v>2525</v>
      </c>
    </row>
    <row r="93" spans="2:5">
      <c r="B93" s="5" t="s">
        <v>1958</v>
      </c>
      <c r="C93" s="5" t="s">
        <v>2526</v>
      </c>
    </row>
    <row r="94" spans="2:5">
      <c r="B94" s="5" t="s">
        <v>139</v>
      </c>
      <c r="C94" s="5" t="s">
        <v>2527</v>
      </c>
    </row>
    <row r="95" spans="2:5">
      <c r="B95" s="5" t="s">
        <v>99</v>
      </c>
      <c r="C95" s="5" t="s">
        <v>2528</v>
      </c>
    </row>
    <row r="96" spans="2:5">
      <c r="B96" s="5" t="s">
        <v>98</v>
      </c>
      <c r="C96" s="5" t="s">
        <v>2529</v>
      </c>
    </row>
    <row r="97" spans="2:5">
      <c r="B97" s="5" t="s">
        <v>2417</v>
      </c>
      <c r="C97" s="5" t="s">
        <v>2530</v>
      </c>
    </row>
    <row r="98" spans="2:5">
      <c r="B98" s="5" t="s">
        <v>2150</v>
      </c>
      <c r="C98" s="5" t="s">
        <v>2531</v>
      </c>
    </row>
    <row r="99" spans="2:5">
      <c r="B99" s="5" t="s">
        <v>2675</v>
      </c>
      <c r="C99" s="5" t="s">
        <v>2678</v>
      </c>
    </row>
    <row r="100" spans="2:5">
      <c r="B100" s="5" t="s">
        <v>2681</v>
      </c>
      <c r="C100" s="5" t="s">
        <v>2683</v>
      </c>
      <c r="E100" s="5" t="s">
        <v>2685</v>
      </c>
    </row>
    <row r="101" spans="2:5">
      <c r="B101" s="5" t="s">
        <v>525</v>
      </c>
      <c r="C101" s="5" t="s">
        <v>2532</v>
      </c>
    </row>
    <row r="102" spans="2:5">
      <c r="B102" s="5" t="s">
        <v>527</v>
      </c>
      <c r="C102" s="5" t="s">
        <v>2533</v>
      </c>
    </row>
    <row r="103" spans="2:5">
      <c r="B103" s="5" t="s">
        <v>140</v>
      </c>
      <c r="C103" s="5" t="s">
        <v>2534</v>
      </c>
      <c r="E103" s="5" t="s">
        <v>2535</v>
      </c>
    </row>
    <row r="104" spans="2:5">
      <c r="B104" s="5" t="s">
        <v>100</v>
      </c>
      <c r="C104" s="5" t="s">
        <v>2536</v>
      </c>
    </row>
    <row r="105" spans="2:5">
      <c r="B105" s="5" t="s">
        <v>101</v>
      </c>
      <c r="C105" s="5" t="s">
        <v>2537</v>
      </c>
    </row>
    <row r="106" spans="2:5">
      <c r="B106" s="5" t="s">
        <v>543</v>
      </c>
      <c r="C106" s="5" t="s">
        <v>2538</v>
      </c>
    </row>
    <row r="107" spans="2:5">
      <c r="B107" s="5" t="s">
        <v>102</v>
      </c>
      <c r="C107" s="5" t="s">
        <v>2539</v>
      </c>
    </row>
    <row r="108" spans="2:5">
      <c r="B108" s="5" t="s">
        <v>1935</v>
      </c>
      <c r="C108" s="5" t="s">
        <v>2540</v>
      </c>
    </row>
    <row r="109" spans="2:5">
      <c r="B109" s="5" t="s">
        <v>559</v>
      </c>
      <c r="C109" s="5" t="s">
        <v>2541</v>
      </c>
    </row>
    <row r="110" spans="2:5">
      <c r="B110" s="5" t="s">
        <v>562</v>
      </c>
      <c r="C110" s="5" t="s">
        <v>2542</v>
      </c>
    </row>
    <row r="111" spans="2:5">
      <c r="B111" s="5" t="s">
        <v>2313</v>
      </c>
      <c r="C111" s="5" t="s">
        <v>2543</v>
      </c>
    </row>
    <row r="112" spans="2:5">
      <c r="B112" s="5" t="s">
        <v>2308</v>
      </c>
      <c r="C112" s="5" t="s">
        <v>2544</v>
      </c>
    </row>
    <row r="113" spans="2:5">
      <c r="B113" s="5" t="s">
        <v>169</v>
      </c>
      <c r="C113" s="5" t="s">
        <v>2545</v>
      </c>
    </row>
    <row r="114" spans="2:5">
      <c r="B114" s="5" t="s">
        <v>2356</v>
      </c>
      <c r="C114" s="5" t="s">
        <v>2546</v>
      </c>
    </row>
    <row r="115" spans="2:5">
      <c r="B115" s="5" t="s">
        <v>2376</v>
      </c>
      <c r="C115" s="5" t="s">
        <v>2547</v>
      </c>
    </row>
    <row r="116" spans="2:5">
      <c r="B116" s="5" t="s">
        <v>1706</v>
      </c>
      <c r="C116" s="5" t="s">
        <v>2548</v>
      </c>
      <c r="E116" s="5" t="s">
        <v>2535</v>
      </c>
    </row>
    <row r="117" spans="2:5">
      <c r="B117" s="5" t="s">
        <v>577</v>
      </c>
      <c r="C117" s="5" t="s">
        <v>2549</v>
      </c>
    </row>
    <row r="118" spans="2:5">
      <c r="B118" s="5" t="s">
        <v>578</v>
      </c>
      <c r="C118" s="5" t="s">
        <v>2550</v>
      </c>
    </row>
    <row r="119" spans="2:5">
      <c r="B119" s="5" t="s">
        <v>579</v>
      </c>
      <c r="C119" s="5" t="s">
        <v>2551</v>
      </c>
    </row>
    <row r="120" spans="2:5">
      <c r="B120" s="5" t="s">
        <v>1775</v>
      </c>
      <c r="C120" s="5" t="s">
        <v>2552</v>
      </c>
    </row>
    <row r="121" spans="2:5">
      <c r="B121" s="5" t="s">
        <v>793</v>
      </c>
      <c r="C121" s="5" t="s">
        <v>2553</v>
      </c>
      <c r="D121" s="5" t="s">
        <v>2666</v>
      </c>
    </row>
    <row r="122" spans="2:5">
      <c r="B122" s="5" t="s">
        <v>2650</v>
      </c>
      <c r="C122" s="5" t="str">
        <f xml:space="preserve"> "Shape from `" &amp; $B$121 &amp; "` marker; with green."</f>
        <v>Shape from `EU` marker; with green.</v>
      </c>
      <c r="D122" s="5" t="s">
        <v>2664</v>
      </c>
    </row>
    <row r="123" spans="2:5">
      <c r="B123" s="5" t="s">
        <v>2651</v>
      </c>
      <c r="C123" s="5" t="str">
        <f xml:space="preserve"> "Shape from `" &amp; $B$121 &amp; "` marker; with blue and yellow from the [flag of Europe](http://en.wikipedia.org/wiki/Flag_of_Europe)."</f>
        <v>Shape from `EU` marker; with blue and yellow from the [flag of Europe](http://en.wikipedia.org/wiki/Flag_of_Europe).</v>
      </c>
      <c r="D123" s="5" t="s">
        <v>2665</v>
      </c>
    </row>
    <row r="124" spans="2:5">
      <c r="B124" s="5" t="s">
        <v>2652</v>
      </c>
      <c r="C124" s="5" t="str">
        <f xml:space="preserve"> "Shape from `" &amp; $B$121 &amp; "` marker; with blue from the [flag of Europe](http://en.wikipedia.org/wiki/Flag_of_Europe)."</f>
        <v>Shape from `EU` marker; with blue from the [flag of Europe](http://en.wikipedia.org/wiki/Flag_of_Europe).</v>
      </c>
      <c r="D124" s="5" t="s">
        <v>2667</v>
      </c>
    </row>
    <row r="125" spans="2:5">
      <c r="B125" s="5" t="s">
        <v>795</v>
      </c>
      <c r="C125" s="5" t="s">
        <v>2554</v>
      </c>
    </row>
    <row r="126" spans="2:5">
      <c r="B126" s="5" t="s">
        <v>580</v>
      </c>
      <c r="C126" s="5" t="s">
        <v>2555</v>
      </c>
      <c r="D126" s="5" t="s">
        <v>2556</v>
      </c>
    </row>
    <row r="127" spans="2:5">
      <c r="B127" s="5" t="str">
        <f xml:space="preserve"> B126&amp;"_2"</f>
        <v>DE_2</v>
      </c>
      <c r="C127" s="5" t="str">
        <f xml:space="preserve"> "Shape from `" &amp; $B126 &amp; "` marker; red replacing white."</f>
        <v>Shape from `DE` marker; red replacing white.</v>
      </c>
      <c r="D127" s="5" t="s">
        <v>2557</v>
      </c>
    </row>
    <row r="128" spans="2:5">
      <c r="B128" s="5" t="s">
        <v>597</v>
      </c>
      <c r="C128" s="5" t="s">
        <v>2558</v>
      </c>
      <c r="D128" s="5" t="s">
        <v>2559</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2622</v>
      </c>
    </row>
    <row r="130" spans="2:4">
      <c r="B130" s="5" t="s">
        <v>634</v>
      </c>
      <c r="C130" s="5" t="s">
        <v>2560</v>
      </c>
      <c r="D130" s="5" t="s">
        <v>2561</v>
      </c>
    </row>
    <row r="131" spans="2:4">
      <c r="B131" s="5" t="str">
        <f xml:space="preserve"> B130&amp;"_2"</f>
        <v>IT_2</v>
      </c>
      <c r="C131" s="5" t="str">
        <f xml:space="preserve"> "Shape from `" &amp; $B130 &amp; "` marker; black replacing white."</f>
        <v>Shape from `IT` marker; black replacing white.</v>
      </c>
      <c r="D131" s="5" t="s">
        <v>2562</v>
      </c>
    </row>
    <row r="132" spans="2:4">
      <c r="B132" s="5" t="s">
        <v>170</v>
      </c>
      <c r="C132" s="5" t="s">
        <v>2563</v>
      </c>
      <c r="D132" s="5" t="s">
        <v>2637</v>
      </c>
    </row>
    <row r="133" spans="2:4">
      <c r="B133" s="5" t="str">
        <f xml:space="preserve"> B132&amp;"_2"</f>
        <v>ES_2</v>
      </c>
      <c r="C133" s="5" t="str">
        <f xml:space="preserve"> "Shape from `" &amp; $B132 &amp; "` marker; green replacing gold."</f>
        <v>Shape from `ES` marker; green replacing gold.</v>
      </c>
      <c r="D133" s="5" t="s">
        <v>2564</v>
      </c>
    </row>
    <row r="134" spans="2:4">
      <c r="B134" s="5" t="s">
        <v>635</v>
      </c>
      <c r="C134" s="5" t="s">
        <v>2565</v>
      </c>
      <c r="D134" s="5" t="s">
        <v>2566</v>
      </c>
    </row>
    <row r="135" spans="2:4">
      <c r="B135" s="5" t="str">
        <f xml:space="preserve"> B134&amp;"_2"</f>
        <v>NL_2</v>
      </c>
      <c r="C135" s="5" t="str">
        <f xml:space="preserve"> "Shape from `" &amp; $B134 &amp; "` marker; the colours switched."</f>
        <v>Shape from `NL` marker; the colours switched.</v>
      </c>
      <c r="D135" s="5" t="s">
        <v>2567</v>
      </c>
    </row>
    <row r="136" spans="2:4">
      <c r="B136" s="5" t="s">
        <v>654</v>
      </c>
      <c r="C136" s="5" t="s">
        <v>2568</v>
      </c>
      <c r="D136" s="5" t="s">
        <v>2616</v>
      </c>
    </row>
    <row r="137" spans="2:4">
      <c r="B137" s="5" t="str">
        <f xml:space="preserve"> B136&amp;"_2"</f>
        <v>BE_2</v>
      </c>
      <c r="C137" s="5" t="str">
        <f xml:space="preserve"> "Shape from `" &amp; $B136 &amp; "` marker; the colours switched."</f>
        <v>Shape from `BE` marker; the colours switched.</v>
      </c>
      <c r="D137" s="5" t="s">
        <v>2569</v>
      </c>
    </row>
    <row r="138" spans="2:4">
      <c r="B138" s="5" t="s">
        <v>655</v>
      </c>
      <c r="C138" s="5" t="s">
        <v>2570</v>
      </c>
      <c r="D138" s="5" t="s">
        <v>2571</v>
      </c>
    </row>
    <row r="139" spans="2:4">
      <c r="B139" s="5" t="str">
        <f xml:space="preserve"> B138&amp;"_2"</f>
        <v>AT_2</v>
      </c>
      <c r="C139" s="5" t="str">
        <f xml:space="preserve"> "Shape from `" &amp; $B138 &amp; "` marker; black replacing white."</f>
        <v>Shape from `AT` marker; black replacing white.</v>
      </c>
      <c r="D139" s="5" t="s">
        <v>2572</v>
      </c>
    </row>
    <row r="140" spans="2:4">
      <c r="B140" s="5" t="s">
        <v>103</v>
      </c>
      <c r="C140" s="5" t="s">
        <v>2573</v>
      </c>
      <c r="D140" s="5" t="s">
        <v>2574</v>
      </c>
    </row>
    <row r="141" spans="2:4">
      <c r="B141" s="5" t="str">
        <f xml:space="preserve"> B140&amp;"_2"</f>
        <v>PT_2</v>
      </c>
      <c r="C141" s="5" t="str">
        <f xml:space="preserve"> "Shape from `" &amp; $B140 &amp; "` marker; bright green replacing dark green."</f>
        <v>Shape from `PT` marker; bright green replacing dark green.</v>
      </c>
      <c r="D141" s="5" t="s">
        <v>2575</v>
      </c>
    </row>
    <row r="142" spans="2:4">
      <c r="B142" s="5" t="s">
        <v>171</v>
      </c>
      <c r="C142" s="5" t="s">
        <v>2576</v>
      </c>
      <c r="D142" s="5" t="s">
        <v>2577</v>
      </c>
    </row>
    <row r="143" spans="2:4">
      <c r="B143" s="5" t="str">
        <f xml:space="preserve"> B142&amp;"_2"</f>
        <v>GR_2</v>
      </c>
      <c r="C143" s="5" t="str">
        <f xml:space="preserve"> "Shape from `" &amp; $B142 &amp; "` marker; green replacing white."</f>
        <v>Shape from `GR` marker; green replacing white.</v>
      </c>
      <c r="D143" s="5" t="s">
        <v>2578</v>
      </c>
    </row>
    <row r="144" spans="2:4">
      <c r="B144" s="5" t="s">
        <v>674</v>
      </c>
      <c r="C144" s="5" t="s">
        <v>2625</v>
      </c>
      <c r="D144" s="5" t="s">
        <v>2579</v>
      </c>
    </row>
    <row r="145" spans="2:5">
      <c r="B145" s="5" t="str">
        <f xml:space="preserve"> B144&amp;"_2"</f>
        <v>IE_2</v>
      </c>
      <c r="C145" s="5" t="str">
        <f xml:space="preserve"> "Shape from `" &amp; $B144 &amp; "` marker; the colours switched."</f>
        <v>Shape from `IE` marker; the colours switched.</v>
      </c>
      <c r="D145" s="5" t="s">
        <v>2580</v>
      </c>
    </row>
    <row r="146" spans="2:5">
      <c r="B146" s="5" t="s">
        <v>656</v>
      </c>
      <c r="C146" s="5" t="s">
        <v>2581</v>
      </c>
      <c r="D146" s="5" t="s">
        <v>2582</v>
      </c>
    </row>
    <row r="147" spans="2:5">
      <c r="B147" s="5" t="str">
        <f xml:space="preserve"> B146&amp;"_2"</f>
        <v>FI_2</v>
      </c>
      <c r="C147" s="5" t="str">
        <f xml:space="preserve"> "Shape from `" &amp; $B146 &amp; "` marker; green replacing white."</f>
        <v>Shape from `FI` marker; green replacing white.</v>
      </c>
      <c r="D147" s="5" t="s">
        <v>2583</v>
      </c>
    </row>
    <row r="148" spans="2:5">
      <c r="B148" s="5" t="s">
        <v>358</v>
      </c>
      <c r="C148" s="5" t="s">
        <v>2584</v>
      </c>
      <c r="D148" s="5" t="s">
        <v>2585</v>
      </c>
    </row>
    <row r="149" spans="2:5">
      <c r="B149" s="5" t="str">
        <f xml:space="preserve"> B148&amp;"_2"</f>
        <v>SK_2</v>
      </c>
      <c r="C149" s="5" t="str">
        <f xml:space="preserve"> "Shape from `" &amp; $B148 &amp; "` marker; the colours switched."</f>
        <v>Shape from `SK` marker; the colours switched.</v>
      </c>
      <c r="D149" s="5" t="s">
        <v>2586</v>
      </c>
    </row>
    <row r="150" spans="2:5">
      <c r="B150" s="5" t="s">
        <v>1665</v>
      </c>
      <c r="C150" s="5" t="s">
        <v>2587</v>
      </c>
    </row>
    <row r="151" spans="2:5">
      <c r="B151" s="5" t="s">
        <v>359</v>
      </c>
      <c r="C151" s="5" t="s">
        <v>2588</v>
      </c>
    </row>
    <row r="152" spans="2:5">
      <c r="B152" s="5" t="s">
        <v>613</v>
      </c>
      <c r="C152" s="5" t="s">
        <v>2589</v>
      </c>
      <c r="E152" s="5" t="s">
        <v>2590</v>
      </c>
    </row>
    <row r="153" spans="2:5">
      <c r="B153" s="5" t="s">
        <v>675</v>
      </c>
      <c r="C153" s="5" t="s">
        <v>2591</v>
      </c>
    </row>
    <row r="154" spans="2:5">
      <c r="B154" s="5" t="s">
        <v>104</v>
      </c>
      <c r="C154" s="5" t="s">
        <v>2592</v>
      </c>
      <c r="E154" s="5" t="s">
        <v>2634</v>
      </c>
    </row>
    <row r="155" spans="2:5">
      <c r="B155" s="5" t="s">
        <v>105</v>
      </c>
      <c r="C155" s="5" t="s">
        <v>2593</v>
      </c>
    </row>
    <row r="156" spans="2:5">
      <c r="B156" s="5" t="s">
        <v>693</v>
      </c>
      <c r="C156" s="5" t="s">
        <v>2594</v>
      </c>
    </row>
    <row r="157" spans="2:5">
      <c r="B157" s="5" t="s">
        <v>713</v>
      </c>
      <c r="C157" s="5" t="s">
        <v>2595</v>
      </c>
    </row>
    <row r="158" spans="2:5">
      <c r="B158" s="5" t="s">
        <v>1703</v>
      </c>
      <c r="C158" s="5" t="s">
        <v>2596</v>
      </c>
      <c r="E158" s="5" t="s">
        <v>2597</v>
      </c>
    </row>
    <row r="159" spans="2:5">
      <c r="B159" s="5" t="s">
        <v>714</v>
      </c>
      <c r="C159" s="5" t="s">
        <v>2598</v>
      </c>
    </row>
    <row r="160" spans="2:5">
      <c r="B160" s="5" t="s">
        <v>794</v>
      </c>
      <c r="C160" s="5" t="s">
        <v>2599</v>
      </c>
    </row>
    <row r="161" spans="2:3">
      <c r="B161" s="5" t="s">
        <v>2130</v>
      </c>
      <c r="C161" s="5" t="s">
        <v>2635</v>
      </c>
    </row>
    <row r="162" spans="2:3">
      <c r="B162" s="5" t="s">
        <v>172</v>
      </c>
      <c r="C162" s="5" t="s">
        <v>2644</v>
      </c>
    </row>
    <row r="163" spans="2:3">
      <c r="B163" s="5" t="s">
        <v>970</v>
      </c>
      <c r="C163" s="5" t="s">
        <v>2600</v>
      </c>
    </row>
    <row r="164" spans="2:3">
      <c r="B164" s="5" t="s">
        <v>2245</v>
      </c>
      <c r="C164" s="5" t="s">
        <v>2601</v>
      </c>
    </row>
    <row r="165" spans="2:3">
      <c r="B165" s="5" t="s">
        <v>1940</v>
      </c>
      <c r="C165" s="5" t="s">
        <v>2602</v>
      </c>
    </row>
    <row r="166" spans="2:3">
      <c r="B166" s="5" t="s">
        <v>797</v>
      </c>
      <c r="C166" s="5" t="s">
        <v>2603</v>
      </c>
    </row>
    <row r="167" spans="2:3">
      <c r="B167" s="5" t="s">
        <v>2246</v>
      </c>
      <c r="C167" s="5" t="s">
        <v>2621</v>
      </c>
    </row>
    <row r="168" spans="2:3">
      <c r="B168" s="5" t="s">
        <v>173</v>
      </c>
      <c r="C168" s="5" t="s">
        <v>2604</v>
      </c>
    </row>
    <row r="169" spans="2:3">
      <c r="B169" s="5" t="s">
        <v>1942</v>
      </c>
      <c r="C169" s="5" t="s">
        <v>2605</v>
      </c>
    </row>
    <row r="170" spans="2:3">
      <c r="B170" s="5" t="s">
        <v>954</v>
      </c>
      <c r="C170" s="5" t="s">
        <v>2606</v>
      </c>
    </row>
    <row r="171" spans="2:3">
      <c r="B171" s="5" t="s">
        <v>106</v>
      </c>
      <c r="C171" s="5" t="s">
        <v>2607</v>
      </c>
    </row>
    <row r="172" spans="2:3">
      <c r="B172" s="5" t="s">
        <v>2041</v>
      </c>
      <c r="C172" s="5" t="s">
        <v>2643</v>
      </c>
    </row>
    <row r="173" spans="2:3">
      <c r="B173" s="5" t="s">
        <v>991</v>
      </c>
      <c r="C173" s="5" t="s">
        <v>2608</v>
      </c>
    </row>
    <row r="174" spans="2:3">
      <c r="B174" s="5" t="s">
        <v>2031</v>
      </c>
      <c r="C174" s="5" t="s">
        <v>2609</v>
      </c>
    </row>
    <row r="175" spans="2:3">
      <c r="B175" s="5" t="s">
        <v>2036</v>
      </c>
      <c r="C175" s="5" t="s">
        <v>2610</v>
      </c>
    </row>
    <row r="176" spans="2:3">
      <c r="B176" s="5" t="s">
        <v>1049</v>
      </c>
      <c r="C176" s="5" t="s">
        <v>2611</v>
      </c>
    </row>
    <row r="177" spans="2:5">
      <c r="B177" s="5" t="s">
        <v>1945</v>
      </c>
      <c r="C177" s="5" t="s">
        <v>2619</v>
      </c>
      <c r="E177" s="5" t="s">
        <v>2620</v>
      </c>
    </row>
    <row r="178" spans="2:5">
      <c r="B178" s="5" t="s">
        <v>1946</v>
      </c>
      <c r="C178" s="5" t="s">
        <v>2617</v>
      </c>
      <c r="D178" s="5" t="s">
        <v>2618</v>
      </c>
    </row>
    <row r="179" spans="2:5">
      <c r="B179" s="5" t="s">
        <v>2712</v>
      </c>
      <c r="C179" s="5" t="s">
        <v>2718</v>
      </c>
    </row>
    <row r="180" spans="2:5">
      <c r="B180" s="5" t="s">
        <v>2714</v>
      </c>
      <c r="C180" s="5" t="s">
        <v>2725</v>
      </c>
    </row>
    <row r="181" spans="2:5">
      <c r="B181" s="5" t="s">
        <v>2715</v>
      </c>
      <c r="C181" s="5" t="s">
        <v>2717</v>
      </c>
    </row>
    <row r="182" spans="2:5">
      <c r="B182" s="5" t="s">
        <v>2716</v>
      </c>
      <c r="C182" s="5" t="s">
        <v>2734</v>
      </c>
    </row>
    <row r="183" spans="2:5">
      <c r="B183" s="5" t="s">
        <v>1948</v>
      </c>
      <c r="C183" s="5" t="s">
        <v>2612</v>
      </c>
    </row>
    <row r="184" spans="2:5">
      <c r="B184" s="5" t="s">
        <v>1949</v>
      </c>
      <c r="C184" s="5" t="s">
        <v>2613</v>
      </c>
    </row>
    <row r="185" spans="2:5">
      <c r="B185" s="5" t="s">
        <v>928</v>
      </c>
      <c r="C185" s="5" t="s">
        <v>2614</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1073</v>
      </c>
      <c r="S2" s="3" t="s">
        <v>1074</v>
      </c>
      <c r="T2" s="3" t="s">
        <v>1533</v>
      </c>
      <c r="W2" s="3" t="s">
        <v>2155</v>
      </c>
      <c r="AB2" s="3" t="s">
        <v>1822</v>
      </c>
      <c r="AD2" s="36" t="s">
        <v>96</v>
      </c>
    </row>
    <row r="3" spans="2:30">
      <c r="K3" cm="1">
        <f t="array" ref="K3" xml:space="preserve"> 1 + _xlfn.SINGLE(ROW()) - _xlfn.SINGLE(ROW(ExportSubstitutions.RowNum))</f>
        <v>-2</v>
      </c>
      <c r="L3" t="str">
        <f xml:space="preserve">  " -"</f>
        <v xml:space="preserve"> -</v>
      </c>
      <c r="M3" t="str">
        <f xml:space="preserve"> "-"</f>
        <v>-</v>
      </c>
      <c r="N3" t="s">
        <v>1713</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1072</v>
      </c>
      <c r="S5" s="3" t="s">
        <v>1075</v>
      </c>
      <c r="T5" s="3" t="s">
        <v>1076</v>
      </c>
      <c r="W5" s="3" t="s">
        <v>931</v>
      </c>
      <c r="X5" s="3" t="s">
        <v>2301</v>
      </c>
      <c r="Y5" s="3" t="s">
        <v>2444</v>
      </c>
      <c r="Z5" s="3" t="s">
        <v>1953</v>
      </c>
      <c r="AA5" s="3" t="s">
        <v>2154</v>
      </c>
      <c r="AB5" s="3" t="s">
        <v>933</v>
      </c>
      <c r="AC5" s="3" t="s">
        <v>934</v>
      </c>
      <c r="AD5" s="36" t="s">
        <v>932</v>
      </c>
    </row>
    <row r="6" spans="2:30">
      <c r="K6" cm="1">
        <f t="array" ref="K6" xml:space="preserve"> 1 + _xlfn.SINGLE(ROW()) - _xlfn.SINGLE(ROW(ExportSubstitutions.RowNum))</f>
        <v>1</v>
      </c>
      <c r="L6" t="s">
        <v>725</v>
      </c>
      <c r="M6" t="str">
        <f xml:space="preserve"> REPT(" ", 1)</f>
        <v xml:space="preserve"> </v>
      </c>
      <c r="N6" t="s">
        <v>1702</v>
      </c>
      <c r="R6" cm="1">
        <f t="array" ref="R6" xml:space="preserve"> 1 + _xlfn.SINGLE(ROW()) - _xlfn.SINGLE(ROW(ExportSubstitutions_Within.RowNum))</f>
        <v>1</v>
      </c>
      <c r="S6" t="s">
        <v>1077</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1058</v>
      </c>
      <c r="C7" s="32">
        <f ca="1" xml:space="preserve"> NOW()</f>
        <v>46004.02942013889</v>
      </c>
      <c r="K7" cm="1">
        <f t="array" ref="K7" xml:space="preserve"> 1 + _xlfn.SINGLE(ROW()) - _xlfn.SINGLE(ROW(ExportSubstitutions.RowNum))</f>
        <v>2</v>
      </c>
      <c r="L7" t="s">
        <v>2126</v>
      </c>
      <c r="N7" t="s">
        <v>1702</v>
      </c>
      <c r="R7" cm="1">
        <f t="array" ref="R7" xml:space="preserve"> 1 + _xlfn.SINGLE(ROW()) - _xlfn.SINGLE(ROW(ExportSubstitutions_Within.RowNum))</f>
        <v>2</v>
      </c>
      <c r="S7" t="s">
        <v>1078</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1059</v>
      </c>
      <c r="C8" s="43">
        <f ca="1" xml:space="preserve"> INT(Now)</f>
        <v>46004</v>
      </c>
      <c r="K8" cm="1">
        <f t="array" ref="K8" xml:space="preserve"> 1 + _xlfn.SINGLE(ROW()) - _xlfn.SINGLE(ROW(ExportSubstitutions.RowNum))</f>
        <v>3</v>
      </c>
      <c r="L8" t="s">
        <v>2127</v>
      </c>
      <c r="N8" t="s">
        <v>1702</v>
      </c>
      <c r="R8" cm="1">
        <f t="array" ref="R8" xml:space="preserve"> 1 + _xlfn.SINGLE(ROW()) - _xlfn.SINGLE(ROW(ExportSubstitutions_Within.RowNum))</f>
        <v>3</v>
      </c>
      <c r="S8" t="s">
        <v>1079</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1709</v>
      </c>
      <c r="M9" t="str">
        <f xml:space="preserve"> REPT(" ", 1)</f>
        <v xml:space="preserve"> </v>
      </c>
      <c r="N9" t="s">
        <v>1710</v>
      </c>
      <c r="R9" cm="1">
        <f t="array" ref="R9" xml:space="preserve"> 1 + _xlfn.SINGLE(ROW()) - _xlfn.SINGLE(ROW(ExportSubstitutions_Within.RowNum))</f>
        <v>4</v>
      </c>
      <c r="S9" t="s">
        <v>1080</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1711</v>
      </c>
      <c r="M10" t="str">
        <f xml:space="preserve"> REPT(" ", 1)</f>
        <v xml:space="preserve"> </v>
      </c>
      <c r="N10" t="s">
        <v>1710</v>
      </c>
      <c r="R10" cm="1">
        <f t="array" ref="R10" xml:space="preserve"> 1 + _xlfn.SINGLE(ROW()) - _xlfn.SINGLE(ROW(ExportSubstitutions_Within.RowNum))</f>
        <v>5</v>
      </c>
      <c r="S10" t="s">
        <v>1081</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1712</v>
      </c>
      <c r="N11" t="s">
        <v>1710</v>
      </c>
      <c r="R11" cm="1">
        <f t="array" ref="R11" xml:space="preserve"> 1 + _xlfn.SINGLE(ROW()) - _xlfn.SINGLE(ROW(ExportSubstitutions_Within.RowNum))</f>
        <v>6</v>
      </c>
      <c r="S11" t="s">
        <v>1082</v>
      </c>
      <c r="T11" t="str">
        <f t="shared" si="2"/>
        <v>5A</v>
      </c>
    </row>
    <row r="12" spans="2:30">
      <c r="B12" s="4" t="s">
        <v>2156</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1083</v>
      </c>
      <c r="T12" t="str">
        <f t="shared" si="2"/>
        <v>6A</v>
      </c>
    </row>
    <row r="13" spans="2:30">
      <c r="B13" s="4" t="s">
        <v>2158</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1084</v>
      </c>
      <c r="T13" t="str">
        <f t="shared" si="2"/>
        <v>7A</v>
      </c>
    </row>
    <row r="14" spans="2:30">
      <c r="B14" s="4" t="s">
        <v>2157</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1085</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1086</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1087</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1088</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1089</v>
      </c>
      <c r="T18" t="str">
        <f t="shared" si="2"/>
        <v>A2</v>
      </c>
    </row>
    <row r="19" spans="2:30">
      <c r="B19" s="4" t="s">
        <v>1504</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1090</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1091</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1092</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1093</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1094</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1095</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1096</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1579</v>
      </c>
      <c r="T26" t="str">
        <f t="shared" si="2"/>
        <v>A.</v>
      </c>
    </row>
    <row r="27" spans="2:30">
      <c r="B27" s="4" t="s">
        <v>188</v>
      </c>
      <c r="C27">
        <v>182</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1588</v>
      </c>
      <c r="T27" t="str">
        <f t="shared" si="2"/>
        <v>A-</v>
      </c>
    </row>
    <row r="28" spans="2:30">
      <c r="B28" s="4" t="s">
        <v>574</v>
      </c>
      <c r="C28" s="37">
        <v>126747</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1097</v>
      </c>
      <c r="T28" t="str">
        <f t="shared" si="2"/>
        <v>0a</v>
      </c>
    </row>
    <row r="29" spans="2:30">
      <c r="B29" s="4" t="s">
        <v>186</v>
      </c>
      <c r="C29" s="5" t="s">
        <v>2740</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1098</v>
      </c>
      <c r="T29" t="str">
        <f t="shared" si="2"/>
        <v>1a</v>
      </c>
    </row>
    <row r="30" spans="2:30">
      <c r="B30" s="4" t="s">
        <v>187</v>
      </c>
      <c r="C30" s="32">
        <v>46004.029108796298</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1099</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1100</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1101</v>
      </c>
      <c r="T32" t="str">
        <f t="shared" si="2"/>
        <v>4a</v>
      </c>
    </row>
    <row r="33" spans="2:20">
      <c r="B33" s="4" t="s">
        <v>1576</v>
      </c>
      <c r="C33" t="s">
        <v>1575</v>
      </c>
      <c r="K33" cm="1">
        <f t="array" ref="K33" xml:space="preserve"> 1 + _xlfn.SINGLE(ROW()) - _xlfn.SINGLE(ROW(ExportSubstitutions.RowNum))</f>
        <v>28</v>
      </c>
      <c r="L33" t="str">
        <f xml:space="preserve"> REPT(" ", 2)</f>
        <v xml:space="preserve">  </v>
      </c>
      <c r="M33" t="str">
        <f t="shared" ref="M33" si="7" xml:space="preserve"> REPT(" ", 1)</f>
        <v xml:space="preserve"> </v>
      </c>
      <c r="N33" t="s">
        <v>1017</v>
      </c>
      <c r="R33" cm="1">
        <f t="array" ref="R33" xml:space="preserve"> 1 + _xlfn.SINGLE(ROW()) - _xlfn.SINGLE(ROW(ExportSubstitutions_Within.RowNum))</f>
        <v>28</v>
      </c>
      <c r="S33" t="s">
        <v>1102</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1103</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1104</v>
      </c>
      <c r="T35" t="str">
        <f t="shared" si="2"/>
        <v>7a</v>
      </c>
    </row>
    <row r="36" spans="2:20">
      <c r="C36">
        <v>1</v>
      </c>
      <c r="K36" cm="1">
        <f t="array" ref="K36" xml:space="preserve"> 1 + _xlfn.SINGLE(ROW()) - _xlfn.SINGLE(ROW(ExportSubstitutions.RowNum))</f>
        <v>31</v>
      </c>
      <c r="L36" t="s">
        <v>2093</v>
      </c>
      <c r="M36" t="s">
        <v>2122</v>
      </c>
      <c r="N36" t="s">
        <v>2125</v>
      </c>
      <c r="R36" cm="1">
        <f t="array" ref="R36" xml:space="preserve"> 1 + _xlfn.SINGLE(ROW()) - _xlfn.SINGLE(ROW(ExportSubstitutions_Within.RowNum))</f>
        <v>31</v>
      </c>
      <c r="S36" t="s">
        <v>1105</v>
      </c>
      <c r="T36" t="str">
        <f t="shared" si="2"/>
        <v>8a</v>
      </c>
    </row>
    <row r="37" spans="2:20">
      <c r="B37" s="4" t="s">
        <v>1696</v>
      </c>
      <c r="C37">
        <v>10</v>
      </c>
      <c r="K37" cm="1">
        <f t="array" ref="K37" xml:space="preserve"> 1 + _xlfn.SINGLE(ROW()) - _xlfn.SINGLE(ROW(ExportSubstitutions.RowNum))</f>
        <v>32</v>
      </c>
      <c r="L37" t="s">
        <v>47</v>
      </c>
      <c r="M37" t="s">
        <v>46</v>
      </c>
      <c r="N37" t="s">
        <v>2125</v>
      </c>
      <c r="R37" cm="1">
        <f t="array" ref="R37" xml:space="preserve"> 1 + _xlfn.SINGLE(ROW()) - _xlfn.SINGLE(ROW(ExportSubstitutions_Within.RowNum))</f>
        <v>32</v>
      </c>
      <c r="S37" t="s">
        <v>1106</v>
      </c>
      <c r="T37" t="str">
        <f t="shared" si="2"/>
        <v>9a</v>
      </c>
    </row>
    <row r="38" spans="2:20">
      <c r="B38" s="4" t="s">
        <v>1695</v>
      </c>
      <c r="C38">
        <f xml:space="preserve"> Thirds_I * 2 - C$36</f>
        <v>19</v>
      </c>
      <c r="K38" cm="1">
        <f t="array" ref="K38" xml:space="preserve"> 1 + _xlfn.SINGLE(ROW()) - _xlfn.SINGLE(ROW(ExportSubstitutions.RowNum))</f>
        <v>33</v>
      </c>
      <c r="L38" t="s">
        <v>2090</v>
      </c>
      <c r="M38" t="s">
        <v>2119</v>
      </c>
      <c r="N38" t="s">
        <v>2125</v>
      </c>
      <c r="R38" cm="1">
        <f t="array" ref="R38" xml:space="preserve"> 1 + _xlfn.SINGLE(ROW()) - _xlfn.SINGLE(ROW(ExportSubstitutions_Within.RowNum))</f>
        <v>33</v>
      </c>
      <c r="S38" t="s">
        <v>1107</v>
      </c>
      <c r="T38" t="str">
        <f t="shared" si="2"/>
        <v>a0</v>
      </c>
    </row>
    <row r="39" spans="2:20">
      <c r="B39" s="4" t="s">
        <v>1694</v>
      </c>
      <c r="C39">
        <f xml:space="preserve"> 2 * Thirds_M - Thirds_I - C$36</f>
        <v>27</v>
      </c>
      <c r="K39" cm="1">
        <f t="array" ref="K39" xml:space="preserve"> 1 + _xlfn.SINGLE(ROW()) - _xlfn.SINGLE(ROW(ExportSubstitutions.RowNum))</f>
        <v>34</v>
      </c>
      <c r="L39" t="s">
        <v>38</v>
      </c>
      <c r="M39" t="s">
        <v>37</v>
      </c>
      <c r="N39" t="s">
        <v>2125</v>
      </c>
      <c r="R39" cm="1">
        <f t="array" ref="R39" xml:space="preserve"> 1 + _xlfn.SINGLE(ROW()) - _xlfn.SINGLE(ROW(ExportSubstitutions_Within.RowNum))</f>
        <v>34</v>
      </c>
      <c r="S39" t="s">
        <v>1108</v>
      </c>
      <c r="T39" t="str">
        <f t="shared" si="2"/>
        <v>a1</v>
      </c>
    </row>
    <row r="40" spans="2:20">
      <c r="K40" cm="1">
        <f t="array" ref="K40" xml:space="preserve"> 1 + _xlfn.SINGLE(ROW()) - _xlfn.SINGLE(ROW(ExportSubstitutions.RowNum))</f>
        <v>35</v>
      </c>
      <c r="L40" t="s">
        <v>61</v>
      </c>
      <c r="M40" t="s">
        <v>60</v>
      </c>
      <c r="N40" t="s">
        <v>2125</v>
      </c>
      <c r="R40" cm="1">
        <f t="array" ref="R40" xml:space="preserve"> 1 + _xlfn.SINGLE(ROW()) - _xlfn.SINGLE(ROW(ExportSubstitutions_Within.RowNum))</f>
        <v>35</v>
      </c>
      <c r="S40" t="s">
        <v>1109</v>
      </c>
      <c r="T40" t="str">
        <f t="shared" si="2"/>
        <v>a2</v>
      </c>
    </row>
    <row r="41" spans="2:20">
      <c r="K41" cm="1">
        <f t="array" ref="K41" xml:space="preserve"> 1 + _xlfn.SINGLE(ROW()) - _xlfn.SINGLE(ROW(ExportSubstitutions.RowNum))</f>
        <v>36</v>
      </c>
      <c r="L41" t="s">
        <v>2091</v>
      </c>
      <c r="M41" t="s">
        <v>2120</v>
      </c>
      <c r="N41" t="s">
        <v>2125</v>
      </c>
      <c r="R41" cm="1">
        <f t="array" ref="R41" xml:space="preserve"> 1 + _xlfn.SINGLE(ROW()) - _xlfn.SINGLE(ROW(ExportSubstitutions_Within.RowNum))</f>
        <v>36</v>
      </c>
      <c r="S41" t="s">
        <v>1110</v>
      </c>
      <c r="T41" t="str">
        <f t="shared" si="2"/>
        <v>a3</v>
      </c>
    </row>
    <row r="42" spans="2:20">
      <c r="B42" s="4" t="s">
        <v>1628</v>
      </c>
      <c r="C42">
        <f xml:space="preserve"> SQRT(2)</f>
        <v>1.4142135623730951</v>
      </c>
      <c r="K42" cm="1">
        <f t="array" ref="K42" xml:space="preserve"> 1 + _xlfn.SINGLE(ROW()) - _xlfn.SINGLE(ROW(ExportSubstitutions.RowNum))</f>
        <v>37</v>
      </c>
      <c r="L42" t="s">
        <v>2092</v>
      </c>
      <c r="M42" t="s">
        <v>2121</v>
      </c>
      <c r="N42" t="s">
        <v>2125</v>
      </c>
      <c r="R42" cm="1">
        <f t="array" ref="R42" xml:space="preserve"> 1 + _xlfn.SINGLE(ROW()) - _xlfn.SINGLE(ROW(ExportSubstitutions_Within.RowNum))</f>
        <v>37</v>
      </c>
      <c r="S42" t="s">
        <v>1111</v>
      </c>
      <c r="T42" t="str">
        <f t="shared" si="2"/>
        <v>a4</v>
      </c>
    </row>
    <row r="43" spans="2:20">
      <c r="B43" s="4" t="s">
        <v>1629</v>
      </c>
      <c r="C43">
        <f xml:space="preserve"> SQRT(3)</f>
        <v>1.7320508075688772</v>
      </c>
      <c r="K43" cm="1">
        <f t="array" ref="K43" xml:space="preserve"> 1 + _xlfn.SINGLE(ROW()) - _xlfn.SINGLE(ROW(ExportSubstitutions.RowNum))</f>
        <v>38</v>
      </c>
      <c r="L43" t="s">
        <v>2095</v>
      </c>
      <c r="M43" t="s">
        <v>2107</v>
      </c>
      <c r="N43" t="s">
        <v>2125</v>
      </c>
      <c r="R43" cm="1">
        <f t="array" ref="R43" xml:space="preserve"> 1 + _xlfn.SINGLE(ROW()) - _xlfn.SINGLE(ROW(ExportSubstitutions_Within.RowNum))</f>
        <v>38</v>
      </c>
      <c r="S43" t="s">
        <v>1112</v>
      </c>
      <c r="T43" t="str">
        <f t="shared" si="2"/>
        <v>a5</v>
      </c>
    </row>
    <row r="44" spans="2:20">
      <c r="B44" s="4" t="s">
        <v>1630</v>
      </c>
      <c r="C44">
        <f xml:space="preserve"> SQRT(5)</f>
        <v>2.2360679774997898</v>
      </c>
      <c r="K44" cm="1">
        <f t="array" ref="K44" xml:space="preserve"> 1 + _xlfn.SINGLE(ROW()) - _xlfn.SINGLE(ROW(ExportSubstitutions.RowNum))</f>
        <v>39</v>
      </c>
      <c r="L44" t="s">
        <v>2302</v>
      </c>
      <c r="M44" t="s">
        <v>2303</v>
      </c>
      <c r="N44" t="s">
        <v>2125</v>
      </c>
      <c r="R44" cm="1">
        <f t="array" ref="R44" xml:space="preserve"> 1 + _xlfn.SINGLE(ROW()) - _xlfn.SINGLE(ROW(ExportSubstitutions_Within.RowNum))</f>
        <v>39</v>
      </c>
      <c r="S44" t="s">
        <v>1113</v>
      </c>
      <c r="T44" t="str">
        <f t="shared" si="2"/>
        <v>a6</v>
      </c>
    </row>
    <row r="45" spans="2:20">
      <c r="B45" s="4" t="s">
        <v>1668</v>
      </c>
      <c r="C45">
        <f xml:space="preserve"> SQRT(13)</f>
        <v>3.6055512754639891</v>
      </c>
      <c r="K45" cm="1">
        <f t="array" ref="K45" xml:space="preserve"> 1 + _xlfn.SINGLE(ROW()) - _xlfn.SINGLE(ROW(ExportSubstitutions.RowNum))</f>
        <v>40</v>
      </c>
      <c r="L45" t="s">
        <v>2096</v>
      </c>
      <c r="M45" t="s">
        <v>2108</v>
      </c>
      <c r="N45" t="s">
        <v>2125</v>
      </c>
      <c r="R45" cm="1">
        <f t="array" ref="R45" xml:space="preserve"> 1 + _xlfn.SINGLE(ROW()) - _xlfn.SINGLE(ROW(ExportSubstitutions_Within.RowNum))</f>
        <v>40</v>
      </c>
      <c r="S45" t="s">
        <v>1114</v>
      </c>
      <c r="T45" t="str">
        <f t="shared" si="2"/>
        <v>a7</v>
      </c>
    </row>
    <row r="46" spans="2:20">
      <c r="B46" s="4" t="s">
        <v>1631</v>
      </c>
      <c r="C46">
        <f xml:space="preserve"> SQRT(15)</f>
        <v>3.872983346207417</v>
      </c>
      <c r="K46" cm="1">
        <f t="array" ref="K46" xml:space="preserve"> 1 + _xlfn.SINGLE(ROW()) - _xlfn.SINGLE(ROW(ExportSubstitutions.RowNum))</f>
        <v>41</v>
      </c>
      <c r="L46" t="s">
        <v>2097</v>
      </c>
      <c r="M46" t="s">
        <v>2109</v>
      </c>
      <c r="N46" t="s">
        <v>2125</v>
      </c>
      <c r="R46" cm="1">
        <f t="array" ref="R46" xml:space="preserve"> 1 + _xlfn.SINGLE(ROW()) - _xlfn.SINGLE(ROW(ExportSubstitutions_Within.RowNum))</f>
        <v>41</v>
      </c>
      <c r="S46" t="s">
        <v>1115</v>
      </c>
      <c r="T46" t="str">
        <f t="shared" si="2"/>
        <v>a8</v>
      </c>
    </row>
    <row r="47" spans="2:20">
      <c r="B47" s="4" t="s">
        <v>1632</v>
      </c>
      <c r="C47">
        <f xml:space="preserve"> SQRT(30)</f>
        <v>5.4772255750516612</v>
      </c>
      <c r="K47" cm="1">
        <f t="array" ref="K47" xml:space="preserve"> 1 + _xlfn.SINGLE(ROW()) - _xlfn.SINGLE(ROW(ExportSubstitutions.RowNum))</f>
        <v>42</v>
      </c>
      <c r="L47" t="s">
        <v>49</v>
      </c>
      <c r="M47" t="s">
        <v>48</v>
      </c>
      <c r="N47" t="s">
        <v>2125</v>
      </c>
      <c r="R47" cm="1">
        <f t="array" ref="R47" xml:space="preserve"> 1 + _xlfn.SINGLE(ROW()) - _xlfn.SINGLE(ROW(ExportSubstitutions_Within.RowNum))</f>
        <v>42</v>
      </c>
      <c r="S47" t="s">
        <v>1116</v>
      </c>
      <c r="T47" t="str">
        <f t="shared" si="2"/>
        <v>a9</v>
      </c>
    </row>
    <row r="48" spans="2:20">
      <c r="B48" s="4" t="s">
        <v>1633</v>
      </c>
      <c r="C48">
        <f xml:space="preserve"> SQRT(1/2)</f>
        <v>0.70710678118654757</v>
      </c>
      <c r="K48" cm="1">
        <f t="array" ref="K48" xml:space="preserve"> 1 + _xlfn.SINGLE(ROW()) - _xlfn.SINGLE(ROW(ExportSubstitutions.RowNum))</f>
        <v>43</v>
      </c>
      <c r="L48" t="s">
        <v>36</v>
      </c>
      <c r="M48" t="s">
        <v>39</v>
      </c>
      <c r="N48" t="s">
        <v>2125</v>
      </c>
      <c r="R48" cm="1">
        <f t="array" ref="R48" xml:space="preserve"> 1 + _xlfn.SINGLE(ROW()) - _xlfn.SINGLE(ROW(ExportSubstitutions_Within.RowNum))</f>
        <v>43</v>
      </c>
      <c r="S48" t="s">
        <v>1580</v>
      </c>
      <c r="T48" t="str">
        <f t="shared" si="2"/>
        <v>a.</v>
      </c>
    </row>
    <row r="49" spans="2:20">
      <c r="B49" s="4" t="s">
        <v>1634</v>
      </c>
      <c r="C49" cm="1">
        <f t="array" ref="C49" xml:space="preserve"> (Sqrt5 + 1) / 2</f>
        <v>1.6180339887498949</v>
      </c>
      <c r="K49" cm="1">
        <f t="array" ref="K49" xml:space="preserve"> 1 + _xlfn.SINGLE(ROW()) - _xlfn.SINGLE(ROW(ExportSubstitutions.RowNum))</f>
        <v>44</v>
      </c>
      <c r="L49" t="s">
        <v>2098</v>
      </c>
      <c r="M49" t="s">
        <v>2110</v>
      </c>
      <c r="N49" t="s">
        <v>2125</v>
      </c>
      <c r="R49" cm="1">
        <f t="array" ref="R49" xml:space="preserve"> 1 + _xlfn.SINGLE(ROW()) - _xlfn.SINGLE(ROW(ExportSubstitutions_Within.RowNum))</f>
        <v>44</v>
      </c>
      <c r="S49" t="s">
        <v>1589</v>
      </c>
      <c r="T49" t="str">
        <f t="shared" si="2"/>
        <v>a-</v>
      </c>
    </row>
    <row r="50" spans="2:20">
      <c r="B50" s="4" t="s">
        <v>1635</v>
      </c>
      <c r="C50">
        <v>0.79295350639999995</v>
      </c>
      <c r="K50" cm="1">
        <f t="array" ref="K50" xml:space="preserve"> 1 + _xlfn.SINGLE(ROW()) - _xlfn.SINGLE(ROW(ExportSubstitutions.RowNum))</f>
        <v>45</v>
      </c>
      <c r="L50" t="s">
        <v>30</v>
      </c>
      <c r="M50" t="s">
        <v>29</v>
      </c>
      <c r="N50" t="s">
        <v>2125</v>
      </c>
      <c r="R50" cm="1">
        <f t="array" ref="R50" xml:space="preserve"> 1 + _xlfn.SINGLE(ROW()) - _xlfn.SINGLE(ROW(ExportSubstitutions_Within.RowNum))</f>
        <v>45</v>
      </c>
      <c r="S50" t="s">
        <v>1117</v>
      </c>
      <c r="T50" t="str">
        <f t="shared" si="2"/>
        <v>0C</v>
      </c>
    </row>
    <row r="51" spans="2:20">
      <c r="K51" cm="1">
        <f t="array" ref="K51" xml:space="preserve"> 1 + _xlfn.SINGLE(ROW()) - _xlfn.SINGLE(ROW(ExportSubstitutions.RowNum))</f>
        <v>46</v>
      </c>
      <c r="L51" t="s">
        <v>2099</v>
      </c>
      <c r="M51" t="s">
        <v>2111</v>
      </c>
      <c r="N51" t="s">
        <v>2125</v>
      </c>
      <c r="R51" cm="1">
        <f t="array" ref="R51" xml:space="preserve"> 1 + _xlfn.SINGLE(ROW()) - _xlfn.SINGLE(ROW(ExportSubstitutions_Within.RowNum))</f>
        <v>46</v>
      </c>
      <c r="S51" t="s">
        <v>1118</v>
      </c>
      <c r="T51" t="str">
        <f t="shared" si="2"/>
        <v>1C</v>
      </c>
    </row>
    <row r="52" spans="2:20">
      <c r="K52" cm="1">
        <f t="array" ref="K52" xml:space="preserve"> 1 + _xlfn.SINGLE(ROW()) - _xlfn.SINGLE(ROW(ExportSubstitutions.RowNum))</f>
        <v>47</v>
      </c>
      <c r="L52" t="s">
        <v>51</v>
      </c>
      <c r="M52" t="s">
        <v>50</v>
      </c>
      <c r="N52" t="s">
        <v>2125</v>
      </c>
      <c r="R52" cm="1">
        <f t="array" ref="R52" xml:space="preserve"> 1 + _xlfn.SINGLE(ROW()) - _xlfn.SINGLE(ROW(ExportSubstitutions_Within.RowNum))</f>
        <v>47</v>
      </c>
      <c r="S52" t="s">
        <v>1119</v>
      </c>
      <c r="T52" t="str">
        <f t="shared" si="2"/>
        <v>2C</v>
      </c>
    </row>
    <row r="53" spans="2:20">
      <c r="K53" cm="1">
        <f t="array" ref="K53" xml:space="preserve"> 1 + _xlfn.SINGLE(ROW()) - _xlfn.SINGLE(ROW(ExportSubstitutions.RowNum))</f>
        <v>48</v>
      </c>
      <c r="L53" t="s">
        <v>59</v>
      </c>
      <c r="M53" t="s">
        <v>58</v>
      </c>
      <c r="N53" t="s">
        <v>2125</v>
      </c>
      <c r="R53" cm="1">
        <f t="array" ref="R53" xml:space="preserve"> 1 + _xlfn.SINGLE(ROW()) - _xlfn.SINGLE(ROW(ExportSubstitutions_Within.RowNum))</f>
        <v>48</v>
      </c>
      <c r="S53" t="s">
        <v>1120</v>
      </c>
      <c r="T53" t="str">
        <f t="shared" si="2"/>
        <v>3C</v>
      </c>
    </row>
    <row r="54" spans="2:20">
      <c r="B54" s="4" t="s">
        <v>2668</v>
      </c>
      <c r="C54" s="64" t="str">
        <f xml:space="preserve"> " BG "</f>
        <v xml:space="preserve"> BG </v>
      </c>
      <c r="K54" cm="1">
        <f t="array" ref="K54" xml:space="preserve"> 1 + _xlfn.SINGLE(ROW()) - _xlfn.SINGLE(ROW(ExportSubstitutions.RowNum))</f>
        <v>49</v>
      </c>
      <c r="L54" t="s">
        <v>2100</v>
      </c>
      <c r="M54" t="s">
        <v>2112</v>
      </c>
      <c r="N54" t="s">
        <v>2125</v>
      </c>
      <c r="R54" cm="1">
        <f t="array" ref="R54" xml:space="preserve"> 1 + _xlfn.SINGLE(ROW()) - _xlfn.SINGLE(ROW(ExportSubstitutions_Within.RowNum))</f>
        <v>49</v>
      </c>
      <c r="S54" t="s">
        <v>1121</v>
      </c>
      <c r="T54" t="str">
        <f t="shared" si="2"/>
        <v>4C</v>
      </c>
    </row>
    <row r="55" spans="2:20">
      <c r="B55" s="4" t="s">
        <v>2669</v>
      </c>
      <c r="C55" s="67">
        <f xml:space="preserve"> DATE(2025,12,13) + TIME(23, 45, 0)</f>
        <v>46004.989583333336</v>
      </c>
      <c r="K55" cm="1">
        <f t="array" ref="K55" xml:space="preserve"> 1 + _xlfn.SINGLE(ROW()) - _xlfn.SINGLE(ROW(ExportSubstitutions.RowNum))</f>
        <v>50</v>
      </c>
      <c r="L55" t="s">
        <v>55</v>
      </c>
      <c r="M55" t="s">
        <v>54</v>
      </c>
      <c r="N55" t="s">
        <v>2125</v>
      </c>
      <c r="R55" cm="1">
        <f t="array" ref="R55" xml:space="preserve"> 1 + _xlfn.SINGLE(ROW()) - _xlfn.SINGLE(ROW(ExportSubstitutions_Within.RowNum))</f>
        <v>50</v>
      </c>
      <c r="S55" t="s">
        <v>1122</v>
      </c>
      <c r="T55" t="str">
        <f t="shared" si="2"/>
        <v>5C</v>
      </c>
    </row>
    <row r="56" spans="2:20">
      <c r="K56" cm="1">
        <f t="array" ref="K56" xml:space="preserve"> 1 + _xlfn.SINGLE(ROW()) - _xlfn.SINGLE(ROW(ExportSubstitutions.RowNum))</f>
        <v>51</v>
      </c>
      <c r="L56" t="s">
        <v>2101</v>
      </c>
      <c r="M56" t="s">
        <v>2113</v>
      </c>
      <c r="N56" t="s">
        <v>2125</v>
      </c>
      <c r="R56" cm="1">
        <f t="array" ref="R56" xml:space="preserve"> 1 + _xlfn.SINGLE(ROW()) - _xlfn.SINGLE(ROW(ExportSubstitutions_Within.RowNum))</f>
        <v>51</v>
      </c>
      <c r="S56" t="s">
        <v>1123</v>
      </c>
      <c r="T56" t="str">
        <f t="shared" si="2"/>
        <v>6C</v>
      </c>
    </row>
    <row r="57" spans="2:20">
      <c r="K57" cm="1">
        <f t="array" ref="K57" xml:space="preserve"> 1 + _xlfn.SINGLE(ROW()) - _xlfn.SINGLE(ROW(ExportSubstitutions.RowNum))</f>
        <v>52</v>
      </c>
      <c r="L57" t="s">
        <v>43</v>
      </c>
      <c r="M57" t="s">
        <v>42</v>
      </c>
      <c r="N57" t="s">
        <v>2125</v>
      </c>
      <c r="R57" cm="1">
        <f t="array" ref="R57" xml:space="preserve"> 1 + _xlfn.SINGLE(ROW()) - _xlfn.SINGLE(ROW(ExportSubstitutions_Within.RowNum))</f>
        <v>52</v>
      </c>
      <c r="S57" t="s">
        <v>1124</v>
      </c>
      <c r="T57" t="str">
        <f t="shared" si="2"/>
        <v>7C</v>
      </c>
    </row>
    <row r="58" spans="2:20">
      <c r="K58" cm="1">
        <f t="array" ref="K58" xml:space="preserve"> 1 + _xlfn.SINGLE(ROW()) - _xlfn.SINGLE(ROW(ExportSubstitutions.RowNum))</f>
        <v>53</v>
      </c>
      <c r="L58" t="s">
        <v>26</v>
      </c>
      <c r="M58" t="s">
        <v>25</v>
      </c>
      <c r="N58" t="s">
        <v>2125</v>
      </c>
      <c r="R58" cm="1">
        <f t="array" ref="R58" xml:space="preserve"> 1 + _xlfn.SINGLE(ROW()) - _xlfn.SINGLE(ROW(ExportSubstitutions_Within.RowNum))</f>
        <v>53</v>
      </c>
      <c r="S58" t="s">
        <v>1125</v>
      </c>
      <c r="T58" t="str">
        <f t="shared" si="2"/>
        <v>8C</v>
      </c>
    </row>
    <row r="59" spans="2:20">
      <c r="K59" cm="1">
        <f t="array" ref="K59" xml:space="preserve"> 1 + _xlfn.SINGLE(ROW()) - _xlfn.SINGLE(ROW(ExportSubstitutions.RowNum))</f>
        <v>54</v>
      </c>
      <c r="L59" t="s">
        <v>63</v>
      </c>
      <c r="M59" t="s">
        <v>62</v>
      </c>
      <c r="N59" t="s">
        <v>2125</v>
      </c>
      <c r="R59" cm="1">
        <f t="array" ref="R59" xml:space="preserve"> 1 + _xlfn.SINGLE(ROW()) - _xlfn.SINGLE(ROW(ExportSubstitutions_Within.RowNum))</f>
        <v>54</v>
      </c>
      <c r="S59" t="s">
        <v>1126</v>
      </c>
      <c r="T59" t="str">
        <f t="shared" si="2"/>
        <v>9C</v>
      </c>
    </row>
    <row r="60" spans="2:20">
      <c r="K60" cm="1">
        <f t="array" ref="K60" xml:space="preserve"> 1 + _xlfn.SINGLE(ROW()) - _xlfn.SINGLE(ROW(ExportSubstitutions.RowNum))</f>
        <v>55</v>
      </c>
      <c r="L60" t="s">
        <v>28</v>
      </c>
      <c r="M60" t="s">
        <v>27</v>
      </c>
      <c r="N60" t="s">
        <v>2125</v>
      </c>
      <c r="R60" cm="1">
        <f t="array" ref="R60" xml:space="preserve"> 1 + _xlfn.SINGLE(ROW()) - _xlfn.SINGLE(ROW(ExportSubstitutions_Within.RowNum))</f>
        <v>55</v>
      </c>
      <c r="S60" t="s">
        <v>1127</v>
      </c>
      <c r="T60" t="str">
        <f t="shared" si="2"/>
        <v>C0</v>
      </c>
    </row>
    <row r="61" spans="2:20">
      <c r="K61" cm="1">
        <f t="array" ref="K61" xml:space="preserve"> 1 + _xlfn.SINGLE(ROW()) - _xlfn.SINGLE(ROW(ExportSubstitutions.RowNum))</f>
        <v>56</v>
      </c>
      <c r="L61" t="s">
        <v>2102</v>
      </c>
      <c r="M61" t="s">
        <v>2114</v>
      </c>
      <c r="N61" t="s">
        <v>2125</v>
      </c>
      <c r="R61" cm="1">
        <f t="array" ref="R61" xml:space="preserve"> 1 + _xlfn.SINGLE(ROW()) - _xlfn.SINGLE(ROW(ExportSubstitutions_Within.RowNum))</f>
        <v>56</v>
      </c>
      <c r="S61" t="s">
        <v>1128</v>
      </c>
      <c r="T61" t="str">
        <f t="shared" si="2"/>
        <v>C1</v>
      </c>
    </row>
    <row r="62" spans="2:20">
      <c r="K62" cm="1">
        <f t="array" ref="K62" xml:space="preserve"> 1 + _xlfn.SINGLE(ROW()) - _xlfn.SINGLE(ROW(ExportSubstitutions.RowNum))</f>
        <v>57</v>
      </c>
      <c r="L62" t="s">
        <v>45</v>
      </c>
      <c r="M62" t="s">
        <v>44</v>
      </c>
      <c r="N62" t="s">
        <v>2125</v>
      </c>
      <c r="R62" cm="1">
        <f t="array" ref="R62" xml:space="preserve"> 1 + _xlfn.SINGLE(ROW()) - _xlfn.SINGLE(ROW(ExportSubstitutions_Within.RowNum))</f>
        <v>57</v>
      </c>
      <c r="S62" t="s">
        <v>1129</v>
      </c>
      <c r="T62" t="str">
        <f t="shared" si="2"/>
        <v>C2</v>
      </c>
    </row>
    <row r="63" spans="2:20">
      <c r="K63" cm="1">
        <f t="array" ref="K63" xml:space="preserve"> 1 + _xlfn.SINGLE(ROW()) - _xlfn.SINGLE(ROW(ExportSubstitutions.RowNum))</f>
        <v>58</v>
      </c>
      <c r="L63" t="s">
        <v>2089</v>
      </c>
      <c r="M63" t="s">
        <v>2118</v>
      </c>
      <c r="N63" t="s">
        <v>2125</v>
      </c>
      <c r="R63" cm="1">
        <f t="array" ref="R63" xml:space="preserve"> 1 + _xlfn.SINGLE(ROW()) - _xlfn.SINGLE(ROW(ExportSubstitutions_Within.RowNum))</f>
        <v>58</v>
      </c>
      <c r="S63" t="s">
        <v>1130</v>
      </c>
      <c r="T63" t="str">
        <f t="shared" si="2"/>
        <v>C3</v>
      </c>
    </row>
    <row r="64" spans="2:20">
      <c r="K64" cm="1">
        <f t="array" ref="K64" xml:space="preserve"> 1 + _xlfn.SINGLE(ROW()) - _xlfn.SINGLE(ROW(ExportSubstitutions.RowNum))</f>
        <v>59</v>
      </c>
      <c r="L64" t="s">
        <v>2103</v>
      </c>
      <c r="M64" t="s">
        <v>2115</v>
      </c>
      <c r="N64" t="s">
        <v>2125</v>
      </c>
      <c r="R64" cm="1">
        <f t="array" ref="R64" xml:space="preserve"> 1 + _xlfn.SINGLE(ROW()) - _xlfn.SINGLE(ROW(ExportSubstitutions_Within.RowNum))</f>
        <v>59</v>
      </c>
      <c r="S64" t="s">
        <v>1131</v>
      </c>
      <c r="T64" t="str">
        <f t="shared" si="2"/>
        <v>C4</v>
      </c>
    </row>
    <row r="65" spans="11:20">
      <c r="K65" cm="1">
        <f t="array" ref="K65" xml:space="preserve"> 1 + _xlfn.SINGLE(ROW()) - _xlfn.SINGLE(ROW(ExportSubstitutions.RowNum))</f>
        <v>60</v>
      </c>
      <c r="L65" t="s">
        <v>32</v>
      </c>
      <c r="M65" t="s">
        <v>31</v>
      </c>
      <c r="N65" t="s">
        <v>2125</v>
      </c>
      <c r="R65" cm="1">
        <f t="array" ref="R65" xml:space="preserve"> 1 + _xlfn.SINGLE(ROW()) - _xlfn.SINGLE(ROW(ExportSubstitutions_Within.RowNum))</f>
        <v>60</v>
      </c>
      <c r="S65" t="s">
        <v>1132</v>
      </c>
      <c r="T65" t="str">
        <f t="shared" si="2"/>
        <v>C5</v>
      </c>
    </row>
    <row r="66" spans="11:20">
      <c r="K66" cm="1">
        <f t="array" ref="K66" xml:space="preserve"> 1 + _xlfn.SINGLE(ROW()) - _xlfn.SINGLE(ROW(ExportSubstitutions.RowNum))</f>
        <v>61</v>
      </c>
      <c r="L66" t="s">
        <v>2104</v>
      </c>
      <c r="M66" t="s">
        <v>2116</v>
      </c>
      <c r="N66" t="s">
        <v>2125</v>
      </c>
      <c r="R66" cm="1">
        <f t="array" ref="R66" xml:space="preserve"> 1 + _xlfn.SINGLE(ROW()) - _xlfn.SINGLE(ROW(ExportSubstitutions_Within.RowNum))</f>
        <v>61</v>
      </c>
      <c r="S66" t="s">
        <v>1133</v>
      </c>
      <c r="T66" t="str">
        <f t="shared" si="2"/>
        <v>C6</v>
      </c>
    </row>
    <row r="67" spans="11:20">
      <c r="K67" cm="1">
        <f t="array" ref="K67" xml:space="preserve"> 1 + _xlfn.SINGLE(ROW()) - _xlfn.SINGLE(ROW(ExportSubstitutions.RowNum))</f>
        <v>62</v>
      </c>
      <c r="L67" t="s">
        <v>53</v>
      </c>
      <c r="M67" t="s">
        <v>52</v>
      </c>
      <c r="N67" t="s">
        <v>2125</v>
      </c>
      <c r="R67" cm="1">
        <f t="array" ref="R67" xml:space="preserve"> 1 + _xlfn.SINGLE(ROW()) - _xlfn.SINGLE(ROW(ExportSubstitutions_Within.RowNum))</f>
        <v>62</v>
      </c>
      <c r="S67" t="s">
        <v>1134</v>
      </c>
      <c r="T67" t="str">
        <f t="shared" si="2"/>
        <v>C7</v>
      </c>
    </row>
    <row r="68" spans="11:20">
      <c r="K68" cm="1">
        <f t="array" ref="K68" xml:space="preserve"> 1 + _xlfn.SINGLE(ROW()) - _xlfn.SINGLE(ROW(ExportSubstitutions.RowNum))</f>
        <v>63</v>
      </c>
      <c r="L68" t="s">
        <v>34</v>
      </c>
      <c r="M68" t="s">
        <v>33</v>
      </c>
      <c r="N68" t="s">
        <v>2125</v>
      </c>
      <c r="R68" cm="1">
        <f t="array" ref="R68" xml:space="preserve"> 1 + _xlfn.SINGLE(ROW()) - _xlfn.SINGLE(ROW(ExportSubstitutions_Within.RowNum))</f>
        <v>63</v>
      </c>
      <c r="S68" t="s">
        <v>1135</v>
      </c>
      <c r="T68" t="str">
        <f t="shared" si="2"/>
        <v>C8</v>
      </c>
    </row>
    <row r="69" spans="11:20">
      <c r="K69" cm="1">
        <f t="array" ref="K69" xml:space="preserve"> 1 + _xlfn.SINGLE(ROW()) - _xlfn.SINGLE(ROW(ExportSubstitutions.RowNum))</f>
        <v>64</v>
      </c>
      <c r="L69" t="s">
        <v>2105</v>
      </c>
      <c r="M69" t="s">
        <v>2117</v>
      </c>
      <c r="N69" t="s">
        <v>2125</v>
      </c>
      <c r="R69" cm="1">
        <f t="array" ref="R69" xml:space="preserve"> 1 + _xlfn.SINGLE(ROW()) - _xlfn.SINGLE(ROW(ExportSubstitutions_Within.RowNum))</f>
        <v>64</v>
      </c>
      <c r="S69" t="s">
        <v>1136</v>
      </c>
      <c r="T69" t="str">
        <f t="shared" si="2"/>
        <v>C9</v>
      </c>
    </row>
    <row r="70" spans="11:20">
      <c r="K70" cm="1">
        <f t="array" ref="K70" xml:space="preserve"> 1 + _xlfn.SINGLE(ROW()) - _xlfn.SINGLE(ROW(ExportSubstitutions.RowNum))</f>
        <v>65</v>
      </c>
      <c r="L70" t="s">
        <v>57</v>
      </c>
      <c r="M70" t="s">
        <v>56</v>
      </c>
      <c r="N70" t="s">
        <v>2125</v>
      </c>
      <c r="R70" cm="1">
        <f t="array" ref="R70" xml:space="preserve"> 1 + _xlfn.SINGLE(ROW()) - _xlfn.SINGLE(ROW(ExportSubstitutions_Within.RowNum))</f>
        <v>65</v>
      </c>
      <c r="S70" t="s">
        <v>1581</v>
      </c>
      <c r="T70" t="str">
        <f t="shared" ref="T70:T133" si="8" xml:space="preserve"> SUBSTITUTE(ExportSubstitutions_Within.From, " ", "")</f>
        <v>C.</v>
      </c>
    </row>
    <row r="71" spans="11:20">
      <c r="K71" cm="1">
        <f t="array" ref="K71" xml:space="preserve"> 1 + _xlfn.SINGLE(ROW()) - _xlfn.SINGLE(ROW(ExportSubstitutions.RowNum))</f>
        <v>66</v>
      </c>
      <c r="L71" t="s">
        <v>2106</v>
      </c>
      <c r="M71" t="s">
        <v>2124</v>
      </c>
      <c r="N71" t="s">
        <v>2125</v>
      </c>
      <c r="R71" cm="1">
        <f t="array" ref="R71" xml:space="preserve"> 1 + _xlfn.SINGLE(ROW()) - _xlfn.SINGLE(ROW(ExportSubstitutions_Within.RowNum))</f>
        <v>66</v>
      </c>
      <c r="S71" t="s">
        <v>1590</v>
      </c>
      <c r="T71" t="str">
        <f t="shared" si="8"/>
        <v>C-</v>
      </c>
    </row>
    <row r="72" spans="11:20">
      <c r="K72" cm="1">
        <f t="array" ref="K72" xml:space="preserve"> 1 + _xlfn.SINGLE(ROW()) - _xlfn.SINGLE(ROW(ExportSubstitutions.RowNum))</f>
        <v>67</v>
      </c>
      <c r="L72" t="s">
        <v>41</v>
      </c>
      <c r="M72" t="s">
        <v>40</v>
      </c>
      <c r="N72" t="s">
        <v>2125</v>
      </c>
      <c r="R72" cm="1">
        <f t="array" ref="R72" xml:space="preserve"> 1 + _xlfn.SINGLE(ROW()) - _xlfn.SINGLE(ROW(ExportSubstitutions_Within.RowNum))</f>
        <v>67</v>
      </c>
      <c r="S72" t="s">
        <v>1137</v>
      </c>
      <c r="T72" t="str">
        <f t="shared" si="8"/>
        <v>0c</v>
      </c>
    </row>
    <row r="73" spans="11:20">
      <c r="K73" cm="1">
        <f t="array" ref="K73" xml:space="preserve"> 1 + _xlfn.SINGLE(ROW()) - _xlfn.SINGLE(ROW(ExportSubstitutions.RowNum))</f>
        <v>68</v>
      </c>
      <c r="L73" t="s">
        <v>2094</v>
      </c>
      <c r="M73" t="s">
        <v>2123</v>
      </c>
      <c r="N73" t="s">
        <v>2125</v>
      </c>
      <c r="R73" cm="1">
        <f t="array" ref="R73" xml:space="preserve"> 1 + _xlfn.SINGLE(ROW()) - _xlfn.SINGLE(ROW(ExportSubstitutions_Within.RowNum))</f>
        <v>68</v>
      </c>
      <c r="S73" t="s">
        <v>1138</v>
      </c>
      <c r="T73" t="str">
        <f t="shared" si="8"/>
        <v>1c</v>
      </c>
    </row>
    <row r="74" spans="11:20">
      <c r="R74" cm="1">
        <f t="array" ref="R74" xml:space="preserve"> 1 + _xlfn.SINGLE(ROW()) - _xlfn.SINGLE(ROW(ExportSubstitutions_Within.RowNum))</f>
        <v>69</v>
      </c>
      <c r="S74" t="s">
        <v>1139</v>
      </c>
      <c r="T74" t="str">
        <f t="shared" si="8"/>
        <v>2c</v>
      </c>
    </row>
    <row r="75" spans="11:20">
      <c r="R75" cm="1">
        <f t="array" ref="R75" xml:space="preserve"> 1 + _xlfn.SINGLE(ROW()) - _xlfn.SINGLE(ROW(ExportSubstitutions_Within.RowNum))</f>
        <v>70</v>
      </c>
      <c r="S75" t="s">
        <v>1140</v>
      </c>
      <c r="T75" t="str">
        <f t="shared" si="8"/>
        <v>3c</v>
      </c>
    </row>
    <row r="76" spans="11:20">
      <c r="R76" cm="1">
        <f t="array" ref="R76" xml:space="preserve"> 1 + _xlfn.SINGLE(ROW()) - _xlfn.SINGLE(ROW(ExportSubstitutions_Within.RowNum))</f>
        <v>71</v>
      </c>
      <c r="S76" t="s">
        <v>1141</v>
      </c>
      <c r="T76" t="str">
        <f t="shared" si="8"/>
        <v>4c</v>
      </c>
    </row>
    <row r="77" spans="11:20">
      <c r="R77" cm="1">
        <f t="array" ref="R77" xml:space="preserve"> 1 + _xlfn.SINGLE(ROW()) - _xlfn.SINGLE(ROW(ExportSubstitutions_Within.RowNum))</f>
        <v>72</v>
      </c>
      <c r="S77" t="s">
        <v>1142</v>
      </c>
      <c r="T77" t="str">
        <f t="shared" si="8"/>
        <v>5c</v>
      </c>
    </row>
    <row r="78" spans="11:20">
      <c r="R78" cm="1">
        <f t="array" ref="R78" xml:space="preserve"> 1 + _xlfn.SINGLE(ROW()) - _xlfn.SINGLE(ROW(ExportSubstitutions_Within.RowNum))</f>
        <v>73</v>
      </c>
      <c r="S78" t="s">
        <v>1143</v>
      </c>
      <c r="T78" t="str">
        <f t="shared" si="8"/>
        <v>6c</v>
      </c>
    </row>
    <row r="79" spans="11:20">
      <c r="R79" cm="1">
        <f t="array" ref="R79" xml:space="preserve"> 1 + _xlfn.SINGLE(ROW()) - _xlfn.SINGLE(ROW(ExportSubstitutions_Within.RowNum))</f>
        <v>74</v>
      </c>
      <c r="S79" t="s">
        <v>1144</v>
      </c>
      <c r="T79" t="str">
        <f t="shared" si="8"/>
        <v>7c</v>
      </c>
    </row>
    <row r="80" spans="11:20">
      <c r="R80" cm="1">
        <f t="array" ref="R80" xml:space="preserve"> 1 + _xlfn.SINGLE(ROW()) - _xlfn.SINGLE(ROW(ExportSubstitutions_Within.RowNum))</f>
        <v>75</v>
      </c>
      <c r="S80" t="s">
        <v>1145</v>
      </c>
      <c r="T80" t="str">
        <f t="shared" si="8"/>
        <v>8c</v>
      </c>
    </row>
    <row r="81" spans="18:20">
      <c r="R81" cm="1">
        <f t="array" ref="R81" xml:space="preserve"> 1 + _xlfn.SINGLE(ROW()) - _xlfn.SINGLE(ROW(ExportSubstitutions_Within.RowNum))</f>
        <v>76</v>
      </c>
      <c r="S81" t="s">
        <v>1146</v>
      </c>
      <c r="T81" t="str">
        <f t="shared" si="8"/>
        <v>9c</v>
      </c>
    </row>
    <row r="82" spans="18:20">
      <c r="R82" cm="1">
        <f t="array" ref="R82" xml:space="preserve"> 1 + _xlfn.SINGLE(ROW()) - _xlfn.SINGLE(ROW(ExportSubstitutions_Within.RowNum))</f>
        <v>77</v>
      </c>
      <c r="S82" t="s">
        <v>1147</v>
      </c>
      <c r="T82" t="str">
        <f t="shared" si="8"/>
        <v>c0</v>
      </c>
    </row>
    <row r="83" spans="18:20">
      <c r="R83" cm="1">
        <f t="array" ref="R83" xml:space="preserve"> 1 + _xlfn.SINGLE(ROW()) - _xlfn.SINGLE(ROW(ExportSubstitutions_Within.RowNum))</f>
        <v>78</v>
      </c>
      <c r="S83" t="s">
        <v>1148</v>
      </c>
      <c r="T83" t="str">
        <f t="shared" si="8"/>
        <v>c1</v>
      </c>
    </row>
    <row r="84" spans="18:20">
      <c r="R84" cm="1">
        <f t="array" ref="R84" xml:space="preserve"> 1 + _xlfn.SINGLE(ROW()) - _xlfn.SINGLE(ROW(ExportSubstitutions_Within.RowNum))</f>
        <v>79</v>
      </c>
      <c r="S84" t="s">
        <v>1149</v>
      </c>
      <c r="T84" t="str">
        <f t="shared" si="8"/>
        <v>c2</v>
      </c>
    </row>
    <row r="85" spans="18:20">
      <c r="R85" cm="1">
        <f t="array" ref="R85" xml:space="preserve"> 1 + _xlfn.SINGLE(ROW()) - _xlfn.SINGLE(ROW(ExportSubstitutions_Within.RowNum))</f>
        <v>80</v>
      </c>
      <c r="S85" t="s">
        <v>1150</v>
      </c>
      <c r="T85" t="str">
        <f t="shared" si="8"/>
        <v>c3</v>
      </c>
    </row>
    <row r="86" spans="18:20">
      <c r="R86" cm="1">
        <f t="array" ref="R86" xml:space="preserve"> 1 + _xlfn.SINGLE(ROW()) - _xlfn.SINGLE(ROW(ExportSubstitutions_Within.RowNum))</f>
        <v>81</v>
      </c>
      <c r="S86" t="s">
        <v>1151</v>
      </c>
      <c r="T86" t="str">
        <f t="shared" si="8"/>
        <v>c4</v>
      </c>
    </row>
    <row r="87" spans="18:20">
      <c r="R87" cm="1">
        <f t="array" ref="R87" xml:space="preserve"> 1 + _xlfn.SINGLE(ROW()) - _xlfn.SINGLE(ROW(ExportSubstitutions_Within.RowNum))</f>
        <v>82</v>
      </c>
      <c r="S87" t="s">
        <v>1152</v>
      </c>
      <c r="T87" t="str">
        <f t="shared" si="8"/>
        <v>c5</v>
      </c>
    </row>
    <row r="88" spans="18:20">
      <c r="R88" cm="1">
        <f t="array" ref="R88" xml:space="preserve"> 1 + _xlfn.SINGLE(ROW()) - _xlfn.SINGLE(ROW(ExportSubstitutions_Within.RowNum))</f>
        <v>83</v>
      </c>
      <c r="S88" t="s">
        <v>1153</v>
      </c>
      <c r="T88" t="str">
        <f t="shared" si="8"/>
        <v>c6</v>
      </c>
    </row>
    <row r="89" spans="18:20">
      <c r="R89" cm="1">
        <f t="array" ref="R89" xml:space="preserve"> 1 + _xlfn.SINGLE(ROW()) - _xlfn.SINGLE(ROW(ExportSubstitutions_Within.RowNum))</f>
        <v>84</v>
      </c>
      <c r="S89" t="s">
        <v>1154</v>
      </c>
      <c r="T89" t="str">
        <f t="shared" si="8"/>
        <v>c7</v>
      </c>
    </row>
    <row r="90" spans="18:20">
      <c r="R90" cm="1">
        <f t="array" ref="R90" xml:space="preserve"> 1 + _xlfn.SINGLE(ROW()) - _xlfn.SINGLE(ROW(ExportSubstitutions_Within.RowNum))</f>
        <v>85</v>
      </c>
      <c r="S90" t="s">
        <v>1155</v>
      </c>
      <c r="T90" t="str">
        <f t="shared" si="8"/>
        <v>c8</v>
      </c>
    </row>
    <row r="91" spans="18:20">
      <c r="R91" cm="1">
        <f t="array" ref="R91" xml:space="preserve"> 1 + _xlfn.SINGLE(ROW()) - _xlfn.SINGLE(ROW(ExportSubstitutions_Within.RowNum))</f>
        <v>86</v>
      </c>
      <c r="S91" t="s">
        <v>1156</v>
      </c>
      <c r="T91" t="str">
        <f t="shared" si="8"/>
        <v>c9</v>
      </c>
    </row>
    <row r="92" spans="18:20">
      <c r="R92" cm="1">
        <f t="array" ref="R92" xml:space="preserve"> 1 + _xlfn.SINGLE(ROW()) - _xlfn.SINGLE(ROW(ExportSubstitutions_Within.RowNum))</f>
        <v>87</v>
      </c>
      <c r="S92" t="s">
        <v>1582</v>
      </c>
      <c r="T92" t="str">
        <f t="shared" si="8"/>
        <v>c.</v>
      </c>
    </row>
    <row r="93" spans="18:20">
      <c r="R93" cm="1">
        <f t="array" ref="R93" xml:space="preserve"> 1 + _xlfn.SINGLE(ROW()) - _xlfn.SINGLE(ROW(ExportSubstitutions_Within.RowNum))</f>
        <v>88</v>
      </c>
      <c r="S93" t="s">
        <v>1591</v>
      </c>
      <c r="T93" t="str">
        <f t="shared" si="8"/>
        <v>c-</v>
      </c>
    </row>
    <row r="94" spans="18:20">
      <c r="R94" cm="1">
        <f t="array" ref="R94" xml:space="preserve"> 1 + _xlfn.SINGLE(ROW()) - _xlfn.SINGLE(ROW(ExportSubstitutions_Within.RowNum))</f>
        <v>89</v>
      </c>
      <c r="S94" t="s">
        <v>1157</v>
      </c>
      <c r="T94" t="str">
        <f t="shared" si="8"/>
        <v>0H</v>
      </c>
    </row>
    <row r="95" spans="18:20">
      <c r="R95" cm="1">
        <f t="array" ref="R95" xml:space="preserve"> 1 + _xlfn.SINGLE(ROW()) - _xlfn.SINGLE(ROW(ExportSubstitutions_Within.RowNum))</f>
        <v>90</v>
      </c>
      <c r="S95" t="s">
        <v>1158</v>
      </c>
      <c r="T95" t="str">
        <f t="shared" si="8"/>
        <v>1H</v>
      </c>
    </row>
    <row r="96" spans="18:20">
      <c r="R96" cm="1">
        <f t="array" ref="R96" xml:space="preserve"> 1 + _xlfn.SINGLE(ROW()) - _xlfn.SINGLE(ROW(ExportSubstitutions_Within.RowNum))</f>
        <v>91</v>
      </c>
      <c r="S96" t="s">
        <v>1159</v>
      </c>
      <c r="T96" t="str">
        <f t="shared" si="8"/>
        <v>2H</v>
      </c>
    </row>
    <row r="97" spans="18:20">
      <c r="R97" cm="1">
        <f t="array" ref="R97" xml:space="preserve"> 1 + _xlfn.SINGLE(ROW()) - _xlfn.SINGLE(ROW(ExportSubstitutions_Within.RowNum))</f>
        <v>92</v>
      </c>
      <c r="S97" t="s">
        <v>1160</v>
      </c>
      <c r="T97" t="str">
        <f t="shared" si="8"/>
        <v>3H</v>
      </c>
    </row>
    <row r="98" spans="18:20">
      <c r="R98" cm="1">
        <f t="array" ref="R98" xml:space="preserve"> 1 + _xlfn.SINGLE(ROW()) - _xlfn.SINGLE(ROW(ExportSubstitutions_Within.RowNum))</f>
        <v>93</v>
      </c>
      <c r="S98" t="s">
        <v>1161</v>
      </c>
      <c r="T98" t="str">
        <f t="shared" si="8"/>
        <v>4H</v>
      </c>
    </row>
    <row r="99" spans="18:20">
      <c r="R99" cm="1">
        <f t="array" ref="R99" xml:space="preserve"> 1 + _xlfn.SINGLE(ROW()) - _xlfn.SINGLE(ROW(ExportSubstitutions_Within.RowNum))</f>
        <v>94</v>
      </c>
      <c r="S99" t="s">
        <v>1162</v>
      </c>
      <c r="T99" t="str">
        <f t="shared" si="8"/>
        <v>5H</v>
      </c>
    </row>
    <row r="100" spans="18:20">
      <c r="R100" cm="1">
        <f t="array" ref="R100" xml:space="preserve"> 1 + _xlfn.SINGLE(ROW()) - _xlfn.SINGLE(ROW(ExportSubstitutions_Within.RowNum))</f>
        <v>95</v>
      </c>
      <c r="S100" t="s">
        <v>1163</v>
      </c>
      <c r="T100" t="str">
        <f t="shared" si="8"/>
        <v>6H</v>
      </c>
    </row>
    <row r="101" spans="18:20">
      <c r="R101" cm="1">
        <f t="array" ref="R101" xml:space="preserve"> 1 + _xlfn.SINGLE(ROW()) - _xlfn.SINGLE(ROW(ExportSubstitutions_Within.RowNum))</f>
        <v>96</v>
      </c>
      <c r="S101" t="s">
        <v>1164</v>
      </c>
      <c r="T101" t="str">
        <f t="shared" si="8"/>
        <v>7H</v>
      </c>
    </row>
    <row r="102" spans="18:20">
      <c r="R102" cm="1">
        <f t="array" ref="R102" xml:space="preserve"> 1 + _xlfn.SINGLE(ROW()) - _xlfn.SINGLE(ROW(ExportSubstitutions_Within.RowNum))</f>
        <v>97</v>
      </c>
      <c r="S102" t="s">
        <v>1165</v>
      </c>
      <c r="T102" t="str">
        <f t="shared" si="8"/>
        <v>8H</v>
      </c>
    </row>
    <row r="103" spans="18:20">
      <c r="R103" cm="1">
        <f t="array" ref="R103" xml:space="preserve"> 1 + _xlfn.SINGLE(ROW()) - _xlfn.SINGLE(ROW(ExportSubstitutions_Within.RowNum))</f>
        <v>98</v>
      </c>
      <c r="S103" t="s">
        <v>1166</v>
      </c>
      <c r="T103" t="str">
        <f t="shared" si="8"/>
        <v>9H</v>
      </c>
    </row>
    <row r="104" spans="18:20">
      <c r="R104" cm="1">
        <f t="array" ref="R104" xml:space="preserve"> 1 + _xlfn.SINGLE(ROW()) - _xlfn.SINGLE(ROW(ExportSubstitutions_Within.RowNum))</f>
        <v>99</v>
      </c>
      <c r="S104" t="s">
        <v>1167</v>
      </c>
      <c r="T104" t="str">
        <f t="shared" si="8"/>
        <v>H0</v>
      </c>
    </row>
    <row r="105" spans="18:20">
      <c r="R105" cm="1">
        <f t="array" ref="R105" xml:space="preserve"> 1 + _xlfn.SINGLE(ROW()) - _xlfn.SINGLE(ROW(ExportSubstitutions_Within.RowNum))</f>
        <v>100</v>
      </c>
      <c r="S105" t="s">
        <v>1168</v>
      </c>
      <c r="T105" t="str">
        <f t="shared" si="8"/>
        <v>H1</v>
      </c>
    </row>
    <row r="106" spans="18:20">
      <c r="R106" cm="1">
        <f t="array" ref="R106" xml:space="preserve"> 1 + _xlfn.SINGLE(ROW()) - _xlfn.SINGLE(ROW(ExportSubstitutions_Within.RowNum))</f>
        <v>101</v>
      </c>
      <c r="S106" t="s">
        <v>1169</v>
      </c>
      <c r="T106" t="str">
        <f t="shared" si="8"/>
        <v>H2</v>
      </c>
    </row>
    <row r="107" spans="18:20">
      <c r="R107" cm="1">
        <f t="array" ref="R107" xml:space="preserve"> 1 + _xlfn.SINGLE(ROW()) - _xlfn.SINGLE(ROW(ExportSubstitutions_Within.RowNum))</f>
        <v>102</v>
      </c>
      <c r="S107" t="s">
        <v>1170</v>
      </c>
      <c r="T107" t="str">
        <f t="shared" si="8"/>
        <v>H3</v>
      </c>
    </row>
    <row r="108" spans="18:20">
      <c r="R108" cm="1">
        <f t="array" ref="R108" xml:space="preserve"> 1 + _xlfn.SINGLE(ROW()) - _xlfn.SINGLE(ROW(ExportSubstitutions_Within.RowNum))</f>
        <v>103</v>
      </c>
      <c r="S108" t="s">
        <v>1171</v>
      </c>
      <c r="T108" t="str">
        <f t="shared" si="8"/>
        <v>H4</v>
      </c>
    </row>
    <row r="109" spans="18:20">
      <c r="R109" cm="1">
        <f t="array" ref="R109" xml:space="preserve"> 1 + _xlfn.SINGLE(ROW()) - _xlfn.SINGLE(ROW(ExportSubstitutions_Within.RowNum))</f>
        <v>104</v>
      </c>
      <c r="S109" t="s">
        <v>1172</v>
      </c>
      <c r="T109" t="str">
        <f t="shared" si="8"/>
        <v>H5</v>
      </c>
    </row>
    <row r="110" spans="18:20">
      <c r="R110" cm="1">
        <f t="array" ref="R110" xml:space="preserve"> 1 + _xlfn.SINGLE(ROW()) - _xlfn.SINGLE(ROW(ExportSubstitutions_Within.RowNum))</f>
        <v>105</v>
      </c>
      <c r="S110" t="s">
        <v>1173</v>
      </c>
      <c r="T110" t="str">
        <f t="shared" si="8"/>
        <v>H6</v>
      </c>
    </row>
    <row r="111" spans="18:20">
      <c r="R111" cm="1">
        <f t="array" ref="R111" xml:space="preserve"> 1 + _xlfn.SINGLE(ROW()) - _xlfn.SINGLE(ROW(ExportSubstitutions_Within.RowNum))</f>
        <v>106</v>
      </c>
      <c r="S111" t="s">
        <v>1174</v>
      </c>
      <c r="T111" t="str">
        <f t="shared" si="8"/>
        <v>H7</v>
      </c>
    </row>
    <row r="112" spans="18:20">
      <c r="R112" cm="1">
        <f t="array" ref="R112" xml:space="preserve"> 1 + _xlfn.SINGLE(ROW()) - _xlfn.SINGLE(ROW(ExportSubstitutions_Within.RowNum))</f>
        <v>107</v>
      </c>
      <c r="S112" t="s">
        <v>1175</v>
      </c>
      <c r="T112" t="str">
        <f t="shared" si="8"/>
        <v>H8</v>
      </c>
    </row>
    <row r="113" spans="18:20">
      <c r="R113" cm="1">
        <f t="array" ref="R113" xml:space="preserve"> 1 + _xlfn.SINGLE(ROW()) - _xlfn.SINGLE(ROW(ExportSubstitutions_Within.RowNum))</f>
        <v>108</v>
      </c>
      <c r="S113" t="s">
        <v>1176</v>
      </c>
      <c r="T113" t="str">
        <f t="shared" si="8"/>
        <v>H9</v>
      </c>
    </row>
    <row r="114" spans="18:20">
      <c r="R114" cm="1">
        <f t="array" ref="R114" xml:space="preserve"> 1 + _xlfn.SINGLE(ROW()) - _xlfn.SINGLE(ROW(ExportSubstitutions_Within.RowNum))</f>
        <v>109</v>
      </c>
      <c r="S114" t="s">
        <v>1583</v>
      </c>
      <c r="T114" t="str">
        <f t="shared" si="8"/>
        <v>H.</v>
      </c>
    </row>
    <row r="115" spans="18:20">
      <c r="R115" cm="1">
        <f t="array" ref="R115" xml:space="preserve"> 1 + _xlfn.SINGLE(ROW()) - _xlfn.SINGLE(ROW(ExportSubstitutions_Within.RowNum))</f>
        <v>110</v>
      </c>
      <c r="S115" t="s">
        <v>1592</v>
      </c>
      <c r="T115" t="str">
        <f t="shared" si="8"/>
        <v>H-</v>
      </c>
    </row>
    <row r="116" spans="18:20">
      <c r="R116" cm="1">
        <f t="array" ref="R116" xml:space="preserve"> 1 + _xlfn.SINGLE(ROW()) - _xlfn.SINGLE(ROW(ExportSubstitutions_Within.RowNum))</f>
        <v>111</v>
      </c>
      <c r="S116" t="s">
        <v>1177</v>
      </c>
      <c r="T116" t="str">
        <f t="shared" si="8"/>
        <v>0h</v>
      </c>
    </row>
    <row r="117" spans="18:20">
      <c r="R117" cm="1">
        <f t="array" ref="R117" xml:space="preserve"> 1 + _xlfn.SINGLE(ROW()) - _xlfn.SINGLE(ROW(ExportSubstitutions_Within.RowNum))</f>
        <v>112</v>
      </c>
      <c r="S117" t="s">
        <v>1178</v>
      </c>
      <c r="T117" t="str">
        <f t="shared" si="8"/>
        <v>1h</v>
      </c>
    </row>
    <row r="118" spans="18:20">
      <c r="R118" cm="1">
        <f t="array" ref="R118" xml:space="preserve"> 1 + _xlfn.SINGLE(ROW()) - _xlfn.SINGLE(ROW(ExportSubstitutions_Within.RowNum))</f>
        <v>113</v>
      </c>
      <c r="S118" t="s">
        <v>1179</v>
      </c>
      <c r="T118" t="str">
        <f t="shared" si="8"/>
        <v>2h</v>
      </c>
    </row>
    <row r="119" spans="18:20">
      <c r="R119" cm="1">
        <f t="array" ref="R119" xml:space="preserve"> 1 + _xlfn.SINGLE(ROW()) - _xlfn.SINGLE(ROW(ExportSubstitutions_Within.RowNum))</f>
        <v>114</v>
      </c>
      <c r="S119" t="s">
        <v>1180</v>
      </c>
      <c r="T119" t="str">
        <f t="shared" si="8"/>
        <v>3h</v>
      </c>
    </row>
    <row r="120" spans="18:20">
      <c r="R120" cm="1">
        <f t="array" ref="R120" xml:space="preserve"> 1 + _xlfn.SINGLE(ROW()) - _xlfn.SINGLE(ROW(ExportSubstitutions_Within.RowNum))</f>
        <v>115</v>
      </c>
      <c r="S120" t="s">
        <v>1181</v>
      </c>
      <c r="T120" t="str">
        <f t="shared" si="8"/>
        <v>4h</v>
      </c>
    </row>
    <row r="121" spans="18:20">
      <c r="R121" cm="1">
        <f t="array" ref="R121" xml:space="preserve"> 1 + _xlfn.SINGLE(ROW()) - _xlfn.SINGLE(ROW(ExportSubstitutions_Within.RowNum))</f>
        <v>116</v>
      </c>
      <c r="S121" t="s">
        <v>1182</v>
      </c>
      <c r="T121" t="str">
        <f t="shared" si="8"/>
        <v>5h</v>
      </c>
    </row>
    <row r="122" spans="18:20">
      <c r="R122" cm="1">
        <f t="array" ref="R122" xml:space="preserve"> 1 + _xlfn.SINGLE(ROW()) - _xlfn.SINGLE(ROW(ExportSubstitutions_Within.RowNum))</f>
        <v>117</v>
      </c>
      <c r="S122" t="s">
        <v>1183</v>
      </c>
      <c r="T122" t="str">
        <f t="shared" si="8"/>
        <v>6h</v>
      </c>
    </row>
    <row r="123" spans="18:20">
      <c r="R123" cm="1">
        <f t="array" ref="R123" xml:space="preserve"> 1 + _xlfn.SINGLE(ROW()) - _xlfn.SINGLE(ROW(ExportSubstitutions_Within.RowNum))</f>
        <v>118</v>
      </c>
      <c r="S123" t="s">
        <v>1184</v>
      </c>
      <c r="T123" t="str">
        <f t="shared" si="8"/>
        <v>7h</v>
      </c>
    </row>
    <row r="124" spans="18:20">
      <c r="R124" cm="1">
        <f t="array" ref="R124" xml:space="preserve"> 1 + _xlfn.SINGLE(ROW()) - _xlfn.SINGLE(ROW(ExportSubstitutions_Within.RowNum))</f>
        <v>119</v>
      </c>
      <c r="S124" t="s">
        <v>1185</v>
      </c>
      <c r="T124" t="str">
        <f t="shared" si="8"/>
        <v>8h</v>
      </c>
    </row>
    <row r="125" spans="18:20">
      <c r="R125" cm="1">
        <f t="array" ref="R125" xml:space="preserve"> 1 + _xlfn.SINGLE(ROW()) - _xlfn.SINGLE(ROW(ExportSubstitutions_Within.RowNum))</f>
        <v>120</v>
      </c>
      <c r="S125" t="s">
        <v>1186</v>
      </c>
      <c r="T125" t="str">
        <f t="shared" si="8"/>
        <v>9h</v>
      </c>
    </row>
    <row r="126" spans="18:20">
      <c r="R126" cm="1">
        <f t="array" ref="R126" xml:space="preserve"> 1 + _xlfn.SINGLE(ROW()) - _xlfn.SINGLE(ROW(ExportSubstitutions_Within.RowNum))</f>
        <v>121</v>
      </c>
      <c r="S126" t="s">
        <v>1187</v>
      </c>
      <c r="T126" t="str">
        <f t="shared" si="8"/>
        <v>h0</v>
      </c>
    </row>
    <row r="127" spans="18:20">
      <c r="R127" cm="1">
        <f t="array" ref="R127" xml:space="preserve"> 1 + _xlfn.SINGLE(ROW()) - _xlfn.SINGLE(ROW(ExportSubstitutions_Within.RowNum))</f>
        <v>122</v>
      </c>
      <c r="S127" t="s">
        <v>1188</v>
      </c>
      <c r="T127" t="str">
        <f t="shared" si="8"/>
        <v>h1</v>
      </c>
    </row>
    <row r="128" spans="18:20">
      <c r="R128" cm="1">
        <f t="array" ref="R128" xml:space="preserve"> 1 + _xlfn.SINGLE(ROW()) - _xlfn.SINGLE(ROW(ExportSubstitutions_Within.RowNum))</f>
        <v>123</v>
      </c>
      <c r="S128" t="s">
        <v>1189</v>
      </c>
      <c r="T128" t="str">
        <f t="shared" si="8"/>
        <v>h2</v>
      </c>
    </row>
    <row r="129" spans="18:20">
      <c r="R129" cm="1">
        <f t="array" ref="R129" xml:space="preserve"> 1 + _xlfn.SINGLE(ROW()) - _xlfn.SINGLE(ROW(ExportSubstitutions_Within.RowNum))</f>
        <v>124</v>
      </c>
      <c r="S129" t="s">
        <v>1190</v>
      </c>
      <c r="T129" t="str">
        <f t="shared" si="8"/>
        <v>h3</v>
      </c>
    </row>
    <row r="130" spans="18:20">
      <c r="R130" cm="1">
        <f t="array" ref="R130" xml:space="preserve"> 1 + _xlfn.SINGLE(ROW()) - _xlfn.SINGLE(ROW(ExportSubstitutions_Within.RowNum))</f>
        <v>125</v>
      </c>
      <c r="S130" t="s">
        <v>1191</v>
      </c>
      <c r="T130" t="str">
        <f t="shared" si="8"/>
        <v>h4</v>
      </c>
    </row>
    <row r="131" spans="18:20">
      <c r="R131" cm="1">
        <f t="array" ref="R131" xml:space="preserve"> 1 + _xlfn.SINGLE(ROW()) - _xlfn.SINGLE(ROW(ExportSubstitutions_Within.RowNum))</f>
        <v>126</v>
      </c>
      <c r="S131" t="s">
        <v>1192</v>
      </c>
      <c r="T131" t="str">
        <f t="shared" si="8"/>
        <v>h5</v>
      </c>
    </row>
    <row r="132" spans="18:20">
      <c r="R132" cm="1">
        <f t="array" ref="R132" xml:space="preserve"> 1 + _xlfn.SINGLE(ROW()) - _xlfn.SINGLE(ROW(ExportSubstitutions_Within.RowNum))</f>
        <v>127</v>
      </c>
      <c r="S132" t="s">
        <v>1193</v>
      </c>
      <c r="T132" t="str">
        <f t="shared" si="8"/>
        <v>h6</v>
      </c>
    </row>
    <row r="133" spans="18:20">
      <c r="R133" cm="1">
        <f t="array" ref="R133" xml:space="preserve"> 1 + _xlfn.SINGLE(ROW()) - _xlfn.SINGLE(ROW(ExportSubstitutions_Within.RowNum))</f>
        <v>128</v>
      </c>
      <c r="S133" t="s">
        <v>1194</v>
      </c>
      <c r="T133" t="str">
        <f t="shared" si="8"/>
        <v>h7</v>
      </c>
    </row>
    <row r="134" spans="18:20">
      <c r="R134" cm="1">
        <f t="array" ref="R134" xml:space="preserve"> 1 + _xlfn.SINGLE(ROW()) - _xlfn.SINGLE(ROW(ExportSubstitutions_Within.RowNum))</f>
        <v>129</v>
      </c>
      <c r="S134" t="s">
        <v>1195</v>
      </c>
      <c r="T134" t="str">
        <f t="shared" ref="T134:T197" si="9" xml:space="preserve"> SUBSTITUTE(ExportSubstitutions_Within.From, " ", "")</f>
        <v>h8</v>
      </c>
    </row>
    <row r="135" spans="18:20">
      <c r="R135" cm="1">
        <f t="array" ref="R135" xml:space="preserve"> 1 + _xlfn.SINGLE(ROW()) - _xlfn.SINGLE(ROW(ExportSubstitutions_Within.RowNum))</f>
        <v>130</v>
      </c>
      <c r="S135" t="s">
        <v>1196</v>
      </c>
      <c r="T135" t="str">
        <f t="shared" si="9"/>
        <v>h9</v>
      </c>
    </row>
    <row r="136" spans="18:20">
      <c r="R136" cm="1">
        <f t="array" ref="R136" xml:space="preserve"> 1 + _xlfn.SINGLE(ROW()) - _xlfn.SINGLE(ROW(ExportSubstitutions_Within.RowNum))</f>
        <v>131</v>
      </c>
      <c r="S136" t="s">
        <v>1584</v>
      </c>
      <c r="T136" t="str">
        <f t="shared" si="9"/>
        <v>h.</v>
      </c>
    </row>
    <row r="137" spans="18:20">
      <c r="R137" cm="1">
        <f t="array" ref="R137" xml:space="preserve"> 1 + _xlfn.SINGLE(ROW()) - _xlfn.SINGLE(ROW(ExportSubstitutions_Within.RowNum))</f>
        <v>132</v>
      </c>
      <c r="S137" t="s">
        <v>1593</v>
      </c>
      <c r="T137" t="str">
        <f t="shared" si="9"/>
        <v>h-</v>
      </c>
    </row>
    <row r="138" spans="18:20">
      <c r="R138" cm="1">
        <f t="array" ref="R138" xml:space="preserve"> 1 + _xlfn.SINGLE(ROW()) - _xlfn.SINGLE(ROW(ExportSubstitutions_Within.RowNum))</f>
        <v>133</v>
      </c>
      <c r="S138" t="s">
        <v>1197</v>
      </c>
      <c r="T138" t="str">
        <f t="shared" si="9"/>
        <v>0L</v>
      </c>
    </row>
    <row r="139" spans="18:20">
      <c r="R139" cm="1">
        <f t="array" ref="R139" xml:space="preserve"> 1 + _xlfn.SINGLE(ROW()) - _xlfn.SINGLE(ROW(ExportSubstitutions_Within.RowNum))</f>
        <v>134</v>
      </c>
      <c r="S139" t="s">
        <v>1198</v>
      </c>
      <c r="T139" t="str">
        <f t="shared" si="9"/>
        <v>1L</v>
      </c>
    </row>
    <row r="140" spans="18:20">
      <c r="R140" cm="1">
        <f t="array" ref="R140" xml:space="preserve"> 1 + _xlfn.SINGLE(ROW()) - _xlfn.SINGLE(ROW(ExportSubstitutions_Within.RowNum))</f>
        <v>135</v>
      </c>
      <c r="S140" t="s">
        <v>1199</v>
      </c>
      <c r="T140" t="str">
        <f t="shared" si="9"/>
        <v>2L</v>
      </c>
    </row>
    <row r="141" spans="18:20">
      <c r="R141" cm="1">
        <f t="array" ref="R141" xml:space="preserve"> 1 + _xlfn.SINGLE(ROW()) - _xlfn.SINGLE(ROW(ExportSubstitutions_Within.RowNum))</f>
        <v>136</v>
      </c>
      <c r="S141" t="s">
        <v>1200</v>
      </c>
      <c r="T141" t="str">
        <f t="shared" si="9"/>
        <v>3L</v>
      </c>
    </row>
    <row r="142" spans="18:20">
      <c r="R142" cm="1">
        <f t="array" ref="R142" xml:space="preserve"> 1 + _xlfn.SINGLE(ROW()) - _xlfn.SINGLE(ROW(ExportSubstitutions_Within.RowNum))</f>
        <v>137</v>
      </c>
      <c r="S142" t="s">
        <v>1201</v>
      </c>
      <c r="T142" t="str">
        <f t="shared" si="9"/>
        <v>4L</v>
      </c>
    </row>
    <row r="143" spans="18:20">
      <c r="R143" cm="1">
        <f t="array" ref="R143" xml:space="preserve"> 1 + _xlfn.SINGLE(ROW()) - _xlfn.SINGLE(ROW(ExportSubstitutions_Within.RowNum))</f>
        <v>138</v>
      </c>
      <c r="S143" t="s">
        <v>1202</v>
      </c>
      <c r="T143" t="str">
        <f t="shared" si="9"/>
        <v>5L</v>
      </c>
    </row>
    <row r="144" spans="18:20">
      <c r="R144" cm="1">
        <f t="array" ref="R144" xml:space="preserve"> 1 + _xlfn.SINGLE(ROW()) - _xlfn.SINGLE(ROW(ExportSubstitutions_Within.RowNum))</f>
        <v>139</v>
      </c>
      <c r="S144" t="s">
        <v>1203</v>
      </c>
      <c r="T144" t="str">
        <f t="shared" si="9"/>
        <v>6L</v>
      </c>
    </row>
    <row r="145" spans="18:20">
      <c r="R145" cm="1">
        <f t="array" ref="R145" xml:space="preserve"> 1 + _xlfn.SINGLE(ROW()) - _xlfn.SINGLE(ROW(ExportSubstitutions_Within.RowNum))</f>
        <v>140</v>
      </c>
      <c r="S145" t="s">
        <v>1204</v>
      </c>
      <c r="T145" t="str">
        <f t="shared" si="9"/>
        <v>7L</v>
      </c>
    </row>
    <row r="146" spans="18:20">
      <c r="R146" cm="1">
        <f t="array" ref="R146" xml:space="preserve"> 1 + _xlfn.SINGLE(ROW()) - _xlfn.SINGLE(ROW(ExportSubstitutions_Within.RowNum))</f>
        <v>141</v>
      </c>
      <c r="S146" t="s">
        <v>1205</v>
      </c>
      <c r="T146" t="str">
        <f t="shared" si="9"/>
        <v>8L</v>
      </c>
    </row>
    <row r="147" spans="18:20">
      <c r="R147" cm="1">
        <f t="array" ref="R147" xml:space="preserve"> 1 + _xlfn.SINGLE(ROW()) - _xlfn.SINGLE(ROW(ExportSubstitutions_Within.RowNum))</f>
        <v>142</v>
      </c>
      <c r="S147" t="s">
        <v>1206</v>
      </c>
      <c r="T147" t="str">
        <f t="shared" si="9"/>
        <v>9L</v>
      </c>
    </row>
    <row r="148" spans="18:20">
      <c r="R148" cm="1">
        <f t="array" ref="R148" xml:space="preserve"> 1 + _xlfn.SINGLE(ROW()) - _xlfn.SINGLE(ROW(ExportSubstitutions_Within.RowNum))</f>
        <v>143</v>
      </c>
      <c r="S148" t="s">
        <v>1207</v>
      </c>
      <c r="T148" t="str">
        <f t="shared" si="9"/>
        <v>L0</v>
      </c>
    </row>
    <row r="149" spans="18:20">
      <c r="R149" cm="1">
        <f t="array" ref="R149" xml:space="preserve"> 1 + _xlfn.SINGLE(ROW()) - _xlfn.SINGLE(ROW(ExportSubstitutions_Within.RowNum))</f>
        <v>144</v>
      </c>
      <c r="S149" t="s">
        <v>1208</v>
      </c>
      <c r="T149" t="str">
        <f t="shared" si="9"/>
        <v>L1</v>
      </c>
    </row>
    <row r="150" spans="18:20">
      <c r="R150" cm="1">
        <f t="array" ref="R150" xml:space="preserve"> 1 + _xlfn.SINGLE(ROW()) - _xlfn.SINGLE(ROW(ExportSubstitutions_Within.RowNum))</f>
        <v>145</v>
      </c>
      <c r="S150" t="s">
        <v>1209</v>
      </c>
      <c r="T150" t="str">
        <f t="shared" si="9"/>
        <v>L2</v>
      </c>
    </row>
    <row r="151" spans="18:20">
      <c r="R151" cm="1">
        <f t="array" ref="R151" xml:space="preserve"> 1 + _xlfn.SINGLE(ROW()) - _xlfn.SINGLE(ROW(ExportSubstitutions_Within.RowNum))</f>
        <v>146</v>
      </c>
      <c r="S151" t="s">
        <v>1210</v>
      </c>
      <c r="T151" t="str">
        <f t="shared" si="9"/>
        <v>L3</v>
      </c>
    </row>
    <row r="152" spans="18:20">
      <c r="R152" cm="1">
        <f t="array" ref="R152" xml:space="preserve"> 1 + _xlfn.SINGLE(ROW()) - _xlfn.SINGLE(ROW(ExportSubstitutions_Within.RowNum))</f>
        <v>147</v>
      </c>
      <c r="S152" t="s">
        <v>1211</v>
      </c>
      <c r="T152" t="str">
        <f t="shared" si="9"/>
        <v>L4</v>
      </c>
    </row>
    <row r="153" spans="18:20">
      <c r="R153" cm="1">
        <f t="array" ref="R153" xml:space="preserve"> 1 + _xlfn.SINGLE(ROW()) - _xlfn.SINGLE(ROW(ExportSubstitutions_Within.RowNum))</f>
        <v>148</v>
      </c>
      <c r="S153" t="s">
        <v>1212</v>
      </c>
      <c r="T153" t="str">
        <f t="shared" si="9"/>
        <v>L5</v>
      </c>
    </row>
    <row r="154" spans="18:20">
      <c r="R154" cm="1">
        <f t="array" ref="R154" xml:space="preserve"> 1 + _xlfn.SINGLE(ROW()) - _xlfn.SINGLE(ROW(ExportSubstitutions_Within.RowNum))</f>
        <v>149</v>
      </c>
      <c r="S154" t="s">
        <v>1213</v>
      </c>
      <c r="T154" t="str">
        <f t="shared" si="9"/>
        <v>L6</v>
      </c>
    </row>
    <row r="155" spans="18:20">
      <c r="R155" cm="1">
        <f t="array" ref="R155" xml:space="preserve"> 1 + _xlfn.SINGLE(ROW()) - _xlfn.SINGLE(ROW(ExportSubstitutions_Within.RowNum))</f>
        <v>150</v>
      </c>
      <c r="S155" t="s">
        <v>1214</v>
      </c>
      <c r="T155" t="str">
        <f t="shared" si="9"/>
        <v>L7</v>
      </c>
    </row>
    <row r="156" spans="18:20">
      <c r="R156" cm="1">
        <f t="array" ref="R156" xml:space="preserve"> 1 + _xlfn.SINGLE(ROW()) - _xlfn.SINGLE(ROW(ExportSubstitutions_Within.RowNum))</f>
        <v>151</v>
      </c>
      <c r="S156" t="s">
        <v>1215</v>
      </c>
      <c r="T156" t="str">
        <f t="shared" si="9"/>
        <v>L8</v>
      </c>
    </row>
    <row r="157" spans="18:20">
      <c r="R157" cm="1">
        <f t="array" ref="R157" xml:space="preserve"> 1 + _xlfn.SINGLE(ROW()) - _xlfn.SINGLE(ROW(ExportSubstitutions_Within.RowNum))</f>
        <v>152</v>
      </c>
      <c r="S157" t="s">
        <v>1216</v>
      </c>
      <c r="T157" t="str">
        <f t="shared" si="9"/>
        <v>L9</v>
      </c>
    </row>
    <row r="158" spans="18:20">
      <c r="R158" cm="1">
        <f t="array" ref="R158" xml:space="preserve"> 1 + _xlfn.SINGLE(ROW()) - _xlfn.SINGLE(ROW(ExportSubstitutions_Within.RowNum))</f>
        <v>153</v>
      </c>
      <c r="S158" t="s">
        <v>1585</v>
      </c>
      <c r="T158" t="str">
        <f t="shared" si="9"/>
        <v>L.</v>
      </c>
    </row>
    <row r="159" spans="18:20">
      <c r="R159" cm="1">
        <f t="array" ref="R159" xml:space="preserve"> 1 + _xlfn.SINGLE(ROW()) - _xlfn.SINGLE(ROW(ExportSubstitutions_Within.RowNum))</f>
        <v>154</v>
      </c>
      <c r="S159" t="s">
        <v>1594</v>
      </c>
      <c r="T159" t="str">
        <f t="shared" si="9"/>
        <v>L-</v>
      </c>
    </row>
    <row r="160" spans="18:20">
      <c r="R160" cm="1">
        <f t="array" ref="R160" xml:space="preserve"> 1 + _xlfn.SINGLE(ROW()) - _xlfn.SINGLE(ROW(ExportSubstitutions_Within.RowNum))</f>
        <v>155</v>
      </c>
      <c r="S160" t="s">
        <v>1217</v>
      </c>
      <c r="T160" t="str">
        <f t="shared" si="9"/>
        <v>0l</v>
      </c>
    </row>
    <row r="161" spans="18:20">
      <c r="R161" cm="1">
        <f t="array" ref="R161" xml:space="preserve"> 1 + _xlfn.SINGLE(ROW()) - _xlfn.SINGLE(ROW(ExportSubstitutions_Within.RowNum))</f>
        <v>156</v>
      </c>
      <c r="S161" t="s">
        <v>1218</v>
      </c>
      <c r="T161" t="str">
        <f t="shared" si="9"/>
        <v>1l</v>
      </c>
    </row>
    <row r="162" spans="18:20">
      <c r="R162" cm="1">
        <f t="array" ref="R162" xml:space="preserve"> 1 + _xlfn.SINGLE(ROW()) - _xlfn.SINGLE(ROW(ExportSubstitutions_Within.RowNum))</f>
        <v>157</v>
      </c>
      <c r="S162" t="s">
        <v>1219</v>
      </c>
      <c r="T162" t="str">
        <f t="shared" si="9"/>
        <v>2l</v>
      </c>
    </row>
    <row r="163" spans="18:20">
      <c r="R163" cm="1">
        <f t="array" ref="R163" xml:space="preserve"> 1 + _xlfn.SINGLE(ROW()) - _xlfn.SINGLE(ROW(ExportSubstitutions_Within.RowNum))</f>
        <v>158</v>
      </c>
      <c r="S163" t="s">
        <v>1220</v>
      </c>
      <c r="T163" t="str">
        <f t="shared" si="9"/>
        <v>3l</v>
      </c>
    </row>
    <row r="164" spans="18:20">
      <c r="R164" cm="1">
        <f t="array" ref="R164" xml:space="preserve"> 1 + _xlfn.SINGLE(ROW()) - _xlfn.SINGLE(ROW(ExportSubstitutions_Within.RowNum))</f>
        <v>159</v>
      </c>
      <c r="S164" t="s">
        <v>1221</v>
      </c>
      <c r="T164" t="str">
        <f t="shared" si="9"/>
        <v>4l</v>
      </c>
    </row>
    <row r="165" spans="18:20">
      <c r="R165" cm="1">
        <f t="array" ref="R165" xml:space="preserve"> 1 + _xlfn.SINGLE(ROW()) - _xlfn.SINGLE(ROW(ExportSubstitutions_Within.RowNum))</f>
        <v>160</v>
      </c>
      <c r="S165" t="s">
        <v>1222</v>
      </c>
      <c r="T165" t="str">
        <f t="shared" si="9"/>
        <v>5l</v>
      </c>
    </row>
    <row r="166" spans="18:20">
      <c r="R166" cm="1">
        <f t="array" ref="R166" xml:space="preserve"> 1 + _xlfn.SINGLE(ROW()) - _xlfn.SINGLE(ROW(ExportSubstitutions_Within.RowNum))</f>
        <v>161</v>
      </c>
      <c r="S166" t="s">
        <v>1223</v>
      </c>
      <c r="T166" t="str">
        <f t="shared" si="9"/>
        <v>6l</v>
      </c>
    </row>
    <row r="167" spans="18:20">
      <c r="R167" cm="1">
        <f t="array" ref="R167" xml:space="preserve"> 1 + _xlfn.SINGLE(ROW()) - _xlfn.SINGLE(ROW(ExportSubstitutions_Within.RowNum))</f>
        <v>162</v>
      </c>
      <c r="S167" t="s">
        <v>1224</v>
      </c>
      <c r="T167" t="str">
        <f t="shared" si="9"/>
        <v>7l</v>
      </c>
    </row>
    <row r="168" spans="18:20">
      <c r="R168" cm="1">
        <f t="array" ref="R168" xml:space="preserve"> 1 + _xlfn.SINGLE(ROW()) - _xlfn.SINGLE(ROW(ExportSubstitutions_Within.RowNum))</f>
        <v>163</v>
      </c>
      <c r="S168" t="s">
        <v>1225</v>
      </c>
      <c r="T168" t="str">
        <f t="shared" si="9"/>
        <v>8l</v>
      </c>
    </row>
    <row r="169" spans="18:20">
      <c r="R169" cm="1">
        <f t="array" ref="R169" xml:space="preserve"> 1 + _xlfn.SINGLE(ROW()) - _xlfn.SINGLE(ROW(ExportSubstitutions_Within.RowNum))</f>
        <v>164</v>
      </c>
      <c r="S169" t="s">
        <v>1226</v>
      </c>
      <c r="T169" t="str">
        <f t="shared" si="9"/>
        <v>9l</v>
      </c>
    </row>
    <row r="170" spans="18:20">
      <c r="R170" cm="1">
        <f t="array" ref="R170" xml:space="preserve"> 1 + _xlfn.SINGLE(ROW()) - _xlfn.SINGLE(ROW(ExportSubstitutions_Within.RowNum))</f>
        <v>165</v>
      </c>
      <c r="S170" t="s">
        <v>1227</v>
      </c>
      <c r="T170" t="str">
        <f t="shared" si="9"/>
        <v>l0</v>
      </c>
    </row>
    <row r="171" spans="18:20">
      <c r="R171" cm="1">
        <f t="array" ref="R171" xml:space="preserve"> 1 + _xlfn.SINGLE(ROW()) - _xlfn.SINGLE(ROW(ExportSubstitutions_Within.RowNum))</f>
        <v>166</v>
      </c>
      <c r="S171" t="s">
        <v>1228</v>
      </c>
      <c r="T171" t="str">
        <f t="shared" si="9"/>
        <v>l1</v>
      </c>
    </row>
    <row r="172" spans="18:20">
      <c r="R172" cm="1">
        <f t="array" ref="R172" xml:space="preserve"> 1 + _xlfn.SINGLE(ROW()) - _xlfn.SINGLE(ROW(ExportSubstitutions_Within.RowNum))</f>
        <v>167</v>
      </c>
      <c r="S172" t="s">
        <v>1229</v>
      </c>
      <c r="T172" t="str">
        <f t="shared" si="9"/>
        <v>l2</v>
      </c>
    </row>
    <row r="173" spans="18:20">
      <c r="R173" cm="1">
        <f t="array" ref="R173" xml:space="preserve"> 1 + _xlfn.SINGLE(ROW()) - _xlfn.SINGLE(ROW(ExportSubstitutions_Within.RowNum))</f>
        <v>168</v>
      </c>
      <c r="S173" t="s">
        <v>1230</v>
      </c>
      <c r="T173" t="str">
        <f t="shared" si="9"/>
        <v>l3</v>
      </c>
    </row>
    <row r="174" spans="18:20">
      <c r="R174" cm="1">
        <f t="array" ref="R174" xml:space="preserve"> 1 + _xlfn.SINGLE(ROW()) - _xlfn.SINGLE(ROW(ExportSubstitutions_Within.RowNum))</f>
        <v>169</v>
      </c>
      <c r="S174" t="s">
        <v>1231</v>
      </c>
      <c r="T174" t="str">
        <f t="shared" si="9"/>
        <v>l4</v>
      </c>
    </row>
    <row r="175" spans="18:20">
      <c r="R175" cm="1">
        <f t="array" ref="R175" xml:space="preserve"> 1 + _xlfn.SINGLE(ROW()) - _xlfn.SINGLE(ROW(ExportSubstitutions_Within.RowNum))</f>
        <v>170</v>
      </c>
      <c r="S175" t="s">
        <v>1232</v>
      </c>
      <c r="T175" t="str">
        <f t="shared" si="9"/>
        <v>l5</v>
      </c>
    </row>
    <row r="176" spans="18:20">
      <c r="R176" cm="1">
        <f t="array" ref="R176" xml:space="preserve"> 1 + _xlfn.SINGLE(ROW()) - _xlfn.SINGLE(ROW(ExportSubstitutions_Within.RowNum))</f>
        <v>171</v>
      </c>
      <c r="S176" t="s">
        <v>1233</v>
      </c>
      <c r="T176" t="str">
        <f t="shared" si="9"/>
        <v>l6</v>
      </c>
    </row>
    <row r="177" spans="18:20">
      <c r="R177" cm="1">
        <f t="array" ref="R177" xml:space="preserve"> 1 + _xlfn.SINGLE(ROW()) - _xlfn.SINGLE(ROW(ExportSubstitutions_Within.RowNum))</f>
        <v>172</v>
      </c>
      <c r="S177" t="s">
        <v>1234</v>
      </c>
      <c r="T177" t="str">
        <f t="shared" si="9"/>
        <v>l7</v>
      </c>
    </row>
    <row r="178" spans="18:20">
      <c r="R178" cm="1">
        <f t="array" ref="R178" xml:space="preserve"> 1 + _xlfn.SINGLE(ROW()) - _xlfn.SINGLE(ROW(ExportSubstitutions_Within.RowNum))</f>
        <v>173</v>
      </c>
      <c r="S178" t="s">
        <v>1235</v>
      </c>
      <c r="T178" t="str">
        <f t="shared" si="9"/>
        <v>l8</v>
      </c>
    </row>
    <row r="179" spans="18:20">
      <c r="R179" cm="1">
        <f t="array" ref="R179" xml:space="preserve"> 1 + _xlfn.SINGLE(ROW()) - _xlfn.SINGLE(ROW(ExportSubstitutions_Within.RowNum))</f>
        <v>174</v>
      </c>
      <c r="S179" t="s">
        <v>1236</v>
      </c>
      <c r="T179" t="str">
        <f t="shared" si="9"/>
        <v>l9</v>
      </c>
    </row>
    <row r="180" spans="18:20">
      <c r="R180" cm="1">
        <f t="array" ref="R180" xml:space="preserve"> 1 + _xlfn.SINGLE(ROW()) - _xlfn.SINGLE(ROW(ExportSubstitutions_Within.RowNum))</f>
        <v>175</v>
      </c>
      <c r="S180" t="s">
        <v>1586</v>
      </c>
      <c r="T180" t="str">
        <f t="shared" si="9"/>
        <v>l.</v>
      </c>
    </row>
    <row r="181" spans="18:20">
      <c r="R181" cm="1">
        <f t="array" ref="R181" xml:space="preserve"> 1 + _xlfn.SINGLE(ROW()) - _xlfn.SINGLE(ROW(ExportSubstitutions_Within.RowNum))</f>
        <v>176</v>
      </c>
      <c r="S181" t="s">
        <v>1595</v>
      </c>
      <c r="T181" t="str">
        <f t="shared" si="9"/>
        <v>l-</v>
      </c>
    </row>
    <row r="182" spans="18:20">
      <c r="R182" cm="1">
        <f t="array" ref="R182" xml:space="preserve"> 1 + _xlfn.SINGLE(ROW()) - _xlfn.SINGLE(ROW(ExportSubstitutions_Within.RowNum))</f>
        <v>177</v>
      </c>
      <c r="S182" t="s">
        <v>1237</v>
      </c>
      <c r="T182" t="str">
        <f t="shared" si="9"/>
        <v>0M</v>
      </c>
    </row>
    <row r="183" spans="18:20">
      <c r="R183" cm="1">
        <f t="array" ref="R183" xml:space="preserve"> 1 + _xlfn.SINGLE(ROW()) - _xlfn.SINGLE(ROW(ExportSubstitutions_Within.RowNum))</f>
        <v>178</v>
      </c>
      <c r="S183" t="s">
        <v>1238</v>
      </c>
      <c r="T183" t="str">
        <f t="shared" si="9"/>
        <v>1M</v>
      </c>
    </row>
    <row r="184" spans="18:20">
      <c r="R184" cm="1">
        <f t="array" ref="R184" xml:space="preserve"> 1 + _xlfn.SINGLE(ROW()) - _xlfn.SINGLE(ROW(ExportSubstitutions_Within.RowNum))</f>
        <v>179</v>
      </c>
      <c r="S184" t="s">
        <v>1239</v>
      </c>
      <c r="T184" t="str">
        <f t="shared" si="9"/>
        <v>2M</v>
      </c>
    </row>
    <row r="185" spans="18:20">
      <c r="R185" cm="1">
        <f t="array" ref="R185" xml:space="preserve"> 1 + _xlfn.SINGLE(ROW()) - _xlfn.SINGLE(ROW(ExportSubstitutions_Within.RowNum))</f>
        <v>180</v>
      </c>
      <c r="S185" t="s">
        <v>1240</v>
      </c>
      <c r="T185" t="str">
        <f t="shared" si="9"/>
        <v>3M</v>
      </c>
    </row>
    <row r="186" spans="18:20">
      <c r="R186" cm="1">
        <f t="array" ref="R186" xml:space="preserve"> 1 + _xlfn.SINGLE(ROW()) - _xlfn.SINGLE(ROW(ExportSubstitutions_Within.RowNum))</f>
        <v>181</v>
      </c>
      <c r="S186" t="s">
        <v>1241</v>
      </c>
      <c r="T186" t="str">
        <f t="shared" si="9"/>
        <v>4M</v>
      </c>
    </row>
    <row r="187" spans="18:20">
      <c r="R187" cm="1">
        <f t="array" ref="R187" xml:space="preserve"> 1 + _xlfn.SINGLE(ROW()) - _xlfn.SINGLE(ROW(ExportSubstitutions_Within.RowNum))</f>
        <v>182</v>
      </c>
      <c r="S187" t="s">
        <v>1242</v>
      </c>
      <c r="T187" t="str">
        <f t="shared" si="9"/>
        <v>5M</v>
      </c>
    </row>
    <row r="188" spans="18:20">
      <c r="R188" cm="1">
        <f t="array" ref="R188" xml:space="preserve"> 1 + _xlfn.SINGLE(ROW()) - _xlfn.SINGLE(ROW(ExportSubstitutions_Within.RowNum))</f>
        <v>183</v>
      </c>
      <c r="S188" t="s">
        <v>1243</v>
      </c>
      <c r="T188" t="str">
        <f t="shared" si="9"/>
        <v>6M</v>
      </c>
    </row>
    <row r="189" spans="18:20">
      <c r="R189" cm="1">
        <f t="array" ref="R189" xml:space="preserve"> 1 + _xlfn.SINGLE(ROW()) - _xlfn.SINGLE(ROW(ExportSubstitutions_Within.RowNum))</f>
        <v>184</v>
      </c>
      <c r="S189" t="s">
        <v>1244</v>
      </c>
      <c r="T189" t="str">
        <f t="shared" si="9"/>
        <v>7M</v>
      </c>
    </row>
    <row r="190" spans="18:20">
      <c r="R190" cm="1">
        <f t="array" ref="R190" xml:space="preserve"> 1 + _xlfn.SINGLE(ROW()) - _xlfn.SINGLE(ROW(ExportSubstitutions_Within.RowNum))</f>
        <v>185</v>
      </c>
      <c r="S190" t="s">
        <v>1245</v>
      </c>
      <c r="T190" t="str">
        <f t="shared" si="9"/>
        <v>8M</v>
      </c>
    </row>
    <row r="191" spans="18:20">
      <c r="R191" cm="1">
        <f t="array" ref="R191" xml:space="preserve"> 1 + _xlfn.SINGLE(ROW()) - _xlfn.SINGLE(ROW(ExportSubstitutions_Within.RowNum))</f>
        <v>186</v>
      </c>
      <c r="S191" t="s">
        <v>1246</v>
      </c>
      <c r="T191" t="str">
        <f t="shared" si="9"/>
        <v>9M</v>
      </c>
    </row>
    <row r="192" spans="18:20">
      <c r="R192" cm="1">
        <f t="array" ref="R192" xml:space="preserve"> 1 + _xlfn.SINGLE(ROW()) - _xlfn.SINGLE(ROW(ExportSubstitutions_Within.RowNum))</f>
        <v>187</v>
      </c>
      <c r="S192" t="s">
        <v>1247</v>
      </c>
      <c r="T192" t="str">
        <f t="shared" si="9"/>
        <v>M0</v>
      </c>
    </row>
    <row r="193" spans="18:20">
      <c r="R193" cm="1">
        <f t="array" ref="R193" xml:space="preserve"> 1 + _xlfn.SINGLE(ROW()) - _xlfn.SINGLE(ROW(ExportSubstitutions_Within.RowNum))</f>
        <v>188</v>
      </c>
      <c r="S193" t="s">
        <v>1248</v>
      </c>
      <c r="T193" t="str">
        <f t="shared" si="9"/>
        <v>M1</v>
      </c>
    </row>
    <row r="194" spans="18:20">
      <c r="R194" cm="1">
        <f t="array" ref="R194" xml:space="preserve"> 1 + _xlfn.SINGLE(ROW()) - _xlfn.SINGLE(ROW(ExportSubstitutions_Within.RowNum))</f>
        <v>189</v>
      </c>
      <c r="S194" t="s">
        <v>1249</v>
      </c>
      <c r="T194" t="str">
        <f t="shared" si="9"/>
        <v>M2</v>
      </c>
    </row>
    <row r="195" spans="18:20">
      <c r="R195" cm="1">
        <f t="array" ref="R195" xml:space="preserve"> 1 + _xlfn.SINGLE(ROW()) - _xlfn.SINGLE(ROW(ExportSubstitutions_Within.RowNum))</f>
        <v>190</v>
      </c>
      <c r="S195" t="s">
        <v>1250</v>
      </c>
      <c r="T195" t="str">
        <f t="shared" si="9"/>
        <v>M3</v>
      </c>
    </row>
    <row r="196" spans="18:20">
      <c r="R196" cm="1">
        <f t="array" ref="R196" xml:space="preserve"> 1 + _xlfn.SINGLE(ROW()) - _xlfn.SINGLE(ROW(ExportSubstitutions_Within.RowNum))</f>
        <v>191</v>
      </c>
      <c r="S196" t="s">
        <v>1251</v>
      </c>
      <c r="T196" t="str">
        <f t="shared" si="9"/>
        <v>M4</v>
      </c>
    </row>
    <row r="197" spans="18:20">
      <c r="R197" cm="1">
        <f t="array" ref="R197" xml:space="preserve"> 1 + _xlfn.SINGLE(ROW()) - _xlfn.SINGLE(ROW(ExportSubstitutions_Within.RowNum))</f>
        <v>192</v>
      </c>
      <c r="S197" t="s">
        <v>1252</v>
      </c>
      <c r="T197" t="str">
        <f t="shared" si="9"/>
        <v>M5</v>
      </c>
    </row>
    <row r="198" spans="18:20">
      <c r="R198" cm="1">
        <f t="array" ref="R198" xml:space="preserve"> 1 + _xlfn.SINGLE(ROW()) - _xlfn.SINGLE(ROW(ExportSubstitutions_Within.RowNum))</f>
        <v>193</v>
      </c>
      <c r="S198" t="s">
        <v>1253</v>
      </c>
      <c r="T198" t="str">
        <f t="shared" ref="T198:T261" si="10" xml:space="preserve"> SUBSTITUTE(ExportSubstitutions_Within.From, " ", "")</f>
        <v>M6</v>
      </c>
    </row>
    <row r="199" spans="18:20">
      <c r="R199" cm="1">
        <f t="array" ref="R199" xml:space="preserve"> 1 + _xlfn.SINGLE(ROW()) - _xlfn.SINGLE(ROW(ExportSubstitutions_Within.RowNum))</f>
        <v>194</v>
      </c>
      <c r="S199" t="s">
        <v>1254</v>
      </c>
      <c r="T199" t="str">
        <f t="shared" si="10"/>
        <v>M7</v>
      </c>
    </row>
    <row r="200" spans="18:20">
      <c r="R200" cm="1">
        <f t="array" ref="R200" xml:space="preserve"> 1 + _xlfn.SINGLE(ROW()) - _xlfn.SINGLE(ROW(ExportSubstitutions_Within.RowNum))</f>
        <v>195</v>
      </c>
      <c r="S200" t="s">
        <v>1255</v>
      </c>
      <c r="T200" t="str">
        <f t="shared" si="10"/>
        <v>M8</v>
      </c>
    </row>
    <row r="201" spans="18:20">
      <c r="R201" cm="1">
        <f t="array" ref="R201" xml:space="preserve"> 1 + _xlfn.SINGLE(ROW()) - _xlfn.SINGLE(ROW(ExportSubstitutions_Within.RowNum))</f>
        <v>196</v>
      </c>
      <c r="S201" t="s">
        <v>1256</v>
      </c>
      <c r="T201" t="str">
        <f t="shared" si="10"/>
        <v>M9</v>
      </c>
    </row>
    <row r="202" spans="18:20">
      <c r="R202" cm="1">
        <f t="array" ref="R202" xml:space="preserve"> 1 + _xlfn.SINGLE(ROW()) - _xlfn.SINGLE(ROW(ExportSubstitutions_Within.RowNum))</f>
        <v>197</v>
      </c>
      <c r="S202" t="s">
        <v>1587</v>
      </c>
      <c r="T202" t="str">
        <f t="shared" si="10"/>
        <v>M.</v>
      </c>
    </row>
    <row r="203" spans="18:20">
      <c r="R203" cm="1">
        <f t="array" ref="R203" xml:space="preserve"> 1 + _xlfn.SINGLE(ROW()) - _xlfn.SINGLE(ROW(ExportSubstitutions_Within.RowNum))</f>
        <v>198</v>
      </c>
      <c r="S203" t="s">
        <v>1596</v>
      </c>
      <c r="T203" t="str">
        <f t="shared" si="10"/>
        <v>M-</v>
      </c>
    </row>
    <row r="204" spans="18:20">
      <c r="R204" cm="1">
        <f t="array" ref="R204" xml:space="preserve"> 1 + _xlfn.SINGLE(ROW()) - _xlfn.SINGLE(ROW(ExportSubstitutions_Within.RowNum))</f>
        <v>199</v>
      </c>
      <c r="S204" t="s">
        <v>1257</v>
      </c>
      <c r="T204" t="str">
        <f t="shared" si="10"/>
        <v>0m</v>
      </c>
    </row>
    <row r="205" spans="18:20">
      <c r="R205" cm="1">
        <f t="array" ref="R205" xml:space="preserve"> 1 + _xlfn.SINGLE(ROW()) - _xlfn.SINGLE(ROW(ExportSubstitutions_Within.RowNum))</f>
        <v>200</v>
      </c>
      <c r="S205" t="s">
        <v>1258</v>
      </c>
      <c r="T205" t="str">
        <f t="shared" si="10"/>
        <v>1m</v>
      </c>
    </row>
    <row r="206" spans="18:20">
      <c r="R206" cm="1">
        <f t="array" ref="R206" xml:space="preserve"> 1 + _xlfn.SINGLE(ROW()) - _xlfn.SINGLE(ROW(ExportSubstitutions_Within.RowNum))</f>
        <v>201</v>
      </c>
      <c r="S206" t="s">
        <v>1259</v>
      </c>
      <c r="T206" t="str">
        <f t="shared" si="10"/>
        <v>2m</v>
      </c>
    </row>
    <row r="207" spans="18:20">
      <c r="R207" cm="1">
        <f t="array" ref="R207" xml:space="preserve"> 1 + _xlfn.SINGLE(ROW()) - _xlfn.SINGLE(ROW(ExportSubstitutions_Within.RowNum))</f>
        <v>202</v>
      </c>
      <c r="S207" t="s">
        <v>1260</v>
      </c>
      <c r="T207" t="str">
        <f t="shared" si="10"/>
        <v>3m</v>
      </c>
    </row>
    <row r="208" spans="18:20">
      <c r="R208" cm="1">
        <f t="array" ref="R208" xml:space="preserve"> 1 + _xlfn.SINGLE(ROW()) - _xlfn.SINGLE(ROW(ExportSubstitutions_Within.RowNum))</f>
        <v>203</v>
      </c>
      <c r="S208" t="s">
        <v>1261</v>
      </c>
      <c r="T208" t="str">
        <f t="shared" si="10"/>
        <v>4m</v>
      </c>
    </row>
    <row r="209" spans="18:20">
      <c r="R209" cm="1">
        <f t="array" ref="R209" xml:space="preserve"> 1 + _xlfn.SINGLE(ROW()) - _xlfn.SINGLE(ROW(ExportSubstitutions_Within.RowNum))</f>
        <v>204</v>
      </c>
      <c r="S209" t="s">
        <v>1262</v>
      </c>
      <c r="T209" t="str">
        <f t="shared" si="10"/>
        <v>5m</v>
      </c>
    </row>
    <row r="210" spans="18:20">
      <c r="R210" cm="1">
        <f t="array" ref="R210" xml:space="preserve"> 1 + _xlfn.SINGLE(ROW()) - _xlfn.SINGLE(ROW(ExportSubstitutions_Within.RowNum))</f>
        <v>205</v>
      </c>
      <c r="S210" t="s">
        <v>1263</v>
      </c>
      <c r="T210" t="str">
        <f t="shared" si="10"/>
        <v>6m</v>
      </c>
    </row>
    <row r="211" spans="18:20">
      <c r="R211" cm="1">
        <f t="array" ref="R211" xml:space="preserve"> 1 + _xlfn.SINGLE(ROW()) - _xlfn.SINGLE(ROW(ExportSubstitutions_Within.RowNum))</f>
        <v>206</v>
      </c>
      <c r="S211" t="s">
        <v>1264</v>
      </c>
      <c r="T211" t="str">
        <f t="shared" si="10"/>
        <v>7m</v>
      </c>
    </row>
    <row r="212" spans="18:20">
      <c r="R212" cm="1">
        <f t="array" ref="R212" xml:space="preserve"> 1 + _xlfn.SINGLE(ROW()) - _xlfn.SINGLE(ROW(ExportSubstitutions_Within.RowNum))</f>
        <v>207</v>
      </c>
      <c r="S212" t="s">
        <v>1265</v>
      </c>
      <c r="T212" t="str">
        <f t="shared" si="10"/>
        <v>8m</v>
      </c>
    </row>
    <row r="213" spans="18:20">
      <c r="R213" cm="1">
        <f t="array" ref="R213" xml:space="preserve"> 1 + _xlfn.SINGLE(ROW()) - _xlfn.SINGLE(ROW(ExportSubstitutions_Within.RowNum))</f>
        <v>208</v>
      </c>
      <c r="S213" t="s">
        <v>1266</v>
      </c>
      <c r="T213" t="str">
        <f t="shared" si="10"/>
        <v>9m</v>
      </c>
    </row>
    <row r="214" spans="18:20">
      <c r="R214" cm="1">
        <f t="array" ref="R214" xml:space="preserve"> 1 + _xlfn.SINGLE(ROW()) - _xlfn.SINGLE(ROW(ExportSubstitutions_Within.RowNum))</f>
        <v>209</v>
      </c>
      <c r="S214" t="s">
        <v>1267</v>
      </c>
      <c r="T214" t="str">
        <f t="shared" si="10"/>
        <v>m0</v>
      </c>
    </row>
    <row r="215" spans="18:20">
      <c r="R215" cm="1">
        <f t="array" ref="R215" xml:space="preserve"> 1 + _xlfn.SINGLE(ROW()) - _xlfn.SINGLE(ROW(ExportSubstitutions_Within.RowNum))</f>
        <v>210</v>
      </c>
      <c r="S215" t="s">
        <v>1268</v>
      </c>
      <c r="T215" t="str">
        <f t="shared" si="10"/>
        <v>m1</v>
      </c>
    </row>
    <row r="216" spans="18:20">
      <c r="R216" cm="1">
        <f t="array" ref="R216" xml:space="preserve"> 1 + _xlfn.SINGLE(ROW()) - _xlfn.SINGLE(ROW(ExportSubstitutions_Within.RowNum))</f>
        <v>211</v>
      </c>
      <c r="S216" t="s">
        <v>1269</v>
      </c>
      <c r="T216" t="str">
        <f t="shared" si="10"/>
        <v>m2</v>
      </c>
    </row>
    <row r="217" spans="18:20">
      <c r="R217" cm="1">
        <f t="array" ref="R217" xml:space="preserve"> 1 + _xlfn.SINGLE(ROW()) - _xlfn.SINGLE(ROW(ExportSubstitutions_Within.RowNum))</f>
        <v>212</v>
      </c>
      <c r="S217" t="s">
        <v>1270</v>
      </c>
      <c r="T217" t="str">
        <f t="shared" si="10"/>
        <v>m3</v>
      </c>
    </row>
    <row r="218" spans="18:20">
      <c r="R218" cm="1">
        <f t="array" ref="R218" xml:space="preserve"> 1 + _xlfn.SINGLE(ROW()) - _xlfn.SINGLE(ROW(ExportSubstitutions_Within.RowNum))</f>
        <v>213</v>
      </c>
      <c r="S218" t="s">
        <v>1271</v>
      </c>
      <c r="T218" t="str">
        <f t="shared" si="10"/>
        <v>m4</v>
      </c>
    </row>
    <row r="219" spans="18:20">
      <c r="R219" cm="1">
        <f t="array" ref="R219" xml:space="preserve"> 1 + _xlfn.SINGLE(ROW()) - _xlfn.SINGLE(ROW(ExportSubstitutions_Within.RowNum))</f>
        <v>214</v>
      </c>
      <c r="S219" t="s">
        <v>1272</v>
      </c>
      <c r="T219" t="str">
        <f t="shared" si="10"/>
        <v>m5</v>
      </c>
    </row>
    <row r="220" spans="18:20">
      <c r="R220" cm="1">
        <f t="array" ref="R220" xml:space="preserve"> 1 + _xlfn.SINGLE(ROW()) - _xlfn.SINGLE(ROW(ExportSubstitutions_Within.RowNum))</f>
        <v>215</v>
      </c>
      <c r="S220" t="s">
        <v>1273</v>
      </c>
      <c r="T220" t="str">
        <f t="shared" si="10"/>
        <v>m6</v>
      </c>
    </row>
    <row r="221" spans="18:20">
      <c r="R221" cm="1">
        <f t="array" ref="R221" xml:space="preserve"> 1 + _xlfn.SINGLE(ROW()) - _xlfn.SINGLE(ROW(ExportSubstitutions_Within.RowNum))</f>
        <v>216</v>
      </c>
      <c r="S221" t="s">
        <v>1274</v>
      </c>
      <c r="T221" t="str">
        <f t="shared" si="10"/>
        <v>m7</v>
      </c>
    </row>
    <row r="222" spans="18:20">
      <c r="R222" cm="1">
        <f t="array" ref="R222" xml:space="preserve"> 1 + _xlfn.SINGLE(ROW()) - _xlfn.SINGLE(ROW(ExportSubstitutions_Within.RowNum))</f>
        <v>217</v>
      </c>
      <c r="S222" t="s">
        <v>1275</v>
      </c>
      <c r="T222" t="str">
        <f t="shared" si="10"/>
        <v>m8</v>
      </c>
    </row>
    <row r="223" spans="18:20">
      <c r="R223" cm="1">
        <f t="array" ref="R223" xml:space="preserve"> 1 + _xlfn.SINGLE(ROW()) - _xlfn.SINGLE(ROW(ExportSubstitutions_Within.RowNum))</f>
        <v>218</v>
      </c>
      <c r="S223" t="s">
        <v>1276</v>
      </c>
      <c r="T223" t="str">
        <f t="shared" si="10"/>
        <v>m9</v>
      </c>
    </row>
    <row r="224" spans="18:20">
      <c r="R224" cm="1">
        <f t="array" ref="R224" xml:space="preserve"> 1 + _xlfn.SINGLE(ROW()) - _xlfn.SINGLE(ROW(ExportSubstitutions_Within.RowNum))</f>
        <v>219</v>
      </c>
      <c r="S224" t="s">
        <v>1597</v>
      </c>
      <c r="T224" t="str">
        <f t="shared" si="10"/>
        <v>m.</v>
      </c>
    </row>
    <row r="225" spans="18:20">
      <c r="R225" cm="1">
        <f t="array" ref="R225" xml:space="preserve"> 1 + _xlfn.SINGLE(ROW()) - _xlfn.SINGLE(ROW(ExportSubstitutions_Within.RowNum))</f>
        <v>220</v>
      </c>
      <c r="S225" t="s">
        <v>1598</v>
      </c>
      <c r="T225" t="str">
        <f t="shared" si="10"/>
        <v>m-</v>
      </c>
    </row>
    <row r="226" spans="18:20">
      <c r="R226" cm="1">
        <f t="array" ref="R226" xml:space="preserve"> 1 + _xlfn.SINGLE(ROW()) - _xlfn.SINGLE(ROW(ExportSubstitutions_Within.RowNum))</f>
        <v>221</v>
      </c>
      <c r="S226" t="s">
        <v>1277</v>
      </c>
      <c r="T226" t="str">
        <f t="shared" si="10"/>
        <v>0Q</v>
      </c>
    </row>
    <row r="227" spans="18:20">
      <c r="R227" cm="1">
        <f t="array" ref="R227" xml:space="preserve"> 1 + _xlfn.SINGLE(ROW()) - _xlfn.SINGLE(ROW(ExportSubstitutions_Within.RowNum))</f>
        <v>222</v>
      </c>
      <c r="S227" t="s">
        <v>1278</v>
      </c>
      <c r="T227" t="str">
        <f t="shared" si="10"/>
        <v>1Q</v>
      </c>
    </row>
    <row r="228" spans="18:20">
      <c r="R228" cm="1">
        <f t="array" ref="R228" xml:space="preserve"> 1 + _xlfn.SINGLE(ROW()) - _xlfn.SINGLE(ROW(ExportSubstitutions_Within.RowNum))</f>
        <v>223</v>
      </c>
      <c r="S228" t="s">
        <v>1279</v>
      </c>
      <c r="T228" t="str">
        <f t="shared" si="10"/>
        <v>2Q</v>
      </c>
    </row>
    <row r="229" spans="18:20">
      <c r="R229" cm="1">
        <f t="array" ref="R229" xml:space="preserve"> 1 + _xlfn.SINGLE(ROW()) - _xlfn.SINGLE(ROW(ExportSubstitutions_Within.RowNum))</f>
        <v>224</v>
      </c>
      <c r="S229" t="s">
        <v>1280</v>
      </c>
      <c r="T229" t="str">
        <f t="shared" si="10"/>
        <v>3Q</v>
      </c>
    </row>
    <row r="230" spans="18:20">
      <c r="R230" cm="1">
        <f t="array" ref="R230" xml:space="preserve"> 1 + _xlfn.SINGLE(ROW()) - _xlfn.SINGLE(ROW(ExportSubstitutions_Within.RowNum))</f>
        <v>225</v>
      </c>
      <c r="S230" t="s">
        <v>1281</v>
      </c>
      <c r="T230" t="str">
        <f t="shared" si="10"/>
        <v>4Q</v>
      </c>
    </row>
    <row r="231" spans="18:20">
      <c r="R231" cm="1">
        <f t="array" ref="R231" xml:space="preserve"> 1 + _xlfn.SINGLE(ROW()) - _xlfn.SINGLE(ROW(ExportSubstitutions_Within.RowNum))</f>
        <v>226</v>
      </c>
      <c r="S231" t="s">
        <v>1282</v>
      </c>
      <c r="T231" t="str">
        <f t="shared" si="10"/>
        <v>5Q</v>
      </c>
    </row>
    <row r="232" spans="18:20">
      <c r="R232" cm="1">
        <f t="array" ref="R232" xml:space="preserve"> 1 + _xlfn.SINGLE(ROW()) - _xlfn.SINGLE(ROW(ExportSubstitutions_Within.RowNum))</f>
        <v>227</v>
      </c>
      <c r="S232" t="s">
        <v>1283</v>
      </c>
      <c r="T232" t="str">
        <f t="shared" si="10"/>
        <v>6Q</v>
      </c>
    </row>
    <row r="233" spans="18:20">
      <c r="R233" cm="1">
        <f t="array" ref="R233" xml:space="preserve"> 1 + _xlfn.SINGLE(ROW()) - _xlfn.SINGLE(ROW(ExportSubstitutions_Within.RowNum))</f>
        <v>228</v>
      </c>
      <c r="S233" t="s">
        <v>1284</v>
      </c>
      <c r="T233" t="str">
        <f t="shared" si="10"/>
        <v>7Q</v>
      </c>
    </row>
    <row r="234" spans="18:20">
      <c r="R234" cm="1">
        <f t="array" ref="R234" xml:space="preserve"> 1 + _xlfn.SINGLE(ROW()) - _xlfn.SINGLE(ROW(ExportSubstitutions_Within.RowNum))</f>
        <v>229</v>
      </c>
      <c r="S234" t="s">
        <v>1285</v>
      </c>
      <c r="T234" t="str">
        <f t="shared" si="10"/>
        <v>8Q</v>
      </c>
    </row>
    <row r="235" spans="18:20">
      <c r="R235" cm="1">
        <f t="array" ref="R235" xml:space="preserve"> 1 + _xlfn.SINGLE(ROW()) - _xlfn.SINGLE(ROW(ExportSubstitutions_Within.RowNum))</f>
        <v>230</v>
      </c>
      <c r="S235" t="s">
        <v>1286</v>
      </c>
      <c r="T235" t="str">
        <f t="shared" si="10"/>
        <v>9Q</v>
      </c>
    </row>
    <row r="236" spans="18:20">
      <c r="R236" cm="1">
        <f t="array" ref="R236" xml:space="preserve"> 1 + _xlfn.SINGLE(ROW()) - _xlfn.SINGLE(ROW(ExportSubstitutions_Within.RowNum))</f>
        <v>231</v>
      </c>
      <c r="S236" t="s">
        <v>1287</v>
      </c>
      <c r="T236" t="str">
        <f t="shared" si="10"/>
        <v>Q0</v>
      </c>
    </row>
    <row r="237" spans="18:20">
      <c r="R237" cm="1">
        <f t="array" ref="R237" xml:space="preserve"> 1 + _xlfn.SINGLE(ROW()) - _xlfn.SINGLE(ROW(ExportSubstitutions_Within.RowNum))</f>
        <v>232</v>
      </c>
      <c r="S237" t="s">
        <v>1288</v>
      </c>
      <c r="T237" t="str">
        <f t="shared" si="10"/>
        <v>Q1</v>
      </c>
    </row>
    <row r="238" spans="18:20">
      <c r="R238" cm="1">
        <f t="array" ref="R238" xml:space="preserve"> 1 + _xlfn.SINGLE(ROW()) - _xlfn.SINGLE(ROW(ExportSubstitutions_Within.RowNum))</f>
        <v>233</v>
      </c>
      <c r="S238" t="s">
        <v>1289</v>
      </c>
      <c r="T238" t="str">
        <f t="shared" si="10"/>
        <v>Q2</v>
      </c>
    </row>
    <row r="239" spans="18:20">
      <c r="R239" cm="1">
        <f t="array" ref="R239" xml:space="preserve"> 1 + _xlfn.SINGLE(ROW()) - _xlfn.SINGLE(ROW(ExportSubstitutions_Within.RowNum))</f>
        <v>234</v>
      </c>
      <c r="S239" t="s">
        <v>1290</v>
      </c>
      <c r="T239" t="str">
        <f t="shared" si="10"/>
        <v>Q3</v>
      </c>
    </row>
    <row r="240" spans="18:20">
      <c r="R240" cm="1">
        <f t="array" ref="R240" xml:space="preserve"> 1 + _xlfn.SINGLE(ROW()) - _xlfn.SINGLE(ROW(ExportSubstitutions_Within.RowNum))</f>
        <v>235</v>
      </c>
      <c r="S240" t="s">
        <v>1291</v>
      </c>
      <c r="T240" t="str">
        <f t="shared" si="10"/>
        <v>Q4</v>
      </c>
    </row>
    <row r="241" spans="18:20">
      <c r="R241" cm="1">
        <f t="array" ref="R241" xml:space="preserve"> 1 + _xlfn.SINGLE(ROW()) - _xlfn.SINGLE(ROW(ExportSubstitutions_Within.RowNum))</f>
        <v>236</v>
      </c>
      <c r="S241" t="s">
        <v>1292</v>
      </c>
      <c r="T241" t="str">
        <f t="shared" si="10"/>
        <v>Q5</v>
      </c>
    </row>
    <row r="242" spans="18:20">
      <c r="R242" cm="1">
        <f t="array" ref="R242" xml:space="preserve"> 1 + _xlfn.SINGLE(ROW()) - _xlfn.SINGLE(ROW(ExportSubstitutions_Within.RowNum))</f>
        <v>237</v>
      </c>
      <c r="S242" t="s">
        <v>1293</v>
      </c>
      <c r="T242" t="str">
        <f t="shared" si="10"/>
        <v>Q6</v>
      </c>
    </row>
    <row r="243" spans="18:20">
      <c r="R243" cm="1">
        <f t="array" ref="R243" xml:space="preserve"> 1 + _xlfn.SINGLE(ROW()) - _xlfn.SINGLE(ROW(ExportSubstitutions_Within.RowNum))</f>
        <v>238</v>
      </c>
      <c r="S243" t="s">
        <v>1294</v>
      </c>
      <c r="T243" t="str">
        <f t="shared" si="10"/>
        <v>Q7</v>
      </c>
    </row>
    <row r="244" spans="18:20">
      <c r="R244" cm="1">
        <f t="array" ref="R244" xml:space="preserve"> 1 + _xlfn.SINGLE(ROW()) - _xlfn.SINGLE(ROW(ExportSubstitutions_Within.RowNum))</f>
        <v>239</v>
      </c>
      <c r="S244" t="s">
        <v>1295</v>
      </c>
      <c r="T244" t="str">
        <f t="shared" si="10"/>
        <v>Q8</v>
      </c>
    </row>
    <row r="245" spans="18:20">
      <c r="R245" cm="1">
        <f t="array" ref="R245" xml:space="preserve"> 1 + _xlfn.SINGLE(ROW()) - _xlfn.SINGLE(ROW(ExportSubstitutions_Within.RowNum))</f>
        <v>240</v>
      </c>
      <c r="S245" t="s">
        <v>1296</v>
      </c>
      <c r="T245" t="str">
        <f t="shared" si="10"/>
        <v>Q9</v>
      </c>
    </row>
    <row r="246" spans="18:20">
      <c r="R246" cm="1">
        <f t="array" ref="R246" xml:space="preserve"> 1 + _xlfn.SINGLE(ROW()) - _xlfn.SINGLE(ROW(ExportSubstitutions_Within.RowNum))</f>
        <v>241</v>
      </c>
      <c r="S246" t="s">
        <v>1599</v>
      </c>
      <c r="T246" t="str">
        <f t="shared" si="10"/>
        <v>Q.</v>
      </c>
    </row>
    <row r="247" spans="18:20">
      <c r="R247" cm="1">
        <f t="array" ref="R247" xml:space="preserve"> 1 + _xlfn.SINGLE(ROW()) - _xlfn.SINGLE(ROW(ExportSubstitutions_Within.RowNum))</f>
        <v>242</v>
      </c>
      <c r="S247" t="s">
        <v>1600</v>
      </c>
      <c r="T247" t="str">
        <f t="shared" si="10"/>
        <v>Q-</v>
      </c>
    </row>
    <row r="248" spans="18:20">
      <c r="R248" cm="1">
        <f t="array" ref="R248" xml:space="preserve"> 1 + _xlfn.SINGLE(ROW()) - _xlfn.SINGLE(ROW(ExportSubstitutions_Within.RowNum))</f>
        <v>243</v>
      </c>
      <c r="S248" t="s">
        <v>1297</v>
      </c>
      <c r="T248" t="str">
        <f t="shared" si="10"/>
        <v>0q</v>
      </c>
    </row>
    <row r="249" spans="18:20">
      <c r="R249" cm="1">
        <f t="array" ref="R249" xml:space="preserve"> 1 + _xlfn.SINGLE(ROW()) - _xlfn.SINGLE(ROW(ExportSubstitutions_Within.RowNum))</f>
        <v>244</v>
      </c>
      <c r="S249" t="s">
        <v>1298</v>
      </c>
      <c r="T249" t="str">
        <f t="shared" si="10"/>
        <v>1q</v>
      </c>
    </row>
    <row r="250" spans="18:20">
      <c r="R250" cm="1">
        <f t="array" ref="R250" xml:space="preserve"> 1 + _xlfn.SINGLE(ROW()) - _xlfn.SINGLE(ROW(ExportSubstitutions_Within.RowNum))</f>
        <v>245</v>
      </c>
      <c r="S250" t="s">
        <v>1299</v>
      </c>
      <c r="T250" t="str">
        <f t="shared" si="10"/>
        <v>2q</v>
      </c>
    </row>
    <row r="251" spans="18:20">
      <c r="R251" cm="1">
        <f t="array" ref="R251" xml:space="preserve"> 1 + _xlfn.SINGLE(ROW()) - _xlfn.SINGLE(ROW(ExportSubstitutions_Within.RowNum))</f>
        <v>246</v>
      </c>
      <c r="S251" t="s">
        <v>1300</v>
      </c>
      <c r="T251" t="str">
        <f t="shared" si="10"/>
        <v>3q</v>
      </c>
    </row>
    <row r="252" spans="18:20">
      <c r="R252" cm="1">
        <f t="array" ref="R252" xml:space="preserve"> 1 + _xlfn.SINGLE(ROW()) - _xlfn.SINGLE(ROW(ExportSubstitutions_Within.RowNum))</f>
        <v>247</v>
      </c>
      <c r="S252" t="s">
        <v>1301</v>
      </c>
      <c r="T252" t="str">
        <f t="shared" si="10"/>
        <v>4q</v>
      </c>
    </row>
    <row r="253" spans="18:20">
      <c r="R253" cm="1">
        <f t="array" ref="R253" xml:space="preserve"> 1 + _xlfn.SINGLE(ROW()) - _xlfn.SINGLE(ROW(ExportSubstitutions_Within.RowNum))</f>
        <v>248</v>
      </c>
      <c r="S253" t="s">
        <v>1302</v>
      </c>
      <c r="T253" t="str">
        <f t="shared" si="10"/>
        <v>5q</v>
      </c>
    </row>
    <row r="254" spans="18:20">
      <c r="R254" cm="1">
        <f t="array" ref="R254" xml:space="preserve"> 1 + _xlfn.SINGLE(ROW()) - _xlfn.SINGLE(ROW(ExportSubstitutions_Within.RowNum))</f>
        <v>249</v>
      </c>
      <c r="S254" t="s">
        <v>1303</v>
      </c>
      <c r="T254" t="str">
        <f t="shared" si="10"/>
        <v>6q</v>
      </c>
    </row>
    <row r="255" spans="18:20">
      <c r="R255" cm="1">
        <f t="array" ref="R255" xml:space="preserve"> 1 + _xlfn.SINGLE(ROW()) - _xlfn.SINGLE(ROW(ExportSubstitutions_Within.RowNum))</f>
        <v>250</v>
      </c>
      <c r="S255" t="s">
        <v>1304</v>
      </c>
      <c r="T255" t="str">
        <f t="shared" si="10"/>
        <v>7q</v>
      </c>
    </row>
    <row r="256" spans="18:20">
      <c r="R256" cm="1">
        <f t="array" ref="R256" xml:space="preserve"> 1 + _xlfn.SINGLE(ROW()) - _xlfn.SINGLE(ROW(ExportSubstitutions_Within.RowNum))</f>
        <v>251</v>
      </c>
      <c r="S256" t="s">
        <v>1305</v>
      </c>
      <c r="T256" t="str">
        <f t="shared" si="10"/>
        <v>8q</v>
      </c>
    </row>
    <row r="257" spans="18:20">
      <c r="R257" cm="1">
        <f t="array" ref="R257" xml:space="preserve"> 1 + _xlfn.SINGLE(ROW()) - _xlfn.SINGLE(ROW(ExportSubstitutions_Within.RowNum))</f>
        <v>252</v>
      </c>
      <c r="S257" t="s">
        <v>1306</v>
      </c>
      <c r="T257" t="str">
        <f t="shared" si="10"/>
        <v>9q</v>
      </c>
    </row>
    <row r="258" spans="18:20">
      <c r="R258" cm="1">
        <f t="array" ref="R258" xml:space="preserve"> 1 + _xlfn.SINGLE(ROW()) - _xlfn.SINGLE(ROW(ExportSubstitutions_Within.RowNum))</f>
        <v>253</v>
      </c>
      <c r="S258" t="s">
        <v>1307</v>
      </c>
      <c r="T258" t="str">
        <f t="shared" si="10"/>
        <v>q0</v>
      </c>
    </row>
    <row r="259" spans="18:20">
      <c r="R259" cm="1">
        <f t="array" ref="R259" xml:space="preserve"> 1 + _xlfn.SINGLE(ROW()) - _xlfn.SINGLE(ROW(ExportSubstitutions_Within.RowNum))</f>
        <v>254</v>
      </c>
      <c r="S259" t="s">
        <v>1308</v>
      </c>
      <c r="T259" t="str">
        <f t="shared" si="10"/>
        <v>q1</v>
      </c>
    </row>
    <row r="260" spans="18:20">
      <c r="R260" cm="1">
        <f t="array" ref="R260" xml:space="preserve"> 1 + _xlfn.SINGLE(ROW()) - _xlfn.SINGLE(ROW(ExportSubstitutions_Within.RowNum))</f>
        <v>255</v>
      </c>
      <c r="S260" t="s">
        <v>1309</v>
      </c>
      <c r="T260" t="str">
        <f t="shared" si="10"/>
        <v>q2</v>
      </c>
    </row>
    <row r="261" spans="18:20">
      <c r="R261" cm="1">
        <f t="array" ref="R261" xml:space="preserve"> 1 + _xlfn.SINGLE(ROW()) - _xlfn.SINGLE(ROW(ExportSubstitutions_Within.RowNum))</f>
        <v>256</v>
      </c>
      <c r="S261" t="s">
        <v>1310</v>
      </c>
      <c r="T261" t="str">
        <f t="shared" si="10"/>
        <v>q3</v>
      </c>
    </row>
    <row r="262" spans="18:20">
      <c r="R262" cm="1">
        <f t="array" ref="R262" xml:space="preserve"> 1 + _xlfn.SINGLE(ROW()) - _xlfn.SINGLE(ROW(ExportSubstitutions_Within.RowNum))</f>
        <v>257</v>
      </c>
      <c r="S262" t="s">
        <v>1311</v>
      </c>
      <c r="T262" t="str">
        <f t="shared" ref="T262:T325" si="11" xml:space="preserve"> SUBSTITUTE(ExportSubstitutions_Within.From, " ", "")</f>
        <v>q4</v>
      </c>
    </row>
    <row r="263" spans="18:20">
      <c r="R263" cm="1">
        <f t="array" ref="R263" xml:space="preserve"> 1 + _xlfn.SINGLE(ROW()) - _xlfn.SINGLE(ROW(ExportSubstitutions_Within.RowNum))</f>
        <v>258</v>
      </c>
      <c r="S263" t="s">
        <v>1312</v>
      </c>
      <c r="T263" t="str">
        <f t="shared" si="11"/>
        <v>q5</v>
      </c>
    </row>
    <row r="264" spans="18:20">
      <c r="R264" cm="1">
        <f t="array" ref="R264" xml:space="preserve"> 1 + _xlfn.SINGLE(ROW()) - _xlfn.SINGLE(ROW(ExportSubstitutions_Within.RowNum))</f>
        <v>259</v>
      </c>
      <c r="S264" t="s">
        <v>1313</v>
      </c>
      <c r="T264" t="str">
        <f t="shared" si="11"/>
        <v>q6</v>
      </c>
    </row>
    <row r="265" spans="18:20">
      <c r="R265" cm="1">
        <f t="array" ref="R265" xml:space="preserve"> 1 + _xlfn.SINGLE(ROW()) - _xlfn.SINGLE(ROW(ExportSubstitutions_Within.RowNum))</f>
        <v>260</v>
      </c>
      <c r="S265" t="s">
        <v>1314</v>
      </c>
      <c r="T265" t="str">
        <f t="shared" si="11"/>
        <v>q7</v>
      </c>
    </row>
    <row r="266" spans="18:20">
      <c r="R266" cm="1">
        <f t="array" ref="R266" xml:space="preserve"> 1 + _xlfn.SINGLE(ROW()) - _xlfn.SINGLE(ROW(ExportSubstitutions_Within.RowNum))</f>
        <v>261</v>
      </c>
      <c r="S266" t="s">
        <v>1315</v>
      </c>
      <c r="T266" t="str">
        <f t="shared" si="11"/>
        <v>q8</v>
      </c>
    </row>
    <row r="267" spans="18:20">
      <c r="R267" cm="1">
        <f t="array" ref="R267" xml:space="preserve"> 1 + _xlfn.SINGLE(ROW()) - _xlfn.SINGLE(ROW(ExportSubstitutions_Within.RowNum))</f>
        <v>262</v>
      </c>
      <c r="S267" t="s">
        <v>1316</v>
      </c>
      <c r="T267" t="str">
        <f t="shared" si="11"/>
        <v>q9</v>
      </c>
    </row>
    <row r="268" spans="18:20">
      <c r="R268" cm="1">
        <f t="array" ref="R268" xml:space="preserve"> 1 + _xlfn.SINGLE(ROW()) - _xlfn.SINGLE(ROW(ExportSubstitutions_Within.RowNum))</f>
        <v>263</v>
      </c>
      <c r="S268" t="s">
        <v>1601</v>
      </c>
      <c r="T268" t="str">
        <f t="shared" si="11"/>
        <v>q.</v>
      </c>
    </row>
    <row r="269" spans="18:20">
      <c r="R269" cm="1">
        <f t="array" ref="R269" xml:space="preserve"> 1 + _xlfn.SINGLE(ROW()) - _xlfn.SINGLE(ROW(ExportSubstitutions_Within.RowNum))</f>
        <v>264</v>
      </c>
      <c r="S269" t="s">
        <v>1602</v>
      </c>
      <c r="T269" t="str">
        <f t="shared" si="11"/>
        <v>q-</v>
      </c>
    </row>
    <row r="270" spans="18:20">
      <c r="R270" cm="1">
        <f t="array" ref="R270" xml:space="preserve"> 1 + _xlfn.SINGLE(ROW()) - _xlfn.SINGLE(ROW(ExportSubstitutions_Within.RowNum))</f>
        <v>265</v>
      </c>
      <c r="S270" t="s">
        <v>1317</v>
      </c>
      <c r="T270" t="str">
        <f t="shared" si="11"/>
        <v>0S</v>
      </c>
    </row>
    <row r="271" spans="18:20">
      <c r="R271" cm="1">
        <f t="array" ref="R271" xml:space="preserve"> 1 + _xlfn.SINGLE(ROW()) - _xlfn.SINGLE(ROW(ExportSubstitutions_Within.RowNum))</f>
        <v>266</v>
      </c>
      <c r="S271" t="s">
        <v>1318</v>
      </c>
      <c r="T271" t="str">
        <f t="shared" si="11"/>
        <v>1S</v>
      </c>
    </row>
    <row r="272" spans="18:20">
      <c r="R272" cm="1">
        <f t="array" ref="R272" xml:space="preserve"> 1 + _xlfn.SINGLE(ROW()) - _xlfn.SINGLE(ROW(ExportSubstitutions_Within.RowNum))</f>
        <v>267</v>
      </c>
      <c r="S272" t="s">
        <v>1319</v>
      </c>
      <c r="T272" t="str">
        <f t="shared" si="11"/>
        <v>2S</v>
      </c>
    </row>
    <row r="273" spans="18:20">
      <c r="R273" cm="1">
        <f t="array" ref="R273" xml:space="preserve"> 1 + _xlfn.SINGLE(ROW()) - _xlfn.SINGLE(ROW(ExportSubstitutions_Within.RowNum))</f>
        <v>268</v>
      </c>
      <c r="S273" t="s">
        <v>1320</v>
      </c>
      <c r="T273" t="str">
        <f t="shared" si="11"/>
        <v>3S</v>
      </c>
    </row>
    <row r="274" spans="18:20">
      <c r="R274" cm="1">
        <f t="array" ref="R274" xml:space="preserve"> 1 + _xlfn.SINGLE(ROW()) - _xlfn.SINGLE(ROW(ExportSubstitutions_Within.RowNum))</f>
        <v>269</v>
      </c>
      <c r="S274" t="s">
        <v>1321</v>
      </c>
      <c r="T274" t="str">
        <f t="shared" si="11"/>
        <v>4S</v>
      </c>
    </row>
    <row r="275" spans="18:20">
      <c r="R275" cm="1">
        <f t="array" ref="R275" xml:space="preserve"> 1 + _xlfn.SINGLE(ROW()) - _xlfn.SINGLE(ROW(ExportSubstitutions_Within.RowNum))</f>
        <v>270</v>
      </c>
      <c r="S275" t="s">
        <v>1322</v>
      </c>
      <c r="T275" t="str">
        <f t="shared" si="11"/>
        <v>5S</v>
      </c>
    </row>
    <row r="276" spans="18:20">
      <c r="R276" cm="1">
        <f t="array" ref="R276" xml:space="preserve"> 1 + _xlfn.SINGLE(ROW()) - _xlfn.SINGLE(ROW(ExportSubstitutions_Within.RowNum))</f>
        <v>271</v>
      </c>
      <c r="S276" t="s">
        <v>1323</v>
      </c>
      <c r="T276" t="str">
        <f t="shared" si="11"/>
        <v>6S</v>
      </c>
    </row>
    <row r="277" spans="18:20">
      <c r="R277" cm="1">
        <f t="array" ref="R277" xml:space="preserve"> 1 + _xlfn.SINGLE(ROW()) - _xlfn.SINGLE(ROW(ExportSubstitutions_Within.RowNum))</f>
        <v>272</v>
      </c>
      <c r="S277" t="s">
        <v>1324</v>
      </c>
      <c r="T277" t="str">
        <f t="shared" si="11"/>
        <v>7S</v>
      </c>
    </row>
    <row r="278" spans="18:20">
      <c r="R278" cm="1">
        <f t="array" ref="R278" xml:space="preserve"> 1 + _xlfn.SINGLE(ROW()) - _xlfn.SINGLE(ROW(ExportSubstitutions_Within.RowNum))</f>
        <v>273</v>
      </c>
      <c r="S278" t="s">
        <v>1325</v>
      </c>
      <c r="T278" t="str">
        <f t="shared" si="11"/>
        <v>8S</v>
      </c>
    </row>
    <row r="279" spans="18:20">
      <c r="R279" cm="1">
        <f t="array" ref="R279" xml:space="preserve"> 1 + _xlfn.SINGLE(ROW()) - _xlfn.SINGLE(ROW(ExportSubstitutions_Within.RowNum))</f>
        <v>274</v>
      </c>
      <c r="S279" t="s">
        <v>1326</v>
      </c>
      <c r="T279" t="str">
        <f t="shared" si="11"/>
        <v>9S</v>
      </c>
    </row>
    <row r="280" spans="18:20">
      <c r="R280" cm="1">
        <f t="array" ref="R280" xml:space="preserve"> 1 + _xlfn.SINGLE(ROW()) - _xlfn.SINGLE(ROW(ExportSubstitutions_Within.RowNum))</f>
        <v>275</v>
      </c>
      <c r="S280" t="s">
        <v>1327</v>
      </c>
      <c r="T280" t="str">
        <f t="shared" si="11"/>
        <v>S0</v>
      </c>
    </row>
    <row r="281" spans="18:20">
      <c r="R281" cm="1">
        <f t="array" ref="R281" xml:space="preserve"> 1 + _xlfn.SINGLE(ROW()) - _xlfn.SINGLE(ROW(ExportSubstitutions_Within.RowNum))</f>
        <v>276</v>
      </c>
      <c r="S281" t="s">
        <v>1328</v>
      </c>
      <c r="T281" t="str">
        <f t="shared" si="11"/>
        <v>S1</v>
      </c>
    </row>
    <row r="282" spans="18:20">
      <c r="R282" cm="1">
        <f t="array" ref="R282" xml:space="preserve"> 1 + _xlfn.SINGLE(ROW()) - _xlfn.SINGLE(ROW(ExportSubstitutions_Within.RowNum))</f>
        <v>277</v>
      </c>
      <c r="S282" t="s">
        <v>1329</v>
      </c>
      <c r="T282" t="str">
        <f t="shared" si="11"/>
        <v>S2</v>
      </c>
    </row>
    <row r="283" spans="18:20">
      <c r="R283" cm="1">
        <f t="array" ref="R283" xml:space="preserve"> 1 + _xlfn.SINGLE(ROW()) - _xlfn.SINGLE(ROW(ExportSubstitutions_Within.RowNum))</f>
        <v>278</v>
      </c>
      <c r="S283" t="s">
        <v>1330</v>
      </c>
      <c r="T283" t="str">
        <f t="shared" si="11"/>
        <v>S3</v>
      </c>
    </row>
    <row r="284" spans="18:20">
      <c r="R284" cm="1">
        <f t="array" ref="R284" xml:space="preserve"> 1 + _xlfn.SINGLE(ROW()) - _xlfn.SINGLE(ROW(ExportSubstitutions_Within.RowNum))</f>
        <v>279</v>
      </c>
      <c r="S284" t="s">
        <v>1331</v>
      </c>
      <c r="T284" t="str">
        <f t="shared" si="11"/>
        <v>S4</v>
      </c>
    </row>
    <row r="285" spans="18:20">
      <c r="R285" cm="1">
        <f t="array" ref="R285" xml:space="preserve"> 1 + _xlfn.SINGLE(ROW()) - _xlfn.SINGLE(ROW(ExportSubstitutions_Within.RowNum))</f>
        <v>280</v>
      </c>
      <c r="S285" t="s">
        <v>1332</v>
      </c>
      <c r="T285" t="str">
        <f t="shared" si="11"/>
        <v>S5</v>
      </c>
    </row>
    <row r="286" spans="18:20">
      <c r="R286" cm="1">
        <f t="array" ref="R286" xml:space="preserve"> 1 + _xlfn.SINGLE(ROW()) - _xlfn.SINGLE(ROW(ExportSubstitutions_Within.RowNum))</f>
        <v>281</v>
      </c>
      <c r="S286" t="s">
        <v>1333</v>
      </c>
      <c r="T286" t="str">
        <f t="shared" si="11"/>
        <v>S6</v>
      </c>
    </row>
    <row r="287" spans="18:20">
      <c r="R287" cm="1">
        <f t="array" ref="R287" xml:space="preserve"> 1 + _xlfn.SINGLE(ROW()) - _xlfn.SINGLE(ROW(ExportSubstitutions_Within.RowNum))</f>
        <v>282</v>
      </c>
      <c r="S287" t="s">
        <v>1334</v>
      </c>
      <c r="T287" t="str">
        <f t="shared" si="11"/>
        <v>S7</v>
      </c>
    </row>
    <row r="288" spans="18:20">
      <c r="R288" cm="1">
        <f t="array" ref="R288" xml:space="preserve"> 1 + _xlfn.SINGLE(ROW()) - _xlfn.SINGLE(ROW(ExportSubstitutions_Within.RowNum))</f>
        <v>283</v>
      </c>
      <c r="S288" t="s">
        <v>1335</v>
      </c>
      <c r="T288" t="str">
        <f t="shared" si="11"/>
        <v>S8</v>
      </c>
    </row>
    <row r="289" spans="18:20">
      <c r="R289" cm="1">
        <f t="array" ref="R289" xml:space="preserve"> 1 + _xlfn.SINGLE(ROW()) - _xlfn.SINGLE(ROW(ExportSubstitutions_Within.RowNum))</f>
        <v>284</v>
      </c>
      <c r="S289" t="s">
        <v>1336</v>
      </c>
      <c r="T289" t="str">
        <f t="shared" si="11"/>
        <v>S9</v>
      </c>
    </row>
    <row r="290" spans="18:20">
      <c r="R290" cm="1">
        <f t="array" ref="R290" xml:space="preserve"> 1 + _xlfn.SINGLE(ROW()) - _xlfn.SINGLE(ROW(ExportSubstitutions_Within.RowNum))</f>
        <v>285</v>
      </c>
      <c r="S290" t="s">
        <v>1603</v>
      </c>
      <c r="T290" t="str">
        <f t="shared" si="11"/>
        <v>S.</v>
      </c>
    </row>
    <row r="291" spans="18:20">
      <c r="R291" cm="1">
        <f t="array" ref="R291" xml:space="preserve"> 1 + _xlfn.SINGLE(ROW()) - _xlfn.SINGLE(ROW(ExportSubstitutions_Within.RowNum))</f>
        <v>286</v>
      </c>
      <c r="S291" t="s">
        <v>1604</v>
      </c>
      <c r="T291" t="str">
        <f t="shared" si="11"/>
        <v>S-</v>
      </c>
    </row>
    <row r="292" spans="18:20">
      <c r="R292" cm="1">
        <f t="array" ref="R292" xml:space="preserve"> 1 + _xlfn.SINGLE(ROW()) - _xlfn.SINGLE(ROW(ExportSubstitutions_Within.RowNum))</f>
        <v>287</v>
      </c>
      <c r="S292" t="s">
        <v>1337</v>
      </c>
      <c r="T292" t="str">
        <f t="shared" si="11"/>
        <v>0s</v>
      </c>
    </row>
    <row r="293" spans="18:20">
      <c r="R293" cm="1">
        <f t="array" ref="R293" xml:space="preserve"> 1 + _xlfn.SINGLE(ROW()) - _xlfn.SINGLE(ROW(ExportSubstitutions_Within.RowNum))</f>
        <v>288</v>
      </c>
      <c r="S293" t="s">
        <v>1338</v>
      </c>
      <c r="T293" t="str">
        <f t="shared" si="11"/>
        <v>1s</v>
      </c>
    </row>
    <row r="294" spans="18:20">
      <c r="R294" cm="1">
        <f t="array" ref="R294" xml:space="preserve"> 1 + _xlfn.SINGLE(ROW()) - _xlfn.SINGLE(ROW(ExportSubstitutions_Within.RowNum))</f>
        <v>289</v>
      </c>
      <c r="S294" t="s">
        <v>1339</v>
      </c>
      <c r="T294" t="str">
        <f t="shared" si="11"/>
        <v>2s</v>
      </c>
    </row>
    <row r="295" spans="18:20">
      <c r="R295" cm="1">
        <f t="array" ref="R295" xml:space="preserve"> 1 + _xlfn.SINGLE(ROW()) - _xlfn.SINGLE(ROW(ExportSubstitutions_Within.RowNum))</f>
        <v>290</v>
      </c>
      <c r="S295" t="s">
        <v>1340</v>
      </c>
      <c r="T295" t="str">
        <f t="shared" si="11"/>
        <v>3s</v>
      </c>
    </row>
    <row r="296" spans="18:20">
      <c r="R296" cm="1">
        <f t="array" ref="R296" xml:space="preserve"> 1 + _xlfn.SINGLE(ROW()) - _xlfn.SINGLE(ROW(ExportSubstitutions_Within.RowNum))</f>
        <v>291</v>
      </c>
      <c r="S296" t="s">
        <v>1341</v>
      </c>
      <c r="T296" t="str">
        <f t="shared" si="11"/>
        <v>4s</v>
      </c>
    </row>
    <row r="297" spans="18:20">
      <c r="R297" cm="1">
        <f t="array" ref="R297" xml:space="preserve"> 1 + _xlfn.SINGLE(ROW()) - _xlfn.SINGLE(ROW(ExportSubstitutions_Within.RowNum))</f>
        <v>292</v>
      </c>
      <c r="S297" t="s">
        <v>1342</v>
      </c>
      <c r="T297" t="str">
        <f t="shared" si="11"/>
        <v>5s</v>
      </c>
    </row>
    <row r="298" spans="18:20">
      <c r="R298" cm="1">
        <f t="array" ref="R298" xml:space="preserve"> 1 + _xlfn.SINGLE(ROW()) - _xlfn.SINGLE(ROW(ExportSubstitutions_Within.RowNum))</f>
        <v>293</v>
      </c>
      <c r="S298" t="s">
        <v>1343</v>
      </c>
      <c r="T298" t="str">
        <f t="shared" si="11"/>
        <v>6s</v>
      </c>
    </row>
    <row r="299" spans="18:20">
      <c r="R299" cm="1">
        <f t="array" ref="R299" xml:space="preserve"> 1 + _xlfn.SINGLE(ROW()) - _xlfn.SINGLE(ROW(ExportSubstitutions_Within.RowNum))</f>
        <v>294</v>
      </c>
      <c r="S299" t="s">
        <v>1344</v>
      </c>
      <c r="T299" t="str">
        <f t="shared" si="11"/>
        <v>7s</v>
      </c>
    </row>
    <row r="300" spans="18:20">
      <c r="R300" cm="1">
        <f t="array" ref="R300" xml:space="preserve"> 1 + _xlfn.SINGLE(ROW()) - _xlfn.SINGLE(ROW(ExportSubstitutions_Within.RowNum))</f>
        <v>295</v>
      </c>
      <c r="S300" t="s">
        <v>1345</v>
      </c>
      <c r="T300" t="str">
        <f t="shared" si="11"/>
        <v>8s</v>
      </c>
    </row>
    <row r="301" spans="18:20">
      <c r="R301" cm="1">
        <f t="array" ref="R301" xml:space="preserve"> 1 + _xlfn.SINGLE(ROW()) - _xlfn.SINGLE(ROW(ExportSubstitutions_Within.RowNum))</f>
        <v>296</v>
      </c>
      <c r="S301" t="s">
        <v>1346</v>
      </c>
      <c r="T301" t="str">
        <f t="shared" si="11"/>
        <v>9s</v>
      </c>
    </row>
    <row r="302" spans="18:20">
      <c r="R302" cm="1">
        <f t="array" ref="R302" xml:space="preserve"> 1 + _xlfn.SINGLE(ROW()) - _xlfn.SINGLE(ROW(ExportSubstitutions_Within.RowNum))</f>
        <v>297</v>
      </c>
      <c r="S302" t="s">
        <v>1347</v>
      </c>
      <c r="T302" t="str">
        <f t="shared" si="11"/>
        <v>s0</v>
      </c>
    </row>
    <row r="303" spans="18:20">
      <c r="R303" cm="1">
        <f t="array" ref="R303" xml:space="preserve"> 1 + _xlfn.SINGLE(ROW()) - _xlfn.SINGLE(ROW(ExportSubstitutions_Within.RowNum))</f>
        <v>298</v>
      </c>
      <c r="S303" t="s">
        <v>1348</v>
      </c>
      <c r="T303" t="str">
        <f t="shared" si="11"/>
        <v>s1</v>
      </c>
    </row>
    <row r="304" spans="18:20">
      <c r="R304" cm="1">
        <f t="array" ref="R304" xml:space="preserve"> 1 + _xlfn.SINGLE(ROW()) - _xlfn.SINGLE(ROW(ExportSubstitutions_Within.RowNum))</f>
        <v>299</v>
      </c>
      <c r="S304" t="s">
        <v>1349</v>
      </c>
      <c r="T304" t="str">
        <f t="shared" si="11"/>
        <v>s2</v>
      </c>
    </row>
    <row r="305" spans="18:20">
      <c r="R305" cm="1">
        <f t="array" ref="R305" xml:space="preserve"> 1 + _xlfn.SINGLE(ROW()) - _xlfn.SINGLE(ROW(ExportSubstitutions_Within.RowNum))</f>
        <v>300</v>
      </c>
      <c r="S305" t="s">
        <v>1350</v>
      </c>
      <c r="T305" t="str">
        <f t="shared" si="11"/>
        <v>s3</v>
      </c>
    </row>
    <row r="306" spans="18:20">
      <c r="R306" cm="1">
        <f t="array" ref="R306" xml:space="preserve"> 1 + _xlfn.SINGLE(ROW()) - _xlfn.SINGLE(ROW(ExportSubstitutions_Within.RowNum))</f>
        <v>301</v>
      </c>
      <c r="S306" t="s">
        <v>1351</v>
      </c>
      <c r="T306" t="str">
        <f t="shared" si="11"/>
        <v>s4</v>
      </c>
    </row>
    <row r="307" spans="18:20">
      <c r="R307" cm="1">
        <f t="array" ref="R307" xml:space="preserve"> 1 + _xlfn.SINGLE(ROW()) - _xlfn.SINGLE(ROW(ExportSubstitutions_Within.RowNum))</f>
        <v>302</v>
      </c>
      <c r="S307" t="s">
        <v>1352</v>
      </c>
      <c r="T307" t="str">
        <f t="shared" si="11"/>
        <v>s5</v>
      </c>
    </row>
    <row r="308" spans="18:20">
      <c r="R308" cm="1">
        <f t="array" ref="R308" xml:space="preserve"> 1 + _xlfn.SINGLE(ROW()) - _xlfn.SINGLE(ROW(ExportSubstitutions_Within.RowNum))</f>
        <v>303</v>
      </c>
      <c r="S308" t="s">
        <v>1353</v>
      </c>
      <c r="T308" t="str">
        <f t="shared" si="11"/>
        <v>s6</v>
      </c>
    </row>
    <row r="309" spans="18:20">
      <c r="R309" cm="1">
        <f t="array" ref="R309" xml:space="preserve"> 1 + _xlfn.SINGLE(ROW()) - _xlfn.SINGLE(ROW(ExportSubstitutions_Within.RowNum))</f>
        <v>304</v>
      </c>
      <c r="S309" t="s">
        <v>1354</v>
      </c>
      <c r="T309" t="str">
        <f t="shared" si="11"/>
        <v>s7</v>
      </c>
    </row>
    <row r="310" spans="18:20">
      <c r="R310" cm="1">
        <f t="array" ref="R310" xml:space="preserve"> 1 + _xlfn.SINGLE(ROW()) - _xlfn.SINGLE(ROW(ExportSubstitutions_Within.RowNum))</f>
        <v>305</v>
      </c>
      <c r="S310" t="s">
        <v>1355</v>
      </c>
      <c r="T310" t="str">
        <f t="shared" si="11"/>
        <v>s8</v>
      </c>
    </row>
    <row r="311" spans="18:20">
      <c r="R311" cm="1">
        <f t="array" ref="R311" xml:space="preserve"> 1 + _xlfn.SINGLE(ROW()) - _xlfn.SINGLE(ROW(ExportSubstitutions_Within.RowNum))</f>
        <v>306</v>
      </c>
      <c r="S311" t="s">
        <v>1356</v>
      </c>
      <c r="T311" t="str">
        <f t="shared" si="11"/>
        <v>s9</v>
      </c>
    </row>
    <row r="312" spans="18:20">
      <c r="R312" cm="1">
        <f t="array" ref="R312" xml:space="preserve"> 1 + _xlfn.SINGLE(ROW()) - _xlfn.SINGLE(ROW(ExportSubstitutions_Within.RowNum))</f>
        <v>307</v>
      </c>
      <c r="S312" t="s">
        <v>1605</v>
      </c>
      <c r="T312" t="str">
        <f t="shared" si="11"/>
        <v>s.</v>
      </c>
    </row>
    <row r="313" spans="18:20">
      <c r="R313" cm="1">
        <f t="array" ref="R313" xml:space="preserve"> 1 + _xlfn.SINGLE(ROW()) - _xlfn.SINGLE(ROW(ExportSubstitutions_Within.RowNum))</f>
        <v>308</v>
      </c>
      <c r="S313" t="s">
        <v>1606</v>
      </c>
      <c r="T313" t="str">
        <f t="shared" si="11"/>
        <v>s-</v>
      </c>
    </row>
    <row r="314" spans="18:20">
      <c r="R314" cm="1">
        <f t="array" ref="R314" xml:space="preserve"> 1 + _xlfn.SINGLE(ROW()) - _xlfn.SINGLE(ROW(ExportSubstitutions_Within.RowNum))</f>
        <v>309</v>
      </c>
      <c r="S314" t="s">
        <v>1357</v>
      </c>
      <c r="T314" t="str">
        <f t="shared" si="11"/>
        <v>0T</v>
      </c>
    </row>
    <row r="315" spans="18:20">
      <c r="R315" cm="1">
        <f t="array" ref="R315" xml:space="preserve"> 1 + _xlfn.SINGLE(ROW()) - _xlfn.SINGLE(ROW(ExportSubstitutions_Within.RowNum))</f>
        <v>310</v>
      </c>
      <c r="S315" t="s">
        <v>1358</v>
      </c>
      <c r="T315" t="str">
        <f t="shared" si="11"/>
        <v>1T</v>
      </c>
    </row>
    <row r="316" spans="18:20">
      <c r="R316" cm="1">
        <f t="array" ref="R316" xml:space="preserve"> 1 + _xlfn.SINGLE(ROW()) - _xlfn.SINGLE(ROW(ExportSubstitutions_Within.RowNum))</f>
        <v>311</v>
      </c>
      <c r="S316" t="s">
        <v>1359</v>
      </c>
      <c r="T316" t="str">
        <f t="shared" si="11"/>
        <v>2T</v>
      </c>
    </row>
    <row r="317" spans="18:20">
      <c r="R317" cm="1">
        <f t="array" ref="R317" xml:space="preserve"> 1 + _xlfn.SINGLE(ROW()) - _xlfn.SINGLE(ROW(ExportSubstitutions_Within.RowNum))</f>
        <v>312</v>
      </c>
      <c r="S317" t="s">
        <v>1360</v>
      </c>
      <c r="T317" t="str">
        <f t="shared" si="11"/>
        <v>3T</v>
      </c>
    </row>
    <row r="318" spans="18:20">
      <c r="R318" cm="1">
        <f t="array" ref="R318" xml:space="preserve"> 1 + _xlfn.SINGLE(ROW()) - _xlfn.SINGLE(ROW(ExportSubstitutions_Within.RowNum))</f>
        <v>313</v>
      </c>
      <c r="S318" t="s">
        <v>1361</v>
      </c>
      <c r="T318" t="str">
        <f t="shared" si="11"/>
        <v>4T</v>
      </c>
    </row>
    <row r="319" spans="18:20">
      <c r="R319" cm="1">
        <f t="array" ref="R319" xml:space="preserve"> 1 + _xlfn.SINGLE(ROW()) - _xlfn.SINGLE(ROW(ExportSubstitutions_Within.RowNum))</f>
        <v>314</v>
      </c>
      <c r="S319" t="s">
        <v>1362</v>
      </c>
      <c r="T319" t="str">
        <f t="shared" si="11"/>
        <v>5T</v>
      </c>
    </row>
    <row r="320" spans="18:20">
      <c r="R320" cm="1">
        <f t="array" ref="R320" xml:space="preserve"> 1 + _xlfn.SINGLE(ROW()) - _xlfn.SINGLE(ROW(ExportSubstitutions_Within.RowNum))</f>
        <v>315</v>
      </c>
      <c r="S320" t="s">
        <v>1363</v>
      </c>
      <c r="T320" t="str">
        <f t="shared" si="11"/>
        <v>6T</v>
      </c>
    </row>
    <row r="321" spans="18:20">
      <c r="R321" cm="1">
        <f t="array" ref="R321" xml:space="preserve"> 1 + _xlfn.SINGLE(ROW()) - _xlfn.SINGLE(ROW(ExportSubstitutions_Within.RowNum))</f>
        <v>316</v>
      </c>
      <c r="S321" t="s">
        <v>1364</v>
      </c>
      <c r="T321" t="str">
        <f t="shared" si="11"/>
        <v>7T</v>
      </c>
    </row>
    <row r="322" spans="18:20">
      <c r="R322" cm="1">
        <f t="array" ref="R322" xml:space="preserve"> 1 + _xlfn.SINGLE(ROW()) - _xlfn.SINGLE(ROW(ExportSubstitutions_Within.RowNum))</f>
        <v>317</v>
      </c>
      <c r="S322" t="s">
        <v>1365</v>
      </c>
      <c r="T322" t="str">
        <f t="shared" si="11"/>
        <v>8T</v>
      </c>
    </row>
    <row r="323" spans="18:20">
      <c r="R323" cm="1">
        <f t="array" ref="R323" xml:space="preserve"> 1 + _xlfn.SINGLE(ROW()) - _xlfn.SINGLE(ROW(ExportSubstitutions_Within.RowNum))</f>
        <v>318</v>
      </c>
      <c r="S323" t="s">
        <v>1366</v>
      </c>
      <c r="T323" t="str">
        <f t="shared" si="11"/>
        <v>9T</v>
      </c>
    </row>
    <row r="324" spans="18:20">
      <c r="R324" cm="1">
        <f t="array" ref="R324" xml:space="preserve"> 1 + _xlfn.SINGLE(ROW()) - _xlfn.SINGLE(ROW(ExportSubstitutions_Within.RowNum))</f>
        <v>319</v>
      </c>
      <c r="S324" t="s">
        <v>1367</v>
      </c>
      <c r="T324" t="str">
        <f t="shared" si="11"/>
        <v>T0</v>
      </c>
    </row>
    <row r="325" spans="18:20">
      <c r="R325" cm="1">
        <f t="array" ref="R325" xml:space="preserve"> 1 + _xlfn.SINGLE(ROW()) - _xlfn.SINGLE(ROW(ExportSubstitutions_Within.RowNum))</f>
        <v>320</v>
      </c>
      <c r="S325" t="s">
        <v>1368</v>
      </c>
      <c r="T325" t="str">
        <f t="shared" si="11"/>
        <v>T1</v>
      </c>
    </row>
    <row r="326" spans="18:20">
      <c r="R326" cm="1">
        <f t="array" ref="R326" xml:space="preserve"> 1 + _xlfn.SINGLE(ROW()) - _xlfn.SINGLE(ROW(ExportSubstitutions_Within.RowNum))</f>
        <v>321</v>
      </c>
      <c r="S326" t="s">
        <v>1369</v>
      </c>
      <c r="T326" t="str">
        <f t="shared" ref="T326:T389" si="12" xml:space="preserve"> SUBSTITUTE(ExportSubstitutions_Within.From, " ", "")</f>
        <v>T2</v>
      </c>
    </row>
    <row r="327" spans="18:20">
      <c r="R327" cm="1">
        <f t="array" ref="R327" xml:space="preserve"> 1 + _xlfn.SINGLE(ROW()) - _xlfn.SINGLE(ROW(ExportSubstitutions_Within.RowNum))</f>
        <v>322</v>
      </c>
      <c r="S327" t="s">
        <v>1370</v>
      </c>
      <c r="T327" t="str">
        <f t="shared" si="12"/>
        <v>T3</v>
      </c>
    </row>
    <row r="328" spans="18:20">
      <c r="R328" cm="1">
        <f t="array" ref="R328" xml:space="preserve"> 1 + _xlfn.SINGLE(ROW()) - _xlfn.SINGLE(ROW(ExportSubstitutions_Within.RowNum))</f>
        <v>323</v>
      </c>
      <c r="S328" t="s">
        <v>1371</v>
      </c>
      <c r="T328" t="str">
        <f t="shared" si="12"/>
        <v>T4</v>
      </c>
    </row>
    <row r="329" spans="18:20">
      <c r="R329" cm="1">
        <f t="array" ref="R329" xml:space="preserve"> 1 + _xlfn.SINGLE(ROW()) - _xlfn.SINGLE(ROW(ExportSubstitutions_Within.RowNum))</f>
        <v>324</v>
      </c>
      <c r="S329" t="s">
        <v>1372</v>
      </c>
      <c r="T329" t="str">
        <f t="shared" si="12"/>
        <v>T5</v>
      </c>
    </row>
    <row r="330" spans="18:20">
      <c r="R330" cm="1">
        <f t="array" ref="R330" xml:space="preserve"> 1 + _xlfn.SINGLE(ROW()) - _xlfn.SINGLE(ROW(ExportSubstitutions_Within.RowNum))</f>
        <v>325</v>
      </c>
      <c r="S330" t="s">
        <v>1373</v>
      </c>
      <c r="T330" t="str">
        <f t="shared" si="12"/>
        <v>T6</v>
      </c>
    </row>
    <row r="331" spans="18:20">
      <c r="R331" cm="1">
        <f t="array" ref="R331" xml:space="preserve"> 1 + _xlfn.SINGLE(ROW()) - _xlfn.SINGLE(ROW(ExportSubstitutions_Within.RowNum))</f>
        <v>326</v>
      </c>
      <c r="S331" t="s">
        <v>1374</v>
      </c>
      <c r="T331" t="str">
        <f t="shared" si="12"/>
        <v>T7</v>
      </c>
    </row>
    <row r="332" spans="18:20">
      <c r="R332" cm="1">
        <f t="array" ref="R332" xml:space="preserve"> 1 + _xlfn.SINGLE(ROW()) - _xlfn.SINGLE(ROW(ExportSubstitutions_Within.RowNum))</f>
        <v>327</v>
      </c>
      <c r="S332" t="s">
        <v>1375</v>
      </c>
      <c r="T332" t="str">
        <f t="shared" si="12"/>
        <v>T8</v>
      </c>
    </row>
    <row r="333" spans="18:20">
      <c r="R333" cm="1">
        <f t="array" ref="R333" xml:space="preserve"> 1 + _xlfn.SINGLE(ROW()) - _xlfn.SINGLE(ROW(ExportSubstitutions_Within.RowNum))</f>
        <v>328</v>
      </c>
      <c r="S333" t="s">
        <v>1376</v>
      </c>
      <c r="T333" t="str">
        <f t="shared" si="12"/>
        <v>T9</v>
      </c>
    </row>
    <row r="334" spans="18:20">
      <c r="R334" cm="1">
        <f t="array" ref="R334" xml:space="preserve"> 1 + _xlfn.SINGLE(ROW()) - _xlfn.SINGLE(ROW(ExportSubstitutions_Within.RowNum))</f>
        <v>329</v>
      </c>
      <c r="S334" t="s">
        <v>1607</v>
      </c>
      <c r="T334" t="str">
        <f t="shared" si="12"/>
        <v>T.</v>
      </c>
    </row>
    <row r="335" spans="18:20">
      <c r="R335" cm="1">
        <f t="array" ref="R335" xml:space="preserve"> 1 + _xlfn.SINGLE(ROW()) - _xlfn.SINGLE(ROW(ExportSubstitutions_Within.RowNum))</f>
        <v>330</v>
      </c>
      <c r="S335" t="s">
        <v>1608</v>
      </c>
      <c r="T335" t="str">
        <f t="shared" si="12"/>
        <v>T-</v>
      </c>
    </row>
    <row r="336" spans="18:20">
      <c r="R336" cm="1">
        <f t="array" ref="R336" xml:space="preserve"> 1 + _xlfn.SINGLE(ROW()) - _xlfn.SINGLE(ROW(ExportSubstitutions_Within.RowNum))</f>
        <v>331</v>
      </c>
      <c r="S336" t="s">
        <v>1377</v>
      </c>
      <c r="T336" t="str">
        <f t="shared" si="12"/>
        <v>0t</v>
      </c>
    </row>
    <row r="337" spans="18:20">
      <c r="R337" cm="1">
        <f t="array" ref="R337" xml:space="preserve"> 1 + _xlfn.SINGLE(ROW()) - _xlfn.SINGLE(ROW(ExportSubstitutions_Within.RowNum))</f>
        <v>332</v>
      </c>
      <c r="S337" t="s">
        <v>1378</v>
      </c>
      <c r="T337" t="str">
        <f t="shared" si="12"/>
        <v>1t</v>
      </c>
    </row>
    <row r="338" spans="18:20">
      <c r="R338" cm="1">
        <f t="array" ref="R338" xml:space="preserve"> 1 + _xlfn.SINGLE(ROW()) - _xlfn.SINGLE(ROW(ExportSubstitutions_Within.RowNum))</f>
        <v>333</v>
      </c>
      <c r="S338" t="s">
        <v>1379</v>
      </c>
      <c r="T338" t="str">
        <f t="shared" si="12"/>
        <v>2t</v>
      </c>
    </row>
    <row r="339" spans="18:20">
      <c r="R339" cm="1">
        <f t="array" ref="R339" xml:space="preserve"> 1 + _xlfn.SINGLE(ROW()) - _xlfn.SINGLE(ROW(ExportSubstitutions_Within.RowNum))</f>
        <v>334</v>
      </c>
      <c r="S339" t="s">
        <v>1380</v>
      </c>
      <c r="T339" t="str">
        <f t="shared" si="12"/>
        <v>3t</v>
      </c>
    </row>
    <row r="340" spans="18:20">
      <c r="R340" cm="1">
        <f t="array" ref="R340" xml:space="preserve"> 1 + _xlfn.SINGLE(ROW()) - _xlfn.SINGLE(ROW(ExportSubstitutions_Within.RowNum))</f>
        <v>335</v>
      </c>
      <c r="S340" t="s">
        <v>1381</v>
      </c>
      <c r="T340" t="str">
        <f t="shared" si="12"/>
        <v>4t</v>
      </c>
    </row>
    <row r="341" spans="18:20">
      <c r="R341" cm="1">
        <f t="array" ref="R341" xml:space="preserve"> 1 + _xlfn.SINGLE(ROW()) - _xlfn.SINGLE(ROW(ExportSubstitutions_Within.RowNum))</f>
        <v>336</v>
      </c>
      <c r="S341" t="s">
        <v>1382</v>
      </c>
      <c r="T341" t="str">
        <f t="shared" si="12"/>
        <v>5t</v>
      </c>
    </row>
    <row r="342" spans="18:20">
      <c r="R342" cm="1">
        <f t="array" ref="R342" xml:space="preserve"> 1 + _xlfn.SINGLE(ROW()) - _xlfn.SINGLE(ROW(ExportSubstitutions_Within.RowNum))</f>
        <v>337</v>
      </c>
      <c r="S342" t="s">
        <v>1383</v>
      </c>
      <c r="T342" t="str">
        <f t="shared" si="12"/>
        <v>6t</v>
      </c>
    </row>
    <row r="343" spans="18:20">
      <c r="R343" cm="1">
        <f t="array" ref="R343" xml:space="preserve"> 1 + _xlfn.SINGLE(ROW()) - _xlfn.SINGLE(ROW(ExportSubstitutions_Within.RowNum))</f>
        <v>338</v>
      </c>
      <c r="S343" t="s">
        <v>1384</v>
      </c>
      <c r="T343" t="str">
        <f t="shared" si="12"/>
        <v>7t</v>
      </c>
    </row>
    <row r="344" spans="18:20">
      <c r="R344" cm="1">
        <f t="array" ref="R344" xml:space="preserve"> 1 + _xlfn.SINGLE(ROW()) - _xlfn.SINGLE(ROW(ExportSubstitutions_Within.RowNum))</f>
        <v>339</v>
      </c>
      <c r="S344" t="s">
        <v>1385</v>
      </c>
      <c r="T344" t="str">
        <f t="shared" si="12"/>
        <v>8t</v>
      </c>
    </row>
    <row r="345" spans="18:20">
      <c r="R345" cm="1">
        <f t="array" ref="R345" xml:space="preserve"> 1 + _xlfn.SINGLE(ROW()) - _xlfn.SINGLE(ROW(ExportSubstitutions_Within.RowNum))</f>
        <v>340</v>
      </c>
      <c r="S345" t="s">
        <v>1386</v>
      </c>
      <c r="T345" t="str">
        <f t="shared" si="12"/>
        <v>9t</v>
      </c>
    </row>
    <row r="346" spans="18:20">
      <c r="R346" cm="1">
        <f t="array" ref="R346" xml:space="preserve"> 1 + _xlfn.SINGLE(ROW()) - _xlfn.SINGLE(ROW(ExportSubstitutions_Within.RowNum))</f>
        <v>341</v>
      </c>
      <c r="S346" t="s">
        <v>1387</v>
      </c>
      <c r="T346" t="str">
        <f t="shared" si="12"/>
        <v>t0</v>
      </c>
    </row>
    <row r="347" spans="18:20">
      <c r="R347" cm="1">
        <f t="array" ref="R347" xml:space="preserve"> 1 + _xlfn.SINGLE(ROW()) - _xlfn.SINGLE(ROW(ExportSubstitutions_Within.RowNum))</f>
        <v>342</v>
      </c>
      <c r="S347" t="s">
        <v>1388</v>
      </c>
      <c r="T347" t="str">
        <f t="shared" si="12"/>
        <v>t1</v>
      </c>
    </row>
    <row r="348" spans="18:20">
      <c r="R348" cm="1">
        <f t="array" ref="R348" xml:space="preserve"> 1 + _xlfn.SINGLE(ROW()) - _xlfn.SINGLE(ROW(ExportSubstitutions_Within.RowNum))</f>
        <v>343</v>
      </c>
      <c r="S348" t="s">
        <v>1389</v>
      </c>
      <c r="T348" t="str">
        <f t="shared" si="12"/>
        <v>t2</v>
      </c>
    </row>
    <row r="349" spans="18:20">
      <c r="R349" cm="1">
        <f t="array" ref="R349" xml:space="preserve"> 1 + _xlfn.SINGLE(ROW()) - _xlfn.SINGLE(ROW(ExportSubstitutions_Within.RowNum))</f>
        <v>344</v>
      </c>
      <c r="S349" t="s">
        <v>1390</v>
      </c>
      <c r="T349" t="str">
        <f t="shared" si="12"/>
        <v>t3</v>
      </c>
    </row>
    <row r="350" spans="18:20">
      <c r="R350" cm="1">
        <f t="array" ref="R350" xml:space="preserve"> 1 + _xlfn.SINGLE(ROW()) - _xlfn.SINGLE(ROW(ExportSubstitutions_Within.RowNum))</f>
        <v>345</v>
      </c>
      <c r="S350" t="s">
        <v>1391</v>
      </c>
      <c r="T350" t="str">
        <f t="shared" si="12"/>
        <v>t4</v>
      </c>
    </row>
    <row r="351" spans="18:20">
      <c r="R351" cm="1">
        <f t="array" ref="R351" xml:space="preserve"> 1 + _xlfn.SINGLE(ROW()) - _xlfn.SINGLE(ROW(ExportSubstitutions_Within.RowNum))</f>
        <v>346</v>
      </c>
      <c r="S351" t="s">
        <v>1392</v>
      </c>
      <c r="T351" t="str">
        <f t="shared" si="12"/>
        <v>t5</v>
      </c>
    </row>
    <row r="352" spans="18:20">
      <c r="R352" cm="1">
        <f t="array" ref="R352" xml:space="preserve"> 1 + _xlfn.SINGLE(ROW()) - _xlfn.SINGLE(ROW(ExportSubstitutions_Within.RowNum))</f>
        <v>347</v>
      </c>
      <c r="S352" t="s">
        <v>1393</v>
      </c>
      <c r="T352" t="str">
        <f t="shared" si="12"/>
        <v>t6</v>
      </c>
    </row>
    <row r="353" spans="18:20">
      <c r="R353" cm="1">
        <f t="array" ref="R353" xml:space="preserve"> 1 + _xlfn.SINGLE(ROW()) - _xlfn.SINGLE(ROW(ExportSubstitutions_Within.RowNum))</f>
        <v>348</v>
      </c>
      <c r="S353" t="s">
        <v>1394</v>
      </c>
      <c r="T353" t="str">
        <f t="shared" si="12"/>
        <v>t7</v>
      </c>
    </row>
    <row r="354" spans="18:20">
      <c r="R354" cm="1">
        <f t="array" ref="R354" xml:space="preserve"> 1 + _xlfn.SINGLE(ROW()) - _xlfn.SINGLE(ROW(ExportSubstitutions_Within.RowNum))</f>
        <v>349</v>
      </c>
      <c r="S354" t="s">
        <v>1395</v>
      </c>
      <c r="T354" t="str">
        <f t="shared" si="12"/>
        <v>t8</v>
      </c>
    </row>
    <row r="355" spans="18:20">
      <c r="R355" cm="1">
        <f t="array" ref="R355" xml:space="preserve"> 1 + _xlfn.SINGLE(ROW()) - _xlfn.SINGLE(ROW(ExportSubstitutions_Within.RowNum))</f>
        <v>350</v>
      </c>
      <c r="S355" t="s">
        <v>1396</v>
      </c>
      <c r="T355" t="str">
        <f t="shared" si="12"/>
        <v>t9</v>
      </c>
    </row>
    <row r="356" spans="18:20">
      <c r="R356" cm="1">
        <f t="array" ref="R356" xml:space="preserve"> 1 + _xlfn.SINGLE(ROW()) - _xlfn.SINGLE(ROW(ExportSubstitutions_Within.RowNum))</f>
        <v>351</v>
      </c>
      <c r="S356" t="s">
        <v>1609</v>
      </c>
      <c r="T356" t="str">
        <f t="shared" si="12"/>
        <v>t.</v>
      </c>
    </row>
    <row r="357" spans="18:20">
      <c r="R357" cm="1">
        <f t="array" ref="R357" xml:space="preserve"> 1 + _xlfn.SINGLE(ROW()) - _xlfn.SINGLE(ROW(ExportSubstitutions_Within.RowNum))</f>
        <v>352</v>
      </c>
      <c r="S357" t="s">
        <v>1610</v>
      </c>
      <c r="T357" t="str">
        <f t="shared" si="12"/>
        <v>t-</v>
      </c>
    </row>
    <row r="358" spans="18:20">
      <c r="R358" cm="1">
        <f t="array" ref="R358" xml:space="preserve"> 1 + _xlfn.SINGLE(ROW()) - _xlfn.SINGLE(ROW(ExportSubstitutions_Within.RowNum))</f>
        <v>353</v>
      </c>
      <c r="S358" t="s">
        <v>1397</v>
      </c>
      <c r="T358" t="str">
        <f t="shared" si="12"/>
        <v>0V</v>
      </c>
    </row>
    <row r="359" spans="18:20">
      <c r="R359" cm="1">
        <f t="array" ref="R359" xml:space="preserve"> 1 + _xlfn.SINGLE(ROW()) - _xlfn.SINGLE(ROW(ExportSubstitutions_Within.RowNum))</f>
        <v>354</v>
      </c>
      <c r="S359" t="s">
        <v>1398</v>
      </c>
      <c r="T359" t="str">
        <f t="shared" si="12"/>
        <v>1V</v>
      </c>
    </row>
    <row r="360" spans="18:20">
      <c r="R360" cm="1">
        <f t="array" ref="R360" xml:space="preserve"> 1 + _xlfn.SINGLE(ROW()) - _xlfn.SINGLE(ROW(ExportSubstitutions_Within.RowNum))</f>
        <v>355</v>
      </c>
      <c r="S360" t="s">
        <v>1399</v>
      </c>
      <c r="T360" t="str">
        <f t="shared" si="12"/>
        <v>2V</v>
      </c>
    </row>
    <row r="361" spans="18:20">
      <c r="R361" cm="1">
        <f t="array" ref="R361" xml:space="preserve"> 1 + _xlfn.SINGLE(ROW()) - _xlfn.SINGLE(ROW(ExportSubstitutions_Within.RowNum))</f>
        <v>356</v>
      </c>
      <c r="S361" t="s">
        <v>1400</v>
      </c>
      <c r="T361" t="str">
        <f t="shared" si="12"/>
        <v>3V</v>
      </c>
    </row>
    <row r="362" spans="18:20">
      <c r="R362" cm="1">
        <f t="array" ref="R362" xml:space="preserve"> 1 + _xlfn.SINGLE(ROW()) - _xlfn.SINGLE(ROW(ExportSubstitutions_Within.RowNum))</f>
        <v>357</v>
      </c>
      <c r="S362" t="s">
        <v>1401</v>
      </c>
      <c r="T362" t="str">
        <f t="shared" si="12"/>
        <v>4V</v>
      </c>
    </row>
    <row r="363" spans="18:20">
      <c r="R363" cm="1">
        <f t="array" ref="R363" xml:space="preserve"> 1 + _xlfn.SINGLE(ROW()) - _xlfn.SINGLE(ROW(ExportSubstitutions_Within.RowNum))</f>
        <v>358</v>
      </c>
      <c r="S363" t="s">
        <v>1402</v>
      </c>
      <c r="T363" t="str">
        <f t="shared" si="12"/>
        <v>5V</v>
      </c>
    </row>
    <row r="364" spans="18:20">
      <c r="R364" cm="1">
        <f t="array" ref="R364" xml:space="preserve"> 1 + _xlfn.SINGLE(ROW()) - _xlfn.SINGLE(ROW(ExportSubstitutions_Within.RowNum))</f>
        <v>359</v>
      </c>
      <c r="S364" t="s">
        <v>1403</v>
      </c>
      <c r="T364" t="str">
        <f t="shared" si="12"/>
        <v>6V</v>
      </c>
    </row>
    <row r="365" spans="18:20">
      <c r="R365" cm="1">
        <f t="array" ref="R365" xml:space="preserve"> 1 + _xlfn.SINGLE(ROW()) - _xlfn.SINGLE(ROW(ExportSubstitutions_Within.RowNum))</f>
        <v>360</v>
      </c>
      <c r="S365" t="s">
        <v>1404</v>
      </c>
      <c r="T365" t="str">
        <f t="shared" si="12"/>
        <v>7V</v>
      </c>
    </row>
    <row r="366" spans="18:20">
      <c r="R366" cm="1">
        <f t="array" ref="R366" xml:space="preserve"> 1 + _xlfn.SINGLE(ROW()) - _xlfn.SINGLE(ROW(ExportSubstitutions_Within.RowNum))</f>
        <v>361</v>
      </c>
      <c r="S366" t="s">
        <v>1405</v>
      </c>
      <c r="T366" t="str">
        <f t="shared" si="12"/>
        <v>8V</v>
      </c>
    </row>
    <row r="367" spans="18:20">
      <c r="R367" cm="1">
        <f t="array" ref="R367" xml:space="preserve"> 1 + _xlfn.SINGLE(ROW()) - _xlfn.SINGLE(ROW(ExportSubstitutions_Within.RowNum))</f>
        <v>362</v>
      </c>
      <c r="S367" t="s">
        <v>1406</v>
      </c>
      <c r="T367" t="str">
        <f t="shared" si="12"/>
        <v>9V</v>
      </c>
    </row>
    <row r="368" spans="18:20">
      <c r="R368" cm="1">
        <f t="array" ref="R368" xml:space="preserve"> 1 + _xlfn.SINGLE(ROW()) - _xlfn.SINGLE(ROW(ExportSubstitutions_Within.RowNum))</f>
        <v>363</v>
      </c>
      <c r="S368" t="s">
        <v>1407</v>
      </c>
      <c r="T368" t="str">
        <f t="shared" si="12"/>
        <v>V0</v>
      </c>
    </row>
    <row r="369" spans="18:20">
      <c r="R369" cm="1">
        <f t="array" ref="R369" xml:space="preserve"> 1 + _xlfn.SINGLE(ROW()) - _xlfn.SINGLE(ROW(ExportSubstitutions_Within.RowNum))</f>
        <v>364</v>
      </c>
      <c r="S369" t="s">
        <v>1408</v>
      </c>
      <c r="T369" t="str">
        <f t="shared" si="12"/>
        <v>V1</v>
      </c>
    </row>
    <row r="370" spans="18:20">
      <c r="R370" cm="1">
        <f t="array" ref="R370" xml:space="preserve"> 1 + _xlfn.SINGLE(ROW()) - _xlfn.SINGLE(ROW(ExportSubstitutions_Within.RowNum))</f>
        <v>365</v>
      </c>
      <c r="S370" t="s">
        <v>1409</v>
      </c>
      <c r="T370" t="str">
        <f t="shared" si="12"/>
        <v>V2</v>
      </c>
    </row>
    <row r="371" spans="18:20">
      <c r="R371" cm="1">
        <f t="array" ref="R371" xml:space="preserve"> 1 + _xlfn.SINGLE(ROW()) - _xlfn.SINGLE(ROW(ExportSubstitutions_Within.RowNum))</f>
        <v>366</v>
      </c>
      <c r="S371" t="s">
        <v>1410</v>
      </c>
      <c r="T371" t="str">
        <f t="shared" si="12"/>
        <v>V3</v>
      </c>
    </row>
    <row r="372" spans="18:20">
      <c r="R372" cm="1">
        <f t="array" ref="R372" xml:space="preserve"> 1 + _xlfn.SINGLE(ROW()) - _xlfn.SINGLE(ROW(ExportSubstitutions_Within.RowNum))</f>
        <v>367</v>
      </c>
      <c r="S372" t="s">
        <v>1411</v>
      </c>
      <c r="T372" t="str">
        <f t="shared" si="12"/>
        <v>V4</v>
      </c>
    </row>
    <row r="373" spans="18:20">
      <c r="R373" cm="1">
        <f t="array" ref="R373" xml:space="preserve"> 1 + _xlfn.SINGLE(ROW()) - _xlfn.SINGLE(ROW(ExportSubstitutions_Within.RowNum))</f>
        <v>368</v>
      </c>
      <c r="S373" t="s">
        <v>1412</v>
      </c>
      <c r="T373" t="str">
        <f t="shared" si="12"/>
        <v>V5</v>
      </c>
    </row>
    <row r="374" spans="18:20">
      <c r="R374" cm="1">
        <f t="array" ref="R374" xml:space="preserve"> 1 + _xlfn.SINGLE(ROW()) - _xlfn.SINGLE(ROW(ExportSubstitutions_Within.RowNum))</f>
        <v>369</v>
      </c>
      <c r="S374" t="s">
        <v>1413</v>
      </c>
      <c r="T374" t="str">
        <f t="shared" si="12"/>
        <v>V6</v>
      </c>
    </row>
    <row r="375" spans="18:20">
      <c r="R375" cm="1">
        <f t="array" ref="R375" xml:space="preserve"> 1 + _xlfn.SINGLE(ROW()) - _xlfn.SINGLE(ROW(ExportSubstitutions_Within.RowNum))</f>
        <v>370</v>
      </c>
      <c r="S375" t="s">
        <v>1414</v>
      </c>
      <c r="T375" t="str">
        <f t="shared" si="12"/>
        <v>V7</v>
      </c>
    </row>
    <row r="376" spans="18:20">
      <c r="R376" cm="1">
        <f t="array" ref="R376" xml:space="preserve"> 1 + _xlfn.SINGLE(ROW()) - _xlfn.SINGLE(ROW(ExportSubstitutions_Within.RowNum))</f>
        <v>371</v>
      </c>
      <c r="S376" t="s">
        <v>1415</v>
      </c>
      <c r="T376" t="str">
        <f t="shared" si="12"/>
        <v>V8</v>
      </c>
    </row>
    <row r="377" spans="18:20">
      <c r="R377" cm="1">
        <f t="array" ref="R377" xml:space="preserve"> 1 + _xlfn.SINGLE(ROW()) - _xlfn.SINGLE(ROW(ExportSubstitutions_Within.RowNum))</f>
        <v>372</v>
      </c>
      <c r="S377" t="s">
        <v>1416</v>
      </c>
      <c r="T377" t="str">
        <f t="shared" si="12"/>
        <v>V9</v>
      </c>
    </row>
    <row r="378" spans="18:20">
      <c r="R378" cm="1">
        <f t="array" ref="R378" xml:space="preserve"> 1 + _xlfn.SINGLE(ROW()) - _xlfn.SINGLE(ROW(ExportSubstitutions_Within.RowNum))</f>
        <v>373</v>
      </c>
      <c r="S378" t="s">
        <v>1611</v>
      </c>
      <c r="T378" t="str">
        <f t="shared" si="12"/>
        <v>V.</v>
      </c>
    </row>
    <row r="379" spans="18:20">
      <c r="R379" cm="1">
        <f t="array" ref="R379" xml:space="preserve"> 1 + _xlfn.SINGLE(ROW()) - _xlfn.SINGLE(ROW(ExportSubstitutions_Within.RowNum))</f>
        <v>374</v>
      </c>
      <c r="S379" t="s">
        <v>1612</v>
      </c>
      <c r="T379" t="str">
        <f t="shared" si="12"/>
        <v>V-</v>
      </c>
    </row>
    <row r="380" spans="18:20">
      <c r="R380" cm="1">
        <f t="array" ref="R380" xml:space="preserve"> 1 + _xlfn.SINGLE(ROW()) - _xlfn.SINGLE(ROW(ExportSubstitutions_Within.RowNum))</f>
        <v>375</v>
      </c>
      <c r="S380" t="s">
        <v>1417</v>
      </c>
      <c r="T380" t="str">
        <f t="shared" si="12"/>
        <v>0v</v>
      </c>
    </row>
    <row r="381" spans="18:20">
      <c r="R381" cm="1">
        <f t="array" ref="R381" xml:space="preserve"> 1 + _xlfn.SINGLE(ROW()) - _xlfn.SINGLE(ROW(ExportSubstitutions_Within.RowNum))</f>
        <v>376</v>
      </c>
      <c r="S381" t="s">
        <v>1418</v>
      </c>
      <c r="T381" t="str">
        <f t="shared" si="12"/>
        <v>1v</v>
      </c>
    </row>
    <row r="382" spans="18:20">
      <c r="R382" cm="1">
        <f t="array" ref="R382" xml:space="preserve"> 1 + _xlfn.SINGLE(ROW()) - _xlfn.SINGLE(ROW(ExportSubstitutions_Within.RowNum))</f>
        <v>377</v>
      </c>
      <c r="S382" t="s">
        <v>1419</v>
      </c>
      <c r="T382" t="str">
        <f t="shared" si="12"/>
        <v>2v</v>
      </c>
    </row>
    <row r="383" spans="18:20">
      <c r="R383" cm="1">
        <f t="array" ref="R383" xml:space="preserve"> 1 + _xlfn.SINGLE(ROW()) - _xlfn.SINGLE(ROW(ExportSubstitutions_Within.RowNum))</f>
        <v>378</v>
      </c>
      <c r="S383" t="s">
        <v>1420</v>
      </c>
      <c r="T383" t="str">
        <f t="shared" si="12"/>
        <v>3v</v>
      </c>
    </row>
    <row r="384" spans="18:20">
      <c r="R384" cm="1">
        <f t="array" ref="R384" xml:space="preserve"> 1 + _xlfn.SINGLE(ROW()) - _xlfn.SINGLE(ROW(ExportSubstitutions_Within.RowNum))</f>
        <v>379</v>
      </c>
      <c r="S384" t="s">
        <v>1421</v>
      </c>
      <c r="T384" t="str">
        <f t="shared" si="12"/>
        <v>4v</v>
      </c>
    </row>
    <row r="385" spans="18:20">
      <c r="R385" cm="1">
        <f t="array" ref="R385" xml:space="preserve"> 1 + _xlfn.SINGLE(ROW()) - _xlfn.SINGLE(ROW(ExportSubstitutions_Within.RowNum))</f>
        <v>380</v>
      </c>
      <c r="S385" t="s">
        <v>1422</v>
      </c>
      <c r="T385" t="str">
        <f t="shared" si="12"/>
        <v>5v</v>
      </c>
    </row>
    <row r="386" spans="18:20">
      <c r="R386" cm="1">
        <f t="array" ref="R386" xml:space="preserve"> 1 + _xlfn.SINGLE(ROW()) - _xlfn.SINGLE(ROW(ExportSubstitutions_Within.RowNum))</f>
        <v>381</v>
      </c>
      <c r="S386" t="s">
        <v>1423</v>
      </c>
      <c r="T386" t="str">
        <f t="shared" si="12"/>
        <v>6v</v>
      </c>
    </row>
    <row r="387" spans="18:20">
      <c r="R387" cm="1">
        <f t="array" ref="R387" xml:space="preserve"> 1 + _xlfn.SINGLE(ROW()) - _xlfn.SINGLE(ROW(ExportSubstitutions_Within.RowNum))</f>
        <v>382</v>
      </c>
      <c r="S387" t="s">
        <v>1424</v>
      </c>
      <c r="T387" t="str">
        <f t="shared" si="12"/>
        <v>7v</v>
      </c>
    </row>
    <row r="388" spans="18:20">
      <c r="R388" cm="1">
        <f t="array" ref="R388" xml:space="preserve"> 1 + _xlfn.SINGLE(ROW()) - _xlfn.SINGLE(ROW(ExportSubstitutions_Within.RowNum))</f>
        <v>383</v>
      </c>
      <c r="S388" t="s">
        <v>1425</v>
      </c>
      <c r="T388" t="str">
        <f t="shared" si="12"/>
        <v>8v</v>
      </c>
    </row>
    <row r="389" spans="18:20">
      <c r="R389" cm="1">
        <f t="array" ref="R389" xml:space="preserve"> 1 + _xlfn.SINGLE(ROW()) - _xlfn.SINGLE(ROW(ExportSubstitutions_Within.RowNum))</f>
        <v>384</v>
      </c>
      <c r="S389" t="s">
        <v>1426</v>
      </c>
      <c r="T389" t="str">
        <f t="shared" si="12"/>
        <v>9v</v>
      </c>
    </row>
    <row r="390" spans="18:20">
      <c r="R390" cm="1">
        <f t="array" ref="R390" xml:space="preserve"> 1 + _xlfn.SINGLE(ROW()) - _xlfn.SINGLE(ROW(ExportSubstitutions_Within.RowNum))</f>
        <v>385</v>
      </c>
      <c r="S390" t="s">
        <v>1427</v>
      </c>
      <c r="T390" t="str">
        <f t="shared" ref="T390:T419" si="13" xml:space="preserve"> SUBSTITUTE(ExportSubstitutions_Within.From, " ", "")</f>
        <v>v0</v>
      </c>
    </row>
    <row r="391" spans="18:20">
      <c r="R391" cm="1">
        <f t="array" ref="R391" xml:space="preserve"> 1 + _xlfn.SINGLE(ROW()) - _xlfn.SINGLE(ROW(ExportSubstitutions_Within.RowNum))</f>
        <v>386</v>
      </c>
      <c r="S391" t="s">
        <v>1428</v>
      </c>
      <c r="T391" t="str">
        <f t="shared" si="13"/>
        <v>v1</v>
      </c>
    </row>
    <row r="392" spans="18:20">
      <c r="R392" cm="1">
        <f t="array" ref="R392" xml:space="preserve"> 1 + _xlfn.SINGLE(ROW()) - _xlfn.SINGLE(ROW(ExportSubstitutions_Within.RowNum))</f>
        <v>387</v>
      </c>
      <c r="S392" t="s">
        <v>1429</v>
      </c>
      <c r="T392" t="str">
        <f t="shared" si="13"/>
        <v>v2</v>
      </c>
    </row>
    <row r="393" spans="18:20">
      <c r="R393" cm="1">
        <f t="array" ref="R393" xml:space="preserve"> 1 + _xlfn.SINGLE(ROW()) - _xlfn.SINGLE(ROW(ExportSubstitutions_Within.RowNum))</f>
        <v>388</v>
      </c>
      <c r="S393" t="s">
        <v>1430</v>
      </c>
      <c r="T393" t="str">
        <f t="shared" si="13"/>
        <v>v3</v>
      </c>
    </row>
    <row r="394" spans="18:20">
      <c r="R394" cm="1">
        <f t="array" ref="R394" xml:space="preserve"> 1 + _xlfn.SINGLE(ROW()) - _xlfn.SINGLE(ROW(ExportSubstitutions_Within.RowNum))</f>
        <v>389</v>
      </c>
      <c r="S394" t="s">
        <v>1431</v>
      </c>
      <c r="T394" t="str">
        <f t="shared" si="13"/>
        <v>v4</v>
      </c>
    </row>
    <row r="395" spans="18:20">
      <c r="R395" cm="1">
        <f t="array" ref="R395" xml:space="preserve"> 1 + _xlfn.SINGLE(ROW()) - _xlfn.SINGLE(ROW(ExportSubstitutions_Within.RowNum))</f>
        <v>390</v>
      </c>
      <c r="S395" t="s">
        <v>1432</v>
      </c>
      <c r="T395" t="str">
        <f t="shared" si="13"/>
        <v>v5</v>
      </c>
    </row>
    <row r="396" spans="18:20">
      <c r="R396" cm="1">
        <f t="array" ref="R396" xml:space="preserve"> 1 + _xlfn.SINGLE(ROW()) - _xlfn.SINGLE(ROW(ExportSubstitutions_Within.RowNum))</f>
        <v>391</v>
      </c>
      <c r="S396" t="s">
        <v>1433</v>
      </c>
      <c r="T396" t="str">
        <f t="shared" si="13"/>
        <v>v6</v>
      </c>
    </row>
    <row r="397" spans="18:20">
      <c r="R397" cm="1">
        <f t="array" ref="R397" xml:space="preserve"> 1 + _xlfn.SINGLE(ROW()) - _xlfn.SINGLE(ROW(ExportSubstitutions_Within.RowNum))</f>
        <v>392</v>
      </c>
      <c r="S397" t="s">
        <v>1434</v>
      </c>
      <c r="T397" t="str">
        <f t="shared" si="13"/>
        <v>v7</v>
      </c>
    </row>
    <row r="398" spans="18:20">
      <c r="R398" cm="1">
        <f t="array" ref="R398" xml:space="preserve"> 1 + _xlfn.SINGLE(ROW()) - _xlfn.SINGLE(ROW(ExportSubstitutions_Within.RowNum))</f>
        <v>393</v>
      </c>
      <c r="S398" t="s">
        <v>1435</v>
      </c>
      <c r="T398" t="str">
        <f t="shared" si="13"/>
        <v>v8</v>
      </c>
    </row>
    <row r="399" spans="18:20">
      <c r="R399" cm="1">
        <f t="array" ref="R399" xml:space="preserve"> 1 + _xlfn.SINGLE(ROW()) - _xlfn.SINGLE(ROW(ExportSubstitutions_Within.RowNum))</f>
        <v>394</v>
      </c>
      <c r="S399" t="s">
        <v>1436</v>
      </c>
      <c r="T399" t="str">
        <f t="shared" si="13"/>
        <v>v9</v>
      </c>
    </row>
    <row r="400" spans="18:20">
      <c r="R400" cm="1">
        <f t="array" ref="R400" xml:space="preserve"> 1 + _xlfn.SINGLE(ROW()) - _xlfn.SINGLE(ROW(ExportSubstitutions_Within.RowNum))</f>
        <v>395</v>
      </c>
      <c r="S400" t="s">
        <v>1437</v>
      </c>
      <c r="T400" t="str">
        <f t="shared" si="13"/>
        <v>0Z</v>
      </c>
    </row>
    <row r="401" spans="18:20">
      <c r="R401" cm="1">
        <f t="array" ref="R401" xml:space="preserve"> 1 + _xlfn.SINGLE(ROW()) - _xlfn.SINGLE(ROW(ExportSubstitutions_Within.RowNum))</f>
        <v>396</v>
      </c>
      <c r="S401" t="s">
        <v>1438</v>
      </c>
      <c r="T401" t="str">
        <f t="shared" si="13"/>
        <v>1Z</v>
      </c>
    </row>
    <row r="402" spans="18:20">
      <c r="R402" cm="1">
        <f t="array" ref="R402" xml:space="preserve"> 1 + _xlfn.SINGLE(ROW()) - _xlfn.SINGLE(ROW(ExportSubstitutions_Within.RowNum))</f>
        <v>397</v>
      </c>
      <c r="S402" t="s">
        <v>1439</v>
      </c>
      <c r="T402" t="str">
        <f t="shared" si="13"/>
        <v>2Z</v>
      </c>
    </row>
    <row r="403" spans="18:20">
      <c r="R403" cm="1">
        <f t="array" ref="R403" xml:space="preserve"> 1 + _xlfn.SINGLE(ROW()) - _xlfn.SINGLE(ROW(ExportSubstitutions_Within.RowNum))</f>
        <v>398</v>
      </c>
      <c r="S403" t="s">
        <v>1440</v>
      </c>
      <c r="T403" t="str">
        <f t="shared" si="13"/>
        <v>3Z</v>
      </c>
    </row>
    <row r="404" spans="18:20">
      <c r="R404" cm="1">
        <f t="array" ref="R404" xml:space="preserve"> 1 + _xlfn.SINGLE(ROW()) - _xlfn.SINGLE(ROW(ExportSubstitutions_Within.RowNum))</f>
        <v>399</v>
      </c>
      <c r="S404" t="s">
        <v>1441</v>
      </c>
      <c r="T404" t="str">
        <f t="shared" si="13"/>
        <v>4Z</v>
      </c>
    </row>
    <row r="405" spans="18:20">
      <c r="R405" cm="1">
        <f t="array" ref="R405" xml:space="preserve"> 1 + _xlfn.SINGLE(ROW()) - _xlfn.SINGLE(ROW(ExportSubstitutions_Within.RowNum))</f>
        <v>400</v>
      </c>
      <c r="S405" t="s">
        <v>1442</v>
      </c>
      <c r="T405" t="str">
        <f t="shared" si="13"/>
        <v>5Z</v>
      </c>
    </row>
    <row r="406" spans="18:20">
      <c r="R406" cm="1">
        <f t="array" ref="R406" xml:space="preserve"> 1 + _xlfn.SINGLE(ROW()) - _xlfn.SINGLE(ROW(ExportSubstitutions_Within.RowNum))</f>
        <v>401</v>
      </c>
      <c r="S406" t="s">
        <v>1443</v>
      </c>
      <c r="T406" t="str">
        <f t="shared" si="13"/>
        <v>6Z</v>
      </c>
    </row>
    <row r="407" spans="18:20">
      <c r="R407" cm="1">
        <f t="array" ref="R407" xml:space="preserve"> 1 + _xlfn.SINGLE(ROW()) - _xlfn.SINGLE(ROW(ExportSubstitutions_Within.RowNum))</f>
        <v>402</v>
      </c>
      <c r="S407" t="s">
        <v>1444</v>
      </c>
      <c r="T407" t="str">
        <f t="shared" si="13"/>
        <v>7Z</v>
      </c>
    </row>
    <row r="408" spans="18:20">
      <c r="R408" cm="1">
        <f t="array" ref="R408" xml:space="preserve"> 1 + _xlfn.SINGLE(ROW()) - _xlfn.SINGLE(ROW(ExportSubstitutions_Within.RowNum))</f>
        <v>403</v>
      </c>
      <c r="S408" t="s">
        <v>1445</v>
      </c>
      <c r="T408" t="str">
        <f t="shared" si="13"/>
        <v>8Z</v>
      </c>
    </row>
    <row r="409" spans="18:20">
      <c r="R409" cm="1">
        <f t="array" ref="R409" xml:space="preserve"> 1 + _xlfn.SINGLE(ROW()) - _xlfn.SINGLE(ROW(ExportSubstitutions_Within.RowNum))</f>
        <v>404</v>
      </c>
      <c r="S409" t="s">
        <v>1446</v>
      </c>
      <c r="T409" t="str">
        <f t="shared" si="13"/>
        <v>9Z</v>
      </c>
    </row>
    <row r="410" spans="18:20">
      <c r="R410" cm="1">
        <f t="array" ref="R410" xml:space="preserve"> 1 + _xlfn.SINGLE(ROW()) - _xlfn.SINGLE(ROW(ExportSubstitutions_Within.RowNum))</f>
        <v>405</v>
      </c>
      <c r="S410" t="s">
        <v>1447</v>
      </c>
      <c r="T410" t="str">
        <f t="shared" si="13"/>
        <v>0z</v>
      </c>
    </row>
    <row r="411" spans="18:20">
      <c r="R411" cm="1">
        <f t="array" ref="R411" xml:space="preserve"> 1 + _xlfn.SINGLE(ROW()) - _xlfn.SINGLE(ROW(ExportSubstitutions_Within.RowNum))</f>
        <v>406</v>
      </c>
      <c r="S411" t="s">
        <v>1448</v>
      </c>
      <c r="T411" t="str">
        <f t="shared" si="13"/>
        <v>1z</v>
      </c>
    </row>
    <row r="412" spans="18:20">
      <c r="R412" cm="1">
        <f t="array" ref="R412" xml:space="preserve"> 1 + _xlfn.SINGLE(ROW()) - _xlfn.SINGLE(ROW(ExportSubstitutions_Within.RowNum))</f>
        <v>407</v>
      </c>
      <c r="S412" t="s">
        <v>1449</v>
      </c>
      <c r="T412" t="str">
        <f t="shared" si="13"/>
        <v>2z</v>
      </c>
    </row>
    <row r="413" spans="18:20">
      <c r="R413" cm="1">
        <f t="array" ref="R413" xml:space="preserve"> 1 + _xlfn.SINGLE(ROW()) - _xlfn.SINGLE(ROW(ExportSubstitutions_Within.RowNum))</f>
        <v>408</v>
      </c>
      <c r="S413" t="s">
        <v>1450</v>
      </c>
      <c r="T413" t="str">
        <f t="shared" si="13"/>
        <v>3z</v>
      </c>
    </row>
    <row r="414" spans="18:20">
      <c r="R414" cm="1">
        <f t="array" ref="R414" xml:space="preserve"> 1 + _xlfn.SINGLE(ROW()) - _xlfn.SINGLE(ROW(ExportSubstitutions_Within.RowNum))</f>
        <v>409</v>
      </c>
      <c r="S414" t="s">
        <v>1451</v>
      </c>
      <c r="T414" t="str">
        <f t="shared" si="13"/>
        <v>4z</v>
      </c>
    </row>
    <row r="415" spans="18:20">
      <c r="R415" cm="1">
        <f t="array" ref="R415" xml:space="preserve"> 1 + _xlfn.SINGLE(ROW()) - _xlfn.SINGLE(ROW(ExportSubstitutions_Within.RowNum))</f>
        <v>410</v>
      </c>
      <c r="S415" t="s">
        <v>1452</v>
      </c>
      <c r="T415" t="str">
        <f t="shared" si="13"/>
        <v>5z</v>
      </c>
    </row>
    <row r="416" spans="18:20">
      <c r="R416" cm="1">
        <f t="array" ref="R416" xml:space="preserve"> 1 + _xlfn.SINGLE(ROW()) - _xlfn.SINGLE(ROW(ExportSubstitutions_Within.RowNum))</f>
        <v>411</v>
      </c>
      <c r="S416" t="s">
        <v>1453</v>
      </c>
      <c r="T416" t="str">
        <f t="shared" si="13"/>
        <v>6z</v>
      </c>
    </row>
    <row r="417" spans="18:20">
      <c r="R417" cm="1">
        <f t="array" ref="R417" xml:space="preserve"> 1 + _xlfn.SINGLE(ROW()) - _xlfn.SINGLE(ROW(ExportSubstitutions_Within.RowNum))</f>
        <v>412</v>
      </c>
      <c r="S417" t="s">
        <v>1454</v>
      </c>
      <c r="T417" t="str">
        <f t="shared" si="13"/>
        <v>7z</v>
      </c>
    </row>
    <row r="418" spans="18:20">
      <c r="R418" cm="1">
        <f t="array" ref="R418" xml:space="preserve"> 1 + _xlfn.SINGLE(ROW()) - _xlfn.SINGLE(ROW(ExportSubstitutions_Within.RowNum))</f>
        <v>413</v>
      </c>
      <c r="S418" t="s">
        <v>1455</v>
      </c>
      <c r="T418" t="str">
        <f t="shared" si="13"/>
        <v>8z</v>
      </c>
    </row>
    <row r="419" spans="18:20">
      <c r="R419" cm="1">
        <f t="array" ref="R419" xml:space="preserve"> 1 + _xlfn.SINGLE(ROW()) - _xlfn.SINGLE(ROW(ExportSubstitutions_Within.RowNum))</f>
        <v>414</v>
      </c>
      <c r="S419" t="s">
        <v>1456</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2089</v>
      </c>
      <c r="T422" t="s">
        <v>2118</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2090</v>
      </c>
      <c r="T424" t="s">
        <v>2119</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2091</v>
      </c>
      <c r="T426" t="s">
        <v>2120</v>
      </c>
    </row>
    <row r="427" spans="18:20">
      <c r="R427" cm="1">
        <f t="array" ref="R427" xml:space="preserve"> 1 + _xlfn.SINGLE(ROW()) - _xlfn.SINGLE(ROW(ExportSubstitutions_Within.RowNum))</f>
        <v>422</v>
      </c>
      <c r="S427" t="s">
        <v>2092</v>
      </c>
      <c r="T427" t="s">
        <v>2121</v>
      </c>
    </row>
    <row r="428" spans="18:20">
      <c r="R428" cm="1">
        <f t="array" ref="R428" xml:space="preserve"> 1 + _xlfn.SINGLE(ROW()) - _xlfn.SINGLE(ROW(ExportSubstitutions_Within.RowNum))</f>
        <v>423</v>
      </c>
      <c r="S428" t="s">
        <v>2092</v>
      </c>
      <c r="T428" t="s">
        <v>2121</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2093</v>
      </c>
      <c r="T436" t="s">
        <v>2122</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2094</v>
      </c>
      <c r="T447" t="s">
        <v>2123</v>
      </c>
    </row>
    <row r="448" spans="18:20">
      <c r="R448" cm="1">
        <f t="array" ref="R448" xml:space="preserve"> 1 + _xlfn.SINGLE(ROW()) - _xlfn.SINGLE(ROW(ExportSubstitutions_Within.RowNum))</f>
        <v>443</v>
      </c>
      <c r="S448" t="s">
        <v>2095</v>
      </c>
      <c r="T448" t="s">
        <v>2107</v>
      </c>
    </row>
    <row r="449" spans="18:20">
      <c r="R449" cm="1">
        <f t="array" ref="R449" xml:space="preserve"> 1 + _xlfn.SINGLE(ROW()) - _xlfn.SINGLE(ROW(ExportSubstitutions_Within.RowNum))</f>
        <v>444</v>
      </c>
      <c r="S449" t="s">
        <v>2096</v>
      </c>
      <c r="T449" t="s">
        <v>2108</v>
      </c>
    </row>
    <row r="450" spans="18:20">
      <c r="R450" cm="1">
        <f t="array" ref="R450" xml:space="preserve"> 1 + _xlfn.SINGLE(ROW()) - _xlfn.SINGLE(ROW(ExportSubstitutions_Within.RowNum))</f>
        <v>445</v>
      </c>
      <c r="S450" t="s">
        <v>2097</v>
      </c>
      <c r="T450" t="s">
        <v>2109</v>
      </c>
    </row>
    <row r="451" spans="18:20">
      <c r="R451" cm="1">
        <f t="array" ref="R451" xml:space="preserve"> 1 + _xlfn.SINGLE(ROW()) - _xlfn.SINGLE(ROW(ExportSubstitutions_Within.RowNum))</f>
        <v>446</v>
      </c>
      <c r="S451" t="s">
        <v>2098</v>
      </c>
      <c r="T451" t="s">
        <v>2110</v>
      </c>
    </row>
    <row r="452" spans="18:20">
      <c r="R452" cm="1">
        <f t="array" ref="R452" xml:space="preserve"> 1 + _xlfn.SINGLE(ROW()) - _xlfn.SINGLE(ROW(ExportSubstitutions_Within.RowNum))</f>
        <v>447</v>
      </c>
      <c r="S452" t="s">
        <v>2099</v>
      </c>
      <c r="T452" t="s">
        <v>2111</v>
      </c>
    </row>
    <row r="453" spans="18:20">
      <c r="R453" cm="1">
        <f t="array" ref="R453" xml:space="preserve"> 1 + _xlfn.SINGLE(ROW()) - _xlfn.SINGLE(ROW(ExportSubstitutions_Within.RowNum))</f>
        <v>448</v>
      </c>
      <c r="S453" t="s">
        <v>2100</v>
      </c>
      <c r="T453" t="s">
        <v>2112</v>
      </c>
    </row>
    <row r="454" spans="18:20">
      <c r="R454" cm="1">
        <f t="array" ref="R454" xml:space="preserve"> 1 + _xlfn.SINGLE(ROW()) - _xlfn.SINGLE(ROW(ExportSubstitutions_Within.RowNum))</f>
        <v>449</v>
      </c>
      <c r="S454" t="s">
        <v>2101</v>
      </c>
      <c r="T454" t="s">
        <v>2113</v>
      </c>
    </row>
    <row r="455" spans="18:20">
      <c r="R455" cm="1">
        <f t="array" ref="R455" xml:space="preserve"> 1 + _xlfn.SINGLE(ROW()) - _xlfn.SINGLE(ROW(ExportSubstitutions_Within.RowNum))</f>
        <v>450</v>
      </c>
      <c r="S455" t="s">
        <v>2102</v>
      </c>
      <c r="T455" t="s">
        <v>2114</v>
      </c>
    </row>
    <row r="456" spans="18:20">
      <c r="R456" cm="1">
        <f t="array" ref="R456" xml:space="preserve"> 1 + _xlfn.SINGLE(ROW()) - _xlfn.SINGLE(ROW(ExportSubstitutions_Within.RowNum))</f>
        <v>451</v>
      </c>
      <c r="S456" t="s">
        <v>2103</v>
      </c>
      <c r="T456" t="s">
        <v>2115</v>
      </c>
    </row>
    <row r="457" spans="18:20">
      <c r="R457" cm="1">
        <f t="array" ref="R457" xml:space="preserve"> 1 + _xlfn.SINGLE(ROW()) - _xlfn.SINGLE(ROW(ExportSubstitutions_Within.RowNum))</f>
        <v>452</v>
      </c>
      <c r="S457" t="s">
        <v>2104</v>
      </c>
      <c r="T457" t="s">
        <v>2116</v>
      </c>
    </row>
    <row r="458" spans="18:20">
      <c r="R458" cm="1">
        <f t="array" ref="R458" xml:space="preserve"> 1 + _xlfn.SINGLE(ROW()) - _xlfn.SINGLE(ROW(ExportSubstitutions_Within.RowNum))</f>
        <v>453</v>
      </c>
      <c r="S458" t="s">
        <v>2105</v>
      </c>
      <c r="T458" t="s">
        <v>2117</v>
      </c>
    </row>
    <row r="459" spans="18:20">
      <c r="R459" cm="1">
        <f t="array" ref="R459" xml:space="preserve"> 1 + _xlfn.SINGLE(ROW()) - _xlfn.SINGLE(ROW(ExportSubstitutions_Within.RowNum))</f>
        <v>454</v>
      </c>
      <c r="S459" t="s">
        <v>2106</v>
      </c>
      <c r="T459" t="s">
        <v>2124</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1484</v>
      </c>
      <c r="G8" s="3" t="s">
        <v>1483</v>
      </c>
    </row>
    <row r="9" spans="1:9">
      <c r="B9" s="48">
        <f xml:space="preserve"> CHOOSE(2,      TAN(10*PI()/180),   TAN(15*PI()/180),   2 - SQRT(3) )</f>
        <v>0.2679491924311227</v>
      </c>
      <c r="C9" s="5" t="s">
        <v>1482</v>
      </c>
      <c r="G9">
        <f xml:space="preserve"> _xlfn.MAXIFS(Rational.RowNum,   Rational.Num,"&lt;1E307",   Rational.Den,"&lt;1E307")</f>
        <v>27</v>
      </c>
    </row>
    <row r="11" spans="1:9" ht="17" thickBot="1">
      <c r="A11" s="3" t="s">
        <v>1481</v>
      </c>
      <c r="B11" s="3" t="s">
        <v>1480</v>
      </c>
      <c r="C11" s="3" t="s">
        <v>1479</v>
      </c>
      <c r="D11" s="3" t="s">
        <v>1478</v>
      </c>
      <c r="E11" s="3" t="s">
        <v>1477</v>
      </c>
      <c r="F11" s="3" t="s">
        <v>1476</v>
      </c>
      <c r="G11" s="3" t="s">
        <v>1475</v>
      </c>
      <c r="H11" s="3" t="s">
        <v>1474</v>
      </c>
      <c r="I11" s="3" t="s">
        <v>1473</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1366</vt:i4>
      </vt:variant>
    </vt:vector>
  </HeadingPairs>
  <TitlesOfParts>
    <vt:vector size="1429"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2025-12-13T00:42:37Z</dcterms:modified>
</cp:coreProperties>
</file>