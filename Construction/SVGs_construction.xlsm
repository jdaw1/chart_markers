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C9BDF464-00BD-E74D-827C-870DC2ADCA74}" xr6:coauthVersionLast="45" xr6:coauthVersionMax="45" xr10:uidLastSave="{00000000-0000-0000-0000-000000000000}"/>
  <bookViews>
    <workbookView xWindow="380" yWindow="440" windowWidth="23020" windowHeight="27120" firstSheet="44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ChartLines!$J$3:$J$277</definedName>
    <definedName name="ChartLines.G">ChartLines!$I$3:$I$277</definedName>
    <definedName name="ChartLines.Hex6">ChartLines!$C$3:$C$277</definedName>
    <definedName name="ChartLines.ID">ChartLines!$B$3:$B$277</definedName>
    <definedName name="ChartLines.InstanceNum">ChartLines!$F$3:$F$277</definedName>
    <definedName name="ChartLines.NumInstances">ChartLines!$E$3:$E$277</definedName>
    <definedName name="ChartLines.R">ChartLines!$H$3:$H$277</definedName>
    <definedName name="ChartLines.RowNum">ChartLines!$K$3:$K$277</definedName>
    <definedName name="ChartLines.ThicknessText">ChartLines!$G$3:$G$277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6" i="63" l="1"/>
  <c r="H246" i="63"/>
  <c r="I246" i="63"/>
  <c r="J246" i="63"/>
  <c r="K246" i="63" a="1"/>
  <c r="K246" i="63" s="1"/>
  <c r="F246" i="63" s="1"/>
  <c r="E247" i="63"/>
  <c r="H247" i="63"/>
  <c r="I247" i="63"/>
  <c r="J247" i="63"/>
  <c r="K247" i="63" a="1"/>
  <c r="K247" i="63" s="1"/>
  <c r="F247" i="63" s="1"/>
  <c r="E248" i="63"/>
  <c r="F248" i="63"/>
  <c r="H248" i="63"/>
  <c r="I248" i="63"/>
  <c r="J248" i="63"/>
  <c r="K248" i="63" a="1"/>
  <c r="K248" i="63" s="1"/>
  <c r="AD34" i="8"/>
  <c r="AD29" i="8"/>
  <c r="AD28" i="8"/>
  <c r="AD27" i="8"/>
  <c r="AD26" i="8"/>
  <c r="AD20" i="8"/>
  <c r="AD4" i="8"/>
  <c r="AE31" i="8"/>
  <c r="AE30" i="8"/>
  <c r="AE29" i="8"/>
  <c r="AE28" i="8"/>
  <c r="AE27" i="8"/>
  <c r="AE26" i="8"/>
  <c r="AE25" i="8"/>
  <c r="AC31" i="8"/>
  <c r="AC30" i="8"/>
  <c r="AC29" i="8"/>
  <c r="AC28" i="8"/>
  <c r="AC27" i="8"/>
  <c r="AC26" i="8"/>
  <c r="AC25" i="8"/>
  <c r="E241" i="63"/>
  <c r="K241" i="63" a="1"/>
  <c r="K241" i="63" s="1"/>
  <c r="E242" i="63"/>
  <c r="H242" i="63"/>
  <c r="I242" i="63"/>
  <c r="J242" i="63"/>
  <c r="K242" i="63" a="1"/>
  <c r="K242" i="63" s="1"/>
  <c r="F242" i="63" s="1"/>
  <c r="C241" i="63"/>
  <c r="J241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41" i="63" l="1"/>
  <c r="G241" i="63" s="1" a="1"/>
  <c r="G241" i="63" s="1"/>
  <c r="G248" i="63" a="1"/>
  <c r="G248" i="63" s="1"/>
  <c r="G247" i="63" a="1"/>
  <c r="G247" i="63" s="1"/>
  <c r="G246" i="63" a="1"/>
  <c r="G246" i="63" s="1"/>
  <c r="I241" i="63"/>
  <c r="H241" i="63"/>
  <c r="G242" i="63" a="1"/>
  <c r="G242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E28" i="70" l="1"/>
  <c r="F27" i="70"/>
  <c r="I34" i="70"/>
  <c r="F34" i="70"/>
  <c r="E35" i="70"/>
  <c r="I35" i="70" s="1"/>
  <c r="G201" i="63" a="1"/>
  <c r="G201" i="63" s="1"/>
  <c r="F199" i="63"/>
  <c r="G199" i="63" s="1" a="1"/>
  <c r="G199" i="63" s="1"/>
  <c r="F200" i="63"/>
  <c r="G200" i="63" s="1" a="1"/>
  <c r="G200" i="63" s="1"/>
  <c r="F28" i="70" l="1"/>
  <c r="F29" i="70"/>
  <c r="AA3" i="70" a="1"/>
  <c r="AA3" i="70" s="1"/>
  <c r="F35" i="70"/>
  <c r="I28" i="70"/>
  <c r="E36" i="70"/>
  <c r="Z30" i="8"/>
  <c r="F30" i="8"/>
  <c r="F36" i="70" l="1"/>
  <c r="I36" i="70"/>
  <c r="AT24" i="25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39" i="67" a="1"/>
  <c r="K42" i="67" a="1"/>
  <c r="K7" i="67" a="1"/>
  <c r="K36" i="67" a="1"/>
  <c r="K45" i="67" a="1"/>
  <c r="K48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E263" i="63"/>
  <c r="H263" i="63"/>
  <c r="I263" i="63"/>
  <c r="J263" i="63"/>
  <c r="K263" i="63" a="1"/>
  <c r="K263" i="63" s="1"/>
  <c r="E264" i="63"/>
  <c r="H264" i="63"/>
  <c r="I264" i="63"/>
  <c r="J264" i="63"/>
  <c r="K264" i="63" a="1"/>
  <c r="K264" i="63" s="1"/>
  <c r="AI31" i="8"/>
  <c r="AI30" i="8"/>
  <c r="AI29" i="8"/>
  <c r="AI28" i="8"/>
  <c r="AI27" i="8"/>
  <c r="AI26" i="8"/>
  <c r="AI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8" i="63"/>
  <c r="G258" i="63" s="1" a="1"/>
  <c r="G258" i="63" s="1"/>
  <c r="F257" i="63"/>
  <c r="G257" i="63" s="1" a="1"/>
  <c r="G257" i="63" s="1"/>
  <c r="F263" i="63"/>
  <c r="G263" i="63" s="1" a="1"/>
  <c r="G263" i="63" s="1"/>
  <c r="F264" i="63"/>
  <c r="G264" i="63" s="1" a="1"/>
  <c r="G264" i="63" s="1"/>
  <c r="AJ27" i="8"/>
  <c r="AJ20" i="8"/>
  <c r="AJ28" i="8"/>
  <c r="E261" i="63"/>
  <c r="H261" i="63"/>
  <c r="I261" i="63"/>
  <c r="J261" i="63"/>
  <c r="K261" i="63" a="1"/>
  <c r="K261" i="63" s="1"/>
  <c r="E262" i="63"/>
  <c r="H262" i="63"/>
  <c r="I262" i="63"/>
  <c r="J262" i="63"/>
  <c r="K262" i="63" a="1"/>
  <c r="K262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61" i="63"/>
  <c r="G261" i="63" s="1" a="1"/>
  <c r="G261" i="63" s="1"/>
  <c r="BD16" i="25"/>
  <c r="F262" i="63"/>
  <c r="G262" i="63" s="1" a="1"/>
  <c r="G262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11" i="65" a="1"/>
  <c r="F16" i="65" a="1"/>
  <c r="F21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I212" i="63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3" i="63"/>
  <c r="C244" i="63"/>
  <c r="J244" i="63" s="1"/>
  <c r="C253" i="63"/>
  <c r="I253" i="63" s="1"/>
  <c r="C255" i="63"/>
  <c r="C256" i="63"/>
  <c r="J256" i="63" s="1"/>
  <c r="C259" i="63"/>
  <c r="J259" i="63" s="1"/>
  <c r="C265" i="63"/>
  <c r="H265" i="63" s="1"/>
  <c r="C267" i="63"/>
  <c r="I267" i="63" s="1"/>
  <c r="C272" i="63"/>
  <c r="I272" i="63" s="1"/>
  <c r="C273" i="63"/>
  <c r="I273" i="63" s="1"/>
  <c r="C275" i="63"/>
  <c r="J275" i="63" s="1"/>
  <c r="AA6" i="5"/>
  <c r="W7" i="5" a="1"/>
  <c r="W7" i="5" s="1"/>
  <c r="AA7" i="5"/>
  <c r="K277" i="63" a="1"/>
  <c r="K277" i="63" s="1"/>
  <c r="J277" i="63"/>
  <c r="I277" i="63"/>
  <c r="H277" i="63"/>
  <c r="E277" i="63"/>
  <c r="K276" i="63" a="1"/>
  <c r="K276" i="63" s="1"/>
  <c r="J276" i="63"/>
  <c r="I276" i="63"/>
  <c r="H276" i="63"/>
  <c r="E276" i="63"/>
  <c r="K275" i="63" a="1"/>
  <c r="K275" i="63" s="1"/>
  <c r="E275" i="63"/>
  <c r="K274" i="63" a="1"/>
  <c r="K274" i="63" s="1"/>
  <c r="J274" i="63"/>
  <c r="I274" i="63"/>
  <c r="H274" i="63"/>
  <c r="E274" i="63"/>
  <c r="K273" i="63" a="1"/>
  <c r="K273" i="63" s="1"/>
  <c r="E273" i="63"/>
  <c r="K272" i="63" a="1"/>
  <c r="K272" i="63" s="1"/>
  <c r="J272" i="63"/>
  <c r="E272" i="63"/>
  <c r="K271" i="63" a="1"/>
  <c r="K271" i="63" s="1"/>
  <c r="J271" i="63"/>
  <c r="I271" i="63"/>
  <c r="H271" i="63"/>
  <c r="F271" i="63"/>
  <c r="E271" i="63"/>
  <c r="K270" i="63" a="1"/>
  <c r="K270" i="63" s="1"/>
  <c r="J270" i="63"/>
  <c r="I270" i="63"/>
  <c r="H270" i="63"/>
  <c r="F270" i="63"/>
  <c r="E270" i="63"/>
  <c r="K269" i="63" a="1"/>
  <c r="K269" i="63" s="1"/>
  <c r="F269" i="63" s="1"/>
  <c r="J269" i="63"/>
  <c r="I269" i="63"/>
  <c r="H269" i="63"/>
  <c r="E269" i="63"/>
  <c r="K268" i="63" a="1"/>
  <c r="K268" i="63" s="1"/>
  <c r="J268" i="63"/>
  <c r="I268" i="63"/>
  <c r="H268" i="63"/>
  <c r="E268" i="63"/>
  <c r="K267" i="63" a="1"/>
  <c r="K267" i="63" s="1"/>
  <c r="E267" i="63"/>
  <c r="K266" i="63" a="1"/>
  <c r="K266" i="63" s="1"/>
  <c r="J266" i="63"/>
  <c r="I266" i="63"/>
  <c r="H266" i="63"/>
  <c r="E266" i="63"/>
  <c r="K265" i="63" a="1"/>
  <c r="K265" i="63" s="1"/>
  <c r="E265" i="63"/>
  <c r="K260" i="63" a="1"/>
  <c r="K260" i="63" s="1"/>
  <c r="J260" i="63"/>
  <c r="I260" i="63"/>
  <c r="H260" i="63"/>
  <c r="E260" i="63"/>
  <c r="K259" i="63" a="1"/>
  <c r="K259" i="63" s="1"/>
  <c r="E259" i="63"/>
  <c r="K256" i="63" a="1"/>
  <c r="K256" i="63" s="1"/>
  <c r="E256" i="63"/>
  <c r="K255" i="63" a="1"/>
  <c r="K255" i="63" s="1"/>
  <c r="I255" i="63"/>
  <c r="E255" i="63"/>
  <c r="J255" i="63"/>
  <c r="K254" i="63" a="1"/>
  <c r="K254" i="63" s="1"/>
  <c r="J254" i="63"/>
  <c r="I254" i="63"/>
  <c r="H254" i="63"/>
  <c r="E254" i="63"/>
  <c r="K253" i="63" a="1"/>
  <c r="K253" i="63" s="1"/>
  <c r="E253" i="63"/>
  <c r="K252" i="63" a="1"/>
  <c r="K252" i="63" s="1"/>
  <c r="J252" i="63"/>
  <c r="I252" i="63"/>
  <c r="H252" i="63"/>
  <c r="E252" i="63"/>
  <c r="K251" i="63" a="1"/>
  <c r="K251" i="63" s="1"/>
  <c r="J251" i="63"/>
  <c r="I251" i="63"/>
  <c r="H251" i="63"/>
  <c r="E251" i="63"/>
  <c r="K250" i="63" a="1"/>
  <c r="K250" i="63" s="1"/>
  <c r="J250" i="63"/>
  <c r="I250" i="63"/>
  <c r="H250" i="63"/>
  <c r="F250" i="63"/>
  <c r="E250" i="63"/>
  <c r="K249" i="63" a="1"/>
  <c r="K249" i="63" s="1"/>
  <c r="F249" i="63" s="1"/>
  <c r="J249" i="63"/>
  <c r="I249" i="63"/>
  <c r="H249" i="63"/>
  <c r="E249" i="63"/>
  <c r="K245" i="63" a="1"/>
  <c r="K245" i="63" s="1"/>
  <c r="F245" i="63" s="1"/>
  <c r="J245" i="63"/>
  <c r="I245" i="63"/>
  <c r="H245" i="63"/>
  <c r="E245" i="63"/>
  <c r="K244" i="63" a="1"/>
  <c r="K244" i="63" s="1"/>
  <c r="E244" i="63"/>
  <c r="K243" i="63" a="1"/>
  <c r="K243" i="63" s="1"/>
  <c r="E243" i="63"/>
  <c r="I243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9" i="63" a="1"/>
  <c r="G269" i="63" s="1"/>
  <c r="J267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4" i="63"/>
  <c r="I259" i="63"/>
  <c r="J273" i="63"/>
  <c r="G245" i="63" a="1"/>
  <c r="G245" i="63" s="1"/>
  <c r="J63" i="63"/>
  <c r="I186" i="63"/>
  <c r="J196" i="63"/>
  <c r="I244" i="63"/>
  <c r="H259" i="63"/>
  <c r="G249" i="63" a="1"/>
  <c r="G249" i="63" s="1"/>
  <c r="I231" i="63"/>
  <c r="H273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4" i="63" a="1"/>
  <c r="G4" i="63" s="1"/>
  <c r="G23" i="63" a="1"/>
  <c r="G23" i="63" s="1"/>
  <c r="G174" i="63" a="1"/>
  <c r="G174" i="63" s="1"/>
  <c r="G236" i="63" a="1"/>
  <c r="G236" i="63" s="1"/>
  <c r="G250" i="63" a="1"/>
  <c r="G250" i="63" s="1"/>
  <c r="H187" i="63"/>
  <c r="H216" i="63"/>
  <c r="H253" i="63"/>
  <c r="F254" i="63"/>
  <c r="G254" i="63" s="1" a="1"/>
  <c r="G254" i="63" s="1"/>
  <c r="F268" i="63"/>
  <c r="G268" i="63" s="1" a="1"/>
  <c r="G268" i="63" s="1"/>
  <c r="G100" i="63" a="1"/>
  <c r="G100" i="63" s="1"/>
  <c r="H26" i="63"/>
  <c r="J70" i="63"/>
  <c r="J187" i="63"/>
  <c r="J216" i="63"/>
  <c r="I7" i="63"/>
  <c r="J7" i="63"/>
  <c r="J253" i="63"/>
  <c r="G270" i="63" a="1"/>
  <c r="G270" i="63" s="1"/>
  <c r="G9" i="63" a="1"/>
  <c r="G9" i="63" s="1"/>
  <c r="G8" i="63" a="1"/>
  <c r="G8" i="63" s="1"/>
  <c r="G101" i="63" a="1"/>
  <c r="G101" i="63" s="1"/>
  <c r="F277" i="63"/>
  <c r="G277" i="63" s="1" a="1"/>
  <c r="G277" i="63" s="1"/>
  <c r="G124" i="63" a="1"/>
  <c r="G124" i="63" s="1"/>
  <c r="G5" i="63" a="1"/>
  <c r="G5" i="63" s="1"/>
  <c r="G43" i="63" a="1"/>
  <c r="G43" i="63" s="1"/>
  <c r="G143" i="63" a="1"/>
  <c r="G143" i="63" s="1"/>
  <c r="G271" i="63" a="1"/>
  <c r="G271" i="63" s="1"/>
  <c r="G3" i="63" a="1"/>
  <c r="G3" i="63" s="1"/>
  <c r="G10" i="63" a="1"/>
  <c r="G10" i="63" s="1"/>
  <c r="F266" i="63"/>
  <c r="G266" i="63" s="1" a="1"/>
  <c r="G266" i="63" s="1"/>
  <c r="I265" i="63"/>
  <c r="J265" i="63"/>
  <c r="F110" i="63"/>
  <c r="G110" i="63" s="1" a="1"/>
  <c r="G110" i="63" s="1"/>
  <c r="F274" i="63"/>
  <c r="G274" i="63" s="1" a="1"/>
  <c r="G274" i="63" s="1"/>
  <c r="H275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3" i="63"/>
  <c r="G243" i="63" s="1" a="1"/>
  <c r="G243" i="63" s="1"/>
  <c r="F265" i="63"/>
  <c r="G265" i="63" s="1" a="1"/>
  <c r="G265" i="63" s="1"/>
  <c r="F275" i="63"/>
  <c r="G275" i="63" s="1" a="1"/>
  <c r="G275" i="63" s="1"/>
  <c r="F267" i="63"/>
  <c r="G267" i="63" s="1" a="1"/>
  <c r="G267" i="63" s="1"/>
  <c r="I275" i="63"/>
  <c r="F108" i="63"/>
  <c r="G108" i="63" s="1" a="1"/>
  <c r="G108" i="63" s="1"/>
  <c r="F111" i="63"/>
  <c r="G111" i="63" s="1" a="1"/>
  <c r="G111" i="63" s="1"/>
  <c r="F272" i="63"/>
  <c r="G272" i="63" s="1" a="1"/>
  <c r="G272" i="63" s="1"/>
  <c r="F197" i="63"/>
  <c r="G197" i="63" s="1" a="1"/>
  <c r="G197" i="63" s="1"/>
  <c r="E23" i="64"/>
  <c r="E29" i="64" s="1" a="1"/>
  <c r="E29" i="64" s="1"/>
  <c r="F276" i="63"/>
  <c r="G276" i="63" s="1" a="1"/>
  <c r="G276" i="63" s="1"/>
  <c r="F19" i="63"/>
  <c r="G19" i="63" s="1" a="1"/>
  <c r="G19" i="63" s="1"/>
  <c r="F252" i="63"/>
  <c r="G252" i="63" s="1" a="1"/>
  <c r="G252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5" i="63"/>
  <c r="G255" i="63" s="1" a="1"/>
  <c r="G255" i="63" s="1"/>
  <c r="F253" i="63"/>
  <c r="G253" i="63" s="1" a="1"/>
  <c r="G253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6" i="63"/>
  <c r="G256" i="63" s="1" a="1"/>
  <c r="G256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9" i="63"/>
  <c r="G259" i="63" s="1" a="1"/>
  <c r="G259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3" i="63"/>
  <c r="F244" i="63"/>
  <c r="G244" i="63" s="1" a="1"/>
  <c r="G244" i="63" s="1"/>
  <c r="F251" i="63"/>
  <c r="G251" i="63" s="1" a="1"/>
  <c r="G251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3" i="63"/>
  <c r="F260" i="63"/>
  <c r="G260" i="63" s="1" a="1"/>
  <c r="G260" i="63" s="1"/>
  <c r="F273" i="63"/>
  <c r="G273" i="63" s="1" a="1"/>
  <c r="G273" i="63" s="1"/>
  <c r="H226" i="63"/>
  <c r="H232" i="63"/>
  <c r="H239" i="63"/>
  <c r="H255" i="63"/>
  <c r="H267" i="63"/>
  <c r="H256" i="63"/>
  <c r="H272" i="63"/>
  <c r="I256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D29" i="14" a="1"/>
  <c r="V29" i="14" a="1"/>
  <c r="F30" i="14" a="1"/>
  <c r="V30" i="14" a="1"/>
  <c r="F29" i="14" a="1"/>
  <c r="AJ6" i="8" l="1"/>
  <c r="AJ7" i="8" s="1"/>
  <c r="AD6" i="8"/>
  <c r="AD7" i="8" s="1"/>
  <c r="C13" i="5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P24" i="25" a="1"/>
  <c r="AP25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H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37" i="34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H10" i="8" s="1"/>
  <c r="AR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P10" i="8" l="1"/>
  <c r="X10" i="8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H29" i="14" a="1"/>
  <c r="R29" i="14" a="1"/>
  <c r="AV16" i="25" l="1"/>
  <c r="P9" i="8"/>
  <c r="X9" i="8"/>
  <c r="T9" i="8"/>
  <c r="AH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L37" i="24" a="1"/>
  <c r="J37" i="24" a="1"/>
  <c r="L29" i="14" a="1"/>
  <c r="H37" i="2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L30" i="14" a="1"/>
  <c r="J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F4" i="8"/>
  <c r="AF6" i="8" s="1"/>
  <c r="AF7" i="8" s="1"/>
  <c r="AG25" i="8"/>
  <c r="AF26" i="8"/>
  <c r="AG26" i="8"/>
  <c r="AF27" i="8"/>
  <c r="AG27" i="8"/>
  <c r="AF28" i="8"/>
  <c r="AG28" i="8"/>
  <c r="AG29" i="8"/>
  <c r="AG30" i="8"/>
  <c r="AG31" i="8"/>
  <c r="AF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Z4" i="8"/>
  <c r="X4" i="8"/>
  <c r="V4" i="8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Z6" i="8"/>
  <c r="X6" i="8"/>
  <c r="V6" i="8"/>
  <c r="T6" i="8"/>
  <c r="R6" i="8"/>
  <c r="N6" i="8"/>
  <c r="L6" i="8"/>
  <c r="J6" i="8"/>
  <c r="H6" i="8"/>
  <c r="F6" i="8"/>
  <c r="D6" i="8"/>
  <c r="C32" i="5"/>
  <c r="D3" i="58"/>
  <c r="I100" i="58"/>
  <c r="I99" i="58"/>
  <c r="I98" i="58"/>
  <c r="I97" i="58"/>
  <c r="I96" i="58"/>
  <c r="I95" i="58"/>
  <c r="I94" i="58"/>
  <c r="BD23" i="25" l="1"/>
  <c r="AD25" i="8"/>
  <c r="G40" i="71"/>
  <c r="F46" i="65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l="1"/>
  <c r="L31" i="25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5" i="25" a="1"/>
  <c r="Z24" i="25" a="1"/>
  <c r="Z25" i="25" l="1"/>
  <c r="Z24" i="25"/>
  <c r="Z13" i="25"/>
  <c r="Z16" i="25" s="1"/>
  <c r="M33" i="5"/>
  <c r="L33" i="5"/>
  <c r="M32" i="5"/>
  <c r="L32" i="5"/>
  <c r="K32" i="5" a="1"/>
  <c r="K32" i="5" s="1"/>
  <c r="AH29" i="8"/>
  <c r="Z29" i="8"/>
  <c r="L29" i="8"/>
  <c r="AH28" i="8"/>
  <c r="Z28" i="8"/>
  <c r="X28" i="8"/>
  <c r="V28" i="8"/>
  <c r="T28" i="8"/>
  <c r="N28" i="8"/>
  <c r="L28" i="8"/>
  <c r="J28" i="8"/>
  <c r="H28" i="8"/>
  <c r="AH27" i="8"/>
  <c r="Z27" i="8"/>
  <c r="X27" i="8"/>
  <c r="T27" i="8"/>
  <c r="N27" i="8"/>
  <c r="L27" i="8"/>
  <c r="H27" i="8"/>
  <c r="AH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5" i="45" a="1"/>
  <c r="F20" i="45" a="1"/>
  <c r="F11" i="45" a="1"/>
  <c r="D26" i="2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F12" i="8"/>
  <c r="AF20" i="8" s="1"/>
  <c r="AF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F30" i="8" a="1"/>
  <c r="F6" i="32" a="1"/>
  <c r="F57" i="30" a="1"/>
  <c r="E3" i="64" l="1"/>
  <c r="AF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" i="26" a="1"/>
  <c r="F56" i="26" a="1"/>
  <c r="F5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H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51" i="22" a="1"/>
  <c r="H39" i="22" a="1"/>
  <c r="H31" i="22" a="1"/>
  <c r="H6" i="18" a="1"/>
  <c r="H43" i="22" a="1"/>
  <c r="H23" i="22" a="1"/>
  <c r="H35" i="22" a="1"/>
  <c r="H47" i="22" a="1"/>
  <c r="H51" i="18" a="1"/>
  <c r="H27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H20" i="8"/>
  <c r="X20" i="8"/>
  <c r="V20" i="8"/>
  <c r="T20" i="8"/>
  <c r="N20" i="8"/>
  <c r="L20" i="8"/>
  <c r="D20" i="8"/>
  <c r="T31" i="14" a="1"/>
  <c r="J29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AD23" i="8" a="1"/>
  <c r="C52" i="33" a="1"/>
  <c r="C35" i="64" a="1"/>
  <c r="E33" i="69" a="1"/>
  <c r="F11" i="62" a="1"/>
  <c r="D46" i="65" a="1"/>
  <c r="E40" i="71" a="1"/>
  <c r="O20" i="48" a="1"/>
  <c r="F18" i="39" a="1"/>
  <c r="E13" i="22" a="1"/>
  <c r="AD23" i="8" l="1"/>
  <c r="E40" i="71"/>
  <c r="N28" i="14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C62" i="34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H7" i="8"/>
  <c r="AH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3" i="21" a="1"/>
  <c r="F27" i="68" a="1"/>
  <c r="F44" i="68" a="1"/>
  <c r="E5" i="42" a="1"/>
  <c r="F32" i="68" a="1"/>
  <c r="F37" i="68" a="1"/>
  <c r="F6" i="68" a="1"/>
  <c r="F23" i="62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26" i="31" a="1"/>
  <c r="F6" i="31" a="1"/>
  <c r="F30" i="31" a="1"/>
  <c r="F46" i="31" a="1"/>
  <c r="E6" i="15" a="1"/>
  <c r="F42" i="31" a="1"/>
  <c r="F34" i="31" a="1"/>
  <c r="F19" i="31" a="1"/>
  <c r="F38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5" i="36" a="1"/>
  <c r="AH18" i="61" a="1"/>
  <c r="AP18" i="61" a="1"/>
  <c r="AD18" i="61" a="1"/>
  <c r="J18" i="61" a="1"/>
  <c r="BJ18" i="61" a="1"/>
  <c r="BB18" i="61" a="1"/>
  <c r="AT52" i="61" a="1"/>
  <c r="F40" i="23" a="1"/>
  <c r="AT18" i="61" a="1"/>
  <c r="V18" i="61" a="1"/>
  <c r="N18" i="61" a="1"/>
  <c r="F25" i="23" a="1"/>
  <c r="BF18" i="61" a="1"/>
  <c r="H84" i="67" a="1"/>
  <c r="F35" i="23" a="1"/>
  <c r="R18" i="61" a="1"/>
  <c r="BN18" i="61" a="1"/>
  <c r="AL18" i="61" a="1"/>
  <c r="Z18" i="61" a="1"/>
  <c r="E6" i="51" a="1"/>
  <c r="F30" i="23" a="1"/>
  <c r="BR18" i="61" a="1"/>
  <c r="F8" i="23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0" i="61" a="1"/>
  <c r="AT57" i="61" a="1"/>
  <c r="AT37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X18" i="61" a="1"/>
  <c r="X21" i="25" a="1"/>
  <c r="V25" i="14" a="1"/>
  <c r="R21" i="25" a="1"/>
  <c r="AB21" i="25" a="1"/>
  <c r="AB23" i="8" a="1"/>
  <c r="AV21" i="25" a="1"/>
  <c r="AF21" i="25" a="1"/>
  <c r="AR21" i="25" a="1"/>
  <c r="R25" i="14" a="1"/>
  <c r="AX21" i="25" a="1"/>
  <c r="AJ23" i="8" a="1"/>
  <c r="AF23" i="8" a="1"/>
  <c r="J23" i="8" a="1"/>
  <c r="V23" i="8" a="1"/>
  <c r="BB21" i="25" a="1"/>
  <c r="V21" i="25" a="1"/>
  <c r="AH21" i="25" a="1"/>
  <c r="P25" i="14" a="1"/>
  <c r="L25" i="14" a="1"/>
  <c r="F23" i="8" a="1"/>
  <c r="L23" i="8" a="1"/>
  <c r="J21" i="25" a="1"/>
  <c r="AH23" i="8" a="1"/>
  <c r="Z21" i="25" a="1"/>
  <c r="L21" i="25" a="1"/>
  <c r="H23" i="8" a="1"/>
  <c r="Z23" i="8" a="1"/>
  <c r="AT21" i="25" a="1"/>
  <c r="BH21" i="25" a="1"/>
  <c r="N25" i="14" a="1"/>
  <c r="D23" i="8" a="1"/>
  <c r="AZ21" i="25" a="1"/>
  <c r="C39" i="32" a="1"/>
  <c r="F25" i="14" a="1"/>
  <c r="D21" i="25" a="1"/>
  <c r="BF21" i="25" a="1"/>
  <c r="AT42" i="61" a="1"/>
  <c r="AP21" i="25" a="1"/>
  <c r="BL21" i="25" a="1"/>
  <c r="AD21" i="25" a="1"/>
  <c r="N23" i="8" a="1"/>
  <c r="AJ21" i="25" a="1"/>
  <c r="X23" i="8" a="1"/>
  <c r="T21" i="25" a="1"/>
  <c r="H21" i="25" a="1"/>
  <c r="T23" i="8" a="1"/>
  <c r="AN21" i="25" a="1"/>
  <c r="D65" i="31" a="1"/>
  <c r="N21" i="25" a="1"/>
  <c r="P23" i="8" a="1"/>
  <c r="J25" i="14" a="1"/>
  <c r="T25" i="14" a="1"/>
  <c r="P21" i="25" a="1"/>
  <c r="AL21" i="25" a="1"/>
  <c r="D25" i="14" a="1"/>
  <c r="BJ21" i="25" a="1"/>
  <c r="F21" i="25" a="1"/>
  <c r="H25" i="14" a="1"/>
  <c r="BD21" i="25" a="1"/>
  <c r="AB21" i="25" l="1"/>
  <c r="D21" i="25"/>
  <c r="AJ23" i="8"/>
  <c r="AZ21" i="25"/>
  <c r="AF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H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J15" i="61" a="1"/>
  <c r="AD15" i="61" a="1"/>
  <c r="AH15" i="61" a="1"/>
  <c r="AP15" i="61" a="1"/>
  <c r="R15" i="61" a="1"/>
  <c r="BR15" i="61" a="1"/>
  <c r="BN15" i="61" a="1"/>
  <c r="N15" i="61" a="1"/>
  <c r="AL15" i="61" a="1"/>
  <c r="AT47" i="61" a="1"/>
  <c r="BF15" i="61" a="1"/>
  <c r="V15" i="61" a="1"/>
  <c r="AX75" i="61" a="1"/>
  <c r="AX74" i="61" a="1"/>
  <c r="Z15" i="61" a="1"/>
  <c r="B28" i="36" a="1"/>
  <c r="BB15" i="61" a="1"/>
  <c r="BJ15" i="61" a="1"/>
  <c r="C62" i="23" a="1"/>
  <c r="C31" i="5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X15" i="61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8" i="30" a="1"/>
  <c r="F20" i="44" a="1"/>
  <c r="F6" i="44" a="1"/>
  <c r="F15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7" a="1"/>
  <c r="F22" i="28" a="1"/>
  <c r="F6" i="28" a="1"/>
  <c r="F22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J95" i="58"/>
  <c r="T95" i="58"/>
  <c r="P95" i="58"/>
  <c r="L95" i="58"/>
  <c r="N95" i="58"/>
  <c r="R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N97" i="58"/>
  <c r="J97" i="58"/>
  <c r="P96" i="58"/>
  <c r="R96" i="58"/>
  <c r="L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L7" i="58" a="1"/>
  <c r="P7" i="58" a="1"/>
  <c r="T7" i="58" a="1"/>
  <c r="R7" i="58" a="1"/>
  <c r="J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7" i="59" a="1"/>
  <c r="F20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19" i="66" a="1"/>
  <c r="F20" i="66" a="1"/>
  <c r="F22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s="1"/>
  <c r="Z16" i="70" l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<sst xmlns="http://schemas.openxmlformats.org/spreadsheetml/2006/main" count="3667" uniqueCount="2266">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</sst>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9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1973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2100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2101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2102</v>
      </c>
      <c r="M10" s="6"/>
      <c r="N10" s="6" t="s">
        <v>2102</v>
      </c>
      <c r="Q10" s="6"/>
      <c r="R10" s="6" t="s">
        <v>2102</v>
      </c>
      <c r="U10" s="6"/>
      <c r="V10" s="6" t="s">
        <v>790</v>
      </c>
      <c r="Y10" s="6"/>
      <c r="Z10" s="6" t="s">
        <v>2102</v>
      </c>
      <c r="AC10" s="6"/>
      <c r="AD10" s="6" t="s">
        <v>2102</v>
      </c>
      <c r="AG10" s="6"/>
      <c r="AH10" s="6" t="s">
        <v>2102</v>
      </c>
      <c r="AK10" s="6"/>
      <c r="AL10" s="6" t="s">
        <v>1623</v>
      </c>
      <c r="AO10" s="6"/>
      <c r="AP10" s="6" t="s">
        <v>2102</v>
      </c>
      <c r="AS10" s="6"/>
      <c r="AT10" s="6"/>
      <c r="AW10" s="6"/>
      <c r="AX10" s="6" t="s">
        <v>2102</v>
      </c>
      <c r="BA10" s="6"/>
      <c r="BB10" s="6" t="s">
        <v>723</v>
      </c>
      <c r="BE10" s="36"/>
      <c r="BF10" s="36" t="s">
        <v>1067</v>
      </c>
      <c r="BI10" s="6"/>
      <c r="BJ10" s="6" t="s">
        <v>2102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2102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2262</v>
      </c>
      <c r="AF2" t="s">
        <v>174</v>
      </c>
      <c r="AH2" t="s">
        <v>106</v>
      </c>
      <c r="AJ2" t="s">
        <v>2052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10</v>
      </c>
      <c r="AF9">
        <v>1</v>
      </c>
      <c r="AH9">
        <f xml:space="preserve"> $L9</f>
        <v>27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D10">
        <v>7</v>
      </c>
      <c r="AH10">
        <f t="shared" ref="AH10:AH11" si="3" xml:space="preserve"> $L10</f>
        <v>19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D11">
        <v>5</v>
      </c>
      <c r="AH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F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2263</v>
      </c>
      <c r="AF14" t="s">
        <v>726</v>
      </c>
      <c r="AH14" t="s">
        <v>727</v>
      </c>
      <c r="AJ14" t="s">
        <v>2053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2102</v>
      </c>
      <c r="P15" t="s">
        <v>1648</v>
      </c>
      <c r="R15" t="s">
        <v>731</v>
      </c>
      <c r="T15" t="s">
        <v>2102</v>
      </c>
      <c r="V15" t="s">
        <v>733</v>
      </c>
      <c r="X15" t="s">
        <v>727</v>
      </c>
      <c r="AB15" t="s">
        <v>1683</v>
      </c>
      <c r="AD15" t="s">
        <v>2102</v>
      </c>
      <c r="AH15" t="s">
        <v>2102</v>
      </c>
      <c r="AJ15" t="s">
        <v>2102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2102</v>
      </c>
      <c r="AD16" t="s">
        <v>2264</v>
      </c>
      <c r="AH16" t="s">
        <v>738</v>
      </c>
      <c r="AJ16" t="s">
        <v>2054</v>
      </c>
    </row>
    <row r="17" spans="2:38" x14ac:dyDescent="0.2">
      <c r="B17" s="4" t="s">
        <v>107</v>
      </c>
      <c r="F17" t="s">
        <v>2102</v>
      </c>
      <c r="J17" t="s">
        <v>721</v>
      </c>
      <c r="Z17" t="s">
        <v>737</v>
      </c>
      <c r="AB17" t="s">
        <v>1682</v>
      </c>
      <c r="AF17" t="s">
        <v>2102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10</v>
      </c>
      <c r="AF20">
        <f xml:space="preserve"> MAX(_xlfn.SINGLE(Circles.SVG_Radius_0), _xlfn.SINGLE(Circles.SVG_Radius_1), _xlfn.SINGLE(Circles.SVG_Radius_2), _xlfn.SINGLE(Circles.SVG_Radius_3))</f>
        <v>1</v>
      </c>
      <c r="AH20">
        <f xml:space="preserve"> MAX(_xlfn.SINGLE(Circles.SVG_Radius_0), _xlfn.SINGLE(Circles.SVG_Radius_1), _xlfn.SINGLE(Circles.SVG_Radius_2), _xlfn.SINGLE(Circles.SVG_Radius_3))</f>
        <v>27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196</v>
      </c>
      <c r="AH23" cm="1">
        <f t="array" ref="AH23" xml:space="preserve"> SVG_length(AH$25:AH$31)</f>
        <v>183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G28" s="23" t="str">
        <f t="shared" si="5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E29" s="23" t="str">
        <f t="shared" si="5"/>
        <v/>
      </c>
      <c r="AF29" s="34"/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23"/>
      <c r="AE30" s="23" t="str">
        <f t="shared" si="5"/>
        <v/>
      </c>
      <c r="AF30" s="32" t="str" cm="1">
        <f t="array" ref="AF30" xml:space="preserve"> svgPathRect(DecimalPlaces, _xlfn.SINGLE(Circles.SVG_Painting_0), _xlfn.SINGLE(Circles.SVG_Radius_0), _xlfn.SINGLE(Circles.SVG_Radius_0))</f>
        <v>&lt;path fill='#FFF' d='M.70711 .70711V-.70711H-.70711V.70711Z'/&gt;</v>
      </c>
      <c r="AG30" s="23" t="str">
        <f t="shared" si="5"/>
        <v/>
      </c>
      <c r="AH30" s="23"/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_CADES</v>
      </c>
      <c r="AF34" t="str">
        <f xml:space="preserve"> _xlfn.SINGLE(Circles.ID)</f>
        <v>_ADB</v>
      </c>
      <c r="AH34" t="str">
        <f xml:space="preserve"> _xlfn.SINGLE(Circles.ID)</f>
        <v>_AfDB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  <row r="37" spans="3:36" x14ac:dyDescent="0.2">
      <c r="AI37" s="36"/>
    </row>
    <row r="38" spans="3:36" x14ac:dyDescent="0.2">
      <c r="AI38" s="36"/>
    </row>
    <row r="39" spans="3:36" x14ac:dyDescent="0.2">
      <c r="AI39" s="36"/>
    </row>
    <row r="40" spans="3:36" x14ac:dyDescent="0.2">
      <c r="AI40" s="36"/>
    </row>
    <row r="41" spans="3:36" x14ac:dyDescent="0.2">
      <c r="AI41" s="36"/>
    </row>
    <row r="42" spans="3:36" x14ac:dyDescent="0.2">
      <c r="AI42" s="36"/>
    </row>
    <row r="43" spans="3:36" x14ac:dyDescent="0.2">
      <c r="AI43" s="36"/>
    </row>
    <row r="44" spans="3:36" x14ac:dyDescent="0.2">
      <c r="AI44" s="36"/>
    </row>
  </sheetData>
  <sortState xmlns:xlrd2="http://schemas.microsoft.com/office/spreadsheetml/2017/richdata2" ref="AC38:AF1038">
    <sortCondition ref="AF38:AF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2164</v>
      </c>
      <c r="V14" t="s">
        <v>729</v>
      </c>
    </row>
    <row r="15" spans="2:24" x14ac:dyDescent="0.2">
      <c r="B15" s="4" t="s">
        <v>159</v>
      </c>
      <c r="F15" t="s">
        <v>2102</v>
      </c>
      <c r="H15" t="s">
        <v>2102</v>
      </c>
      <c r="J15" t="s">
        <v>742</v>
      </c>
      <c r="L15" t="s">
        <v>1975</v>
      </c>
      <c r="N15" t="s">
        <v>2102</v>
      </c>
      <c r="P15" t="s">
        <v>2102</v>
      </c>
      <c r="R15" t="s">
        <v>2102</v>
      </c>
      <c r="T15" t="s">
        <v>2165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2102</v>
      </c>
      <c r="N17" t="s">
        <v>724</v>
      </c>
      <c r="P17" t="s">
        <v>1699</v>
      </c>
      <c r="V17" t="s">
        <v>2102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2103</v>
      </c>
      <c r="R88" t="s">
        <v>2103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2102</v>
      </c>
      <c r="L90" s="6" t="s">
        <v>723</v>
      </c>
      <c r="N90" s="6" t="s">
        <v>2102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2102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2169</v>
      </c>
      <c r="P2" t="s">
        <v>167</v>
      </c>
      <c r="R2" t="s">
        <v>493</v>
      </c>
      <c r="T2" t="s">
        <v>2166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2146</v>
      </c>
      <c r="BB2" t="s">
        <v>802</v>
      </c>
      <c r="BD2" t="s">
        <v>2047</v>
      </c>
      <c r="BF2" t="s">
        <v>1716</v>
      </c>
      <c r="BH2" t="s">
        <v>933</v>
      </c>
      <c r="BJ2" t="s">
        <v>173</v>
      </c>
      <c r="BL2" t="s">
        <v>2057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2167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2102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2102</v>
      </c>
      <c r="BC6" s="6"/>
      <c r="BD6" s="6" t="s">
        <v>2048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2060</v>
      </c>
      <c r="BM6" s="6"/>
      <c r="BN6" s="6"/>
      <c r="BO6" s="6"/>
    </row>
    <row r="7" spans="2:67" x14ac:dyDescent="0.2">
      <c r="B7" s="4" t="s">
        <v>375</v>
      </c>
      <c r="C7" s="6"/>
      <c r="D7" s="6" t="s">
        <v>2104</v>
      </c>
      <c r="E7" s="6"/>
      <c r="F7" s="6" t="s">
        <v>2104</v>
      </c>
      <c r="G7" s="6"/>
      <c r="H7" s="6" t="s">
        <v>2102</v>
      </c>
      <c r="I7" s="6"/>
      <c r="J7" s="6" t="s">
        <v>1619</v>
      </c>
      <c r="K7" s="6"/>
      <c r="L7" s="6" t="s">
        <v>1507</v>
      </c>
      <c r="M7" s="6"/>
      <c r="N7" s="6" t="s">
        <v>2102</v>
      </c>
      <c r="O7" s="6"/>
      <c r="P7" s="6" t="s">
        <v>2102</v>
      </c>
      <c r="Q7" s="6"/>
      <c r="R7" s="6" t="s">
        <v>2102</v>
      </c>
      <c r="S7" s="6"/>
      <c r="T7" s="6" t="s">
        <v>2168</v>
      </c>
      <c r="U7" s="6"/>
      <c r="V7" s="6" t="s">
        <v>753</v>
      </c>
      <c r="W7" s="6"/>
      <c r="X7" s="6" t="s">
        <v>1790</v>
      </c>
      <c r="Y7" s="6"/>
      <c r="Z7" s="6" t="s">
        <v>2102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2102</v>
      </c>
      <c r="AO7" s="6"/>
      <c r="AP7" s="6" t="s">
        <v>2102</v>
      </c>
      <c r="AQ7" s="6"/>
      <c r="AR7" s="6" t="s">
        <v>2102</v>
      </c>
      <c r="AS7" s="6"/>
      <c r="AT7" s="6" t="s">
        <v>739</v>
      </c>
      <c r="AU7" s="6"/>
      <c r="AV7" s="6" t="s">
        <v>1076</v>
      </c>
      <c r="AW7" s="6"/>
      <c r="AX7" s="6" t="s">
        <v>2102</v>
      </c>
      <c r="AY7" s="6"/>
      <c r="AZ7" s="6" t="s">
        <v>2102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2102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2061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2102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2102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2049</v>
      </c>
      <c r="BE8" s="6"/>
      <c r="BF8" s="6"/>
      <c r="BG8" s="6"/>
      <c r="BH8" s="6"/>
      <c r="BI8" s="6"/>
      <c r="BJ8" s="6"/>
      <c r="BK8" s="6"/>
      <c r="BL8" s="6" t="s">
        <v>2102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2102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1.04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7.2</v>
      </c>
    </row>
    <row r="49" spans="5:7" x14ac:dyDescent="0.2">
      <c r="E49" s="4" t="s">
        <v>83</v>
      </c>
      <c r="F49">
        <f xml:space="preserve"> GBP.Height / GBP.Aspect</f>
        <v>14.4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2102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2102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2102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2102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2088</v>
      </c>
      <c r="C2" s="3" t="s">
        <v>2089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2084</v>
      </c>
      <c r="C5" s="3" t="s">
        <v>2085</v>
      </c>
      <c r="D5" s="3" t="s">
        <v>2086</v>
      </c>
      <c r="F5" s="3" t="s">
        <v>2087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2093</v>
      </c>
    </row>
    <row r="26" spans="2:10" x14ac:dyDescent="0.2">
      <c r="J26" t="s">
        <v>2094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2095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2096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2097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2090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2102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2073</v>
      </c>
      <c r="C2" s="3" t="s">
        <v>2075</v>
      </c>
      <c r="D2" s="3" t="s">
        <v>2076</v>
      </c>
      <c r="E2" s="5"/>
      <c r="F2" s="5"/>
      <c r="G2" s="5"/>
      <c r="I2" s="77" t="s">
        <v>2062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2063</v>
      </c>
      <c r="D5" s="3" t="s">
        <v>2072</v>
      </c>
      <c r="E5" s="77" t="s">
        <v>2064</v>
      </c>
      <c r="F5" s="77" t="s">
        <v>2065</v>
      </c>
      <c r="G5" s="77" t="s">
        <v>2080</v>
      </c>
      <c r="H5" s="77" t="s">
        <v>2081</v>
      </c>
      <c r="I5" s="77" t="s">
        <v>2082</v>
      </c>
      <c r="K5" s="3" t="s">
        <v>2066</v>
      </c>
    </row>
    <row r="7" spans="2:11" x14ac:dyDescent="0.2">
      <c r="B7" t="s">
        <v>2074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2074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2074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2099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2099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2099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2099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2099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2099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2099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2099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2099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2099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2099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2099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2099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2099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2099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2098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2144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2144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2144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2144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2144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2077</v>
      </c>
      <c r="K75" s="6" t="s">
        <v>2079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2078</v>
      </c>
      <c r="K76" s="6" t="s">
        <v>2091</v>
      </c>
    </row>
    <row r="78" spans="5:13" x14ac:dyDescent="0.2">
      <c r="J78" s="4" t="s">
        <v>2067</v>
      </c>
      <c r="K78" s="28">
        <v>1.55</v>
      </c>
    </row>
    <row r="79" spans="5:13" x14ac:dyDescent="0.2">
      <c r="J79" s="4" t="s">
        <v>2068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2069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2070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2071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1991</v>
      </c>
      <c r="C2" s="3" t="s">
        <v>1992</v>
      </c>
      <c r="E2" t="s">
        <v>1976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1977</v>
      </c>
      <c r="C5" s="3" t="s">
        <v>1978</v>
      </c>
      <c r="E5" s="3" t="s">
        <v>1979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1981</v>
      </c>
      <c r="E20">
        <f xml:space="preserve"> 1 + OMR.SizeInner</f>
        <v>6</v>
      </c>
    </row>
    <row r="21" spans="2:6" x14ac:dyDescent="0.2">
      <c r="D21" s="4" t="s">
        <v>1983</v>
      </c>
      <c r="E21">
        <f xml:space="preserve"> OMR.MaxX</f>
        <v>6</v>
      </c>
    </row>
    <row r="22" spans="2:6" x14ac:dyDescent="0.2">
      <c r="D22" s="4" t="s">
        <v>1980</v>
      </c>
      <c r="E22">
        <f xml:space="preserve"> - OMR.MaxX</f>
        <v>-6</v>
      </c>
    </row>
    <row r="23" spans="2:6" x14ac:dyDescent="0.2">
      <c r="D23" s="4" t="s">
        <v>1982</v>
      </c>
      <c r="E23">
        <f xml:space="preserve"> - OMR.MaxY</f>
        <v>-6</v>
      </c>
    </row>
    <row r="25" spans="2:6" x14ac:dyDescent="0.2">
      <c r="D25" s="4" t="s">
        <v>1984</v>
      </c>
      <c r="E25" s="6" t="s">
        <v>729</v>
      </c>
    </row>
    <row r="26" spans="2:6" x14ac:dyDescent="0.2">
      <c r="D26" s="4" t="s">
        <v>1985</v>
      </c>
      <c r="E26" s="6" t="s">
        <v>1975</v>
      </c>
    </row>
    <row r="27" spans="2:6" x14ac:dyDescent="0.2">
      <c r="F27" s="5"/>
    </row>
    <row r="28" spans="2:6" x14ac:dyDescent="0.2">
      <c r="D28" s="4" t="s">
        <v>1986</v>
      </c>
      <c r="E28">
        <f xml:space="preserve"> MODE(Squares.AreaMultiplier)</f>
        <v>0.85</v>
      </c>
      <c r="F28" s="5"/>
    </row>
    <row r="29" spans="2:6" x14ac:dyDescent="0.2">
      <c r="D29" s="4" t="s">
        <v>1987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1988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1989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1990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2102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2102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2044</v>
      </c>
      <c r="C2" s="3" t="s">
        <v>2045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2042</v>
      </c>
      <c r="C5" s="3" t="s">
        <v>2043</v>
      </c>
      <c r="E5" s="3" t="s">
        <v>2021</v>
      </c>
      <c r="F5" s="39" t="s">
        <v>2022</v>
      </c>
    </row>
    <row r="6" spans="2:6" x14ac:dyDescent="0.2">
      <c r="E6" t="s">
        <v>23</v>
      </c>
      <c r="F6" s="6" t="s">
        <v>2046</v>
      </c>
    </row>
    <row r="7" spans="2:6" x14ac:dyDescent="0.2">
      <c r="E7" t="s">
        <v>23</v>
      </c>
      <c r="F7" s="6" t="s">
        <v>2034</v>
      </c>
    </row>
    <row r="8" spans="2:6" x14ac:dyDescent="0.2">
      <c r="E8" t="s">
        <v>23</v>
      </c>
      <c r="F8" s="6" t="s">
        <v>2035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2036</v>
      </c>
    </row>
    <row r="12" spans="2:6" x14ac:dyDescent="0.2">
      <c r="E12" t="s">
        <v>23</v>
      </c>
      <c r="F12" s="6" t="s">
        <v>2037</v>
      </c>
    </row>
    <row r="13" spans="2:6" x14ac:dyDescent="0.2">
      <c r="E13" t="s">
        <v>23</v>
      </c>
      <c r="F13" s="6" t="s">
        <v>2038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2023</v>
      </c>
      <c r="F30">
        <v>20</v>
      </c>
    </row>
    <row r="31" spans="2:6" x14ac:dyDescent="0.2">
      <c r="E31" s="4" t="s">
        <v>2024</v>
      </c>
      <c r="F31">
        <v>30</v>
      </c>
    </row>
    <row r="32" spans="2:6" x14ac:dyDescent="0.2">
      <c r="E32" s="4" t="s">
        <v>2025</v>
      </c>
      <c r="F32">
        <f xml:space="preserve"> - F30</f>
        <v>-20</v>
      </c>
    </row>
    <row r="33" spans="4:7" x14ac:dyDescent="0.2">
      <c r="E33" s="4" t="s">
        <v>2026</v>
      </c>
      <c r="F33">
        <f xml:space="preserve"> - F31</f>
        <v>-30</v>
      </c>
    </row>
    <row r="35" spans="4:7" x14ac:dyDescent="0.2">
      <c r="E35" s="4" t="s">
        <v>2027</v>
      </c>
      <c r="F35" s="6" t="s">
        <v>2039</v>
      </c>
    </row>
    <row r="36" spans="4:7" x14ac:dyDescent="0.2">
      <c r="E36" s="4" t="s">
        <v>2028</v>
      </c>
      <c r="F36" s="6" t="s">
        <v>727</v>
      </c>
    </row>
    <row r="37" spans="4:7" x14ac:dyDescent="0.2">
      <c r="G37" s="5"/>
    </row>
    <row r="38" spans="4:7" x14ac:dyDescent="0.2">
      <c r="E38" s="4" t="s">
        <v>2029</v>
      </c>
      <c r="F38">
        <f xml:space="preserve"> 17 / 16</f>
        <v>1.0625</v>
      </c>
      <c r="G38" s="5"/>
    </row>
    <row r="39" spans="4:7" x14ac:dyDescent="0.2">
      <c r="E39" s="4" t="s">
        <v>2030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2031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2032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2033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2102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2102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2003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2004</v>
      </c>
      <c r="C5" s="3" t="s">
        <v>2005</v>
      </c>
      <c r="D5" s="3" t="s">
        <v>2006</v>
      </c>
      <c r="F5" s="3" t="s">
        <v>2007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2019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2019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2019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2019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2019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2019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2019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2019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2019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2019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2019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2019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2019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2019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2019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2019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2008</v>
      </c>
      <c r="F32" cm="1">
        <f t="array" ref="F32" xml:space="preserve"> ROUND( MIN(SDG.RawX), SDG.DecimalPlaces)</f>
        <v>-5</v>
      </c>
    </row>
    <row r="33" spans="4:6" x14ac:dyDescent="0.2">
      <c r="E33" s="4" t="s">
        <v>2009</v>
      </c>
      <c r="F33" cm="1">
        <f t="array" ref="F33" xml:space="preserve"> ROUND(MAX(SDG.RawX), SDG.DecimalPlaces)</f>
        <v>5</v>
      </c>
    </row>
    <row r="34" spans="4:6" x14ac:dyDescent="0.2">
      <c r="E34" s="4" t="s">
        <v>2010</v>
      </c>
      <c r="F34" cm="1">
        <f t="array" ref="F34" xml:space="preserve"> ROUND( MIN(SDG.RawY), SDG.DecimalPlaces)</f>
        <v>-5</v>
      </c>
    </row>
    <row r="35" spans="4:6" x14ac:dyDescent="0.2">
      <c r="E35" s="4" t="s">
        <v>2011</v>
      </c>
      <c r="F35" cm="1">
        <f t="array" ref="F35" xml:space="preserve"> ROUND(MAX(SDG.RawY), SDG.DecimalPlaces)</f>
        <v>5</v>
      </c>
    </row>
    <row r="37" spans="4:6" x14ac:dyDescent="0.2">
      <c r="E37" s="4" t="s">
        <v>2012</v>
      </c>
      <c r="F37" s="28">
        <f xml:space="preserve"> MODE(Squares.AreaMultiplier)</f>
        <v>0.85</v>
      </c>
    </row>
    <row r="38" spans="4:6" x14ac:dyDescent="0.2">
      <c r="E38" s="4" t="s">
        <v>2013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2014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2015</v>
      </c>
      <c r="F40" cm="1">
        <f t="array" ref="F40" xml:space="preserve"> SDG.Height / SDG.Aspect</f>
        <v>9.1999999999999993</v>
      </c>
    </row>
    <row r="42" spans="4:6" x14ac:dyDescent="0.2">
      <c r="E42" s="4" t="s">
        <v>2016</v>
      </c>
      <c r="F42" t="s">
        <v>727</v>
      </c>
    </row>
    <row r="43" spans="4:6" x14ac:dyDescent="0.2">
      <c r="E43" s="4" t="s">
        <v>2017</v>
      </c>
      <c r="F43" t="s">
        <v>2102</v>
      </c>
    </row>
    <row r="45" spans="4:6" ht="17" thickBot="1" x14ac:dyDescent="0.25">
      <c r="E45" s="5"/>
      <c r="F45" s="3" t="s">
        <v>2018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2102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2102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2102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2147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2148</v>
      </c>
      <c r="C5" s="3" t="s">
        <v>2149</v>
      </c>
      <c r="E5" s="3" t="s">
        <v>2150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2152</v>
      </c>
      <c r="E20">
        <f xml:space="preserve"> ROUND(MAX(GR.RawX), GR.DecimalPlaces) + 1</f>
        <v>6</v>
      </c>
    </row>
    <row r="21" spans="2:5" x14ac:dyDescent="0.2">
      <c r="D21" s="4" t="s">
        <v>2154</v>
      </c>
      <c r="E21">
        <f xml:space="preserve"> GR.MaxX</f>
        <v>6</v>
      </c>
    </row>
    <row r="22" spans="2:5" x14ac:dyDescent="0.2">
      <c r="D22" s="4" t="s">
        <v>2151</v>
      </c>
      <c r="E22">
        <f xml:space="preserve"> - GR.MaxX</f>
        <v>-6</v>
      </c>
    </row>
    <row r="23" spans="2:5" x14ac:dyDescent="0.2">
      <c r="D23" s="4" t="s">
        <v>2153</v>
      </c>
      <c r="E23">
        <f xml:space="preserve"> - GR.MaxY</f>
        <v>-6</v>
      </c>
    </row>
    <row r="25" spans="2:5" x14ac:dyDescent="0.2">
      <c r="D25" s="4" t="s">
        <v>2155</v>
      </c>
      <c r="E25" s="28">
        <f xml:space="preserve"> MODE(Squares.AreaMultiplier)</f>
        <v>0.85</v>
      </c>
    </row>
    <row r="26" spans="2:5" x14ac:dyDescent="0.2">
      <c r="D26" s="4" t="s">
        <v>2156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2157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2158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2159</v>
      </c>
      <c r="E30" s="6" t="s">
        <v>794</v>
      </c>
    </row>
    <row r="31" spans="2:5" x14ac:dyDescent="0.2">
      <c r="D31" s="4" t="s">
        <v>2160</v>
      </c>
      <c r="E31" s="6" t="s">
        <v>2102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2161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2102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2102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2102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2102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2194</v>
      </c>
      <c r="D2" s="3" t="s">
        <v>2195</v>
      </c>
      <c r="E2" s="3" t="s">
        <v>2226</v>
      </c>
      <c r="I2" t="s">
        <v>2178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2201</v>
      </c>
      <c r="U3">
        <f t="array" ref="U3:V5" xml:space="preserve"> $D$22:$E$24</f>
        <v>34.778228978880634</v>
      </c>
      <c r="V3">
        <v>17.493275692479227</v>
      </c>
      <c r="Z3" s="4" t="s">
        <v>2211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2202</v>
      </c>
      <c r="U4">
        <v>43.759270416190446</v>
      </c>
      <c r="V4">
        <v>6.5164472691005715</v>
      </c>
      <c r="Z4" s="4" t="s">
        <v>2212</v>
      </c>
      <c r="AA4">
        <v>0</v>
      </c>
      <c r="AB4">
        <v>-4.4233703349470401</v>
      </c>
    </row>
    <row r="5" spans="3:36" x14ac:dyDescent="0.2">
      <c r="T5" s="4" t="s">
        <v>2203</v>
      </c>
      <c r="U5">
        <v>30.000000000000004</v>
      </c>
      <c r="V5">
        <v>3.0766296650529608</v>
      </c>
      <c r="Z5" s="4" t="s">
        <v>2213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2222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2204</v>
      </c>
      <c r="U8" cm="1">
        <f t="array" ref="U8:V8" xml:space="preserve"> _IADB.Quartic_Z0</f>
        <v>34.778228978880634</v>
      </c>
      <c r="V8">
        <v>17.493275692479227</v>
      </c>
      <c r="Z8" s="4" t="s">
        <v>2214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2205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2215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2206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2216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2223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2232</v>
      </c>
      <c r="Z13" s="3" t="s">
        <v>2233</v>
      </c>
      <c r="AA13" s="3" t="s">
        <v>2234</v>
      </c>
      <c r="AB13" s="3" t="s">
        <v>2235</v>
      </c>
      <c r="AC13" s="3" t="s">
        <v>2236</v>
      </c>
      <c r="AG13" s="3" t="s">
        <v>2239</v>
      </c>
      <c r="AJ13" s="3" t="s">
        <v>2238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2193</v>
      </c>
      <c r="D20" s="3" t="s">
        <v>2179</v>
      </c>
      <c r="E20" s="3" t="s">
        <v>2180</v>
      </c>
      <c r="F20" s="3" t="s">
        <v>2200</v>
      </c>
      <c r="G20" s="5"/>
      <c r="I20" s="3" t="s">
        <v>2181</v>
      </c>
      <c r="S20" s="3" t="s">
        <v>2210</v>
      </c>
      <c r="T20" s="3" t="s">
        <v>2209</v>
      </c>
      <c r="U20" s="3" t="s">
        <v>2207</v>
      </c>
      <c r="V20" s="3" t="s">
        <v>2208</v>
      </c>
      <c r="Y20" s="3" t="s">
        <v>2217</v>
      </c>
      <c r="Z20" s="3" t="s">
        <v>2218</v>
      </c>
      <c r="AA20" s="3" t="s">
        <v>2219</v>
      </c>
      <c r="AB20" s="3" t="s">
        <v>2220</v>
      </c>
      <c r="AC20" s="3" t="s">
        <v>2221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2196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2197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2198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2199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2237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2198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2197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2199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2237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2183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2185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2182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2184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2186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2187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2188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2189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2190</v>
      </c>
      <c r="I49" s="6" t="s">
        <v>995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2191</v>
      </c>
      <c r="I50" s="6" t="s">
        <v>2102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2225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2192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2224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2227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2228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2229</v>
      </c>
      <c r="H57" s="5"/>
      <c r="I57" s="6" t="s">
        <v>15</v>
      </c>
    </row>
    <row r="58" spans="3:29" x14ac:dyDescent="0.2">
      <c r="C58" t="s">
        <v>2229</v>
      </c>
    </row>
    <row r="59" spans="3:29" x14ac:dyDescent="0.2">
      <c r="C59" t="s">
        <v>2230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2231</v>
      </c>
      <c r="E65">
        <f xml:space="preserve"> ($E23 - $E21) / ($D23 - $D21)</f>
        <v>0.14891581160113579</v>
      </c>
    </row>
    <row r="66" spans="3:5" x14ac:dyDescent="0.2">
      <c r="C66" t="s">
        <v>2231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2253</v>
      </c>
      <c r="D2" t="s">
        <v>2254</v>
      </c>
      <c r="E2" t="s">
        <v>2255</v>
      </c>
      <c r="G2" t="s">
        <v>2240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2256</v>
      </c>
      <c r="C5" s="3" t="s">
        <v>2257</v>
      </c>
      <c r="D5" s="3" t="s">
        <v>2241</v>
      </c>
      <c r="E5" s="3" t="s">
        <v>2242</v>
      </c>
      <c r="G5" s="3" t="s">
        <v>2243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2245</v>
      </c>
      <c r="G26">
        <f xml:space="preserve"> _CoEDB.Radius_1</f>
        <v>8</v>
      </c>
    </row>
    <row r="27" spans="2:7" x14ac:dyDescent="0.2">
      <c r="F27" s="4" t="s">
        <v>2247</v>
      </c>
      <c r="G27">
        <f xml:space="preserve"> _CoEDB.MaxX</f>
        <v>8</v>
      </c>
    </row>
    <row r="28" spans="2:7" x14ac:dyDescent="0.2">
      <c r="F28" s="4" t="s">
        <v>2244</v>
      </c>
      <c r="G28">
        <f xml:space="preserve"> - G26</f>
        <v>-8</v>
      </c>
    </row>
    <row r="29" spans="2:7" x14ac:dyDescent="0.2">
      <c r="F29" s="4" t="s">
        <v>2246</v>
      </c>
      <c r="G29">
        <f xml:space="preserve"> - G27</f>
        <v>-8</v>
      </c>
    </row>
    <row r="31" spans="2:7" x14ac:dyDescent="0.2">
      <c r="F31" s="4" t="s">
        <v>2248</v>
      </c>
      <c r="G31" s="28">
        <f xml:space="preserve"> MODE(Circles.AreaMultiplier)</f>
        <v>1</v>
      </c>
    </row>
    <row r="32" spans="2:7" x14ac:dyDescent="0.2">
      <c r="F32" s="4" t="s">
        <v>2249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2250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2251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2258</v>
      </c>
      <c r="G36" s="6" t="s">
        <v>2260</v>
      </c>
      <c r="H36" s="5"/>
    </row>
    <row r="37" spans="5:8" x14ac:dyDescent="0.2">
      <c r="F37" s="4" t="s">
        <v>2259</v>
      </c>
      <c r="G37" s="6" t="s">
        <v>2102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2252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2103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7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1998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1996</v>
      </c>
      <c r="N7" t="s">
        <v>23</v>
      </c>
      <c r="O7" t="s">
        <v>24</v>
      </c>
      <c r="P7" t="s">
        <v>2000</v>
      </c>
      <c r="Q7" t="s">
        <v>2001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1997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2002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1999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1972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1969</v>
      </c>
      <c r="N13" s="6" t="s">
        <v>1970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1971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2162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2163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2177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96</v>
      </c>
      <c r="J52">
        <f t="shared" ref="J52" si="249" xml:space="preserve"> IF(LEN(ChartLines.Hex6)=6, HEX2DEC(RIGHT(ChartLines.Hex6, 2)), "·")</f>
        <v>255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1874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1875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1876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1877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1878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1879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1880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1881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1882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2175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192</v>
      </c>
      <c r="I67">
        <f t="shared" ref="I67" si="323" xml:space="preserve"> IF(LEN(ChartLines.Hex6)=6, HEX2DEC(MID(ChartLines.Hex6, 3, 2)), "·")</f>
        <v>192</v>
      </c>
      <c r="J67">
        <f t="shared" ref="J67" si="324" xml:space="preserve"> IF(LEN(ChartLines.Hex6)=6, HEX2DEC(RIGHT(ChartLines.Hex6, 2)), "·")</f>
        <v>192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1883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1884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1885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1886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2146</v>
      </c>
      <c r="C74" t="s">
        <v>1875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2146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1887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1888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1995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215</v>
      </c>
      <c r="I83">
        <f t="shared" si="343"/>
        <v>20</v>
      </c>
      <c r="J83">
        <f t="shared" si="344"/>
        <v>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1889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17</v>
      </c>
      <c r="I84">
        <f t="shared" si="343"/>
        <v>69</v>
      </c>
      <c r="J84">
        <f t="shared" si="344"/>
        <v>126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1891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1892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1893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1894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1895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1896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1897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1898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1899</v>
      </c>
      <c r="C98" t="s">
        <v>1900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1899</v>
      </c>
      <c r="C99" t="s">
        <v>1901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1902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1903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1904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1905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1893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1906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1907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1908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1909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1910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1911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1912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1913</v>
      </c>
      <c r="C120" t="s">
        <v>1914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1913</v>
      </c>
      <c r="C121" t="s">
        <v>1915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1916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1917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1918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1919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1920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1921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1922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1923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1924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1994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1925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1925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2169</v>
      </c>
      <c r="C137" t="s">
        <v>1926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2169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2092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2083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1927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1993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1993</v>
      </c>
      <c r="C149" t="s">
        <v>1994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1928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1929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1929</v>
      </c>
      <c r="C153" t="s">
        <v>1930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2041</v>
      </c>
      <c r="C154" t="s">
        <v>2040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2041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1930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1931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1931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1932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1933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1934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1935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1936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1937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2020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2020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1938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1893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1939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1940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1973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1973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253</v>
      </c>
      <c r="I193">
        <f t="shared" ref="I193" si="783" xml:space="preserve"> IF(LEN(ChartLines.Hex6)=6, HEX2DEC(MID(ChartLines.Hex6, 3, 2)), "·")</f>
        <v>239</v>
      </c>
      <c r="J193">
        <f t="shared" ref="J193" si="784" xml:space="preserve"> IF(LEN(ChartLines.Hex6)=6, HEX2DEC(RIGHT(ChartLines.Hex6, 2)), "·")</f>
        <v>66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1941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29</v>
      </c>
      <c r="I194">
        <f t="shared" ref="I194" si="788" xml:space="preserve"> IF(LEN(ChartLines.Hex6)=6, HEX2DEC(MID(ChartLines.Hex6, 3, 2)), "·")</f>
        <v>98</v>
      </c>
      <c r="J194">
        <f t="shared" ref="J194" si="789" xml:space="preserve"> IF(LEN(ChartLines.Hex6)=6, HEX2DEC(RIGHT(ChartLines.Hex6, 2)), "·")</f>
        <v>51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1943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1944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2166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2166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1945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1946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1947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">
        <v>2176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123</v>
      </c>
      <c r="I212">
        <f t="shared" ref="I212" si="858" xml:space="preserve"> IF(LEN(ChartLines.Hex6)=6, HEX2DEC(MID(ChartLines.Hex6, 3, 2)), "·")</f>
        <v>63</v>
      </c>
      <c r="J212">
        <f t="shared" ref="J212" si="859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1948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1949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1949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1950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1879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1951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1936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1952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1930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1953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1954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:E242" si="995" xml:space="preserve"> IF(AND(LEN(ChartLines.ID)&gt;0,"Unused"&lt;&gt;ChartLines.ID), COUNTIFS(ChartLines.ID,ChartLines.ID), "·")</f>
        <v>2</v>
      </c>
      <c r="F240">
        <f t="shared" ref="F240:F242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:H242" si="997" xml:space="preserve"> IF(LEN(ChartLines.Hex6)=6, HEX2DEC(LEFT(ChartLines.Hex6, 2)), "·")</f>
        <v>255</v>
      </c>
      <c r="I240">
        <f t="shared" ref="I240:I242" si="998" xml:space="preserve"> IF(LEN(ChartLines.Hex6)=6, HEX2DEC(MID(ChartLines.Hex6, 3, 2)), "·")</f>
        <v>255</v>
      </c>
      <c r="J240">
        <f t="shared" ref="J240:J242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2261</v>
      </c>
      <c r="C241" t="str">
        <f xml:space="preserve"> "092251"</f>
        <v>092251</v>
      </c>
      <c r="E241">
        <f t="shared" si="995"/>
        <v>2</v>
      </c>
      <c r="F241">
        <f t="shared" si="996"/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si="997"/>
        <v>9</v>
      </c>
      <c r="I241">
        <f t="shared" si="998"/>
        <v>34</v>
      </c>
      <c r="J241">
        <f t="shared" si="999"/>
        <v>81</v>
      </c>
      <c r="K241" cm="1">
        <f t="array" ref="K241" xml:space="preserve"> 1 + ROW() - _xlfn.SINGLE(ROW(ChartLines.RowNum))</f>
        <v>239</v>
      </c>
    </row>
    <row r="242" spans="2:11" x14ac:dyDescent="0.2">
      <c r="B242" t="s">
        <v>2261</v>
      </c>
      <c r="C242" t="s">
        <v>1851</v>
      </c>
      <c r="E242">
        <f t="shared" si="995"/>
        <v>2</v>
      </c>
      <c r="F242">
        <f t="shared" si="996"/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si="997"/>
        <v>255</v>
      </c>
      <c r="I242">
        <f t="shared" si="998"/>
        <v>255</v>
      </c>
      <c r="J242">
        <f t="shared" si="999"/>
        <v>255</v>
      </c>
      <c r="K242" cm="1">
        <f t="array" ref="K242" xml:space="preserve"> 1 + ROW() - _xlfn.SINGLE(ROW(ChartLines.RowNum))</f>
        <v>240</v>
      </c>
    </row>
    <row r="243" spans="2:11" x14ac:dyDescent="0.2">
      <c r="B243" t="s">
        <v>1955</v>
      </c>
      <c r="C243" t="str">
        <f xml:space="preserve"> "165788"</f>
        <v>165788</v>
      </c>
      <c r="E243">
        <f t="shared" ref="E243" si="1000" xml:space="preserve"> IF(AND(LEN(ChartLines.ID)&gt;0,"Unused"&lt;&gt;ChartLines.ID), COUNTIFS(ChartLines.ID,ChartLines.ID), "·")</f>
        <v>2</v>
      </c>
      <c r="F243">
        <f t="shared" ref="F243" si="100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3">
        <f t="shared" ref="H243" si="1002" xml:space="preserve"> IF(LEN(ChartLines.Hex6)=6, HEX2DEC(LEFT(ChartLines.Hex6, 2)), "·")</f>
        <v>22</v>
      </c>
      <c r="I243">
        <f t="shared" ref="I243" si="1003" xml:space="preserve"> IF(LEN(ChartLines.Hex6)=6, HEX2DEC(MID(ChartLines.Hex6, 3, 2)), "·")</f>
        <v>87</v>
      </c>
      <c r="J243">
        <f t="shared" ref="J243" si="1004" xml:space="preserve"> IF(LEN(ChartLines.Hex6)=6, HEX2DEC(RIGHT(ChartLines.Hex6, 2)), "·")</f>
        <v>136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1955</v>
      </c>
      <c r="C244" t="str">
        <f xml:space="preserve"> "C3DCF4"</f>
        <v>C3DCF4</v>
      </c>
      <c r="E244">
        <f t="shared" ref="E244" si="1005" xml:space="preserve"> IF(AND(LEN(ChartLines.ID)&gt;0,"Unused"&lt;&gt;ChartLines.ID), COUNTIFS(ChartLines.ID,ChartLines.ID), "·")</f>
        <v>2</v>
      </c>
      <c r="F244">
        <f t="shared" ref="F244" si="1006" xml:space="preserve"> IF(AND(LEN(ChartLines.ID)&gt;0,"Unused"&lt;&gt;ChartLines.ID), COUNTIFS(ChartLines.ID,ChartLines.ID,   ChartLines.RowNum,"&lt;="&amp;ChartLines.RowNum), "·")</f>
        <v>2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4">
        <f t="shared" ref="H244" si="1007" xml:space="preserve"> IF(LEN(ChartLines.Hex6)=6, HEX2DEC(LEFT(ChartLines.Hex6, 2)), "·")</f>
        <v>195</v>
      </c>
      <c r="I244">
        <f t="shared" ref="I244" si="1008" xml:space="preserve"> IF(LEN(ChartLines.Hex6)=6, HEX2DEC(MID(ChartLines.Hex6, 3, 2)), "·")</f>
        <v>220</v>
      </c>
      <c r="J244">
        <f t="shared" ref="J244" si="1009" xml:space="preserve"> IF(LEN(ChartLines.Hex6)=6, HEX2DEC(RIGHT(ChartLines.Hex6, 2)), "·")</f>
        <v>244</v>
      </c>
      <c r="K244" cm="1">
        <f t="array" ref="K244" xml:space="preserve"> 1 + ROW() - _xlfn.SINGLE(ROW(ChartLines.RowNum))</f>
        <v>242</v>
      </c>
    </row>
    <row r="245" spans="2:11" x14ac:dyDescent="0.2">
      <c r="B245" t="s">
        <v>802</v>
      </c>
      <c r="C245" t="s">
        <v>2145</v>
      </c>
      <c r="E245">
        <f t="shared" ref="E245:E248" si="1010" xml:space="preserve"> IF(AND(LEN(ChartLines.ID)&gt;0,"Unused"&lt;&gt;ChartLines.ID), COUNTIFS(ChartLines.ID,ChartLines.ID), "·")</f>
        <v>1</v>
      </c>
      <c r="F245">
        <f t="shared" ref="F245:F248" si="101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:H248" si="1012" xml:space="preserve"> IF(LEN(ChartLines.Hex6)=6, HEX2DEC(LEFT(ChartLines.Hex6, 2)), "·")</f>
        <v>27</v>
      </c>
      <c r="I245">
        <f t="shared" ref="I245:I248" si="1013" xml:space="preserve"> IF(LEN(ChartLines.Hex6)=6, HEX2DEC(MID(ChartLines.Hex6, 3, 2)), "·")</f>
        <v>97</v>
      </c>
      <c r="J245">
        <f t="shared" ref="J245:J248" si="1014" xml:space="preserve"> IF(LEN(ChartLines.Hex6)=6, HEX2DEC(RIGHT(ChartLines.Hex6, 2)), "·")</f>
        <v>140</v>
      </c>
      <c r="K245" cm="1">
        <f t="array" ref="K245" xml:space="preserve"> 1 + ROW() - _xlfn.SINGLE(ROW(ChartLines.RowNum))</f>
        <v>243</v>
      </c>
    </row>
    <row r="246" spans="2:11" x14ac:dyDescent="0.2">
      <c r="B246" t="s">
        <v>2262</v>
      </c>
      <c r="C246">
        <v>273375</v>
      </c>
      <c r="E246">
        <f t="shared" si="1010"/>
        <v>2</v>
      </c>
      <c r="F246">
        <f t="shared" si="1011"/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si="1012"/>
        <v>39</v>
      </c>
      <c r="I246">
        <f t="shared" si="1013"/>
        <v>51</v>
      </c>
      <c r="J246">
        <f t="shared" si="1014"/>
        <v>117</v>
      </c>
      <c r="K246" cm="1">
        <f t="array" ref="K246" xml:space="preserve"> 1 + ROW() - _xlfn.SINGLE(ROW(ChartLines.RowNum))</f>
        <v>244</v>
      </c>
    </row>
    <row r="247" spans="2:11" x14ac:dyDescent="0.2">
      <c r="B247" t="s">
        <v>2262</v>
      </c>
      <c r="C247" t="s">
        <v>2265</v>
      </c>
      <c r="E247">
        <f t="shared" si="1010"/>
        <v>2</v>
      </c>
      <c r="F247">
        <f t="shared" si="1011"/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si="1012"/>
        <v>226</v>
      </c>
      <c r="I247">
        <f t="shared" si="1013"/>
        <v>6</v>
      </c>
      <c r="J247">
        <f t="shared" si="1014"/>
        <v>19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1847</v>
      </c>
      <c r="E248" t="str">
        <f t="shared" si="1010"/>
        <v>·</v>
      </c>
      <c r="F248" t="str">
        <f t="shared" si="1011"/>
        <v>·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8" t="str">
        <f t="shared" si="1012"/>
        <v>·</v>
      </c>
      <c r="I248" t="str">
        <f t="shared" si="1013"/>
        <v>·</v>
      </c>
      <c r="J248" t="str">
        <f t="shared" si="1014"/>
        <v>·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174</v>
      </c>
      <c r="C249" t="s">
        <v>1956</v>
      </c>
      <c r="E249">
        <f t="shared" ref="E249" si="1015" xml:space="preserve"> IF(AND(LEN(ChartLines.ID)&gt;0,"Unused"&lt;&gt;ChartLines.ID), COUNTIFS(ChartLines.ID,ChartLines.ID), "·")</f>
        <v>1</v>
      </c>
      <c r="F249">
        <f t="shared" ref="F249" si="1016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9">
        <f t="shared" ref="H249" si="1017" xml:space="preserve"> IF(LEN(ChartLines.Hex6)=6, HEX2DEC(LEFT(ChartLines.Hex6, 2)), "·")</f>
        <v>28</v>
      </c>
      <c r="I249">
        <f t="shared" ref="I249" si="1018" xml:space="preserve"> IF(LEN(ChartLines.Hex6)=6, HEX2DEC(MID(ChartLines.Hex6, 3, 2)), "·")</f>
        <v>48</v>
      </c>
      <c r="J249">
        <f t="shared" ref="J249" si="1019" xml:space="preserve"> IF(LEN(ChartLines.Hex6)=6, HEX2DEC(RIGHT(ChartLines.Hex6, 2)), "·")</f>
        <v>96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1847</v>
      </c>
      <c r="E250" t="str">
        <f t="shared" ref="E250" si="1020" xml:space="preserve"> IF(AND(LEN(ChartLines.ID)&gt;0,"Unused"&lt;&gt;ChartLines.ID), COUNTIFS(ChartLines.ID,ChartLines.ID), "·")</f>
        <v>·</v>
      </c>
      <c r="F250" t="str">
        <f t="shared" ref="F250" si="1021" xml:space="preserve"> IF(AND(LEN(ChartLines.ID)&gt;0,"Unused"&lt;&gt;ChartLines.ID), COUNTIFS(ChartLines.ID,ChartLines.ID,   ChartLines.RowNum,"&lt;="&amp;ChartLines.RowNum), "·")</f>
        <v>·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50" t="str">
        <f t="shared" ref="H250" si="1022" xml:space="preserve"> IF(LEN(ChartLines.Hex6)=6, HEX2DEC(LEFT(ChartLines.Hex6, 2)), "·")</f>
        <v>·</v>
      </c>
      <c r="I250" t="str">
        <f t="shared" ref="I250" si="1023" xml:space="preserve"> IF(LEN(ChartLines.Hex6)=6, HEX2DEC(MID(ChartLines.Hex6, 3, 2)), "·")</f>
        <v>·</v>
      </c>
      <c r="J250" t="str">
        <f t="shared" ref="J250" si="1024" xml:space="preserve"> IF(LEN(ChartLines.Hex6)=6, HEX2DEC(RIGHT(ChartLines.Hex6, 2)), "·")</f>
        <v>·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1957</v>
      </c>
      <c r="C251" t="s">
        <v>1958</v>
      </c>
      <c r="E251">
        <f t="shared" ref="E251" si="1025" xml:space="preserve"> IF(AND(LEN(ChartLines.ID)&gt;0,"Unused"&lt;&gt;ChartLines.ID), COUNTIFS(ChartLines.ID,ChartLines.ID), "·")</f>
        <v>2</v>
      </c>
      <c r="F251">
        <f t="shared" ref="F251" si="1026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27" xml:space="preserve"> IF(LEN(ChartLines.Hex6)=6, HEX2DEC(LEFT(ChartLines.Hex6, 2)), "·")</f>
        <v>134</v>
      </c>
      <c r="I251">
        <f t="shared" ref="I251" si="1028" xml:space="preserve"> IF(LEN(ChartLines.Hex6)=6, HEX2DEC(MID(ChartLines.Hex6, 3, 2)), "·")</f>
        <v>12</v>
      </c>
      <c r="J251">
        <f t="shared" ref="J251" si="1029" xml:space="preserve"> IF(LEN(ChartLines.Hex6)=6, HEX2DEC(RIGHT(ChartLines.Hex6, 2)), "·")</f>
        <v>20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1957</v>
      </c>
      <c r="C252" t="s">
        <v>1851</v>
      </c>
      <c r="E252">
        <f t="shared" ref="E252" si="1030" xml:space="preserve"> IF(AND(LEN(ChartLines.ID)&gt;0,"Unused"&lt;&gt;ChartLines.ID), COUNTIFS(ChartLines.ID,ChartLines.ID), "·")</f>
        <v>2</v>
      </c>
      <c r="F252">
        <f t="shared" ref="F252" si="1031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" si="1032" xml:space="preserve"> IF(LEN(ChartLines.Hex6)=6, HEX2DEC(LEFT(ChartLines.Hex6, 2)), "·")</f>
        <v>255</v>
      </c>
      <c r="I252">
        <f t="shared" ref="I252" si="1033" xml:space="preserve"> IF(LEN(ChartLines.Hex6)=6, HEX2DEC(MID(ChartLines.Hex6, 3, 2)), "·")</f>
        <v>255</v>
      </c>
      <c r="J252">
        <f t="shared" ref="J252" si="1034" xml:space="preserve"> IF(LEN(ChartLines.Hex6)=6, HEX2DEC(RIGHT(ChartLines.Hex6, 2)), "·")</f>
        <v>255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959</v>
      </c>
      <c r="C253" t="str">
        <f xml:space="preserve"> "039355"</f>
        <v>039355</v>
      </c>
      <c r="E253">
        <f t="shared" ref="E253" si="1035" xml:space="preserve"> IF(AND(LEN(ChartLines.ID)&gt;0,"Unused"&lt;&gt;ChartLines.ID), COUNTIFS(ChartLines.ID,ChartLines.ID), "·")</f>
        <v>2</v>
      </c>
      <c r="F253">
        <f t="shared" ref="F253" si="1036" xml:space="preserve"> IF(AND(LEN(ChartLines.ID)&gt;0,"Unused"&lt;&gt;ChartLines.ID), COUNTIFS(ChartLines.ID,ChartLines.ID,   ChartLines.RowNum,"&lt;="&amp;ChartLines.RowNum), "·")</f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ref="H253" si="1037" xml:space="preserve"> IF(LEN(ChartLines.Hex6)=6, HEX2DEC(LEFT(ChartLines.Hex6, 2)), "·")</f>
        <v>3</v>
      </c>
      <c r="I253">
        <f t="shared" ref="I253" si="1038" xml:space="preserve"> IF(LEN(ChartLines.Hex6)=6, HEX2DEC(MID(ChartLines.Hex6, 3, 2)), "·")</f>
        <v>147</v>
      </c>
      <c r="J253">
        <f t="shared" ref="J253" si="1039" xml:space="preserve"> IF(LEN(ChartLines.Hex6)=6, HEX2DEC(RIGHT(ChartLines.Hex6, 2)), "·")</f>
        <v>85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959</v>
      </c>
      <c r="C254" t="s">
        <v>1851</v>
      </c>
      <c r="E254">
        <f t="shared" ref="E254" si="1040" xml:space="preserve"> IF(AND(LEN(ChartLines.ID)&gt;0,"Unused"&lt;&gt;ChartLines.ID), COUNTIFS(ChartLines.ID,ChartLines.ID), "·")</f>
        <v>2</v>
      </c>
      <c r="F254">
        <f t="shared" ref="F254" si="1041" xml:space="preserve"> IF(AND(LEN(ChartLines.ID)&gt;0,"Unused"&lt;&gt;ChartLines.ID), COUNTIFS(ChartLines.ID,ChartLines.ID,   ChartLines.RowNum,"&lt;="&amp;ChartLines.RowNum), "·")</f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ref="H254" si="1042" xml:space="preserve"> IF(LEN(ChartLines.Hex6)=6, HEX2DEC(LEFT(ChartLines.Hex6, 2)), "·")</f>
        <v>255</v>
      </c>
      <c r="I254">
        <f t="shared" ref="I254" si="1043" xml:space="preserve"> IF(LEN(ChartLines.Hex6)=6, HEX2DEC(MID(ChartLines.Hex6, 3, 2)), "·")</f>
        <v>255</v>
      </c>
      <c r="J254">
        <f t="shared" ref="J254" si="1044" xml:space="preserve"> IF(LEN(ChartLines.Hex6)=6, HEX2DEC(RIGHT(ChartLines.Hex6, 2)), "·")</f>
        <v>255</v>
      </c>
      <c r="K254" cm="1">
        <f t="array" ref="K254" xml:space="preserve"> 1 + ROW() - _xlfn.SINGLE(ROW(ChartLines.RowNum))</f>
        <v>252</v>
      </c>
    </row>
    <row r="255" spans="2:11" x14ac:dyDescent="0.2">
      <c r="B255" t="s">
        <v>106</v>
      </c>
      <c r="C255" t="str">
        <f xml:space="preserve"> "000000"</f>
        <v>000000</v>
      </c>
      <c r="E255">
        <f t="shared" ref="E255" si="1045" xml:space="preserve"> IF(AND(LEN(ChartLines.ID)&gt;0,"Unused"&lt;&gt;ChartLines.ID), COUNTIFS(ChartLines.ID,ChartLines.ID), "·")</f>
        <v>2</v>
      </c>
      <c r="F255">
        <f t="shared" ref="F255" si="1046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47" xml:space="preserve"> IF(LEN(ChartLines.Hex6)=6, HEX2DEC(LEFT(ChartLines.Hex6, 2)), "·")</f>
        <v>0</v>
      </c>
      <c r="I255">
        <f t="shared" ref="I255" si="1048" xml:space="preserve"> IF(LEN(ChartLines.Hex6)=6, HEX2DEC(MID(ChartLines.Hex6, 3, 2)), "·")</f>
        <v>0</v>
      </c>
      <c r="J255">
        <f t="shared" ref="J255" si="1049" xml:space="preserve"> IF(LEN(ChartLines.Hex6)=6, HEX2DEC(RIGHT(ChartLines.Hex6, 2)), "·")</f>
        <v>0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106</v>
      </c>
      <c r="C256" t="str">
        <f xml:space="preserve"> "039355"</f>
        <v>039355</v>
      </c>
      <c r="E256">
        <f t="shared" ref="E256:E258" si="1050" xml:space="preserve"> IF(AND(LEN(ChartLines.ID)&gt;0,"Unused"&lt;&gt;ChartLines.ID), COUNTIFS(ChartLines.ID,ChartLines.ID), "·")</f>
        <v>2</v>
      </c>
      <c r="F256">
        <f t="shared" ref="F256:F258" si="1051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58" si="1052" xml:space="preserve"> IF(LEN(ChartLines.Hex6)=6, HEX2DEC(LEFT(ChartLines.Hex6, 2)), "·")</f>
        <v>3</v>
      </c>
      <c r="I256">
        <f t="shared" ref="I256:I258" si="1053" xml:space="preserve"> IF(LEN(ChartLines.Hex6)=6, HEX2DEC(MID(ChartLines.Hex6, 3, 2)), "·")</f>
        <v>147</v>
      </c>
      <c r="J256">
        <f t="shared" ref="J256:J258" si="1054" xml:space="preserve"> IF(LEN(ChartLines.Hex6)=6, HEX2DEC(RIGHT(ChartLines.Hex6, 2)), "·")</f>
        <v>85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2057</v>
      </c>
      <c r="C257" t="s">
        <v>2058</v>
      </c>
      <c r="E257">
        <f t="shared" si="1050"/>
        <v>2</v>
      </c>
      <c r="F257">
        <f t="shared" si="1051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52"/>
        <v>25</v>
      </c>
      <c r="I257">
        <f t="shared" si="1053"/>
        <v>141</v>
      </c>
      <c r="J257">
        <f t="shared" si="1054"/>
        <v>102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2057</v>
      </c>
      <c r="C258" t="s">
        <v>2059</v>
      </c>
      <c r="E258">
        <f t="shared" si="1050"/>
        <v>2</v>
      </c>
      <c r="F258">
        <f t="shared" si="1051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52"/>
        <v>252</v>
      </c>
      <c r="I258">
        <f t="shared" si="1053"/>
        <v>185</v>
      </c>
      <c r="J258">
        <f t="shared" si="1054"/>
        <v>14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996</v>
      </c>
      <c r="C259" t="str">
        <f xml:space="preserve"> "005073"</f>
        <v>005073</v>
      </c>
      <c r="E259">
        <f t="shared" ref="E259" si="1055" xml:space="preserve"> IF(AND(LEN(ChartLines.ID)&gt;0,"Unused"&lt;&gt;ChartLines.ID), COUNTIFS(ChartLines.ID,ChartLines.ID), "·")</f>
        <v>2</v>
      </c>
      <c r="F259">
        <f t="shared" ref="F259" si="1056" xml:space="preserve"> IF(AND(LEN(ChartLines.ID)&gt;0,"Unused"&lt;&gt;ChartLines.ID), COUNTIFS(ChartLines.ID,ChartLines.ID,   ChartLines.RowNum,"&lt;="&amp;ChartLines.RowNum), "·")</f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ref="H259" si="1057" xml:space="preserve"> IF(LEN(ChartLines.Hex6)=6, HEX2DEC(LEFT(ChartLines.Hex6, 2)), "·")</f>
        <v>0</v>
      </c>
      <c r="I259">
        <f t="shared" ref="I259" si="1058" xml:space="preserve"> IF(LEN(ChartLines.Hex6)=6, HEX2DEC(MID(ChartLines.Hex6, 3, 2)), "·")</f>
        <v>80</v>
      </c>
      <c r="J259">
        <f t="shared" ref="J259" si="1059" xml:space="preserve"> IF(LEN(ChartLines.Hex6)=6, HEX2DEC(RIGHT(ChartLines.Hex6, 2)), "·")</f>
        <v>115</v>
      </c>
      <c r="K259" cm="1">
        <f t="array" ref="K259" xml:space="preserve"> 1 + ROW() - _xlfn.SINGLE(ROW(ChartLines.RowNum))</f>
        <v>257</v>
      </c>
    </row>
    <row r="260" spans="2:11" x14ac:dyDescent="0.2">
      <c r="B260" t="s">
        <v>996</v>
      </c>
      <c r="C260" t="s">
        <v>1851</v>
      </c>
      <c r="E260">
        <f t="shared" ref="E260:E264" si="1060" xml:space="preserve"> IF(AND(LEN(ChartLines.ID)&gt;0,"Unused"&lt;&gt;ChartLines.ID), COUNTIFS(ChartLines.ID,ChartLines.ID), "·")</f>
        <v>2</v>
      </c>
      <c r="F260">
        <f t="shared" ref="F260:F264" si="1061" xml:space="preserve"> IF(AND(LEN(ChartLines.ID)&gt;0,"Unused"&lt;&gt;ChartLines.ID), COUNTIFS(ChartLines.ID,ChartLines.ID,   ChartLines.RowNum,"&lt;="&amp;ChartLines.RowNum), "·")</f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ref="H260:H264" si="1062" xml:space="preserve"> IF(LEN(ChartLines.Hex6)=6, HEX2DEC(LEFT(ChartLines.Hex6, 2)), "·")</f>
        <v>255</v>
      </c>
      <c r="I260">
        <f t="shared" ref="I260:I264" si="1063" xml:space="preserve"> IF(LEN(ChartLines.Hex6)=6, HEX2DEC(MID(ChartLines.Hex6, 3, 2)), "·")</f>
        <v>255</v>
      </c>
      <c r="J260">
        <f t="shared" ref="J260:J264" si="1064" xml:space="preserve"> IF(LEN(ChartLines.Hex6)=6, HEX2DEC(RIGHT(ChartLines.Hex6, 2)), "·")</f>
        <v>255</v>
      </c>
      <c r="K260" cm="1">
        <f t="array" ref="K260" xml:space="preserve"> 1 + ROW() - _xlfn.SINGLE(ROW(ChartLines.RowNum))</f>
        <v>258</v>
      </c>
    </row>
    <row r="261" spans="2:11" x14ac:dyDescent="0.2">
      <c r="B261" t="s">
        <v>2047</v>
      </c>
      <c r="C261" t="s">
        <v>2050</v>
      </c>
      <c r="E261">
        <f t="shared" si="1060"/>
        <v>2</v>
      </c>
      <c r="F261">
        <f t="shared" si="1061"/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si="1062"/>
        <v>43</v>
      </c>
      <c r="I261">
        <f t="shared" si="1063"/>
        <v>206</v>
      </c>
      <c r="J261">
        <f t="shared" si="1064"/>
        <v>117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2047</v>
      </c>
      <c r="C262" t="s">
        <v>2051</v>
      </c>
      <c r="E262">
        <f t="shared" si="1060"/>
        <v>2</v>
      </c>
      <c r="F262">
        <f t="shared" si="1061"/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si="1062"/>
        <v>0</v>
      </c>
      <c r="I262">
        <f t="shared" si="1063"/>
        <v>70</v>
      </c>
      <c r="J262">
        <f t="shared" si="1064"/>
        <v>194</v>
      </c>
      <c r="K262" cm="1">
        <f t="array" ref="K262" xml:space="preserve"> 1 + ROW() - _xlfn.SINGLE(ROW(ChartLines.RowNum))</f>
        <v>260</v>
      </c>
    </row>
    <row r="263" spans="2:11" x14ac:dyDescent="0.2">
      <c r="B263" t="s">
        <v>2052</v>
      </c>
      <c r="C263" t="s">
        <v>2055</v>
      </c>
      <c r="E263">
        <f t="shared" si="1060"/>
        <v>2</v>
      </c>
      <c r="F263">
        <f t="shared" si="1061"/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si="1062"/>
        <v>239</v>
      </c>
      <c r="I263">
        <f t="shared" si="1063"/>
        <v>190</v>
      </c>
      <c r="J263">
        <f t="shared" si="1064"/>
        <v>32</v>
      </c>
      <c r="K263" cm="1">
        <f t="array" ref="K263" xml:space="preserve"> 1 + ROW() - _xlfn.SINGLE(ROW(ChartLines.RowNum))</f>
        <v>261</v>
      </c>
    </row>
    <row r="264" spans="2:11" x14ac:dyDescent="0.2">
      <c r="B264" t="s">
        <v>2052</v>
      </c>
      <c r="C264" t="s">
        <v>2056</v>
      </c>
      <c r="E264">
        <f t="shared" si="1060"/>
        <v>2</v>
      </c>
      <c r="F264">
        <f t="shared" si="1061"/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si="1062"/>
        <v>11</v>
      </c>
      <c r="I264">
        <f t="shared" si="1063"/>
        <v>92</v>
      </c>
      <c r="J264">
        <f t="shared" si="1064"/>
        <v>174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1054</v>
      </c>
      <c r="C265" t="str">
        <f xml:space="preserve"> "056839"</f>
        <v>056839</v>
      </c>
      <c r="E265">
        <f t="shared" ref="E265" si="1065" xml:space="preserve"> IF(AND(LEN(ChartLines.ID)&gt;0,"Unused"&lt;&gt;ChartLines.ID), COUNTIFS(ChartLines.ID,ChartLines.ID), "·")</f>
        <v>2</v>
      </c>
      <c r="F265">
        <f t="shared" ref="F265" si="1066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5">
        <f t="shared" ref="H265" si="1067" xml:space="preserve"> IF(LEN(ChartLines.Hex6)=6, HEX2DEC(LEFT(ChartLines.Hex6, 2)), "·")</f>
        <v>5</v>
      </c>
      <c r="I265">
        <f t="shared" ref="I265" si="1068" xml:space="preserve"> IF(LEN(ChartLines.Hex6)=6, HEX2DEC(MID(ChartLines.Hex6, 3, 2)), "·")</f>
        <v>104</v>
      </c>
      <c r="J265">
        <f t="shared" ref="J265" si="1069" xml:space="preserve"> IF(LEN(ChartLines.Hex6)=6, HEX2DEC(RIGHT(ChartLines.Hex6, 2)), "·")</f>
        <v>57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1054</v>
      </c>
      <c r="C266" t="s">
        <v>1959</v>
      </c>
      <c r="E266">
        <f t="shared" ref="E266" si="1070" xml:space="preserve"> IF(AND(LEN(ChartLines.ID)&gt;0,"Unused"&lt;&gt;ChartLines.ID), COUNTIFS(ChartLines.ID,ChartLines.ID), "·")</f>
        <v>2</v>
      </c>
      <c r="F266">
        <f t="shared" ref="F266" si="1071" xml:space="preserve"> IF(AND(LEN(ChartLines.ID)&gt;0,"Unused"&lt;&gt;ChartLines.ID), COUNTIFS(ChartLines.ID,ChartLines.ID,   ChartLines.RowNum,"&lt;="&amp;ChartLines.RowNum), "·")</f>
        <v>2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6">
        <f t="shared" ref="H266" si="1072" xml:space="preserve"> IF(LEN(ChartLines.Hex6)=6, HEX2DEC(LEFT(ChartLines.Hex6, 2)), "·")</f>
        <v>190</v>
      </c>
      <c r="I266">
        <f t="shared" ref="I266" si="1073" xml:space="preserve"> IF(LEN(ChartLines.Hex6)=6, HEX2DEC(MID(ChartLines.Hex6, 3, 2)), "·")</f>
        <v>214</v>
      </c>
      <c r="J266">
        <f t="shared" ref="J266" si="1074" xml:space="preserve"> IF(LEN(ChartLines.Hex6)=6, HEX2DEC(RIGHT(ChartLines.Hex6, 2)), "·")</f>
        <v>47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1960</v>
      </c>
      <c r="C267" t="str">
        <f xml:space="preserve"> "000000"</f>
        <v>000000</v>
      </c>
      <c r="E267">
        <f t="shared" ref="E267" si="1075" xml:space="preserve"> IF(AND(LEN(ChartLines.ID)&gt;0,"Unused"&lt;&gt;ChartLines.ID), COUNTIFS(ChartLines.ID,ChartLines.ID), "·")</f>
        <v>2</v>
      </c>
      <c r="F267">
        <f t="shared" ref="F267" si="1076" xml:space="preserve"> IF(AND(LEN(ChartLines.ID)&gt;0,"Unused"&lt;&gt;ChartLines.ID), COUNTIFS(ChartLines.ID,ChartLines.ID,   ChartLines.RowNum,"&lt;="&amp;ChartLines.RowNum), "·")</f>
        <v>1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7">
        <f t="shared" ref="H267" si="1077" xml:space="preserve"> IF(LEN(ChartLines.Hex6)=6, HEX2DEC(LEFT(ChartLines.Hex6, 2)), "·")</f>
        <v>0</v>
      </c>
      <c r="I267">
        <f t="shared" ref="I267" si="1078" xml:space="preserve"> IF(LEN(ChartLines.Hex6)=6, HEX2DEC(MID(ChartLines.Hex6, 3, 2)), "·")</f>
        <v>0</v>
      </c>
      <c r="J267">
        <f t="shared" ref="J267" si="1079" xml:space="preserve"> IF(LEN(ChartLines.Hex6)=6, HEX2DEC(RIGHT(ChartLines.Hex6, 2)), "·")</f>
        <v>0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1960</v>
      </c>
      <c r="C268" t="s">
        <v>1851</v>
      </c>
      <c r="E268">
        <f t="shared" ref="E268" si="1080" xml:space="preserve"> IF(AND(LEN(ChartLines.ID)&gt;0,"Unused"&lt;&gt;ChartLines.ID), COUNTIFS(ChartLines.ID,ChartLines.ID), "·")</f>
        <v>2</v>
      </c>
      <c r="F268">
        <f t="shared" ref="F268" si="1081" xml:space="preserve"> IF(AND(LEN(ChartLines.ID)&gt;0,"Unused"&lt;&gt;ChartLines.ID), COUNTIFS(ChartLines.ID,ChartLines.ID,   ChartLines.RowNum,"&lt;="&amp;ChartLines.RowNum), "·")</f>
        <v>2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8">
        <f t="shared" ref="H268" si="1082" xml:space="preserve"> IF(LEN(ChartLines.Hex6)=6, HEX2DEC(LEFT(ChartLines.Hex6, 2)), "·")</f>
        <v>255</v>
      </c>
      <c r="I268">
        <f t="shared" ref="I268" si="1083" xml:space="preserve"> IF(LEN(ChartLines.Hex6)=6, HEX2DEC(MID(ChartLines.Hex6, 3, 2)), "·")</f>
        <v>255</v>
      </c>
      <c r="J268">
        <f t="shared" ref="J268" si="1084" xml:space="preserve"> IF(LEN(ChartLines.Hex6)=6, HEX2DEC(RIGHT(ChartLines.Hex6, 2)), "·")</f>
        <v>255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1961</v>
      </c>
      <c r="C269" t="s">
        <v>1962</v>
      </c>
      <c r="E269">
        <f t="shared" ref="E269" si="1085" xml:space="preserve"> IF(AND(LEN(ChartLines.ID)&gt;0,"Unused"&lt;&gt;ChartLines.ID), COUNTIFS(ChartLines.ID,ChartLines.ID), "·")</f>
        <v>1</v>
      </c>
      <c r="F269">
        <f t="shared" ref="F269" si="1086" xml:space="preserve"> IF(AND(LEN(ChartLines.ID)&gt;0,"Unused"&lt;&gt;ChartLines.ID), COUNTIFS(ChartLines.ID,ChartLines.ID,   ChartLines.RowNum,"&lt;="&amp;ChartLines.RowNum), "·")</f>
        <v>1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9">
        <f t="shared" ref="H269" si="1087" xml:space="preserve"> IF(LEN(ChartLines.Hex6)=6, HEX2DEC(LEFT(ChartLines.Hex6, 2)), "·")</f>
        <v>0</v>
      </c>
      <c r="I269">
        <f t="shared" ref="I269" si="1088" xml:space="preserve"> IF(LEN(ChartLines.Hex6)=6, HEX2DEC(MID(ChartLines.Hex6, 3, 2)), "·")</f>
        <v>76</v>
      </c>
      <c r="J269">
        <f t="shared" ref="J269" si="1089" xml:space="preserve"> IF(LEN(ChartLines.Hex6)=6, HEX2DEC(RIGHT(ChartLines.Hex6, 2)), "·")</f>
        <v>151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1847</v>
      </c>
      <c r="E270" t="str">
        <f t="shared" ref="E270" si="1090" xml:space="preserve"> IF(AND(LEN(ChartLines.ID)&gt;0,"Unused"&lt;&gt;ChartLines.ID), COUNTIFS(ChartLines.ID,ChartLines.ID), "·")</f>
        <v>·</v>
      </c>
      <c r="F270" t="str">
        <f t="shared" ref="F270" si="1091" xml:space="preserve"> IF(AND(LEN(ChartLines.ID)&gt;0,"Unused"&lt;&gt;ChartLines.ID), COUNTIFS(ChartLines.ID,ChartLines.ID,   ChartLines.RowNum,"&lt;="&amp;ChartLines.RowNum), "·")</f>
        <v>·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0" t="str">
        <f t="shared" ref="H270" si="1092" xml:space="preserve"> IF(LEN(ChartLines.Hex6)=6, HEX2DEC(LEFT(ChartLines.Hex6, 2)), "·")</f>
        <v>·</v>
      </c>
      <c r="I270" t="str">
        <f t="shared" ref="I270" si="1093" xml:space="preserve"> IF(LEN(ChartLines.Hex6)=6, HEX2DEC(MID(ChartLines.Hex6, 3, 2)), "·")</f>
        <v>·</v>
      </c>
      <c r="J270" t="str">
        <f t="shared" ref="J270" si="1094" xml:space="preserve"> IF(LEN(ChartLines.Hex6)=6, HEX2DEC(RIGHT(ChartLines.Hex6, 2)), "·")</f>
        <v>·</v>
      </c>
      <c r="K270" cm="1">
        <f t="array" ref="K270" xml:space="preserve"> 1 + ROW() - _xlfn.SINGLE(ROW(ChartLines.RowNum))</f>
        <v>268</v>
      </c>
    </row>
    <row r="271" spans="2:11" x14ac:dyDescent="0.2">
      <c r="E271" t="str">
        <f t="shared" ref="E271" si="1095" xml:space="preserve"> IF(AND(LEN(ChartLines.ID)&gt;0,"Unused"&lt;&gt;ChartLines.ID), COUNTIFS(ChartLines.ID,ChartLines.ID), "·")</f>
        <v>·</v>
      </c>
      <c r="F271" t="str">
        <f t="shared" ref="F271" si="1096" xml:space="preserve"> IF(AND(LEN(ChartLines.ID)&gt;0,"Unused"&lt;&gt;ChartLines.ID), COUNTIFS(ChartLines.ID,ChartLines.ID,   ChartLines.RowNum,"&lt;="&amp;ChartLines.RowNum), "·")</f>
        <v>·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1" t="str">
        <f t="shared" ref="H271" si="1097" xml:space="preserve"> IF(LEN(ChartLines.Hex6)=6, HEX2DEC(LEFT(ChartLines.Hex6, 2)), "·")</f>
        <v>·</v>
      </c>
      <c r="I271" t="str">
        <f t="shared" ref="I271" si="1098" xml:space="preserve"> IF(LEN(ChartLines.Hex6)=6, HEX2DEC(MID(ChartLines.Hex6, 3, 2)), "·")</f>
        <v>·</v>
      </c>
      <c r="J271" t="str">
        <f t="shared" ref="J271" si="1099" xml:space="preserve"> IF(LEN(ChartLines.Hex6)=6, HEX2DEC(RIGHT(ChartLines.Hex6, 2)), "·")</f>
        <v>·</v>
      </c>
      <c r="K271" cm="1">
        <f t="array" ref="K271" xml:space="preserve"> 1 + ROW() - _xlfn.SINGLE(ROW(ChartLines.RowNum))</f>
        <v>269</v>
      </c>
    </row>
    <row r="272" spans="2:11" x14ac:dyDescent="0.2">
      <c r="B272" t="s">
        <v>1963</v>
      </c>
      <c r="C272" t="str">
        <f xml:space="preserve"> "996515"</f>
        <v>996515</v>
      </c>
      <c r="E272">
        <f t="shared" ref="E272" si="1100" xml:space="preserve"> IF(AND(LEN(ChartLines.ID)&gt;0,"Unused"&lt;&gt;ChartLines.ID), COUNTIFS(ChartLines.ID,ChartLines.ID), "·")</f>
        <v>2</v>
      </c>
      <c r="F272">
        <f t="shared" ref="F272" si="110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02" xml:space="preserve"> IF(LEN(ChartLines.Hex6)=6, HEX2DEC(LEFT(ChartLines.Hex6, 2)), "·")</f>
        <v>153</v>
      </c>
      <c r="I272">
        <f t="shared" ref="I272" si="1103" xml:space="preserve"> IF(LEN(ChartLines.Hex6)=6, HEX2DEC(MID(ChartLines.Hex6, 3, 2)), "·")</f>
        <v>101</v>
      </c>
      <c r="J272">
        <f t="shared" ref="J272" si="1104" xml:space="preserve"> IF(LEN(ChartLines.Hex6)=6, HEX2DEC(RIGHT(ChartLines.Hex6, 2)), "·")</f>
        <v>21</v>
      </c>
      <c r="K272" cm="1">
        <f t="array" ref="K272" xml:space="preserve"> 1 + ROW() - _xlfn.SINGLE(ROW(ChartLines.RowNum))</f>
        <v>270</v>
      </c>
    </row>
    <row r="273" spans="2:11" x14ac:dyDescent="0.2">
      <c r="B273" t="s">
        <v>1963</v>
      </c>
      <c r="C273" t="str">
        <f xml:space="preserve"> "D4AF37"</f>
        <v>D4AF37</v>
      </c>
      <c r="E273">
        <f t="shared" ref="E273" si="1105" xml:space="preserve"> IF(AND(LEN(ChartLines.ID)&gt;0,"Unused"&lt;&gt;ChartLines.ID), COUNTIFS(ChartLines.ID,ChartLines.ID), "·")</f>
        <v>2</v>
      </c>
      <c r="F273">
        <f t="shared" ref="F273" si="110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07" xml:space="preserve"> IF(LEN(ChartLines.Hex6)=6, HEX2DEC(LEFT(ChartLines.Hex6, 2)), "·")</f>
        <v>212</v>
      </c>
      <c r="I273">
        <f t="shared" ref="I273" si="1108" xml:space="preserve"> IF(LEN(ChartLines.Hex6)=6, HEX2DEC(MID(ChartLines.Hex6, 3, 2)), "·")</f>
        <v>175</v>
      </c>
      <c r="J273">
        <f t="shared" ref="J273" si="1109" xml:space="preserve"> IF(LEN(ChartLines.Hex6)=6, HEX2DEC(RIGHT(ChartLines.Hex6, 2)), "·")</f>
        <v>55</v>
      </c>
      <c r="K273" cm="1">
        <f t="array" ref="K273" xml:space="preserve"> 1 + ROW() - _xlfn.SINGLE(ROW(ChartLines.RowNum))</f>
        <v>271</v>
      </c>
    </row>
    <row r="274" spans="2:11" x14ac:dyDescent="0.2">
      <c r="B274" t="s">
        <v>1964</v>
      </c>
      <c r="C274" t="s">
        <v>1965</v>
      </c>
      <c r="E274">
        <f t="shared" ref="E274" si="1110" xml:space="preserve"> IF(AND(LEN(ChartLines.ID)&gt;0,"Unused"&lt;&gt;ChartLines.ID), COUNTIFS(ChartLines.ID,ChartLines.ID), "·")</f>
        <v>2</v>
      </c>
      <c r="F274">
        <f t="shared" ref="F274" si="111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1112" xml:space="preserve"> IF(LEN(ChartLines.Hex6)=6, HEX2DEC(LEFT(ChartLines.Hex6, 2)), "·")</f>
        <v>92</v>
      </c>
      <c r="I274">
        <f t="shared" ref="I274" si="1113" xml:space="preserve"> IF(LEN(ChartLines.Hex6)=6, HEX2DEC(MID(ChartLines.Hex6, 3, 2)), "·")</f>
        <v>92</v>
      </c>
      <c r="J274">
        <f t="shared" ref="J274" si="1114" xml:space="preserve"> IF(LEN(ChartLines.Hex6)=6, HEX2DEC(RIGHT(ChartLines.Hex6, 2)), "·")</f>
        <v>92</v>
      </c>
      <c r="K274" cm="1">
        <f t="array" ref="K274" xml:space="preserve"> 1 + ROW() - _xlfn.SINGLE(ROW(ChartLines.RowNum))</f>
        <v>272</v>
      </c>
    </row>
    <row r="275" spans="2:11" x14ac:dyDescent="0.2">
      <c r="B275" t="s">
        <v>1964</v>
      </c>
      <c r="C275" t="str">
        <f xml:space="preserve"> "C0C0C0"</f>
        <v>C0C0C0</v>
      </c>
      <c r="E275">
        <f t="shared" ref="E275" si="1115" xml:space="preserve"> IF(AND(LEN(ChartLines.ID)&gt;0,"Unused"&lt;&gt;ChartLines.ID), COUNTIFS(ChartLines.ID,ChartLines.ID), "·")</f>
        <v>2</v>
      </c>
      <c r="F275">
        <f t="shared" ref="F275" si="111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1117" xml:space="preserve"> IF(LEN(ChartLines.Hex6)=6, HEX2DEC(LEFT(ChartLines.Hex6, 2)), "·")</f>
        <v>192</v>
      </c>
      <c r="I275">
        <f t="shared" ref="I275" si="1118" xml:space="preserve"> IF(LEN(ChartLines.Hex6)=6, HEX2DEC(MID(ChartLines.Hex6, 3, 2)), "·")</f>
        <v>192</v>
      </c>
      <c r="J275">
        <f t="shared" ref="J275" si="1119" xml:space="preserve"> IF(LEN(ChartLines.Hex6)=6, HEX2DEC(RIGHT(ChartLines.Hex6, 2)), "·")</f>
        <v>192</v>
      </c>
      <c r="K275" cm="1">
        <f t="array" ref="K275" xml:space="preserve"> 1 + ROW() - _xlfn.SINGLE(ROW(ChartLines.RowNum))</f>
        <v>273</v>
      </c>
    </row>
    <row r="276" spans="2:11" x14ac:dyDescent="0.2">
      <c r="B276" t="s">
        <v>933</v>
      </c>
      <c r="C276" t="s">
        <v>1966</v>
      </c>
      <c r="E276">
        <f t="shared" ref="E276" si="1120" xml:space="preserve"> IF(AND(LEN(ChartLines.ID)&gt;0,"Unused"&lt;&gt;ChartLines.ID), COUNTIFS(ChartLines.ID,ChartLines.ID), "·")</f>
        <v>2</v>
      </c>
      <c r="F276">
        <f t="shared" ref="F276" si="1121" xml:space="preserve"> IF(AND(LEN(ChartLines.ID)&gt;0,"Unused"&lt;&gt;ChartLines.ID), COUNTIFS(ChartLines.ID,ChartLines.ID,   ChartLines.RowNum,"&lt;="&amp;ChartLines.RowNum), "·")</f>
        <v>1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6">
        <f t="shared" ref="H276" si="1122" xml:space="preserve"> IF(LEN(ChartLines.Hex6)=6, HEX2DEC(LEFT(ChartLines.Hex6, 2)), "·")</f>
        <v>217</v>
      </c>
      <c r="I276">
        <f t="shared" ref="I276" si="1123" xml:space="preserve"> IF(LEN(ChartLines.Hex6)=6, HEX2DEC(MID(ChartLines.Hex6, 3, 2)), "·")</f>
        <v>91</v>
      </c>
      <c r="J276">
        <f t="shared" ref="J276" si="1124" xml:space="preserve"> IF(LEN(ChartLines.Hex6)=6, HEX2DEC(RIGHT(ChartLines.Hex6, 2)), "·")</f>
        <v>20</v>
      </c>
      <c r="K276" cm="1">
        <f t="array" ref="K276" xml:space="preserve"> 1 + ROW() - _xlfn.SINGLE(ROW(ChartLines.RowNum))</f>
        <v>274</v>
      </c>
    </row>
    <row r="277" spans="2:11" x14ac:dyDescent="0.2">
      <c r="B277" t="s">
        <v>933</v>
      </c>
      <c r="C277" t="s">
        <v>1967</v>
      </c>
      <c r="E277">
        <f t="shared" ref="E277" si="1125" xml:space="preserve"> IF(AND(LEN(ChartLines.ID)&gt;0,"Unused"&lt;&gt;ChartLines.ID), COUNTIFS(ChartLines.ID,ChartLines.ID), "·")</f>
        <v>2</v>
      </c>
      <c r="F277">
        <f t="shared" ref="F277" si="1126" xml:space="preserve"> IF(AND(LEN(ChartLines.ID)&gt;0,"Unused"&lt;&gt;ChartLines.ID), COUNTIFS(ChartLines.ID,ChartLines.ID,   ChartLines.RowNum,"&lt;="&amp;ChartLines.RowNum), "·")</f>
        <v>2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7">
        <f t="shared" ref="H277" si="1127" xml:space="preserve"> IF(LEN(ChartLines.Hex6)=6, HEX2DEC(LEFT(ChartLines.Hex6, 2)), "·")</f>
        <v>199</v>
      </c>
      <c r="I277">
        <f t="shared" ref="I277" si="1128" xml:space="preserve"> IF(LEN(ChartLines.Hex6)=6, HEX2DEC(MID(ChartLines.Hex6, 3, 2)), "·")</f>
        <v>199</v>
      </c>
      <c r="J277">
        <f t="shared" ref="J277" si="1129" xml:space="preserve"> IF(LEN(ChartLines.Hex6)=6, HEX2DEC(RIGHT(ChartLines.Hex6, 2)), "·")</f>
        <v>199</v>
      </c>
      <c r="K277" cm="1">
        <f t="array" ref="K277" xml:space="preserve"> 1 + ROW() - _xlfn.SINGLE(ROW(ChartLines.RowNum))</f>
        <v>275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2171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1968</v>
      </c>
      <c r="Y5" s="3" t="s">
        <v>2170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44982.898520833332</v>
      </c>
      <c r="K7" cm="1">
        <f t="array" ref="K7" xml:space="preserve"> 1 + _xlfn.SINGLE(ROW()) - _xlfn.SINGLE(ROW(ExportSubstitutions.RowNum))</f>
        <v>2</v>
      </c>
      <c r="L7" t="s">
        <v>2142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44982</v>
      </c>
      <c r="K8" cm="1">
        <f t="array" ref="K8" xml:space="preserve"> 1 + _xlfn.SINGLE(ROW()) - _xlfn.SINGLE(ROW(ExportSubstitutions.RowNum))</f>
        <v>3</v>
      </c>
      <c r="L8" t="s">
        <v>2143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2172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2174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2173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399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115088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1974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44982.898217592592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2141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2105</v>
      </c>
      <c r="M36" t="s">
        <v>2134</v>
      </c>
      <c r="N36" t="s">
        <v>2141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2141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2106</v>
      </c>
      <c r="M38" t="s">
        <v>2135</v>
      </c>
      <c r="N38" t="s">
        <v>2141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2141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2107</v>
      </c>
      <c r="M40" t="s">
        <v>2136</v>
      </c>
      <c r="N40" t="s">
        <v>2141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2108</v>
      </c>
      <c r="M41" t="s">
        <v>2137</v>
      </c>
      <c r="N41" t="s">
        <v>2141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2108</v>
      </c>
      <c r="M42" t="s">
        <v>2137</v>
      </c>
      <c r="N42" t="s">
        <v>2141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2141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2141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2141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2141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2141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2141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2141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2109</v>
      </c>
      <c r="M50" t="s">
        <v>2138</v>
      </c>
      <c r="N50" t="s">
        <v>2141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2141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2141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2141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2141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2141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2141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2141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2141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2141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2141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2110</v>
      </c>
      <c r="M61" t="s">
        <v>2139</v>
      </c>
      <c r="N61" t="s">
        <v>2141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2111</v>
      </c>
      <c r="M62" t="s">
        <v>2123</v>
      </c>
      <c r="N62" t="s">
        <v>2141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2112</v>
      </c>
      <c r="M63" t="s">
        <v>2124</v>
      </c>
      <c r="N63" t="s">
        <v>2141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2113</v>
      </c>
      <c r="M64" t="s">
        <v>2125</v>
      </c>
      <c r="N64" t="s">
        <v>2141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2114</v>
      </c>
      <c r="M65" t="s">
        <v>2126</v>
      </c>
      <c r="N65" t="s">
        <v>2141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2115</v>
      </c>
      <c r="M66" t="s">
        <v>2127</v>
      </c>
      <c r="N66" t="s">
        <v>2141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2116</v>
      </c>
      <c r="M67" t="s">
        <v>2128</v>
      </c>
      <c r="N67" t="s">
        <v>2141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2117</v>
      </c>
      <c r="M68" t="s">
        <v>2129</v>
      </c>
      <c r="N68" t="s">
        <v>2141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2118</v>
      </c>
      <c r="M69" t="s">
        <v>2130</v>
      </c>
      <c r="N69" t="s">
        <v>2141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2119</v>
      </c>
      <c r="M70" t="s">
        <v>2131</v>
      </c>
      <c r="N70" t="s">
        <v>2141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2120</v>
      </c>
      <c r="M71" t="s">
        <v>2132</v>
      </c>
      <c r="N71" t="s">
        <v>2141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2121</v>
      </c>
      <c r="M72" t="s">
        <v>2133</v>
      </c>
      <c r="N72" t="s">
        <v>2141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2122</v>
      </c>
      <c r="M73" t="s">
        <v>2140</v>
      </c>
      <c r="N73" t="s">
        <v>2141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2105</v>
      </c>
      <c r="T422" t="s">
        <v>2134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2106</v>
      </c>
      <c r="T424" t="s">
        <v>2135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2107</v>
      </c>
      <c r="T426" t="s">
        <v>2136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2108</v>
      </c>
      <c r="T427" t="s">
        <v>2137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2108</v>
      </c>
      <c r="T428" t="s">
        <v>2137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2109</v>
      </c>
      <c r="T436" t="s">
        <v>2138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2110</v>
      </c>
      <c r="T447" t="s">
        <v>2139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2111</v>
      </c>
      <c r="T448" t="s">
        <v>2123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2112</v>
      </c>
      <c r="T449" t="s">
        <v>2124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2113</v>
      </c>
      <c r="T450" t="s">
        <v>2125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2114</v>
      </c>
      <c r="T451" t="s">
        <v>2126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2115</v>
      </c>
      <c r="T452" t="s">
        <v>2127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2116</v>
      </c>
      <c r="T453" t="s">
        <v>2128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2117</v>
      </c>
      <c r="T454" t="s">
        <v>2129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2118</v>
      </c>
      <c r="T455" t="s">
        <v>2130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2119</v>
      </c>
      <c r="T456" t="s">
        <v>2131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2120</v>
      </c>
      <c r="T457" t="s">
        <v>2132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2121</v>
      </c>
      <c r="T458" t="s">
        <v>2133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2122</v>
      </c>
      <c r="T459" t="s">
        <v>2140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1226</vt:i4>
      </vt:variant>
    </vt:vector>
  </HeadingPairs>
  <TitlesOfParts>
    <vt:vector size="1282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2023-02-25T21:34:04Z</dcterms:modified>
</cp:coreProperties>
</file>