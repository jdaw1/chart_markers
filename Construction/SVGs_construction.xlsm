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GitHub/chart_markers/Construction/"/>
    </mc:Choice>
  </mc:AlternateContent>
  <xr:revisionPtr revIDLastSave="0" documentId="13_ncr:1_{F7D16EEB-13E1-8A41-BF17-A2A4F1817943}" xr6:coauthVersionLast="45" xr6:coauthVersionMax="45" xr10:uidLastSave="{00000000-0000-0000-0000-000000000000}"/>
  <bookViews>
    <workbookView xWindow="700" yWindow="460" windowWidth="34400" windowHeight="28340" firstSheet="37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ChartLines!$J$3:$J$287</definedName>
    <definedName name="ChartLines.G">ChartLines!$I$3:$I$287</definedName>
    <definedName name="ChartLines.Hex6">ChartLines!$C$3:$C$287</definedName>
    <definedName name="ChartLines.ID">ChartLines!$B$3:$B$287</definedName>
    <definedName name="ChartLines.InstanceNum">ChartLines!$F$3:$F$287</definedName>
    <definedName name="ChartLines.NumInstances">ChartLines!$E$3:$E$287</definedName>
    <definedName name="ChartLines.R">ChartLines!$H$3:$H$287</definedName>
    <definedName name="ChartLines.RowNum">ChartLines!$K$3:$K$287</definedName>
    <definedName name="ChartLines.ThicknessText">ChartLines!$G$3:$G$287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63" l="1"/>
  <c r="E9" i="63"/>
  <c r="H9" i="63"/>
  <c r="I9" i="63"/>
  <c r="J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/>
  <c r="E22" i="63"/>
  <c r="H22" i="63"/>
  <c r="I22" i="63"/>
  <c r="J22" i="63"/>
  <c r="K22" i="63" a="1"/>
  <c r="K22" i="63" s="1"/>
  <c r="E23" i="63"/>
  <c r="H23" i="63"/>
  <c r="I23" i="63"/>
  <c r="J23" i="63"/>
  <c r="K23" i="63" a="1"/>
  <c r="K23" i="63" s="1"/>
  <c r="E24" i="63"/>
  <c r="K24" i="63" a="1"/>
  <c r="K24" i="63" s="1"/>
  <c r="F24" i="63" s="1"/>
  <c r="E25" i="63"/>
  <c r="H25" i="63"/>
  <c r="I25" i="63"/>
  <c r="J25" i="63"/>
  <c r="K25" i="63" a="1"/>
  <c r="K25" i="63" s="1"/>
  <c r="M47" i="3"/>
  <c r="N47" i="3"/>
  <c r="O47" i="3"/>
  <c r="P47" i="3"/>
  <c r="L47" i="3"/>
  <c r="M56" i="3"/>
  <c r="N56" i="3"/>
  <c r="O56" i="3"/>
  <c r="P56" i="3"/>
  <c r="L56" i="3"/>
  <c r="G24" i="63" l="1" a="1"/>
  <c r="G24" i="63" s="1"/>
  <c r="F17" i="63"/>
  <c r="F13" i="63"/>
  <c r="F9" i="63"/>
  <c r="G9" i="63" s="1" a="1"/>
  <c r="G9" i="63" s="1"/>
  <c r="F22" i="63"/>
  <c r="F16" i="63"/>
  <c r="F12" i="63"/>
  <c r="F10" i="63"/>
  <c r="G10" i="63" s="1" a="1"/>
  <c r="G10" i="63" s="1"/>
  <c r="F18" i="63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3" i="63"/>
  <c r="G23" i="63" s="1" a="1"/>
  <c r="G23" i="63" s="1"/>
  <c r="G18" i="63" a="1"/>
  <c r="G18" i="63" s="1"/>
  <c r="G16" i="63" a="1"/>
  <c r="G16" i="63" s="1"/>
  <c r="G13" i="63" a="1"/>
  <c r="G13" i="63" s="1"/>
  <c r="G22" i="63" a="1"/>
  <c r="G22" i="63" s="1"/>
  <c r="G17" i="63" a="1"/>
  <c r="G17" i="63" s="1"/>
  <c r="G12" i="63" a="1"/>
  <c r="G12" i="63" s="1"/>
  <c r="C66" i="63"/>
  <c r="C112" i="63"/>
  <c r="C241" i="63"/>
  <c r="E256" i="63" l="1"/>
  <c r="H256" i="63"/>
  <c r="I256" i="63"/>
  <c r="J256" i="63"/>
  <c r="K256" i="63" a="1"/>
  <c r="K256" i="63" s="1"/>
  <c r="F256" i="63" s="1"/>
  <c r="E257" i="63"/>
  <c r="H257" i="63"/>
  <c r="I257" i="63"/>
  <c r="J257" i="63"/>
  <c r="K257" i="63" a="1"/>
  <c r="K257" i="63" s="1"/>
  <c r="E258" i="63"/>
  <c r="F258" i="63"/>
  <c r="H258" i="63"/>
  <c r="I258" i="63"/>
  <c r="J258" i="63"/>
  <c r="K258" i="63" a="1"/>
  <c r="K258" i="63" s="1"/>
  <c r="AD34" i="8"/>
  <c r="AD29" i="8"/>
  <c r="AD28" i="8"/>
  <c r="AD27" i="8"/>
  <c r="AD26" i="8"/>
  <c r="AD20" i="8"/>
  <c r="AD4" i="8"/>
  <c r="AE31" i="8"/>
  <c r="AE30" i="8"/>
  <c r="AE29" i="8"/>
  <c r="AE28" i="8"/>
  <c r="AE27" i="8"/>
  <c r="AE26" i="8"/>
  <c r="AE25" i="8"/>
  <c r="AC31" i="8"/>
  <c r="AC30" i="8"/>
  <c r="AC29" i="8"/>
  <c r="AC28" i="8"/>
  <c r="AC27" i="8"/>
  <c r="AC26" i="8"/>
  <c r="AC25" i="8"/>
  <c r="E251" i="63"/>
  <c r="K251" i="63" a="1"/>
  <c r="K251" i="63" s="1"/>
  <c r="E252" i="63"/>
  <c r="H252" i="63"/>
  <c r="I252" i="63"/>
  <c r="J252" i="63"/>
  <c r="K252" i="63" a="1"/>
  <c r="K252" i="63" s="1"/>
  <c r="F252" i="63" s="1"/>
  <c r="C251" i="63"/>
  <c r="J251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57" i="63" l="1"/>
  <c r="G257" i="63" s="1" a="1"/>
  <c r="G257" i="63" s="1"/>
  <c r="F251" i="63"/>
  <c r="G251" i="63" s="1" a="1"/>
  <c r="G251" i="63" s="1"/>
  <c r="G258" i="63" a="1"/>
  <c r="G258" i="63" s="1"/>
  <c r="G256" i="63" a="1"/>
  <c r="G256" i="63" s="1"/>
  <c r="I251" i="63"/>
  <c r="H251" i="63"/>
  <c r="G252" i="63" a="1"/>
  <c r="G252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209" i="63"/>
  <c r="H209" i="63"/>
  <c r="I209" i="63"/>
  <c r="J209" i="63"/>
  <c r="K209" i="63" a="1"/>
  <c r="K209" i="63" s="1"/>
  <c r="E210" i="63"/>
  <c r="H210" i="63"/>
  <c r="I210" i="63"/>
  <c r="J210" i="63"/>
  <c r="K210" i="63" a="1"/>
  <c r="K210" i="63" s="1"/>
  <c r="E211" i="63"/>
  <c r="F211" i="63"/>
  <c r="H211" i="63"/>
  <c r="I211" i="63"/>
  <c r="J211" i="63"/>
  <c r="K211" i="63" a="1"/>
  <c r="K211" i="63" s="1"/>
  <c r="E212" i="63"/>
  <c r="K212" i="63" a="1"/>
  <c r="K212" i="63" s="1"/>
  <c r="E28" i="70" l="1"/>
  <c r="F27" i="70"/>
  <c r="I34" i="70"/>
  <c r="F34" i="70"/>
  <c r="E35" i="70"/>
  <c r="I35" i="70" s="1"/>
  <c r="G211" i="63" a="1"/>
  <c r="G211" i="63" s="1"/>
  <c r="F209" i="63"/>
  <c r="G209" i="63" s="1" a="1"/>
  <c r="G209" i="63" s="1"/>
  <c r="F210" i="63"/>
  <c r="G210" i="63" s="1" a="1"/>
  <c r="G210" i="63" s="1"/>
  <c r="F28" i="70" l="1"/>
  <c r="F29" i="70"/>
  <c r="AA3" i="70" a="1"/>
  <c r="AA3" i="70" s="1"/>
  <c r="F35" i="70"/>
  <c r="I28" i="70"/>
  <c r="E36" i="70"/>
  <c r="Z30" i="8"/>
  <c r="F30" i="8"/>
  <c r="F36" i="70" l="1"/>
  <c r="I36" i="70"/>
  <c r="AT24" i="25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82" i="63"/>
  <c r="H82" i="63"/>
  <c r="I82" i="63"/>
  <c r="J82" i="63"/>
  <c r="K82" i="63" a="1"/>
  <c r="K82" i="63" s="1"/>
  <c r="E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F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H91" i="63"/>
  <c r="I91" i="63"/>
  <c r="J91" i="63"/>
  <c r="K91" i="63" a="1"/>
  <c r="K91" i="63" s="1"/>
  <c r="F91" i="63" s="1"/>
  <c r="E92" i="63"/>
  <c r="F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E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E100" i="63"/>
  <c r="H100" i="63"/>
  <c r="I100" i="63"/>
  <c r="J100" i="63"/>
  <c r="K100" i="63" a="1"/>
  <c r="K100" i="63" s="1"/>
  <c r="E101" i="63"/>
  <c r="F101" i="63"/>
  <c r="H101" i="63"/>
  <c r="I101" i="63"/>
  <c r="J101" i="63"/>
  <c r="K101" i="63" a="1"/>
  <c r="K101" i="63" s="1"/>
  <c r="E102" i="63"/>
  <c r="H102" i="63"/>
  <c r="I102" i="63"/>
  <c r="J102" i="63"/>
  <c r="K102" i="63" a="1"/>
  <c r="K102" i="63" s="1"/>
  <c r="E103" i="63"/>
  <c r="H103" i="63"/>
  <c r="I103" i="63"/>
  <c r="J103" i="63"/>
  <c r="K103" i="63" a="1"/>
  <c r="K103" i="63" s="1"/>
  <c r="E104" i="63"/>
  <c r="H104" i="63"/>
  <c r="I104" i="63"/>
  <c r="J104" i="63"/>
  <c r="K104" i="63" a="1"/>
  <c r="K104" i="63" s="1"/>
  <c r="F104" i="63" s="1"/>
  <c r="G104" i="63" s="1" a="1"/>
  <c r="G104" i="63" s="1"/>
  <c r="E105" i="63"/>
  <c r="F105" i="63"/>
  <c r="H105" i="63"/>
  <c r="I105" i="63"/>
  <c r="J105" i="63"/>
  <c r="K105" i="63" a="1"/>
  <c r="K105" i="63" s="1"/>
  <c r="E106" i="63"/>
  <c r="H106" i="63"/>
  <c r="I106" i="63"/>
  <c r="J106" i="63"/>
  <c r="K106" i="63" a="1"/>
  <c r="K106" i="63" s="1"/>
  <c r="E107" i="63"/>
  <c r="H107" i="63"/>
  <c r="I107" i="63"/>
  <c r="J107" i="63"/>
  <c r="K107" i="63" a="1"/>
  <c r="K107" i="63" s="1"/>
  <c r="E108" i="63"/>
  <c r="H108" i="63"/>
  <c r="I108" i="63"/>
  <c r="J108" i="63"/>
  <c r="K108" i="63" a="1"/>
  <c r="K108" i="63" s="1"/>
  <c r="E109" i="63"/>
  <c r="H109" i="63"/>
  <c r="I109" i="63"/>
  <c r="J109" i="63"/>
  <c r="K109" i="63" a="1"/>
  <c r="K10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86" i="63" l="1" a="1"/>
  <c r="G86" i="63" s="1"/>
  <c r="F89" i="63"/>
  <c r="G89" i="63" s="1" a="1"/>
  <c r="G89" i="63" s="1"/>
  <c r="F82" i="63"/>
  <c r="G82" i="63" s="1" a="1"/>
  <c r="G82" i="63" s="1"/>
  <c r="F95" i="63"/>
  <c r="G95" i="63" s="1" a="1"/>
  <c r="G95" i="63" s="1"/>
  <c r="G92" i="63" a="1"/>
  <c r="G92" i="63" s="1"/>
  <c r="G105" i="63" a="1"/>
  <c r="G105" i="63" s="1"/>
  <c r="F100" i="63"/>
  <c r="G100" i="63" s="1" a="1"/>
  <c r="G100" i="63" s="1"/>
  <c r="F102" i="63"/>
  <c r="G102" i="63" s="1" a="1"/>
  <c r="G102" i="63" s="1"/>
  <c r="F106" i="63"/>
  <c r="G106" i="63" s="1" a="1"/>
  <c r="G106" i="63" s="1"/>
  <c r="F97" i="63"/>
  <c r="G97" i="63" s="1" a="1"/>
  <c r="G97" i="63" s="1"/>
  <c r="F88" i="63"/>
  <c r="G88" i="63" s="1" a="1"/>
  <c r="G88" i="63" s="1"/>
  <c r="F107" i="63"/>
  <c r="G107" i="63" s="1" a="1"/>
  <c r="G107" i="63" s="1"/>
  <c r="F93" i="63"/>
  <c r="G93" i="63" s="1" a="1"/>
  <c r="G93" i="63" s="1"/>
  <c r="F83" i="63"/>
  <c r="G83" i="63" s="1" a="1"/>
  <c r="G83" i="63" s="1"/>
  <c r="AZ16" i="25"/>
  <c r="F109" i="63"/>
  <c r="G109" i="63" s="1" a="1"/>
  <c r="G109" i="63" s="1"/>
  <c r="F103" i="63"/>
  <c r="G103" i="63" s="1" a="1"/>
  <c r="G103" i="63" s="1"/>
  <c r="G101" i="63" a="1"/>
  <c r="G101" i="63" s="1"/>
  <c r="G91" i="63" a="1"/>
  <c r="G91" i="63" s="1"/>
  <c r="F85" i="63"/>
  <c r="G85" i="63" s="1" a="1"/>
  <c r="G85" i="63" s="1"/>
  <c r="F84" i="63"/>
  <c r="G84" i="63" s="1" a="1"/>
  <c r="G84" i="63" s="1"/>
  <c r="F99" i="63"/>
  <c r="G99" i="63" s="1" a="1"/>
  <c r="G99" i="63" s="1"/>
  <c r="F87" i="63"/>
  <c r="G87" i="63" s="1" a="1"/>
  <c r="G87" i="63" s="1"/>
  <c r="F108" i="63"/>
  <c r="G108" i="63" s="1" a="1"/>
  <c r="G108" i="63" s="1"/>
  <c r="F96" i="63"/>
  <c r="G96" i="63" s="1" a="1"/>
  <c r="G96" i="63" s="1"/>
  <c r="F98" i="63"/>
  <c r="G98" i="63" s="1" a="1"/>
  <c r="G98" i="63" s="1"/>
  <c r="F94" i="63"/>
  <c r="G94" i="63" s="1" a="1"/>
  <c r="G94" i="63" s="1"/>
  <c r="F90" i="63"/>
  <c r="G90" i="63" s="1" a="1"/>
  <c r="G9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39" i="67" a="1"/>
  <c r="K36" i="67" a="1"/>
  <c r="K42" i="67" a="1"/>
  <c r="K48" i="67" a="1"/>
  <c r="K7" i="67" a="1"/>
  <c r="K45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67" i="63"/>
  <c r="H267" i="63"/>
  <c r="I267" i="63"/>
  <c r="J267" i="63"/>
  <c r="K267" i="63" a="1"/>
  <c r="K267" i="63" s="1"/>
  <c r="E268" i="63"/>
  <c r="H268" i="63"/>
  <c r="I268" i="63"/>
  <c r="J268" i="63"/>
  <c r="K268" i="63" a="1"/>
  <c r="K268" i="63" s="1"/>
  <c r="E273" i="63"/>
  <c r="H273" i="63"/>
  <c r="I273" i="63"/>
  <c r="J273" i="63"/>
  <c r="K273" i="63" a="1"/>
  <c r="K273" i="63" s="1"/>
  <c r="E274" i="63"/>
  <c r="H274" i="63"/>
  <c r="I274" i="63"/>
  <c r="J274" i="63"/>
  <c r="K274" i="63" a="1"/>
  <c r="K274" i="63" s="1"/>
  <c r="AI31" i="8"/>
  <c r="AI30" i="8"/>
  <c r="AI29" i="8"/>
  <c r="AI28" i="8"/>
  <c r="AI27" i="8"/>
  <c r="AI26" i="8"/>
  <c r="AI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68" i="63"/>
  <c r="G268" i="63" s="1" a="1"/>
  <c r="G268" i="63" s="1"/>
  <c r="F267" i="63"/>
  <c r="G267" i="63" s="1" a="1"/>
  <c r="G267" i="63" s="1"/>
  <c r="F273" i="63"/>
  <c r="G273" i="63" s="1" a="1"/>
  <c r="G273" i="63" s="1"/>
  <c r="F274" i="63"/>
  <c r="G274" i="63" s="1" a="1"/>
  <c r="G274" i="63" s="1"/>
  <c r="AJ27" i="8"/>
  <c r="AJ20" i="8"/>
  <c r="AJ28" i="8"/>
  <c r="E271" i="63"/>
  <c r="H271" i="63"/>
  <c r="I271" i="63"/>
  <c r="J271" i="63"/>
  <c r="K271" i="63" a="1"/>
  <c r="K271" i="63" s="1"/>
  <c r="E272" i="63"/>
  <c r="H272" i="63"/>
  <c r="I272" i="63"/>
  <c r="J272" i="63"/>
  <c r="K272" i="63" a="1"/>
  <c r="K272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71" i="63"/>
  <c r="G271" i="63" s="1" a="1"/>
  <c r="G271" i="63" s="1"/>
  <c r="BD16" i="25"/>
  <c r="F272" i="63"/>
  <c r="G272" i="63" s="1" a="1"/>
  <c r="G272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64" i="63"/>
  <c r="H164" i="63"/>
  <c r="I164" i="63"/>
  <c r="J164" i="63"/>
  <c r="K164" i="63" a="1"/>
  <c r="K164" i="63" s="1"/>
  <c r="E165" i="63"/>
  <c r="K165" i="63" a="1"/>
  <c r="K165" i="63" s="1"/>
  <c r="C165" i="63"/>
  <c r="J165" i="63" s="1"/>
  <c r="F23" i="66"/>
  <c r="F33" i="66"/>
  <c r="F32" i="66"/>
  <c r="F164" i="63" l="1"/>
  <c r="G164" i="63" s="1" a="1"/>
  <c r="G164" i="63" s="1"/>
  <c r="F165" i="63"/>
  <c r="G165" i="63" s="1" a="1"/>
  <c r="G165" i="63" s="1"/>
  <c r="I165" i="63"/>
  <c r="H165" i="63"/>
  <c r="F39" i="66" a="1"/>
  <c r="F39" i="66" s="1"/>
  <c r="E191" i="63" l="1"/>
  <c r="K191" i="63" a="1"/>
  <c r="K191" i="63" s="1"/>
  <c r="E192" i="63"/>
  <c r="H192" i="63"/>
  <c r="I192" i="63"/>
  <c r="J192" i="63"/>
  <c r="K192" i="63" a="1"/>
  <c r="K192" i="63" s="1"/>
  <c r="C191" i="63"/>
  <c r="H19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92" i="63" l="1"/>
  <c r="G192" i="63" s="1" a="1"/>
  <c r="G192" i="63" s="1"/>
  <c r="F191" i="63"/>
  <c r="G191" i="63" s="1" a="1"/>
  <c r="G191" i="63" s="1"/>
  <c r="J191" i="63"/>
  <c r="I19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22" i="63" l="1"/>
  <c r="F3" i="65" l="1"/>
  <c r="E158" i="63"/>
  <c r="H158" i="63"/>
  <c r="I158" i="63"/>
  <c r="J158" i="63"/>
  <c r="K158" i="63" a="1"/>
  <c r="K158" i="63" s="1"/>
  <c r="E159" i="63"/>
  <c r="H159" i="63"/>
  <c r="I159" i="63"/>
  <c r="J159" i="63"/>
  <c r="K159" i="63" a="1"/>
  <c r="K159" i="63" s="1"/>
  <c r="F26" i="65" a="1"/>
  <c r="F16" i="65" a="1"/>
  <c r="F21" i="65" a="1"/>
  <c r="F11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58" i="63"/>
  <c r="G158" i="63" s="1" a="1"/>
  <c r="G158" i="63" s="1"/>
  <c r="F159" i="63"/>
  <c r="G159" i="63" s="1" a="1"/>
  <c r="G15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4" i="63"/>
  <c r="C27" i="63"/>
  <c r="C29" i="63"/>
  <c r="J29" i="63" s="1"/>
  <c r="C36" i="63"/>
  <c r="I36" i="63" s="1"/>
  <c r="C38" i="63"/>
  <c r="C73" i="63"/>
  <c r="H73" i="63" s="1"/>
  <c r="C80" i="63"/>
  <c r="I80" i="63" s="1"/>
  <c r="C83" i="63"/>
  <c r="C117" i="63"/>
  <c r="I117" i="63" s="1"/>
  <c r="C137" i="63"/>
  <c r="J137" i="63" s="1"/>
  <c r="C154" i="63"/>
  <c r="C156" i="63"/>
  <c r="I156" i="63" s="1"/>
  <c r="C162" i="63"/>
  <c r="J162" i="63" s="1"/>
  <c r="C167" i="63"/>
  <c r="I167" i="63" s="1"/>
  <c r="C169" i="63"/>
  <c r="C170" i="63"/>
  <c r="I170" i="63" s="1"/>
  <c r="C174" i="63"/>
  <c r="J174" i="63" s="1"/>
  <c r="C176" i="63"/>
  <c r="I176" i="63" s="1"/>
  <c r="C180" i="63"/>
  <c r="C185" i="63"/>
  <c r="I185" i="63" s="1"/>
  <c r="C186" i="63"/>
  <c r="J186" i="63" s="1"/>
  <c r="C187" i="63"/>
  <c r="C189" i="63"/>
  <c r="C194" i="63"/>
  <c r="I194" i="63" s="1"/>
  <c r="C196" i="63"/>
  <c r="J196" i="63" s="1"/>
  <c r="C197" i="63"/>
  <c r="I197" i="63" s="1"/>
  <c r="C199" i="63"/>
  <c r="C201" i="63"/>
  <c r="I201" i="63" s="1"/>
  <c r="C206" i="63"/>
  <c r="H206" i="63" s="1"/>
  <c r="C212" i="63"/>
  <c r="C214" i="63"/>
  <c r="C218" i="63"/>
  <c r="I218" i="63" s="1"/>
  <c r="I222" i="63"/>
  <c r="C226" i="63"/>
  <c r="I226" i="63" s="1"/>
  <c r="C236" i="63"/>
  <c r="C238" i="63"/>
  <c r="I238" i="63" s="1"/>
  <c r="C240" i="63"/>
  <c r="H240" i="63" s="1"/>
  <c r="H241" i="63"/>
  <c r="C242" i="63"/>
  <c r="C243" i="63"/>
  <c r="I243" i="63" s="1"/>
  <c r="C245" i="63"/>
  <c r="H245" i="63" s="1"/>
  <c r="C248" i="63"/>
  <c r="I248" i="63" s="1"/>
  <c r="C249" i="63"/>
  <c r="C253" i="63"/>
  <c r="C254" i="63"/>
  <c r="J254" i="63" s="1"/>
  <c r="C263" i="63"/>
  <c r="I263" i="63" s="1"/>
  <c r="C265" i="63"/>
  <c r="C266" i="63"/>
  <c r="J266" i="63" s="1"/>
  <c r="C269" i="63"/>
  <c r="J269" i="63" s="1"/>
  <c r="C275" i="63"/>
  <c r="H275" i="63" s="1"/>
  <c r="C277" i="63"/>
  <c r="I277" i="63" s="1"/>
  <c r="C282" i="63"/>
  <c r="I282" i="63" s="1"/>
  <c r="C283" i="63"/>
  <c r="I283" i="63" s="1"/>
  <c r="C285" i="63"/>
  <c r="J285" i="63" s="1"/>
  <c r="AA6" i="5"/>
  <c r="W7" i="5" a="1"/>
  <c r="W7" i="5" s="1"/>
  <c r="AA7" i="5"/>
  <c r="K287" i="63" a="1"/>
  <c r="K287" i="63" s="1"/>
  <c r="J287" i="63"/>
  <c r="I287" i="63"/>
  <c r="H287" i="63"/>
  <c r="E287" i="63"/>
  <c r="K286" i="63" a="1"/>
  <c r="K286" i="63" s="1"/>
  <c r="J286" i="63"/>
  <c r="I286" i="63"/>
  <c r="H286" i="63"/>
  <c r="E286" i="63"/>
  <c r="K285" i="63" a="1"/>
  <c r="K285" i="63" s="1"/>
  <c r="E285" i="63"/>
  <c r="K284" i="63" a="1"/>
  <c r="K284" i="63" s="1"/>
  <c r="J284" i="63"/>
  <c r="I284" i="63"/>
  <c r="H284" i="63"/>
  <c r="E284" i="63"/>
  <c r="K283" i="63" a="1"/>
  <c r="K283" i="63" s="1"/>
  <c r="E283" i="63"/>
  <c r="K282" i="63" a="1"/>
  <c r="K282" i="63" s="1"/>
  <c r="E282" i="63"/>
  <c r="K281" i="63" a="1"/>
  <c r="K281" i="63" s="1"/>
  <c r="J281" i="63"/>
  <c r="I281" i="63"/>
  <c r="H281" i="63"/>
  <c r="F281" i="63"/>
  <c r="E281" i="63"/>
  <c r="K280" i="63" a="1"/>
  <c r="K280" i="63" s="1"/>
  <c r="J280" i="63"/>
  <c r="I280" i="63"/>
  <c r="H280" i="63"/>
  <c r="F280" i="63"/>
  <c r="E280" i="63"/>
  <c r="K279" i="63" a="1"/>
  <c r="K279" i="63" s="1"/>
  <c r="F279" i="63" s="1"/>
  <c r="J279" i="63"/>
  <c r="I279" i="63"/>
  <c r="H279" i="63"/>
  <c r="E279" i="63"/>
  <c r="K278" i="63" a="1"/>
  <c r="K278" i="63" s="1"/>
  <c r="J278" i="63"/>
  <c r="I278" i="63"/>
  <c r="H278" i="63"/>
  <c r="E278" i="63"/>
  <c r="K277" i="63" a="1"/>
  <c r="K277" i="63" s="1"/>
  <c r="E277" i="63"/>
  <c r="K276" i="63" a="1"/>
  <c r="K276" i="63" s="1"/>
  <c r="J276" i="63"/>
  <c r="I276" i="63"/>
  <c r="H276" i="63"/>
  <c r="E276" i="63"/>
  <c r="K275" i="63" a="1"/>
  <c r="K275" i="63" s="1"/>
  <c r="E275" i="63"/>
  <c r="K270" i="63" a="1"/>
  <c r="K270" i="63" s="1"/>
  <c r="J270" i="63"/>
  <c r="I270" i="63"/>
  <c r="H270" i="63"/>
  <c r="E270" i="63"/>
  <c r="K269" i="63" a="1"/>
  <c r="K269" i="63" s="1"/>
  <c r="E269" i="63"/>
  <c r="K266" i="63" a="1"/>
  <c r="K266" i="63" s="1"/>
  <c r="E266" i="63"/>
  <c r="K265" i="63" a="1"/>
  <c r="K265" i="63" s="1"/>
  <c r="I265" i="63"/>
  <c r="E265" i="63"/>
  <c r="J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F260" i="63"/>
  <c r="E260" i="63"/>
  <c r="K259" i="63" a="1"/>
  <c r="K259" i="63" s="1"/>
  <c r="F259" i="63" s="1"/>
  <c r="J259" i="63"/>
  <c r="I259" i="63"/>
  <c r="H259" i="63"/>
  <c r="E259" i="63"/>
  <c r="K255" i="63" a="1"/>
  <c r="K255" i="63" s="1"/>
  <c r="F255" i="63" s="1"/>
  <c r="J255" i="63"/>
  <c r="I255" i="63"/>
  <c r="H255" i="63"/>
  <c r="E255" i="63"/>
  <c r="K254" i="63" a="1"/>
  <c r="K254" i="63" s="1"/>
  <c r="E254" i="63"/>
  <c r="K253" i="63" a="1"/>
  <c r="K253" i="63" s="1"/>
  <c r="E253" i="63"/>
  <c r="I253" i="63"/>
  <c r="K250" i="63" a="1"/>
  <c r="K250" i="63" s="1"/>
  <c r="J250" i="63"/>
  <c r="I250" i="63"/>
  <c r="H250" i="63"/>
  <c r="E250" i="63"/>
  <c r="K249" i="63" a="1"/>
  <c r="K249" i="63" s="1"/>
  <c r="I249" i="63"/>
  <c r="E249" i="63"/>
  <c r="J249" i="63"/>
  <c r="K248" i="63" a="1"/>
  <c r="K248" i="63" s="1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E245" i="63"/>
  <c r="K244" i="63" a="1"/>
  <c r="K244" i="63" s="1"/>
  <c r="J244" i="63"/>
  <c r="I244" i="63"/>
  <c r="H244" i="63"/>
  <c r="E244" i="63"/>
  <c r="K243" i="63" a="1"/>
  <c r="K243" i="63" s="1"/>
  <c r="E243" i="63"/>
  <c r="K242" i="63" a="1"/>
  <c r="K242" i="63" s="1"/>
  <c r="I242" i="63"/>
  <c r="E242" i="63"/>
  <c r="J242" i="63"/>
  <c r="K241" i="63" a="1"/>
  <c r="K241" i="63" s="1"/>
  <c r="E241" i="63"/>
  <c r="K240" i="63" a="1"/>
  <c r="K240" i="63" s="1"/>
  <c r="E240" i="63"/>
  <c r="K239" i="63" a="1"/>
  <c r="K239" i="63" s="1"/>
  <c r="J239" i="63"/>
  <c r="I239" i="63"/>
  <c r="H239" i="63"/>
  <c r="E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I236" i="63"/>
  <c r="E236" i="63"/>
  <c r="J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J233" i="63"/>
  <c r="I233" i="63"/>
  <c r="H233" i="63"/>
  <c r="E233" i="63"/>
  <c r="K232" i="63" a="1"/>
  <c r="K232" i="63" s="1"/>
  <c r="J232" i="63"/>
  <c r="I232" i="63"/>
  <c r="H232" i="63"/>
  <c r="E232" i="63"/>
  <c r="K231" i="63" a="1"/>
  <c r="K231" i="63" s="1"/>
  <c r="J231" i="63"/>
  <c r="I231" i="63"/>
  <c r="H231" i="63"/>
  <c r="E231" i="63"/>
  <c r="K230" i="63" a="1"/>
  <c r="K230" i="63" s="1"/>
  <c r="J230" i="63"/>
  <c r="I230" i="63"/>
  <c r="H230" i="63"/>
  <c r="E230" i="63"/>
  <c r="K229" i="63" a="1"/>
  <c r="K229" i="63" s="1"/>
  <c r="J229" i="63"/>
  <c r="I229" i="63"/>
  <c r="H229" i="63"/>
  <c r="E229" i="63"/>
  <c r="K228" i="63" a="1"/>
  <c r="K228" i="63" s="1"/>
  <c r="J228" i="63"/>
  <c r="I228" i="63"/>
  <c r="H228" i="63"/>
  <c r="E228" i="63"/>
  <c r="K227" i="63" a="1"/>
  <c r="K227" i="63" s="1"/>
  <c r="J227" i="63"/>
  <c r="I227" i="63"/>
  <c r="H227" i="63"/>
  <c r="E227" i="63"/>
  <c r="K226" i="63" a="1"/>
  <c r="K226" i="63" s="1"/>
  <c r="E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E218" i="63"/>
  <c r="K217" i="63" a="1"/>
  <c r="K217" i="63" s="1"/>
  <c r="J217" i="63"/>
  <c r="I217" i="63"/>
  <c r="H217" i="63"/>
  <c r="E217" i="63"/>
  <c r="K216" i="63" a="1"/>
  <c r="K216" i="63" s="1"/>
  <c r="J216" i="63"/>
  <c r="I216" i="63"/>
  <c r="H216" i="63"/>
  <c r="E216" i="63"/>
  <c r="K215" i="63" a="1"/>
  <c r="K215" i="63" s="1"/>
  <c r="J215" i="63"/>
  <c r="I215" i="63"/>
  <c r="H215" i="63"/>
  <c r="E215" i="63"/>
  <c r="K214" i="63" a="1"/>
  <c r="K214" i="63" s="1"/>
  <c r="H214" i="63"/>
  <c r="E214" i="63"/>
  <c r="J214" i="63"/>
  <c r="K213" i="63" a="1"/>
  <c r="K213" i="63" s="1"/>
  <c r="F212" i="63" s="1"/>
  <c r="G212" i="63" s="1" a="1"/>
  <c r="G212" i="63" s="1"/>
  <c r="J213" i="63"/>
  <c r="I213" i="63"/>
  <c r="H213" i="63"/>
  <c r="E213" i="63"/>
  <c r="K208" i="63" a="1"/>
  <c r="K208" i="63" s="1"/>
  <c r="J208" i="63"/>
  <c r="I208" i="63"/>
  <c r="H208" i="63"/>
  <c r="E208" i="63"/>
  <c r="K207" i="63" a="1"/>
  <c r="K207" i="63" s="1"/>
  <c r="J207" i="63"/>
  <c r="I207" i="63"/>
  <c r="H207" i="63"/>
  <c r="E207" i="63"/>
  <c r="K206" i="63" a="1"/>
  <c r="K206" i="63" s="1"/>
  <c r="E206" i="63"/>
  <c r="K205" i="63" a="1"/>
  <c r="K205" i="63" s="1"/>
  <c r="J205" i="63"/>
  <c r="I205" i="63"/>
  <c r="H205" i="63"/>
  <c r="E205" i="63"/>
  <c r="K204" i="63" a="1"/>
  <c r="K204" i="63" s="1"/>
  <c r="J204" i="63"/>
  <c r="I204" i="63"/>
  <c r="H204" i="63"/>
  <c r="E204" i="63"/>
  <c r="K203" i="63" a="1"/>
  <c r="K203" i="63" s="1"/>
  <c r="J203" i="63"/>
  <c r="I203" i="63"/>
  <c r="H203" i="63"/>
  <c r="E203" i="63"/>
  <c r="K202" i="63" a="1"/>
  <c r="K202" i="63" s="1"/>
  <c r="J202" i="63"/>
  <c r="I202" i="63"/>
  <c r="H202" i="63"/>
  <c r="E202" i="63"/>
  <c r="K201" i="63" a="1"/>
  <c r="K201" i="63" s="1"/>
  <c r="E201" i="63"/>
  <c r="K200" i="63" a="1"/>
  <c r="K200" i="63" s="1"/>
  <c r="J200" i="63"/>
  <c r="I200" i="63"/>
  <c r="H200" i="63"/>
  <c r="E200" i="63"/>
  <c r="K199" i="63" a="1"/>
  <c r="K199" i="63" s="1"/>
  <c r="I199" i="63"/>
  <c r="E199" i="63"/>
  <c r="K198" i="63" a="1"/>
  <c r="K198" i="63" s="1"/>
  <c r="J198" i="63"/>
  <c r="I198" i="63"/>
  <c r="H198" i="63"/>
  <c r="E198" i="63"/>
  <c r="K197" i="63" a="1"/>
  <c r="K197" i="63" s="1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E194" i="63"/>
  <c r="K193" i="63" a="1"/>
  <c r="K193" i="63" s="1"/>
  <c r="J193" i="63"/>
  <c r="I193" i="63"/>
  <c r="H193" i="63"/>
  <c r="E193" i="63"/>
  <c r="K190" i="63" a="1"/>
  <c r="K190" i="63" s="1"/>
  <c r="J190" i="63"/>
  <c r="I190" i="63"/>
  <c r="H190" i="63"/>
  <c r="E190" i="63"/>
  <c r="K189" i="63" a="1"/>
  <c r="K189" i="63" s="1"/>
  <c r="J189" i="63"/>
  <c r="I189" i="63"/>
  <c r="E189" i="63"/>
  <c r="H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E185" i="63"/>
  <c r="K184" i="63" a="1"/>
  <c r="K184" i="63" s="1"/>
  <c r="J184" i="63"/>
  <c r="I184" i="63"/>
  <c r="H184" i="63"/>
  <c r="F184" i="63"/>
  <c r="E184" i="63"/>
  <c r="K183" i="63" a="1"/>
  <c r="K183" i="63" s="1"/>
  <c r="J183" i="63"/>
  <c r="I183" i="63"/>
  <c r="H183" i="63"/>
  <c r="E183" i="63"/>
  <c r="K182" i="63" a="1"/>
  <c r="K182" i="63" s="1"/>
  <c r="J182" i="63"/>
  <c r="I182" i="63"/>
  <c r="H182" i="63"/>
  <c r="E182" i="63"/>
  <c r="K181" i="63" a="1"/>
  <c r="K181" i="63" s="1"/>
  <c r="J181" i="63"/>
  <c r="I181" i="63"/>
  <c r="H181" i="63"/>
  <c r="E181" i="63"/>
  <c r="K180" i="63" a="1"/>
  <c r="K180" i="63" s="1"/>
  <c r="J180" i="63"/>
  <c r="I180" i="63"/>
  <c r="E180" i="63"/>
  <c r="H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E176" i="63"/>
  <c r="K175" i="63" a="1"/>
  <c r="K175" i="63" s="1"/>
  <c r="J175" i="63"/>
  <c r="I175" i="63"/>
  <c r="H175" i="63"/>
  <c r="E175" i="63"/>
  <c r="K174" i="63" a="1"/>
  <c r="K174" i="63" s="1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E170" i="63"/>
  <c r="K169" i="63" a="1"/>
  <c r="K169" i="63" s="1"/>
  <c r="J169" i="63"/>
  <c r="I169" i="63"/>
  <c r="E169" i="63"/>
  <c r="H169" i="63"/>
  <c r="K168" i="63" a="1"/>
  <c r="K168" i="63" s="1"/>
  <c r="J168" i="63"/>
  <c r="I168" i="63"/>
  <c r="H168" i="63"/>
  <c r="E168" i="63"/>
  <c r="K167" i="63" a="1"/>
  <c r="K167" i="63" s="1"/>
  <c r="E167" i="63"/>
  <c r="K166" i="63" a="1"/>
  <c r="K166" i="63" s="1"/>
  <c r="J166" i="63"/>
  <c r="I166" i="63"/>
  <c r="H166" i="63"/>
  <c r="E166" i="63"/>
  <c r="K163" i="63" a="1"/>
  <c r="K163" i="63" s="1"/>
  <c r="J163" i="63"/>
  <c r="I163" i="63"/>
  <c r="H163" i="63"/>
  <c r="E163" i="63"/>
  <c r="K162" i="63" a="1"/>
  <c r="K162" i="63" s="1"/>
  <c r="E162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7" i="63" a="1"/>
  <c r="K157" i="63" s="1"/>
  <c r="J157" i="63"/>
  <c r="I157" i="63"/>
  <c r="H157" i="63"/>
  <c r="E157" i="63"/>
  <c r="K156" i="63" a="1"/>
  <c r="K156" i="63" s="1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E154" i="63"/>
  <c r="H154" i="63"/>
  <c r="K153" i="63" a="1"/>
  <c r="K153" i="63" s="1"/>
  <c r="J153" i="63"/>
  <c r="I153" i="63"/>
  <c r="H153" i="63"/>
  <c r="F153" i="63"/>
  <c r="E153" i="63"/>
  <c r="K152" i="63" a="1"/>
  <c r="K152" i="63" s="1"/>
  <c r="F152" i="63" s="1"/>
  <c r="J152" i="63"/>
  <c r="I152" i="63"/>
  <c r="H152" i="63"/>
  <c r="E152" i="63"/>
  <c r="K151" i="63" a="1"/>
  <c r="K151" i="63" s="1"/>
  <c r="J151" i="63"/>
  <c r="I151" i="63"/>
  <c r="H151" i="63"/>
  <c r="F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J145" i="63"/>
  <c r="I145" i="63"/>
  <c r="H145" i="63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H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F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J127" i="63"/>
  <c r="I127" i="63"/>
  <c r="H127" i="63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E113" i="63"/>
  <c r="H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F111" i="63"/>
  <c r="E111" i="63"/>
  <c r="K110" i="63" a="1"/>
  <c r="K110" i="63" s="1"/>
  <c r="F110" i="63" s="1"/>
  <c r="J110" i="63"/>
  <c r="I110" i="63"/>
  <c r="H110" i="63"/>
  <c r="E110" i="63"/>
  <c r="K81" i="63" a="1"/>
  <c r="K81" i="63" s="1"/>
  <c r="J81" i="63"/>
  <c r="I81" i="63"/>
  <c r="H81" i="63"/>
  <c r="E81" i="63"/>
  <c r="K80" i="63" a="1"/>
  <c r="K80" i="63" s="1"/>
  <c r="E80" i="63"/>
  <c r="K79" i="63" a="1"/>
  <c r="K79" i="63" s="1"/>
  <c r="J79" i="63"/>
  <c r="I79" i="63"/>
  <c r="H79" i="63"/>
  <c r="E79" i="63"/>
  <c r="K78" i="63" a="1"/>
  <c r="K78" i="63" s="1"/>
  <c r="J78" i="63"/>
  <c r="I78" i="63"/>
  <c r="H78" i="63"/>
  <c r="E78" i="63"/>
  <c r="K77" i="63" a="1"/>
  <c r="K77" i="63" s="1"/>
  <c r="J77" i="63"/>
  <c r="I77" i="63"/>
  <c r="H77" i="63"/>
  <c r="E77" i="63"/>
  <c r="K76" i="63" a="1"/>
  <c r="K76" i="63" s="1"/>
  <c r="J76" i="63"/>
  <c r="I76" i="63"/>
  <c r="H76" i="63"/>
  <c r="E76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3" i="63" a="1"/>
  <c r="K73" i="63" s="1"/>
  <c r="E73" i="63"/>
  <c r="K72" i="63" a="1"/>
  <c r="K72" i="63" s="1"/>
  <c r="J72" i="63"/>
  <c r="I72" i="63"/>
  <c r="H72" i="63"/>
  <c r="E72" i="63"/>
  <c r="K71" i="63" a="1"/>
  <c r="K71" i="63" s="1"/>
  <c r="J71" i="63"/>
  <c r="I71" i="63"/>
  <c r="H71" i="63"/>
  <c r="E71" i="63"/>
  <c r="K70" i="63" a="1"/>
  <c r="K70" i="63" s="1"/>
  <c r="J70" i="63"/>
  <c r="I70" i="63"/>
  <c r="H70" i="63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E67" i="63"/>
  <c r="I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J57" i="63"/>
  <c r="I57" i="63"/>
  <c r="H57" i="63"/>
  <c r="E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F53" i="63"/>
  <c r="E53" i="63"/>
  <c r="K52" i="63" a="1"/>
  <c r="K52" i="63" s="1"/>
  <c r="F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E43" i="63"/>
  <c r="K42" i="63" a="1"/>
  <c r="K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E38" i="63"/>
  <c r="I38" i="63"/>
  <c r="K37" i="63" a="1"/>
  <c r="K37" i="63" s="1"/>
  <c r="J37" i="63"/>
  <c r="I37" i="63"/>
  <c r="H37" i="63"/>
  <c r="E37" i="63"/>
  <c r="K36" i="63" a="1"/>
  <c r="K36" i="63" s="1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F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E29" i="63"/>
  <c r="I29" i="63"/>
  <c r="K28" i="63" a="1"/>
  <c r="K28" i="63" s="1"/>
  <c r="J28" i="63"/>
  <c r="I28" i="63"/>
  <c r="H28" i="63"/>
  <c r="E28" i="63"/>
  <c r="K27" i="63" a="1"/>
  <c r="K27" i="63" s="1"/>
  <c r="I27" i="63"/>
  <c r="E27" i="63"/>
  <c r="H27" i="63"/>
  <c r="K26" i="63" a="1"/>
  <c r="K26" i="63" s="1"/>
  <c r="F25" i="63" s="1"/>
  <c r="G25" i="63" s="1" a="1"/>
  <c r="G25" i="63" s="1"/>
  <c r="J26" i="63"/>
  <c r="I26" i="63"/>
  <c r="H26" i="63"/>
  <c r="E26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H185" i="63" l="1"/>
  <c r="H238" i="63"/>
  <c r="J218" i="63"/>
  <c r="H24" i="63"/>
  <c r="I24" i="63"/>
  <c r="J24" i="63"/>
  <c r="H243" i="63"/>
  <c r="J282" i="63"/>
  <c r="J212" i="63"/>
  <c r="H212" i="63"/>
  <c r="I212" i="63"/>
  <c r="I83" i="63"/>
  <c r="J83" i="63"/>
  <c r="H83" i="63"/>
  <c r="G279" i="63" a="1"/>
  <c r="G279" i="63" s="1"/>
  <c r="J277" i="63"/>
  <c r="I73" i="63"/>
  <c r="J245" i="63"/>
  <c r="H222" i="63"/>
  <c r="J240" i="63"/>
  <c r="H117" i="63"/>
  <c r="I206" i="63"/>
  <c r="F185" i="63"/>
  <c r="G185" i="63" s="1" a="1"/>
  <c r="G185" i="63" s="1"/>
  <c r="J117" i="63"/>
  <c r="I162" i="63"/>
  <c r="I174" i="63"/>
  <c r="I186" i="63"/>
  <c r="H196" i="63"/>
  <c r="J222" i="63"/>
  <c r="I240" i="63"/>
  <c r="I245" i="63"/>
  <c r="H254" i="63"/>
  <c r="I269" i="63"/>
  <c r="J283" i="63"/>
  <c r="G255" i="63" a="1"/>
  <c r="G255" i="63" s="1"/>
  <c r="J73" i="63"/>
  <c r="I196" i="63"/>
  <c r="J206" i="63"/>
  <c r="I254" i="63"/>
  <c r="H269" i="63"/>
  <c r="G259" i="63" a="1"/>
  <c r="G259" i="63" s="1"/>
  <c r="I241" i="63"/>
  <c r="H283" i="63"/>
  <c r="G52" i="63" a="1"/>
  <c r="G52" i="63" s="1"/>
  <c r="J36" i="63"/>
  <c r="G152" i="63" a="1"/>
  <c r="G152" i="63" s="1"/>
  <c r="G6" i="63" a="1"/>
  <c r="G6" i="63" s="1"/>
  <c r="G7" i="63" a="1"/>
  <c r="G7" i="63" s="1"/>
  <c r="H80" i="63"/>
  <c r="G151" i="63" a="1"/>
  <c r="G151" i="63" s="1"/>
  <c r="G4" i="63" a="1"/>
  <c r="G4" i="63" s="1"/>
  <c r="G33" i="63" a="1"/>
  <c r="G33" i="63" s="1"/>
  <c r="G184" i="63" a="1"/>
  <c r="G184" i="63" s="1"/>
  <c r="G246" i="63" a="1"/>
  <c r="G246" i="63" s="1"/>
  <c r="G260" i="63" a="1"/>
  <c r="G260" i="63" s="1"/>
  <c r="H197" i="63"/>
  <c r="H226" i="63"/>
  <c r="H263" i="63"/>
  <c r="F264" i="63"/>
  <c r="G264" i="63" s="1" a="1"/>
  <c r="G264" i="63" s="1"/>
  <c r="F278" i="63"/>
  <c r="G278" i="63" s="1" a="1"/>
  <c r="G278" i="63" s="1"/>
  <c r="G110" i="63" a="1"/>
  <c r="G110" i="63" s="1"/>
  <c r="H36" i="63"/>
  <c r="J80" i="63"/>
  <c r="J197" i="63"/>
  <c r="J226" i="63"/>
  <c r="I7" i="63"/>
  <c r="J7" i="63"/>
  <c r="J263" i="63"/>
  <c r="G280" i="63" a="1"/>
  <c r="G280" i="63" s="1"/>
  <c r="G8" i="63" a="1"/>
  <c r="G8" i="63" s="1"/>
  <c r="G111" i="63" a="1"/>
  <c r="G111" i="63" s="1"/>
  <c r="F287" i="63"/>
  <c r="G287" i="63" s="1" a="1"/>
  <c r="G287" i="63" s="1"/>
  <c r="G134" i="63" a="1"/>
  <c r="G134" i="63" s="1"/>
  <c r="G5" i="63" a="1"/>
  <c r="G5" i="63" s="1"/>
  <c r="G53" i="63" a="1"/>
  <c r="G53" i="63" s="1"/>
  <c r="G153" i="63" a="1"/>
  <c r="G153" i="63" s="1"/>
  <c r="G281" i="63" a="1"/>
  <c r="G281" i="63" s="1"/>
  <c r="G3" i="63" a="1"/>
  <c r="G3" i="63" s="1"/>
  <c r="F276" i="63"/>
  <c r="G276" i="63" s="1" a="1"/>
  <c r="G276" i="63" s="1"/>
  <c r="I275" i="63"/>
  <c r="J275" i="63"/>
  <c r="F120" i="63"/>
  <c r="G120" i="63" s="1" a="1"/>
  <c r="G120" i="63" s="1"/>
  <c r="F284" i="63"/>
  <c r="G284" i="63" s="1" a="1"/>
  <c r="G284" i="63" s="1"/>
  <c r="H285" i="63"/>
  <c r="F248" i="63"/>
  <c r="G248" i="63" s="1" a="1"/>
  <c r="G248" i="63" s="1"/>
  <c r="F249" i="63"/>
  <c r="G249" i="63" s="1" a="1"/>
  <c r="G249" i="63" s="1"/>
  <c r="F244" i="63"/>
  <c r="G244" i="63" s="1" a="1"/>
  <c r="G244" i="63" s="1"/>
  <c r="F253" i="63"/>
  <c r="G253" i="63" s="1" a="1"/>
  <c r="G253" i="63" s="1"/>
  <c r="F275" i="63"/>
  <c r="G275" i="63" s="1" a="1"/>
  <c r="G275" i="63" s="1"/>
  <c r="F285" i="63"/>
  <c r="G285" i="63" s="1" a="1"/>
  <c r="G285" i="63" s="1"/>
  <c r="F277" i="63"/>
  <c r="G277" i="63" s="1" a="1"/>
  <c r="G277" i="63" s="1"/>
  <c r="I285" i="63"/>
  <c r="F118" i="63"/>
  <c r="G118" i="63" s="1" a="1"/>
  <c r="G118" i="63" s="1"/>
  <c r="F121" i="63"/>
  <c r="G121" i="63" s="1" a="1"/>
  <c r="G121" i="63" s="1"/>
  <c r="F282" i="63"/>
  <c r="G282" i="63" s="1" a="1"/>
  <c r="G282" i="63" s="1"/>
  <c r="F207" i="63"/>
  <c r="G207" i="63" s="1" a="1"/>
  <c r="G207" i="63" s="1"/>
  <c r="E23" i="64"/>
  <c r="E29" i="64" s="1" a="1"/>
  <c r="E29" i="64" s="1"/>
  <c r="F286" i="63"/>
  <c r="G286" i="63" s="1" a="1"/>
  <c r="G286" i="63" s="1"/>
  <c r="F29" i="63"/>
  <c r="G29" i="63" s="1" a="1"/>
  <c r="G29" i="63" s="1"/>
  <c r="F262" i="63"/>
  <c r="G262" i="63" s="1" a="1"/>
  <c r="G262" i="63" s="1"/>
  <c r="F31" i="63"/>
  <c r="G31" i="63" s="1" a="1"/>
  <c r="G31" i="63" s="1"/>
  <c r="F74" i="63"/>
  <c r="G74" i="63" s="1" a="1"/>
  <c r="G74" i="63" s="1"/>
  <c r="F156" i="63"/>
  <c r="G156" i="63" s="1" a="1"/>
  <c r="G156" i="63" s="1"/>
  <c r="F176" i="63"/>
  <c r="G176" i="63" s="1" a="1"/>
  <c r="G176" i="63" s="1"/>
  <c r="F78" i="63"/>
  <c r="G78" i="63" s="1" a="1"/>
  <c r="G78" i="63" s="1"/>
  <c r="F189" i="63"/>
  <c r="G189" i="63" s="1" a="1"/>
  <c r="G189" i="63" s="1"/>
  <c r="F233" i="63"/>
  <c r="G233" i="63" s="1" a="1"/>
  <c r="G233" i="63" s="1"/>
  <c r="F265" i="63"/>
  <c r="G265" i="63" s="1" a="1"/>
  <c r="G265" i="63" s="1"/>
  <c r="F263" i="63"/>
  <c r="G263" i="63" s="1" a="1"/>
  <c r="G263" i="63" s="1"/>
  <c r="F38" i="63"/>
  <c r="G38" i="63" s="1" a="1"/>
  <c r="G38" i="63" s="1"/>
  <c r="F42" i="63"/>
  <c r="G42" i="63" s="1" a="1"/>
  <c r="G42" i="63" s="1"/>
  <c r="F46" i="63"/>
  <c r="G46" i="63" s="1" a="1"/>
  <c r="G46" i="63" s="1"/>
  <c r="F50" i="63"/>
  <c r="G50" i="63" s="1" a="1"/>
  <c r="G50" i="63" s="1"/>
  <c r="F56" i="63"/>
  <c r="G56" i="63" s="1" a="1"/>
  <c r="G56" i="63" s="1"/>
  <c r="F124" i="63"/>
  <c r="G124" i="63" s="1" a="1"/>
  <c r="G124" i="63" s="1"/>
  <c r="F128" i="63"/>
  <c r="G128" i="63" s="1" a="1"/>
  <c r="G128" i="63" s="1"/>
  <c r="F141" i="63"/>
  <c r="G141" i="63" s="1" a="1"/>
  <c r="G141" i="63" s="1"/>
  <c r="F145" i="63"/>
  <c r="G145" i="63" s="1" a="1"/>
  <c r="G145" i="63" s="1"/>
  <c r="F149" i="63"/>
  <c r="G149" i="63" s="1" a="1"/>
  <c r="G149" i="63" s="1"/>
  <c r="F168" i="63"/>
  <c r="G168" i="63" s="1" a="1"/>
  <c r="G168" i="63" s="1"/>
  <c r="F234" i="63"/>
  <c r="G234" i="63" s="1" a="1"/>
  <c r="G234" i="63" s="1"/>
  <c r="F126" i="63"/>
  <c r="G126" i="63" s="1" a="1"/>
  <c r="G126" i="63" s="1"/>
  <c r="F130" i="63"/>
  <c r="G130" i="63" s="1" a="1"/>
  <c r="G130" i="63" s="1"/>
  <c r="F157" i="63"/>
  <c r="G157" i="63" s="1" a="1"/>
  <c r="G157" i="63" s="1"/>
  <c r="F138" i="63"/>
  <c r="G138" i="63" s="1" a="1"/>
  <c r="G138" i="63" s="1"/>
  <c r="F143" i="63"/>
  <c r="G143" i="63" s="1" a="1"/>
  <c r="G143" i="63" s="1"/>
  <c r="F172" i="63"/>
  <c r="G172" i="63" s="1" a="1"/>
  <c r="G172" i="63" s="1"/>
  <c r="F26" i="63"/>
  <c r="G26" i="63" s="1" a="1"/>
  <c r="G26" i="63" s="1"/>
  <c r="F35" i="63"/>
  <c r="G35" i="63" s="1" a="1"/>
  <c r="G35" i="63" s="1"/>
  <c r="F41" i="63"/>
  <c r="G41" i="63" s="1" a="1"/>
  <c r="G41" i="63" s="1"/>
  <c r="F45" i="63"/>
  <c r="G45" i="63" s="1" a="1"/>
  <c r="G45" i="63" s="1"/>
  <c r="F49" i="63"/>
  <c r="G49" i="63" s="1" a="1"/>
  <c r="G49" i="63" s="1"/>
  <c r="F55" i="63"/>
  <c r="G55" i="63" s="1" a="1"/>
  <c r="G55" i="63" s="1"/>
  <c r="F77" i="63"/>
  <c r="G77" i="63" s="1" a="1"/>
  <c r="G77" i="63" s="1"/>
  <c r="F114" i="63"/>
  <c r="G114" i="63" s="1" a="1"/>
  <c r="G114" i="63" s="1"/>
  <c r="F125" i="63"/>
  <c r="G125" i="63" s="1" a="1"/>
  <c r="G125" i="63" s="1"/>
  <c r="F136" i="63"/>
  <c r="G136" i="63" s="1" a="1"/>
  <c r="G136" i="63" s="1"/>
  <c r="F140" i="63"/>
  <c r="G140" i="63" s="1" a="1"/>
  <c r="G140" i="63" s="1"/>
  <c r="F148" i="63"/>
  <c r="G148" i="63" s="1" a="1"/>
  <c r="G148" i="63" s="1"/>
  <c r="F154" i="63"/>
  <c r="G154" i="63" s="1" a="1"/>
  <c r="G154" i="63" s="1"/>
  <c r="F174" i="63"/>
  <c r="G174" i="63" s="1" a="1"/>
  <c r="G174" i="63" s="1"/>
  <c r="F194" i="63"/>
  <c r="G194" i="63" s="1" a="1"/>
  <c r="G194" i="63" s="1"/>
  <c r="F221" i="63"/>
  <c r="G221" i="63" s="1" a="1"/>
  <c r="G221" i="63" s="1"/>
  <c r="F225" i="63"/>
  <c r="G225" i="63" s="1" a="1"/>
  <c r="G225" i="63" s="1"/>
  <c r="F230" i="63"/>
  <c r="G230" i="63" s="1" a="1"/>
  <c r="G230" i="63" s="1"/>
  <c r="F236" i="63"/>
  <c r="G236" i="63" s="1" a="1"/>
  <c r="G236" i="63" s="1"/>
  <c r="F32" i="63"/>
  <c r="G32" i="63" s="1" a="1"/>
  <c r="G32" i="63" s="1"/>
  <c r="F112" i="63"/>
  <c r="G112" i="63" s="1" a="1"/>
  <c r="G112" i="63" s="1"/>
  <c r="F116" i="63"/>
  <c r="G116" i="63" s="1" a="1"/>
  <c r="G116" i="63" s="1"/>
  <c r="F122" i="63"/>
  <c r="G122" i="63" s="1" a="1"/>
  <c r="G122" i="63" s="1"/>
  <c r="F132" i="63"/>
  <c r="G132" i="63" s="1" a="1"/>
  <c r="G132" i="63" s="1"/>
  <c r="F150" i="63"/>
  <c r="G150" i="63" s="1" a="1"/>
  <c r="G150" i="63" s="1"/>
  <c r="F179" i="63"/>
  <c r="G179" i="63" s="1" a="1"/>
  <c r="G179" i="63" s="1"/>
  <c r="F182" i="63"/>
  <c r="G182" i="63" s="1" a="1"/>
  <c r="G182" i="63" s="1"/>
  <c r="F196" i="63"/>
  <c r="G196" i="63" s="1" a="1"/>
  <c r="G196" i="63" s="1"/>
  <c r="F219" i="63"/>
  <c r="G219" i="63" s="1" a="1"/>
  <c r="G219" i="63" s="1"/>
  <c r="F232" i="63"/>
  <c r="G232" i="63" s="1" a="1"/>
  <c r="G232" i="63" s="1"/>
  <c r="F30" i="63"/>
  <c r="G30" i="63" s="1" a="1"/>
  <c r="G30" i="63" s="1"/>
  <c r="F64" i="63"/>
  <c r="G64" i="63" s="1" a="1"/>
  <c r="G64" i="63" s="1"/>
  <c r="F161" i="63"/>
  <c r="G161" i="63" s="1" a="1"/>
  <c r="G161" i="63" s="1"/>
  <c r="F202" i="63"/>
  <c r="G202" i="63" s="1" a="1"/>
  <c r="G202" i="63" s="1"/>
  <c r="F229" i="63"/>
  <c r="G229" i="63" s="1" a="1"/>
  <c r="G229" i="63" s="1"/>
  <c r="F187" i="63"/>
  <c r="G187" i="63" s="1" a="1"/>
  <c r="G187" i="63" s="1"/>
  <c r="F213" i="63"/>
  <c r="G213" i="63" s="1" a="1"/>
  <c r="G213" i="63" s="1"/>
  <c r="F218" i="63"/>
  <c r="G218" i="63" s="1" a="1"/>
  <c r="G218" i="63" s="1"/>
  <c r="F39" i="63"/>
  <c r="G39" i="63" s="1" a="1"/>
  <c r="G39" i="63" s="1"/>
  <c r="F43" i="63"/>
  <c r="G43" i="63" s="1" a="1"/>
  <c r="G43" i="63" s="1"/>
  <c r="F47" i="63"/>
  <c r="G47" i="63" s="1" a="1"/>
  <c r="G47" i="63" s="1"/>
  <c r="F51" i="63"/>
  <c r="G51" i="63" s="1" a="1"/>
  <c r="G51" i="63" s="1"/>
  <c r="F142" i="63"/>
  <c r="G142" i="63" s="1" a="1"/>
  <c r="G142" i="63" s="1"/>
  <c r="F34" i="63"/>
  <c r="G34" i="63" s="1" a="1"/>
  <c r="G34" i="63" s="1"/>
  <c r="F40" i="63"/>
  <c r="G40" i="63" s="1" a="1"/>
  <c r="G40" i="63" s="1"/>
  <c r="F44" i="63"/>
  <c r="G44" i="63" s="1" a="1"/>
  <c r="G44" i="63" s="1"/>
  <c r="F48" i="63"/>
  <c r="G48" i="63" s="1" a="1"/>
  <c r="G48" i="63" s="1"/>
  <c r="F54" i="63"/>
  <c r="G54" i="63" s="1" a="1"/>
  <c r="G54" i="63" s="1"/>
  <c r="F80" i="63"/>
  <c r="G80" i="63" s="1" a="1"/>
  <c r="G80" i="63" s="1"/>
  <c r="F139" i="63"/>
  <c r="G139" i="63" s="1" a="1"/>
  <c r="G139" i="63" s="1"/>
  <c r="F147" i="63"/>
  <c r="G147" i="63" s="1" a="1"/>
  <c r="G147" i="63" s="1"/>
  <c r="F220" i="63"/>
  <c r="G220" i="63" s="1" a="1"/>
  <c r="G220" i="63" s="1"/>
  <c r="F62" i="63"/>
  <c r="G62" i="63" s="1" a="1"/>
  <c r="G62" i="63" s="1"/>
  <c r="F70" i="63"/>
  <c r="G70" i="63" s="1" a="1"/>
  <c r="G70" i="63" s="1"/>
  <c r="F76" i="63"/>
  <c r="G76" i="63" s="1" a="1"/>
  <c r="G76" i="63" s="1"/>
  <c r="F79" i="63"/>
  <c r="G79" i="63" s="1" a="1"/>
  <c r="G79" i="63" s="1"/>
  <c r="F117" i="63"/>
  <c r="G117" i="63" s="1" a="1"/>
  <c r="G117" i="63" s="1"/>
  <c r="F123" i="63"/>
  <c r="G123" i="63" s="1" a="1"/>
  <c r="G123" i="63" s="1"/>
  <c r="F133" i="63"/>
  <c r="G133" i="63" s="1" a="1"/>
  <c r="G133" i="63" s="1"/>
  <c r="F135" i="63"/>
  <c r="G135" i="63" s="1" a="1"/>
  <c r="G135" i="63" s="1"/>
  <c r="F166" i="63"/>
  <c r="G166" i="63" s="1" a="1"/>
  <c r="G166" i="63" s="1"/>
  <c r="F180" i="63"/>
  <c r="G180" i="63" s="1" a="1"/>
  <c r="G180" i="63" s="1"/>
  <c r="F208" i="63"/>
  <c r="G208" i="63" s="1" a="1"/>
  <c r="G208" i="63" s="1"/>
  <c r="F223" i="63"/>
  <c r="G223" i="63" s="1" a="1"/>
  <c r="G223" i="63" s="1"/>
  <c r="F242" i="63"/>
  <c r="G242" i="63" s="1" a="1"/>
  <c r="G242" i="63" s="1"/>
  <c r="F250" i="63"/>
  <c r="G250" i="63" s="1" a="1"/>
  <c r="G250" i="63" s="1"/>
  <c r="F60" i="63"/>
  <c r="G60" i="63" s="1" a="1"/>
  <c r="G60" i="63" s="1"/>
  <c r="F129" i="63"/>
  <c r="G129" i="63" s="1" a="1"/>
  <c r="G129" i="63" s="1"/>
  <c r="F137" i="63"/>
  <c r="G137" i="63" s="1" a="1"/>
  <c r="G137" i="63" s="1"/>
  <c r="F144" i="63"/>
  <c r="G144" i="63" s="1" a="1"/>
  <c r="G144" i="63" s="1"/>
  <c r="F146" i="63"/>
  <c r="G146" i="63" s="1" a="1"/>
  <c r="G146" i="63" s="1"/>
  <c r="F160" i="63"/>
  <c r="G160" i="63" s="1" a="1"/>
  <c r="G160" i="63" s="1"/>
  <c r="F170" i="63"/>
  <c r="G170" i="63" s="1" a="1"/>
  <c r="G170" i="63" s="1"/>
  <c r="F173" i="63"/>
  <c r="G173" i="63" s="1" a="1"/>
  <c r="G173" i="63" s="1"/>
  <c r="F177" i="63"/>
  <c r="G177" i="63" s="1" a="1"/>
  <c r="G177" i="63" s="1"/>
  <c r="F200" i="63"/>
  <c r="G200" i="63" s="1" a="1"/>
  <c r="G200" i="63" s="1"/>
  <c r="F216" i="63"/>
  <c r="G216" i="63" s="1" a="1"/>
  <c r="G216" i="63" s="1"/>
  <c r="F226" i="63"/>
  <c r="G226" i="63" s="1" a="1"/>
  <c r="G226" i="63" s="1"/>
  <c r="F228" i="63"/>
  <c r="G228" i="63" s="1" a="1"/>
  <c r="G228" i="63" s="1"/>
  <c r="F238" i="63"/>
  <c r="G238" i="63" s="1" a="1"/>
  <c r="G238" i="63" s="1"/>
  <c r="F247" i="63"/>
  <c r="G247" i="63" s="1" a="1"/>
  <c r="G247" i="63" s="1"/>
  <c r="F266" i="63"/>
  <c r="G266" i="63" s="1" a="1"/>
  <c r="G266" i="63" s="1"/>
  <c r="F27" i="63"/>
  <c r="G27" i="63" s="1" a="1"/>
  <c r="G27" i="63" s="1"/>
  <c r="F37" i="63"/>
  <c r="G37" i="63" s="1" a="1"/>
  <c r="G37" i="63" s="1"/>
  <c r="F58" i="63"/>
  <c r="G58" i="63" s="1" a="1"/>
  <c r="G58" i="63" s="1"/>
  <c r="F66" i="63"/>
  <c r="G66" i="63" s="1" a="1"/>
  <c r="G66" i="63" s="1"/>
  <c r="F68" i="63"/>
  <c r="G68" i="63" s="1" a="1"/>
  <c r="G68" i="63" s="1"/>
  <c r="F75" i="63"/>
  <c r="G75" i="63" s="1" a="1"/>
  <c r="G75" i="63" s="1"/>
  <c r="F115" i="63"/>
  <c r="G115" i="63" s="1" a="1"/>
  <c r="G115" i="63" s="1"/>
  <c r="F119" i="63"/>
  <c r="G119" i="63" s="1" a="1"/>
  <c r="G119" i="63" s="1"/>
  <c r="F127" i="63"/>
  <c r="G127" i="63" s="1" a="1"/>
  <c r="G127" i="63" s="1"/>
  <c r="F131" i="63"/>
  <c r="G131" i="63" s="1" a="1"/>
  <c r="G131" i="63" s="1"/>
  <c r="F163" i="63"/>
  <c r="G163" i="63" s="1" a="1"/>
  <c r="G163" i="63" s="1"/>
  <c r="F193" i="63"/>
  <c r="G193" i="63" s="1" a="1"/>
  <c r="G193" i="63" s="1"/>
  <c r="F203" i="63"/>
  <c r="G203" i="63" s="1" a="1"/>
  <c r="G203" i="63" s="1"/>
  <c r="F214" i="63"/>
  <c r="G214" i="63" s="1" a="1"/>
  <c r="G214" i="63" s="1"/>
  <c r="F224" i="63"/>
  <c r="G224" i="63" s="1" a="1"/>
  <c r="G224" i="63" s="1"/>
  <c r="F240" i="63"/>
  <c r="G240" i="63" s="1" a="1"/>
  <c r="G240" i="63" s="1"/>
  <c r="F269" i="63"/>
  <c r="G269" i="63" s="1" a="1"/>
  <c r="G269" i="63" s="1"/>
  <c r="F178" i="63"/>
  <c r="G178" i="63" s="1" a="1"/>
  <c r="G178" i="63" s="1"/>
  <c r="F28" i="63"/>
  <c r="G28" i="63" s="1" a="1"/>
  <c r="G28" i="63" s="1"/>
  <c r="F69" i="63"/>
  <c r="G69" i="63" s="1" a="1"/>
  <c r="G69" i="63" s="1"/>
  <c r="F36" i="63"/>
  <c r="G36" i="63" s="1" a="1"/>
  <c r="G36" i="63" s="1"/>
  <c r="F67" i="63"/>
  <c r="G67" i="63" s="1" a="1"/>
  <c r="G67" i="63" s="1"/>
  <c r="F71" i="63"/>
  <c r="G71" i="63" s="1" a="1"/>
  <c r="G71" i="63" s="1"/>
  <c r="F73" i="63"/>
  <c r="G73" i="63" s="1" a="1"/>
  <c r="G73" i="63" s="1"/>
  <c r="F72" i="63"/>
  <c r="G72" i="63" s="1" a="1"/>
  <c r="G72" i="63" s="1"/>
  <c r="H29" i="63"/>
  <c r="F57" i="63"/>
  <c r="G57" i="63" s="1" a="1"/>
  <c r="G57" i="63" s="1"/>
  <c r="F61" i="63"/>
  <c r="G61" i="63" s="1" a="1"/>
  <c r="G61" i="63" s="1"/>
  <c r="F65" i="63"/>
  <c r="G65" i="63" s="1" a="1"/>
  <c r="G65" i="63" s="1"/>
  <c r="H67" i="63"/>
  <c r="H3" i="63"/>
  <c r="J38" i="63"/>
  <c r="J27" i="63"/>
  <c r="J67" i="63"/>
  <c r="F113" i="63"/>
  <c r="G113" i="63" s="1" a="1"/>
  <c r="G113" i="63" s="1"/>
  <c r="H38" i="63"/>
  <c r="F59" i="63"/>
  <c r="G59" i="63" s="1" a="1"/>
  <c r="G59" i="63" s="1"/>
  <c r="F63" i="63"/>
  <c r="G63" i="63" s="1" a="1"/>
  <c r="G63" i="63" s="1"/>
  <c r="F81" i="63"/>
  <c r="G81" i="63" s="1" a="1"/>
  <c r="G81" i="63" s="1"/>
  <c r="H137" i="63"/>
  <c r="J167" i="63"/>
  <c r="J170" i="63"/>
  <c r="F171" i="63"/>
  <c r="G171" i="63" s="1" a="1"/>
  <c r="G171" i="63" s="1"/>
  <c r="F186" i="63"/>
  <c r="G186" i="63" s="1" a="1"/>
  <c r="G186" i="63" s="1"/>
  <c r="I137" i="63"/>
  <c r="I187" i="63"/>
  <c r="J187" i="63"/>
  <c r="F155" i="63"/>
  <c r="G155" i="63" s="1" a="1"/>
  <c r="G155" i="63" s="1"/>
  <c r="H156" i="63"/>
  <c r="F167" i="63"/>
  <c r="G167" i="63" s="1" a="1"/>
  <c r="G167" i="63" s="1"/>
  <c r="F175" i="63"/>
  <c r="G175" i="63" s="1" a="1"/>
  <c r="G175" i="63" s="1"/>
  <c r="H176" i="63"/>
  <c r="F181" i="63"/>
  <c r="G181" i="63" s="1" a="1"/>
  <c r="G181" i="63" s="1"/>
  <c r="F183" i="63"/>
  <c r="G183" i="63" s="1" a="1"/>
  <c r="G183" i="63" s="1"/>
  <c r="J185" i="63"/>
  <c r="J199" i="63"/>
  <c r="H199" i="63"/>
  <c r="F204" i="63"/>
  <c r="G204" i="63" s="1" a="1"/>
  <c r="G204" i="63" s="1"/>
  <c r="J156" i="63"/>
  <c r="F162" i="63"/>
  <c r="G162" i="63" s="1" a="1"/>
  <c r="G162" i="63" s="1"/>
  <c r="H167" i="63"/>
  <c r="F169" i="63"/>
  <c r="G169" i="63" s="1" a="1"/>
  <c r="G169" i="63" s="1"/>
  <c r="H170" i="63"/>
  <c r="J176" i="63"/>
  <c r="H187" i="63"/>
  <c r="F188" i="63"/>
  <c r="G188" i="63" s="1" a="1"/>
  <c r="G188" i="63" s="1"/>
  <c r="F190" i="63"/>
  <c r="G190" i="63" s="1" a="1"/>
  <c r="G190" i="63" s="1"/>
  <c r="F195" i="63"/>
  <c r="G195" i="63" s="1" a="1"/>
  <c r="G195" i="63" s="1"/>
  <c r="F197" i="63"/>
  <c r="G197" i="63" s="1" a="1"/>
  <c r="G197" i="63" s="1"/>
  <c r="F198" i="63"/>
  <c r="G198" i="63" s="1" a="1"/>
  <c r="G198" i="63" s="1"/>
  <c r="F201" i="63"/>
  <c r="G201" i="63" s="1" a="1"/>
  <c r="G201" i="63" s="1"/>
  <c r="F206" i="63"/>
  <c r="G206" i="63" s="1" a="1"/>
  <c r="G206" i="63" s="1"/>
  <c r="F205" i="63"/>
  <c r="G205" i="63" s="1" a="1"/>
  <c r="G205" i="63" s="1"/>
  <c r="H194" i="63"/>
  <c r="F199" i="63"/>
  <c r="G199" i="63" s="1" a="1"/>
  <c r="G199" i="63" s="1"/>
  <c r="H201" i="63"/>
  <c r="F215" i="63"/>
  <c r="G215" i="63" s="1" a="1"/>
  <c r="G215" i="63" s="1"/>
  <c r="F227" i="63"/>
  <c r="G227" i="63" s="1" a="1"/>
  <c r="G227" i="63" s="1"/>
  <c r="F231" i="63"/>
  <c r="G231" i="63" s="1" a="1"/>
  <c r="G231" i="63" s="1"/>
  <c r="F235" i="63"/>
  <c r="G235" i="63" s="1" a="1"/>
  <c r="G235" i="63" s="1"/>
  <c r="F237" i="63"/>
  <c r="G237" i="63" s="1" a="1"/>
  <c r="G237" i="63" s="1"/>
  <c r="F245" i="63"/>
  <c r="G245" i="63" s="1" a="1"/>
  <c r="G245" i="63" s="1"/>
  <c r="J253" i="63"/>
  <c r="F254" i="63"/>
  <c r="G254" i="63" s="1" a="1"/>
  <c r="G254" i="63" s="1"/>
  <c r="F261" i="63"/>
  <c r="G261" i="63" s="1" a="1"/>
  <c r="G261" i="63" s="1"/>
  <c r="H162" i="63"/>
  <c r="H174" i="63"/>
  <c r="H186" i="63"/>
  <c r="J194" i="63"/>
  <c r="J201" i="63"/>
  <c r="F222" i="63"/>
  <c r="G222" i="63" s="1" a="1"/>
  <c r="G222" i="63" s="1"/>
  <c r="J238" i="63"/>
  <c r="F239" i="63"/>
  <c r="G239" i="63" s="1" a="1"/>
  <c r="G239" i="63" s="1"/>
  <c r="J241" i="63"/>
  <c r="J243" i="63"/>
  <c r="H248" i="63"/>
  <c r="F217" i="63"/>
  <c r="G217" i="63" s="1" a="1"/>
  <c r="G217" i="63" s="1"/>
  <c r="J248" i="63"/>
  <c r="I214" i="63"/>
  <c r="H218" i="63"/>
  <c r="F241" i="63"/>
  <c r="G241" i="63" s="1" a="1"/>
  <c r="G241" i="63" s="1"/>
  <c r="F243" i="63"/>
  <c r="G243" i="63" s="1" a="1"/>
  <c r="G243" i="63" s="1"/>
  <c r="H253" i="63"/>
  <c r="F270" i="63"/>
  <c r="G270" i="63" s="1" a="1"/>
  <c r="G270" i="63" s="1"/>
  <c r="F283" i="63"/>
  <c r="G283" i="63" s="1" a="1"/>
  <c r="G283" i="63" s="1"/>
  <c r="H236" i="63"/>
  <c r="H242" i="63"/>
  <c r="H249" i="63"/>
  <c r="H265" i="63"/>
  <c r="H277" i="63"/>
  <c r="H266" i="63"/>
  <c r="H282" i="63"/>
  <c r="I266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F29" i="14" a="1"/>
  <c r="V29" i="14" a="1"/>
  <c r="D29" i="14" a="1"/>
  <c r="V30" i="14" a="1"/>
  <c r="F30" i="14" a="1"/>
  <c r="AJ6" i="8" l="1"/>
  <c r="AJ7" i="8" s="1"/>
  <c r="AD6" i="8"/>
  <c r="AD7" i="8" s="1"/>
  <c r="C13" i="5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5" i="25" a="1"/>
  <c r="P24" i="25" a="1"/>
  <c r="AP24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H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29" i="14" a="1"/>
  <c r="P30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" i="33" a="1"/>
  <c r="F37" i="34" a="1"/>
  <c r="F24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N74" i="61" a="1"/>
  <c r="BJ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H10" i="8" s="1"/>
  <c r="AR25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P10" i="8" l="1"/>
  <c r="X10" i="8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H29" i="14" a="1"/>
  <c r="R29" i="14" a="1"/>
  <c r="AV16" i="25" l="1"/>
  <c r="P9" i="8"/>
  <c r="X9" i="8"/>
  <c r="T9" i="8"/>
  <c r="AH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L16" i="24" a="1"/>
  <c r="J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L37" i="24" a="1"/>
  <c r="J37" i="24" a="1"/>
  <c r="L29" i="14" a="1"/>
  <c r="H37" i="2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B26" i="8" l="1"/>
  <c r="AB28" i="8"/>
  <c r="AB27" i="8"/>
  <c r="AB34" i="8"/>
  <c r="AB20" i="8"/>
  <c r="AB4" i="8"/>
  <c r="AB6" i="8" s="1"/>
  <c r="AB7" i="8" s="1"/>
  <c r="AF4" i="8"/>
  <c r="AF6" i="8" s="1"/>
  <c r="AF7" i="8" s="1"/>
  <c r="AG25" i="8"/>
  <c r="AF26" i="8"/>
  <c r="AG26" i="8"/>
  <c r="AF27" i="8"/>
  <c r="AG27" i="8"/>
  <c r="AF28" i="8"/>
  <c r="AG28" i="8"/>
  <c r="AG29" i="8"/>
  <c r="AG30" i="8"/>
  <c r="AG31" i="8"/>
  <c r="AF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Z4" i="8"/>
  <c r="X4" i="8"/>
  <c r="V4" i="8"/>
  <c r="T4" i="8"/>
  <c r="R4" i="8"/>
  <c r="N4" i="8"/>
  <c r="L4" i="8"/>
  <c r="J4" i="8"/>
  <c r="H4" i="8"/>
  <c r="F4" i="8"/>
  <c r="G31" i="71" l="1"/>
  <c r="G33" i="71" s="1" a="1"/>
  <c r="G33" i="71" s="1"/>
  <c r="G34" i="71" s="1" a="1"/>
  <c r="G34" i="71" s="1"/>
  <c r="I44" i="70"/>
  <c r="T3" i="25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Z6" i="8"/>
  <c r="X6" i="8"/>
  <c r="V6" i="8"/>
  <c r="T6" i="8"/>
  <c r="R6" i="8"/>
  <c r="N6" i="8"/>
  <c r="L6" i="8"/>
  <c r="J6" i="8"/>
  <c r="H6" i="8"/>
  <c r="F6" i="8"/>
  <c r="D6" i="8"/>
  <c r="C32" i="5"/>
  <c r="D3" i="58"/>
  <c r="I100" i="58"/>
  <c r="I99" i="58"/>
  <c r="I98" i="58"/>
  <c r="I97" i="58"/>
  <c r="I96" i="58"/>
  <c r="I95" i="58"/>
  <c r="I94" i="58"/>
  <c r="BD23" i="25" l="1"/>
  <c r="AD25" i="8"/>
  <c r="G40" i="71"/>
  <c r="F46" i="65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l="1"/>
  <c r="L31" i="25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H29" i="8"/>
  <c r="Z29" i="8"/>
  <c r="L29" i="8"/>
  <c r="AH28" i="8"/>
  <c r="Z28" i="8"/>
  <c r="X28" i="8"/>
  <c r="V28" i="8"/>
  <c r="T28" i="8"/>
  <c r="N28" i="8"/>
  <c r="L28" i="8"/>
  <c r="J28" i="8"/>
  <c r="H28" i="8"/>
  <c r="AH27" i="8"/>
  <c r="Z27" i="8"/>
  <c r="X27" i="8"/>
  <c r="T27" i="8"/>
  <c r="N27" i="8"/>
  <c r="L27" i="8"/>
  <c r="H27" i="8"/>
  <c r="AH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D26" i="25" a="1"/>
  <c r="F20" i="45" a="1"/>
  <c r="F11" i="45" a="1"/>
  <c r="F25" i="4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F12" i="8"/>
  <c r="AF20" i="8" s="1"/>
  <c r="AF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F30" i="8" a="1"/>
  <c r="F6" i="32" a="1"/>
  <c r="F57" i="30" a="1"/>
  <c r="E3" i="64" l="1"/>
  <c r="AF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5" i="26" a="1"/>
  <c r="F56" i="26" a="1"/>
  <c r="F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H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6" i="18" a="1"/>
  <c r="H31" i="22" a="1"/>
  <c r="H35" i="22" a="1"/>
  <c r="H43" i="22" a="1"/>
  <c r="H51" i="22" a="1"/>
  <c r="H27" i="22" a="1"/>
  <c r="H23" i="22" a="1"/>
  <c r="H51" i="18" a="1"/>
  <c r="H39" i="22" a="1"/>
  <c r="H47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H20" i="8"/>
  <c r="X20" i="8"/>
  <c r="V20" i="8"/>
  <c r="T20" i="8"/>
  <c r="N20" i="8"/>
  <c r="L20" i="8"/>
  <c r="D20" i="8"/>
  <c r="T31" i="14" a="1"/>
  <c r="J29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E13" i="22" a="1"/>
  <c r="D46" i="65" a="1"/>
  <c r="AD23" i="8" a="1"/>
  <c r="E40" i="71" a="1"/>
  <c r="O20" i="48" a="1"/>
  <c r="F18" i="39" a="1"/>
  <c r="F11" i="62" a="1"/>
  <c r="C35" i="64" a="1"/>
  <c r="C52" i="33" a="1"/>
  <c r="E33" i="69" a="1"/>
  <c r="AD23" i="8" l="1"/>
  <c r="E40" i="71"/>
  <c r="N28" i="14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C62" i="34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H7" i="8"/>
  <c r="AH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32" i="68" a="1"/>
  <c r="E5" i="42" a="1"/>
  <c r="F6" i="68" a="1"/>
  <c r="F23" i="62" a="1"/>
  <c r="F44" i="68" a="1"/>
  <c r="F37" i="68" a="1"/>
  <c r="F27" i="68" a="1"/>
  <c r="F3" i="21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D42" i="62" a="1"/>
  <c r="S35" i="9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E6" i="15" a="1"/>
  <c r="F19" i="31" a="1"/>
  <c r="F30" i="31" a="1"/>
  <c r="F42" i="31" a="1"/>
  <c r="F34" i="31" a="1"/>
  <c r="F26" i="31" a="1"/>
  <c r="F6" i="31" a="1"/>
  <c r="F38" i="31" a="1"/>
  <c r="F46" i="31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30" i="23" a="1"/>
  <c r="R18" i="61" a="1"/>
  <c r="F35" i="23" a="1"/>
  <c r="BB18" i="61" a="1"/>
  <c r="AH18" i="61" a="1"/>
  <c r="F8" i="23" a="1"/>
  <c r="AL18" i="61" a="1"/>
  <c r="AT18" i="61" a="1"/>
  <c r="J18" i="61" a="1"/>
  <c r="BN18" i="61" a="1"/>
  <c r="N18" i="61" a="1"/>
  <c r="AP18" i="61" a="1"/>
  <c r="E6" i="51" a="1"/>
  <c r="Z18" i="61" a="1"/>
  <c r="V18" i="61" a="1"/>
  <c r="H84" i="67" a="1"/>
  <c r="AD18" i="61" a="1"/>
  <c r="F25" i="23" a="1"/>
  <c r="BJ18" i="61" a="1"/>
  <c r="F5" i="36" a="1"/>
  <c r="BR18" i="61" a="1"/>
  <c r="BF18" i="61" a="1"/>
  <c r="F40" i="23" a="1"/>
  <c r="AT52" i="61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0" i="61" a="1"/>
  <c r="AT57" i="61" a="1"/>
  <c r="AT37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X18" i="61" a="1"/>
  <c r="AD21" i="25" a="1"/>
  <c r="L23" i="8" a="1"/>
  <c r="AJ21" i="25" a="1"/>
  <c r="F21" i="25" a="1"/>
  <c r="D25" i="14" a="1"/>
  <c r="P23" i="8" a="1"/>
  <c r="AL21" i="25" a="1"/>
  <c r="BB21" i="25" a="1"/>
  <c r="N23" i="8" a="1"/>
  <c r="BH21" i="25" a="1"/>
  <c r="N21" i="25" a="1"/>
  <c r="AZ21" i="25" a="1"/>
  <c r="T25" i="14" a="1"/>
  <c r="AB21" i="25" a="1"/>
  <c r="AJ23" i="8" a="1"/>
  <c r="J21" i="25" a="1"/>
  <c r="Z21" i="25" a="1"/>
  <c r="AN21" i="25" a="1"/>
  <c r="V25" i="14" a="1"/>
  <c r="T21" i="25" a="1"/>
  <c r="L21" i="25" a="1"/>
  <c r="X21" i="25" a="1"/>
  <c r="V21" i="25" a="1"/>
  <c r="F25" i="14" a="1"/>
  <c r="AV21" i="25" a="1"/>
  <c r="AT42" i="61" a="1"/>
  <c r="BJ21" i="25" a="1"/>
  <c r="P21" i="25" a="1"/>
  <c r="H25" i="14" a="1"/>
  <c r="V23" i="8" a="1"/>
  <c r="AH23" i="8" a="1"/>
  <c r="AF21" i="25" a="1"/>
  <c r="AF23" i="8" a="1"/>
  <c r="J25" i="14" a="1"/>
  <c r="N25" i="14" a="1"/>
  <c r="P25" i="14" a="1"/>
  <c r="AP21" i="25" a="1"/>
  <c r="BD21" i="25" a="1"/>
  <c r="AH21" i="25" a="1"/>
  <c r="F23" i="8" a="1"/>
  <c r="AR21" i="25" a="1"/>
  <c r="BL21" i="25" a="1"/>
  <c r="AX21" i="25" a="1"/>
  <c r="L25" i="14" a="1"/>
  <c r="T23" i="8" a="1"/>
  <c r="J23" i="8" a="1"/>
  <c r="BF21" i="25" a="1"/>
  <c r="AT21" i="25" a="1"/>
  <c r="R25" i="14" a="1"/>
  <c r="R21" i="25" a="1"/>
  <c r="D21" i="25" a="1"/>
  <c r="H21" i="25" a="1"/>
  <c r="D23" i="8" a="1"/>
  <c r="AB23" i="8" a="1"/>
  <c r="H23" i="8" a="1"/>
  <c r="Z23" i="8" a="1"/>
  <c r="C39" i="32" a="1"/>
  <c r="D65" i="31" a="1"/>
  <c r="X23" i="8" a="1"/>
  <c r="AB21" i="25" l="1"/>
  <c r="D21" i="25"/>
  <c r="AJ23" i="8"/>
  <c r="AZ21" i="25"/>
  <c r="AF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H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AX75" i="61" a="1"/>
  <c r="C62" i="23" a="1"/>
  <c r="BJ15" i="61" a="1"/>
  <c r="C31" i="51" a="1"/>
  <c r="AD15" i="61" a="1"/>
  <c r="AT47" i="61" a="1"/>
  <c r="B28" i="36" a="1"/>
  <c r="V15" i="61" a="1"/>
  <c r="BB15" i="61" a="1"/>
  <c r="Z15" i="61" a="1"/>
  <c r="BR15" i="61" a="1"/>
  <c r="AL15" i="61" a="1"/>
  <c r="BN15" i="61" a="1"/>
  <c r="BF15" i="61" a="1"/>
  <c r="R15" i="61" a="1"/>
  <c r="AX74" i="61" a="1"/>
  <c r="AH15" i="61" a="1"/>
  <c r="N15" i="61" a="1"/>
  <c r="AP15" i="61" a="1"/>
  <c r="J1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E27" i="15" a="1"/>
  <c r="AT15" i="61" a="1"/>
  <c r="AX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11" i="43" a="1"/>
  <c r="F20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0" i="44" a="1"/>
  <c r="F6" i="44" a="1"/>
  <c r="F15" i="30" a="1"/>
  <c r="F28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28" a="1"/>
  <c r="F6" i="7" a="1"/>
  <c r="F22" i="28" a="1"/>
  <c r="F22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J95" i="58"/>
  <c r="T95" i="58"/>
  <c r="P95" i="58"/>
  <c r="N95" i="58"/>
  <c r="L95" i="58"/>
  <c r="R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R96" i="58"/>
  <c r="N97" i="58"/>
  <c r="J97" i="58"/>
  <c r="P96" i="58"/>
  <c r="L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L7" i="58" a="1"/>
  <c r="R7" i="58" a="1"/>
  <c r="J7" i="58" a="1"/>
  <c r="P7" i="58" a="1"/>
  <c r="T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13" i="59" a="1"/>
  <c r="F27" i="59" a="1"/>
  <c r="F20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19" i="66" a="1"/>
  <c r="F20" i="66" a="1"/>
  <c r="F22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U21" i="70" s="1" a="1"/>
  <c r="U21" i="70" s="1"/>
  <c r="E63" i="70" s="1"/>
  <c r="F63" i="70" s="1"/>
  <c r="E53" i="70"/>
  <c r="AC21" i="70" a="1"/>
  <c r="AC21" i="70" s="1"/>
  <c r="E62" i="70" l="1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s="1"/>
  <c r="Z16" i="70" l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<sst xmlns="http://schemas.openxmlformats.org/spreadsheetml/2006/main" count="3700" uniqueCount="2273">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</sst>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9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1972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2099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2100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2101</v>
      </c>
      <c r="M10" s="6"/>
      <c r="N10" s="6" t="s">
        <v>2101</v>
      </c>
      <c r="Q10" s="6"/>
      <c r="R10" s="6" t="s">
        <v>2101</v>
      </c>
      <c r="U10" s="6"/>
      <c r="V10" s="6" t="s">
        <v>790</v>
      </c>
      <c r="Y10" s="6"/>
      <c r="Z10" s="6" t="s">
        <v>2101</v>
      </c>
      <c r="AC10" s="6"/>
      <c r="AD10" s="6" t="s">
        <v>2101</v>
      </c>
      <c r="AG10" s="6"/>
      <c r="AH10" s="6" t="s">
        <v>2101</v>
      </c>
      <c r="AK10" s="6"/>
      <c r="AL10" s="6" t="s">
        <v>1623</v>
      </c>
      <c r="AO10" s="6"/>
      <c r="AP10" s="6" t="s">
        <v>2101</v>
      </c>
      <c r="AS10" s="6"/>
      <c r="AT10" s="6"/>
      <c r="AW10" s="6"/>
      <c r="AX10" s="6" t="s">
        <v>2101</v>
      </c>
      <c r="BA10" s="6"/>
      <c r="BB10" s="6" t="s">
        <v>723</v>
      </c>
      <c r="BE10" s="36"/>
      <c r="BF10" s="36" t="s">
        <v>1067</v>
      </c>
      <c r="BI10" s="6"/>
      <c r="BJ10" s="6" t="s">
        <v>2101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2101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2261</v>
      </c>
      <c r="AF2" t="s">
        <v>174</v>
      </c>
      <c r="AH2" t="s">
        <v>106</v>
      </c>
      <c r="AJ2" t="s">
        <v>2051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10</v>
      </c>
      <c r="AF9">
        <v>1</v>
      </c>
      <c r="AH9">
        <f xml:space="preserve"> $L9</f>
        <v>27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D10">
        <v>7</v>
      </c>
      <c r="AH10">
        <f t="shared" ref="AH10:AH11" si="3" xml:space="preserve"> $L10</f>
        <v>19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D11">
        <v>5</v>
      </c>
      <c r="AH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F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2262</v>
      </c>
      <c r="AF14" t="s">
        <v>726</v>
      </c>
      <c r="AH14" t="s">
        <v>727</v>
      </c>
      <c r="AJ14" t="s">
        <v>2052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2101</v>
      </c>
      <c r="P15" t="s">
        <v>1648</v>
      </c>
      <c r="R15" t="s">
        <v>731</v>
      </c>
      <c r="T15" t="s">
        <v>2101</v>
      </c>
      <c r="V15" t="s">
        <v>733</v>
      </c>
      <c r="X15" t="s">
        <v>727</v>
      </c>
      <c r="AB15" t="s">
        <v>1683</v>
      </c>
      <c r="AD15" t="s">
        <v>2101</v>
      </c>
      <c r="AH15" t="s">
        <v>2101</v>
      </c>
      <c r="AJ15" t="s">
        <v>2101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2101</v>
      </c>
      <c r="AD16" t="s">
        <v>2263</v>
      </c>
      <c r="AH16" t="s">
        <v>738</v>
      </c>
      <c r="AJ16" t="s">
        <v>2053</v>
      </c>
    </row>
    <row r="17" spans="2:38" x14ac:dyDescent="0.2">
      <c r="B17" s="4" t="s">
        <v>107</v>
      </c>
      <c r="F17" t="s">
        <v>2101</v>
      </c>
      <c r="J17" t="s">
        <v>721</v>
      </c>
      <c r="Z17" t="s">
        <v>737</v>
      </c>
      <c r="AB17" t="s">
        <v>1682</v>
      </c>
      <c r="AF17" t="s">
        <v>2101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10</v>
      </c>
      <c r="AF20">
        <f xml:space="preserve"> MAX(_xlfn.SINGLE(Circles.SVG_Radius_0), _xlfn.SINGLE(Circles.SVG_Radius_1), _xlfn.SINGLE(Circles.SVG_Radius_2), _xlfn.SINGLE(Circles.SVG_Radius_3))</f>
        <v>1</v>
      </c>
      <c r="AH20">
        <f xml:space="preserve"> MAX(_xlfn.SINGLE(Circles.SVG_Radius_0), _xlfn.SINGLE(Circles.SVG_Radius_1), _xlfn.SINGLE(Circles.SVG_Radius_2), _xlfn.SINGLE(Circles.SVG_Radius_3))</f>
        <v>27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196</v>
      </c>
      <c r="AH23" cm="1">
        <f t="array" ref="AH23" xml:space="preserve"> SVG_length(AH$25:AH$31)</f>
        <v>183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G28" s="23" t="str">
        <f t="shared" si="5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E29" s="23" t="str">
        <f t="shared" si="5"/>
        <v/>
      </c>
      <c r="AF29" s="34"/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23"/>
      <c r="AE30" s="23" t="str">
        <f t="shared" si="5"/>
        <v/>
      </c>
      <c r="AF30" s="32" t="str" cm="1">
        <f t="array" ref="AF30" xml:space="preserve"> svgPathRect(DecimalPlaces, _xlfn.SINGLE(Circles.SVG_Painting_0), _xlfn.SINGLE(Circles.SVG_Radius_0), _xlfn.SINGLE(Circles.SVG_Radius_0))</f>
        <v>&lt;path fill='#FFF' d='M.70711 .70711V-.70711H-.70711V.70711Z'/&gt;</v>
      </c>
      <c r="AG30" s="23" t="str">
        <f t="shared" si="5"/>
        <v/>
      </c>
      <c r="AH30" s="23"/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_CADES</v>
      </c>
      <c r="AF34" t="str">
        <f xml:space="preserve"> _xlfn.SINGLE(Circles.ID)</f>
        <v>_ADB</v>
      </c>
      <c r="AH34" t="str">
        <f xml:space="preserve"> _xlfn.SINGLE(Circles.ID)</f>
        <v>_AfDB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  <row r="37" spans="3:36" x14ac:dyDescent="0.2">
      <c r="AI37" s="36"/>
    </row>
    <row r="38" spans="3:36" x14ac:dyDescent="0.2">
      <c r="AI38" s="36"/>
    </row>
    <row r="39" spans="3:36" x14ac:dyDescent="0.2">
      <c r="AI39" s="36"/>
    </row>
    <row r="40" spans="3:36" x14ac:dyDescent="0.2">
      <c r="AI40" s="36"/>
    </row>
    <row r="41" spans="3:36" x14ac:dyDescent="0.2">
      <c r="AI41" s="36"/>
    </row>
    <row r="42" spans="3:36" x14ac:dyDescent="0.2">
      <c r="AI42" s="36"/>
    </row>
    <row r="43" spans="3:36" x14ac:dyDescent="0.2">
      <c r="AI43" s="36"/>
    </row>
    <row r="44" spans="3:36" x14ac:dyDescent="0.2">
      <c r="AI44" s="36"/>
    </row>
  </sheetData>
  <sortState xmlns:xlrd2="http://schemas.microsoft.com/office/spreadsheetml/2017/richdata2" ref="AC38:AF1038">
    <sortCondition ref="AF38:AF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2163</v>
      </c>
      <c r="V14" t="s">
        <v>729</v>
      </c>
    </row>
    <row r="15" spans="2:24" x14ac:dyDescent="0.2">
      <c r="B15" s="4" t="s">
        <v>159</v>
      </c>
      <c r="F15" t="s">
        <v>2101</v>
      </c>
      <c r="H15" t="s">
        <v>2101</v>
      </c>
      <c r="J15" t="s">
        <v>742</v>
      </c>
      <c r="L15" t="s">
        <v>1974</v>
      </c>
      <c r="N15" t="s">
        <v>2101</v>
      </c>
      <c r="P15" t="s">
        <v>2101</v>
      </c>
      <c r="R15" t="s">
        <v>2101</v>
      </c>
      <c r="T15" t="s">
        <v>2164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2101</v>
      </c>
      <c r="N17" t="s">
        <v>724</v>
      </c>
      <c r="P17" t="s">
        <v>1699</v>
      </c>
      <c r="V17" t="s">
        <v>2101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2102</v>
      </c>
      <c r="R88" t="s">
        <v>2102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2101</v>
      </c>
      <c r="L90" s="6" t="s">
        <v>723</v>
      </c>
      <c r="N90" s="6" t="s">
        <v>2101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2101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2168</v>
      </c>
      <c r="P2" t="s">
        <v>167</v>
      </c>
      <c r="R2" t="s">
        <v>493</v>
      </c>
      <c r="T2" t="s">
        <v>2165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2145</v>
      </c>
      <c r="BB2" t="s">
        <v>802</v>
      </c>
      <c r="BD2" t="s">
        <v>2046</v>
      </c>
      <c r="BF2" t="s">
        <v>1716</v>
      </c>
      <c r="BH2" t="s">
        <v>933</v>
      </c>
      <c r="BJ2" t="s">
        <v>173</v>
      </c>
      <c r="BL2" t="s">
        <v>2056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2166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2101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2101</v>
      </c>
      <c r="BC6" s="6"/>
      <c r="BD6" s="6" t="s">
        <v>2047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2059</v>
      </c>
      <c r="BM6" s="6"/>
      <c r="BN6" s="6"/>
      <c r="BO6" s="6"/>
    </row>
    <row r="7" spans="2:67" x14ac:dyDescent="0.2">
      <c r="B7" s="4" t="s">
        <v>375</v>
      </c>
      <c r="C7" s="6"/>
      <c r="D7" s="6" t="s">
        <v>2103</v>
      </c>
      <c r="E7" s="6"/>
      <c r="F7" s="6" t="s">
        <v>2103</v>
      </c>
      <c r="G7" s="6"/>
      <c r="H7" s="6" t="s">
        <v>2101</v>
      </c>
      <c r="I7" s="6"/>
      <c r="J7" s="6" t="s">
        <v>1619</v>
      </c>
      <c r="K7" s="6"/>
      <c r="L7" s="6" t="s">
        <v>1507</v>
      </c>
      <c r="M7" s="6"/>
      <c r="N7" s="6" t="s">
        <v>2101</v>
      </c>
      <c r="O7" s="6"/>
      <c r="P7" s="6" t="s">
        <v>2101</v>
      </c>
      <c r="Q7" s="6"/>
      <c r="R7" s="6" t="s">
        <v>2101</v>
      </c>
      <c r="S7" s="6"/>
      <c r="T7" s="6" t="s">
        <v>2167</v>
      </c>
      <c r="U7" s="6"/>
      <c r="V7" s="6" t="s">
        <v>753</v>
      </c>
      <c r="W7" s="6"/>
      <c r="X7" s="6" t="s">
        <v>1790</v>
      </c>
      <c r="Y7" s="6"/>
      <c r="Z7" s="6" t="s">
        <v>2101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2101</v>
      </c>
      <c r="AO7" s="6"/>
      <c r="AP7" s="6" t="s">
        <v>2101</v>
      </c>
      <c r="AQ7" s="6"/>
      <c r="AR7" s="6" t="s">
        <v>2101</v>
      </c>
      <c r="AS7" s="6"/>
      <c r="AT7" s="6" t="s">
        <v>739</v>
      </c>
      <c r="AU7" s="6"/>
      <c r="AV7" s="6" t="s">
        <v>1076</v>
      </c>
      <c r="AW7" s="6"/>
      <c r="AX7" s="6" t="s">
        <v>2101</v>
      </c>
      <c r="AY7" s="6"/>
      <c r="AZ7" s="6" t="s">
        <v>2101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2101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2060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2101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2101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2048</v>
      </c>
      <c r="BE8" s="6"/>
      <c r="BF8" s="6"/>
      <c r="BG8" s="6"/>
      <c r="BH8" s="6"/>
      <c r="BI8" s="6"/>
      <c r="BJ8" s="6"/>
      <c r="BK8" s="6"/>
      <c r="BL8" s="6" t="s">
        <v>2101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429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423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2101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429</v>
      </c>
      <c r="J35" s="5"/>
      <c r="R35" s="5"/>
      <c r="S35" cm="1">
        <f t="array" ref="S35" xml:space="preserve"> SVG_length(JOD.svg)</f>
        <v>423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2265</v>
      </c>
      <c r="K41" t="s">
        <v>0</v>
      </c>
      <c r="L41" t="s">
        <v>2268</v>
      </c>
      <c r="M41" t="s">
        <v>2269</v>
      </c>
      <c r="N41" t="s">
        <v>2270</v>
      </c>
      <c r="O41" t="s">
        <v>2271</v>
      </c>
      <c r="P41" t="s">
        <v>2272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1474</v>
      </c>
      <c r="K43" s="57" t="s">
        <v>1476</v>
      </c>
      <c r="L43" s="57" t="s">
        <v>1476</v>
      </c>
      <c r="M43" s="57" t="s">
        <v>721</v>
      </c>
      <c r="N43" s="57" t="s">
        <v>729</v>
      </c>
      <c r="O43" s="57" t="s">
        <v>2266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1475</v>
      </c>
      <c r="K44" s="57" t="s">
        <v>729</v>
      </c>
      <c r="L44" s="57" t="s">
        <v>2101</v>
      </c>
      <c r="M44" s="57" t="s">
        <v>1790</v>
      </c>
      <c r="N44" s="57" t="s">
        <v>2101</v>
      </c>
      <c r="O44" s="57" t="s">
        <v>729</v>
      </c>
      <c r="P44" s="57" t="s">
        <v>2266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2101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2101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2101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2101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2087</v>
      </c>
      <c r="C2" s="3" t="s">
        <v>2088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2083</v>
      </c>
      <c r="C5" s="3" t="s">
        <v>2084</v>
      </c>
      <c r="D5" s="3" t="s">
        <v>2085</v>
      </c>
      <c r="F5" s="3" t="s">
        <v>2086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2092</v>
      </c>
    </row>
    <row r="26" spans="2:10" x14ac:dyDescent="0.2">
      <c r="J26" t="s">
        <v>2093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2094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2095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2096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2089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2101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2072</v>
      </c>
      <c r="C2" s="3" t="s">
        <v>2074</v>
      </c>
      <c r="D2" s="3" t="s">
        <v>2075</v>
      </c>
      <c r="E2" s="5"/>
      <c r="F2" s="5"/>
      <c r="G2" s="5"/>
      <c r="I2" s="77" t="s">
        <v>2061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2062</v>
      </c>
      <c r="D5" s="3" t="s">
        <v>2071</v>
      </c>
      <c r="E5" s="77" t="s">
        <v>2063</v>
      </c>
      <c r="F5" s="77" t="s">
        <v>2064</v>
      </c>
      <c r="G5" s="77" t="s">
        <v>2079</v>
      </c>
      <c r="H5" s="77" t="s">
        <v>2080</v>
      </c>
      <c r="I5" s="77" t="s">
        <v>2081</v>
      </c>
      <c r="K5" s="3" t="s">
        <v>2065</v>
      </c>
    </row>
    <row r="7" spans="2:11" x14ac:dyDescent="0.2">
      <c r="B7" t="s">
        <v>2073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2073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2073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2098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2098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2098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2098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2098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2098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2098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2098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2098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2098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2098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2098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2098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2098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2098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2097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2143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2143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2143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2143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2143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2076</v>
      </c>
      <c r="K75" s="6" t="s">
        <v>2078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2077</v>
      </c>
      <c r="K76" s="6" t="s">
        <v>2090</v>
      </c>
    </row>
    <row r="78" spans="5:13" x14ac:dyDescent="0.2">
      <c r="J78" s="4" t="s">
        <v>2066</v>
      </c>
      <c r="K78" s="28">
        <v>1.55</v>
      </c>
    </row>
    <row r="79" spans="5:13" x14ac:dyDescent="0.2">
      <c r="J79" s="4" t="s">
        <v>2067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2068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2069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2070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1990</v>
      </c>
      <c r="C2" s="3" t="s">
        <v>1991</v>
      </c>
      <c r="E2" t="s">
        <v>1975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1976</v>
      </c>
      <c r="C5" s="3" t="s">
        <v>1977</v>
      </c>
      <c r="E5" s="3" t="s">
        <v>1978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1980</v>
      </c>
      <c r="E20">
        <f xml:space="preserve"> 1 + OMR.SizeInner</f>
        <v>6</v>
      </c>
    </row>
    <row r="21" spans="2:6" x14ac:dyDescent="0.2">
      <c r="D21" s="4" t="s">
        <v>1982</v>
      </c>
      <c r="E21">
        <f xml:space="preserve"> OMR.MaxX</f>
        <v>6</v>
      </c>
    </row>
    <row r="22" spans="2:6" x14ac:dyDescent="0.2">
      <c r="D22" s="4" t="s">
        <v>1979</v>
      </c>
      <c r="E22">
        <f xml:space="preserve"> - OMR.MaxX</f>
        <v>-6</v>
      </c>
    </row>
    <row r="23" spans="2:6" x14ac:dyDescent="0.2">
      <c r="D23" s="4" t="s">
        <v>1981</v>
      </c>
      <c r="E23">
        <f xml:space="preserve"> - OMR.MaxY</f>
        <v>-6</v>
      </c>
    </row>
    <row r="25" spans="2:6" x14ac:dyDescent="0.2">
      <c r="D25" s="4" t="s">
        <v>1983</v>
      </c>
      <c r="E25" s="6" t="s">
        <v>729</v>
      </c>
    </row>
    <row r="26" spans="2:6" x14ac:dyDescent="0.2">
      <c r="D26" s="4" t="s">
        <v>1984</v>
      </c>
      <c r="E26" s="6" t="s">
        <v>1974</v>
      </c>
    </row>
    <row r="27" spans="2:6" x14ac:dyDescent="0.2">
      <c r="F27" s="5"/>
    </row>
    <row r="28" spans="2:6" x14ac:dyDescent="0.2">
      <c r="D28" s="4" t="s">
        <v>1985</v>
      </c>
      <c r="E28">
        <f xml:space="preserve"> MODE(Squares.AreaMultiplier)</f>
        <v>0.85</v>
      </c>
      <c r="F28" s="5"/>
    </row>
    <row r="29" spans="2:6" x14ac:dyDescent="0.2">
      <c r="D29" s="4" t="s">
        <v>1986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1987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1988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1989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2101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2101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2043</v>
      </c>
      <c r="C2" s="3" t="s">
        <v>2044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2041</v>
      </c>
      <c r="C5" s="3" t="s">
        <v>2042</v>
      </c>
      <c r="E5" s="3" t="s">
        <v>2020</v>
      </c>
      <c r="F5" s="39" t="s">
        <v>2021</v>
      </c>
    </row>
    <row r="6" spans="2:6" x14ac:dyDescent="0.2">
      <c r="E6" t="s">
        <v>23</v>
      </c>
      <c r="F6" s="6" t="s">
        <v>2045</v>
      </c>
    </row>
    <row r="7" spans="2:6" x14ac:dyDescent="0.2">
      <c r="E7" t="s">
        <v>23</v>
      </c>
      <c r="F7" s="6" t="s">
        <v>2033</v>
      </c>
    </row>
    <row r="8" spans="2:6" x14ac:dyDescent="0.2">
      <c r="E8" t="s">
        <v>23</v>
      </c>
      <c r="F8" s="6" t="s">
        <v>2034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2035</v>
      </c>
    </row>
    <row r="12" spans="2:6" x14ac:dyDescent="0.2">
      <c r="E12" t="s">
        <v>23</v>
      </c>
      <c r="F12" s="6" t="s">
        <v>2036</v>
      </c>
    </row>
    <row r="13" spans="2:6" x14ac:dyDescent="0.2">
      <c r="E13" t="s">
        <v>23</v>
      </c>
      <c r="F13" s="6" t="s">
        <v>2037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2022</v>
      </c>
      <c r="F30">
        <v>20</v>
      </c>
    </row>
    <row r="31" spans="2:6" x14ac:dyDescent="0.2">
      <c r="E31" s="4" t="s">
        <v>2023</v>
      </c>
      <c r="F31">
        <v>30</v>
      </c>
    </row>
    <row r="32" spans="2:6" x14ac:dyDescent="0.2">
      <c r="E32" s="4" t="s">
        <v>2024</v>
      </c>
      <c r="F32">
        <f xml:space="preserve"> - F30</f>
        <v>-20</v>
      </c>
    </row>
    <row r="33" spans="4:7" x14ac:dyDescent="0.2">
      <c r="E33" s="4" t="s">
        <v>2025</v>
      </c>
      <c r="F33">
        <f xml:space="preserve"> - F31</f>
        <v>-30</v>
      </c>
    </row>
    <row r="35" spans="4:7" x14ac:dyDescent="0.2">
      <c r="E35" s="4" t="s">
        <v>2026</v>
      </c>
      <c r="F35" s="6" t="s">
        <v>2038</v>
      </c>
    </row>
    <row r="36" spans="4:7" x14ac:dyDescent="0.2">
      <c r="E36" s="4" t="s">
        <v>2027</v>
      </c>
      <c r="F36" s="6" t="s">
        <v>727</v>
      </c>
    </row>
    <row r="37" spans="4:7" x14ac:dyDescent="0.2">
      <c r="G37" s="5"/>
    </row>
    <row r="38" spans="4:7" x14ac:dyDescent="0.2">
      <c r="E38" s="4" t="s">
        <v>2028</v>
      </c>
      <c r="F38">
        <f xml:space="preserve"> 17 / 16</f>
        <v>1.0625</v>
      </c>
      <c r="G38" s="5"/>
    </row>
    <row r="39" spans="4:7" x14ac:dyDescent="0.2">
      <c r="E39" s="4" t="s">
        <v>2029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2030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2031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2032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2101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2101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2002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2003</v>
      </c>
      <c r="C5" s="3" t="s">
        <v>2004</v>
      </c>
      <c r="D5" s="3" t="s">
        <v>2005</v>
      </c>
      <c r="F5" s="3" t="s">
        <v>2006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2018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2018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2018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2018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2018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2018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2018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2018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2018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2018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2018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2018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2018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2018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2018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2018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2007</v>
      </c>
      <c r="F32" cm="1">
        <f t="array" ref="F32" xml:space="preserve"> ROUND( MIN(SDG.RawX), SDG.DecimalPlaces)</f>
        <v>-5</v>
      </c>
    </row>
    <row r="33" spans="4:6" x14ac:dyDescent="0.2">
      <c r="E33" s="4" t="s">
        <v>2008</v>
      </c>
      <c r="F33" cm="1">
        <f t="array" ref="F33" xml:space="preserve"> ROUND(MAX(SDG.RawX), SDG.DecimalPlaces)</f>
        <v>5</v>
      </c>
    </row>
    <row r="34" spans="4:6" x14ac:dyDescent="0.2">
      <c r="E34" s="4" t="s">
        <v>2009</v>
      </c>
      <c r="F34" cm="1">
        <f t="array" ref="F34" xml:space="preserve"> ROUND( MIN(SDG.RawY), SDG.DecimalPlaces)</f>
        <v>-5</v>
      </c>
    </row>
    <row r="35" spans="4:6" x14ac:dyDescent="0.2">
      <c r="E35" s="4" t="s">
        <v>2010</v>
      </c>
      <c r="F35" cm="1">
        <f t="array" ref="F35" xml:space="preserve"> ROUND(MAX(SDG.RawY), SDG.DecimalPlaces)</f>
        <v>5</v>
      </c>
    </row>
    <row r="37" spans="4:6" x14ac:dyDescent="0.2">
      <c r="E37" s="4" t="s">
        <v>2011</v>
      </c>
      <c r="F37" s="28">
        <f xml:space="preserve"> MODE(Squares.AreaMultiplier)</f>
        <v>0.85</v>
      </c>
    </row>
    <row r="38" spans="4:6" x14ac:dyDescent="0.2">
      <c r="E38" s="4" t="s">
        <v>2012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2013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2014</v>
      </c>
      <c r="F40" cm="1">
        <f t="array" ref="F40" xml:space="preserve"> SDG.Height / SDG.Aspect</f>
        <v>9.1999999999999993</v>
      </c>
    </row>
    <row r="42" spans="4:6" x14ac:dyDescent="0.2">
      <c r="E42" s="4" t="s">
        <v>2015</v>
      </c>
      <c r="F42" t="s">
        <v>727</v>
      </c>
    </row>
    <row r="43" spans="4:6" x14ac:dyDescent="0.2">
      <c r="E43" s="4" t="s">
        <v>2016</v>
      </c>
      <c r="F43" t="s">
        <v>2101</v>
      </c>
    </row>
    <row r="45" spans="4:6" ht="17" thickBot="1" x14ac:dyDescent="0.25">
      <c r="E45" s="5"/>
      <c r="F45" s="3" t="s">
        <v>2017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2101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2101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2101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2146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2147</v>
      </c>
      <c r="C5" s="3" t="s">
        <v>2148</v>
      </c>
      <c r="E5" s="3" t="s">
        <v>2149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2151</v>
      </c>
      <c r="E20">
        <f xml:space="preserve"> ROUND(MAX(GR.RawX), GR.DecimalPlaces) + 1</f>
        <v>6</v>
      </c>
    </row>
    <row r="21" spans="2:5" x14ac:dyDescent="0.2">
      <c r="D21" s="4" t="s">
        <v>2153</v>
      </c>
      <c r="E21">
        <f xml:space="preserve"> GR.MaxX</f>
        <v>6</v>
      </c>
    </row>
    <row r="22" spans="2:5" x14ac:dyDescent="0.2">
      <c r="D22" s="4" t="s">
        <v>2150</v>
      </c>
      <c r="E22">
        <f xml:space="preserve"> - GR.MaxX</f>
        <v>-6</v>
      </c>
    </row>
    <row r="23" spans="2:5" x14ac:dyDescent="0.2">
      <c r="D23" s="4" t="s">
        <v>2152</v>
      </c>
      <c r="E23">
        <f xml:space="preserve"> - GR.MaxY</f>
        <v>-6</v>
      </c>
    </row>
    <row r="25" spans="2:5" x14ac:dyDescent="0.2">
      <c r="D25" s="4" t="s">
        <v>2154</v>
      </c>
      <c r="E25" s="28">
        <f xml:space="preserve"> MODE(Squares.AreaMultiplier)</f>
        <v>0.85</v>
      </c>
    </row>
    <row r="26" spans="2:5" x14ac:dyDescent="0.2">
      <c r="D26" s="4" t="s">
        <v>2155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2156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2157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2158</v>
      </c>
      <c r="E30" s="6" t="s">
        <v>794</v>
      </c>
    </row>
    <row r="31" spans="2:5" x14ac:dyDescent="0.2">
      <c r="D31" s="4" t="s">
        <v>2159</v>
      </c>
      <c r="E31" s="6" t="s">
        <v>2101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2160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2101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2101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2101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2101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2193</v>
      </c>
      <c r="D2" s="3" t="s">
        <v>2194</v>
      </c>
      <c r="E2" s="3" t="s">
        <v>2225</v>
      </c>
      <c r="I2" t="s">
        <v>2177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2200</v>
      </c>
      <c r="U3">
        <f t="array" ref="U3:V5" xml:space="preserve"> $D$22:$E$24</f>
        <v>34.778228978880634</v>
      </c>
      <c r="V3">
        <v>17.493275692479227</v>
      </c>
      <c r="Z3" s="4" t="s">
        <v>2210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2201</v>
      </c>
      <c r="U4">
        <v>43.759270416190446</v>
      </c>
      <c r="V4">
        <v>6.5164472691005715</v>
      </c>
      <c r="Z4" s="4" t="s">
        <v>2211</v>
      </c>
      <c r="AA4">
        <v>0</v>
      </c>
      <c r="AB4">
        <v>-4.4233703349470401</v>
      </c>
    </row>
    <row r="5" spans="3:36" x14ac:dyDescent="0.2">
      <c r="T5" s="4" t="s">
        <v>2202</v>
      </c>
      <c r="U5">
        <v>30.000000000000004</v>
      </c>
      <c r="V5">
        <v>3.0766296650529608</v>
      </c>
      <c r="Z5" s="4" t="s">
        <v>2212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2221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2203</v>
      </c>
      <c r="U8" cm="1">
        <f t="array" ref="U8:V8" xml:space="preserve"> _IADB.Quartic_Z0</f>
        <v>34.778228978880634</v>
      </c>
      <c r="V8">
        <v>17.493275692479227</v>
      </c>
      <c r="Z8" s="4" t="s">
        <v>2213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2204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2214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2205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2215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2222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2231</v>
      </c>
      <c r="Z13" s="3" t="s">
        <v>2232</v>
      </c>
      <c r="AA13" s="3" t="s">
        <v>2233</v>
      </c>
      <c r="AB13" s="3" t="s">
        <v>2234</v>
      </c>
      <c r="AC13" s="3" t="s">
        <v>2235</v>
      </c>
      <c r="AG13" s="3" t="s">
        <v>2238</v>
      </c>
      <c r="AJ13" s="3" t="s">
        <v>2237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2192</v>
      </c>
      <c r="D20" s="3" t="s">
        <v>2178</v>
      </c>
      <c r="E20" s="3" t="s">
        <v>2179</v>
      </c>
      <c r="F20" s="3" t="s">
        <v>2199</v>
      </c>
      <c r="G20" s="5"/>
      <c r="I20" s="3" t="s">
        <v>2180</v>
      </c>
      <c r="S20" s="3" t="s">
        <v>2209</v>
      </c>
      <c r="T20" s="3" t="s">
        <v>2208</v>
      </c>
      <c r="U20" s="3" t="s">
        <v>2206</v>
      </c>
      <c r="V20" s="3" t="s">
        <v>2207</v>
      </c>
      <c r="Y20" s="3" t="s">
        <v>2216</v>
      </c>
      <c r="Z20" s="3" t="s">
        <v>2217</v>
      </c>
      <c r="AA20" s="3" t="s">
        <v>2218</v>
      </c>
      <c r="AB20" s="3" t="s">
        <v>2219</v>
      </c>
      <c r="AC20" s="3" t="s">
        <v>2220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2195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2196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2197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2198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2236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2197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2196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2198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2236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2182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2184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2181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2183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2185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2186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2187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2188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2189</v>
      </c>
      <c r="I49" s="6" t="s">
        <v>995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2190</v>
      </c>
      <c r="I50" s="6" t="s">
        <v>2101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2224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2191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2223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2226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2227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2228</v>
      </c>
      <c r="H57" s="5"/>
      <c r="I57" s="6" t="s">
        <v>15</v>
      </c>
    </row>
    <row r="58" spans="3:29" x14ac:dyDescent="0.2">
      <c r="C58" t="s">
        <v>2228</v>
      </c>
    </row>
    <row r="59" spans="3:29" x14ac:dyDescent="0.2">
      <c r="C59" t="s">
        <v>2229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2230</v>
      </c>
      <c r="E65">
        <f xml:space="preserve"> ($E23 - $E21) / ($D23 - $D21)</f>
        <v>0.14891581160113579</v>
      </c>
    </row>
    <row r="66" spans="3:5" x14ac:dyDescent="0.2">
      <c r="C66" t="s">
        <v>2230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2252</v>
      </c>
      <c r="D2" t="s">
        <v>2253</v>
      </c>
      <c r="E2" t="s">
        <v>2254</v>
      </c>
      <c r="G2" t="s">
        <v>2239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2255</v>
      </c>
      <c r="C5" s="3" t="s">
        <v>2256</v>
      </c>
      <c r="D5" s="3" t="s">
        <v>2240</v>
      </c>
      <c r="E5" s="3" t="s">
        <v>2241</v>
      </c>
      <c r="G5" s="3" t="s">
        <v>2242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2244</v>
      </c>
      <c r="G26">
        <f xml:space="preserve"> _CoEDB.Radius_1</f>
        <v>8</v>
      </c>
    </row>
    <row r="27" spans="2:7" x14ac:dyDescent="0.2">
      <c r="F27" s="4" t="s">
        <v>2246</v>
      </c>
      <c r="G27">
        <f xml:space="preserve"> _CoEDB.MaxX</f>
        <v>8</v>
      </c>
    </row>
    <row r="28" spans="2:7" x14ac:dyDescent="0.2">
      <c r="F28" s="4" t="s">
        <v>2243</v>
      </c>
      <c r="G28">
        <f xml:space="preserve"> - G26</f>
        <v>-8</v>
      </c>
    </row>
    <row r="29" spans="2:7" x14ac:dyDescent="0.2">
      <c r="F29" s="4" t="s">
        <v>2245</v>
      </c>
      <c r="G29">
        <f xml:space="preserve"> - G27</f>
        <v>-8</v>
      </c>
    </row>
    <row r="31" spans="2:7" x14ac:dyDescent="0.2">
      <c r="F31" s="4" t="s">
        <v>2247</v>
      </c>
      <c r="G31" s="28">
        <f xml:space="preserve"> MODE(Circles.AreaMultiplier)</f>
        <v>1</v>
      </c>
    </row>
    <row r="32" spans="2:7" x14ac:dyDescent="0.2">
      <c r="F32" s="4" t="s">
        <v>2248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2249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2250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2257</v>
      </c>
      <c r="G36" s="6" t="s">
        <v>2259</v>
      </c>
      <c r="H36" s="5"/>
    </row>
    <row r="37" spans="5:8" x14ac:dyDescent="0.2">
      <c r="F37" s="4" t="s">
        <v>2258</v>
      </c>
      <c r="G37" s="6" t="s">
        <v>2101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2251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2102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87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1997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1995</v>
      </c>
      <c r="N7" t="s">
        <v>23</v>
      </c>
      <c r="O7" t="s">
        <v>24</v>
      </c>
      <c r="P7" t="s">
        <v>1999</v>
      </c>
      <c r="Q7" t="s">
        <v>2000</v>
      </c>
    </row>
    <row r="8" spans="2:17" x14ac:dyDescent="0.2">
      <c r="B8" t="s">
        <v>1847</v>
      </c>
      <c r="E8" t="str">
        <f t="shared" ref="E8:E25" si="25" xml:space="preserve"> IF(AND(LEN(ChartLines.ID)&gt;0,"Unused"&lt;&gt;ChartLines.ID), COUNTIFS(ChartLines.ID,ChartLines.ID), "·")</f>
        <v>·</v>
      </c>
      <c r="F8" t="str">
        <f t="shared" ref="F8:F25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5" si="27" xml:space="preserve"> IF(LEN(ChartLines.Hex6)=6, HEX2DEC(LEFT(ChartLines.Hex6, 2)), "·")</f>
        <v>·</v>
      </c>
      <c r="I8" t="str">
        <f t="shared" ref="I8:I25" si="28" xml:space="preserve"> IF(LEN(ChartLines.Hex6)=6, HEX2DEC(MID(ChartLines.Hex6, 3, 2)), "·")</f>
        <v>·</v>
      </c>
      <c r="J8" t="str">
        <f t="shared" ref="J8:J25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1996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2268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2001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2268</v>
      </c>
      <c r="C10" t="s">
        <v>1851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2269</v>
      </c>
      <c r="C11" t="s">
        <v>1869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1998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2269</v>
      </c>
      <c r="C12" t="s">
        <v>1952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1971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2270</v>
      </c>
      <c r="C13" t="s">
        <v>1856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1968</v>
      </c>
      <c r="N13" s="6" t="s">
        <v>1969</v>
      </c>
    </row>
    <row r="14" spans="2:17" x14ac:dyDescent="0.2">
      <c r="B14" t="s">
        <v>2270</v>
      </c>
      <c r="C14" t="s">
        <v>1851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1970</v>
      </c>
      <c r="N14" s="6" t="s">
        <v>15</v>
      </c>
    </row>
    <row r="15" spans="2:17" x14ac:dyDescent="0.2">
      <c r="B15" t="s">
        <v>2271</v>
      </c>
      <c r="C15" t="s">
        <v>2267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2271</v>
      </c>
      <c r="C16" t="s">
        <v>1856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2272</v>
      </c>
      <c r="C17" t="s">
        <v>1856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2272</v>
      </c>
      <c r="C18" t="s">
        <v>2267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1849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1847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1543</v>
      </c>
      <c r="C21" t="s">
        <v>1850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1543</v>
      </c>
      <c r="C22" t="s">
        <v>1851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1852</v>
      </c>
      <c r="C23" t="s">
        <v>1850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1852</v>
      </c>
      <c r="C24" t="str">
        <f xml:space="preserve"> "000000"</f>
        <v>000000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0</v>
      </c>
      <c r="I24">
        <f t="shared" si="28"/>
        <v>0</v>
      </c>
      <c r="J24">
        <f t="shared" si="29"/>
        <v>0</v>
      </c>
      <c r="K24" cm="1">
        <f t="array" ref="K24" xml:space="preserve"> 1 + ROW() - _xlfn.SINGLE(ROW(ChartLines.RowNum))</f>
        <v>22</v>
      </c>
    </row>
    <row r="25" spans="2:11" x14ac:dyDescent="0.2">
      <c r="B25" t="s">
        <v>1853</v>
      </c>
      <c r="C25" t="s">
        <v>1854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0</v>
      </c>
      <c r="I25">
        <f t="shared" si="28"/>
        <v>132</v>
      </c>
      <c r="J25">
        <f t="shared" si="29"/>
        <v>61</v>
      </c>
      <c r="K25" cm="1">
        <f t="array" ref="K25" xml:space="preserve"> 1 + ROW() - _xlfn.SINGLE(ROW(ChartLines.RowNum))</f>
        <v>23</v>
      </c>
    </row>
    <row r="26" spans="2:11" x14ac:dyDescent="0.2">
      <c r="B26" t="s">
        <v>1853</v>
      </c>
      <c r="C26" t="s">
        <v>1855</v>
      </c>
      <c r="E26">
        <f t="shared" ref="E26" si="30" xml:space="preserve"> IF(AND(LEN(ChartLines.ID)&gt;0,"Unused"&lt;&gt;ChartLines.ID), COUNTIFS(ChartLines.ID,ChartLines.ID), "·")</f>
        <v>2</v>
      </c>
      <c r="F26">
        <f t="shared" ref="F26" si="31" xml:space="preserve"> IF(AND(LEN(ChartLines.ID)&gt;0,"Unused"&lt;&gt;ChartLines.ID), COUNTIFS(ChartLines.ID,ChartLines.ID,   ChartLines.RowNum,"&lt;="&amp;ChartLines.RowNum), "·")</f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ref="H26" si="32" xml:space="preserve"> IF(LEN(ChartLines.Hex6)=6, HEX2DEC(LEFT(ChartLines.Hex6, 2)), "·")</f>
        <v>255</v>
      </c>
      <c r="I26">
        <f t="shared" ref="I26" si="33" xml:space="preserve"> IF(LEN(ChartLines.Hex6)=6, HEX2DEC(MID(ChartLines.Hex6, 3, 2)), "·")</f>
        <v>205</v>
      </c>
      <c r="J26">
        <f t="shared" ref="J26" si="34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122</v>
      </c>
      <c r="C27" t="str">
        <f xml:space="preserve"> "012169"</f>
        <v>012169</v>
      </c>
      <c r="E27">
        <f t="shared" ref="E27" si="35" xml:space="preserve"> IF(AND(LEN(ChartLines.ID)&gt;0,"Unused"&lt;&gt;ChartLines.ID), COUNTIFS(ChartLines.ID,ChartLines.ID), "·")</f>
        <v>2</v>
      </c>
      <c r="F27">
        <f t="shared" ref="F27" si="36" xml:space="preserve"> IF(AND(LEN(ChartLines.ID)&gt;0,"Unused"&lt;&gt;ChartLines.ID), COUNTIFS(ChartLines.ID,ChartLines.ID,   ChartLines.RowNum,"&lt;="&amp;ChartLines.RowNum), "·")</f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ref="H27" si="37" xml:space="preserve"> IF(LEN(ChartLines.Hex6)=6, HEX2DEC(LEFT(ChartLines.Hex6, 2)), "·")</f>
        <v>1</v>
      </c>
      <c r="I27">
        <f t="shared" ref="I27" si="38" xml:space="preserve"> IF(LEN(ChartLines.Hex6)=6, HEX2DEC(MID(ChartLines.Hex6, 3, 2)), "·")</f>
        <v>33</v>
      </c>
      <c r="J27">
        <f t="shared" ref="J27" si="39" xml:space="preserve"> IF(LEN(ChartLines.Hex6)=6, HEX2DEC(RIGHT(ChartLines.Hex6, 2)), "·")</f>
        <v>105</v>
      </c>
      <c r="K27" cm="1">
        <f t="array" ref="K27" xml:space="preserve"> 1 + ROW() - _xlfn.SINGLE(ROW(ChartLines.RowNum))</f>
        <v>25</v>
      </c>
    </row>
    <row r="28" spans="2:11" x14ac:dyDescent="0.2">
      <c r="B28" t="s">
        <v>122</v>
      </c>
      <c r="C28" t="s">
        <v>1856</v>
      </c>
      <c r="E28">
        <f t="shared" ref="E28" si="40" xml:space="preserve"> IF(AND(LEN(ChartLines.ID)&gt;0,"Unused"&lt;&gt;ChartLines.ID), COUNTIFS(ChartLines.ID,ChartLines.ID), "·")</f>
        <v>2</v>
      </c>
      <c r="F28">
        <f t="shared" ref="F28" si="41" xml:space="preserve"> IF(AND(LEN(ChartLines.ID)&gt;0,"Unused"&lt;&gt;ChartLines.ID), COUNTIFS(ChartLines.ID,ChartLines.ID,   ChartLines.RowNum,"&lt;="&amp;ChartLines.RowNum), "·")</f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ref="H28" si="42" xml:space="preserve"> IF(LEN(ChartLines.Hex6)=6, HEX2DEC(LEFT(ChartLines.Hex6, 2)), "·")</f>
        <v>200</v>
      </c>
      <c r="I28">
        <f t="shared" ref="I28" si="43" xml:space="preserve"> IF(LEN(ChartLines.Hex6)=6, HEX2DEC(MID(ChartLines.Hex6, 3, 2)), "·")</f>
        <v>16</v>
      </c>
      <c r="J28">
        <f t="shared" ref="J28" si="44" xml:space="preserve"> IF(LEN(ChartLines.Hex6)=6, HEX2DEC(RIGHT(ChartLines.Hex6, 2)), "·")</f>
        <v>46</v>
      </c>
      <c r="K28" cm="1">
        <f t="array" ref="K28" xml:space="preserve"> 1 + ROW() - _xlfn.SINGLE(ROW(ChartLines.RowNum))</f>
        <v>26</v>
      </c>
    </row>
    <row r="29" spans="2:11" x14ac:dyDescent="0.2">
      <c r="B29" t="s">
        <v>126</v>
      </c>
      <c r="C29" t="str">
        <f xml:space="preserve"> "004B87"</f>
        <v>004B87</v>
      </c>
      <c r="E29">
        <f t="shared" ref="E29" si="45" xml:space="preserve"> IF(AND(LEN(ChartLines.ID)&gt;0,"Unused"&lt;&gt;ChartLines.ID), COUNTIFS(ChartLines.ID,ChartLines.ID), "·")</f>
        <v>2</v>
      </c>
      <c r="F29">
        <f t="shared" ref="F29" si="46" xml:space="preserve"> IF(AND(LEN(ChartLines.ID)&gt;0,"Unused"&lt;&gt;ChartLines.ID), COUNTIFS(ChartLines.ID,ChartLines.ID,   ChartLines.RowNum,"&lt;="&amp;ChartLines.RowNum), "·")</f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ref="H29" si="47" xml:space="preserve"> IF(LEN(ChartLines.Hex6)=6, HEX2DEC(LEFT(ChartLines.Hex6, 2)), "·")</f>
        <v>0</v>
      </c>
      <c r="I29">
        <f t="shared" ref="I29" si="48" xml:space="preserve"> IF(LEN(ChartLines.Hex6)=6, HEX2DEC(MID(ChartLines.Hex6, 3, 2)), "·")</f>
        <v>75</v>
      </c>
      <c r="J29">
        <f t="shared" ref="J29" si="49" xml:space="preserve"> IF(LEN(ChartLines.Hex6)=6, HEX2DEC(RIGHT(ChartLines.Hex6, 2)), "·")</f>
        <v>135</v>
      </c>
      <c r="K29" cm="1">
        <f t="array" ref="K29" xml:space="preserve"> 1 + ROW() - _xlfn.SINGLE(ROW(ChartLines.RowNum))</f>
        <v>27</v>
      </c>
    </row>
    <row r="30" spans="2:11" x14ac:dyDescent="0.2">
      <c r="B30" t="s">
        <v>126</v>
      </c>
      <c r="C30" t="s">
        <v>1857</v>
      </c>
      <c r="E30">
        <f t="shared" ref="E30" si="50" xml:space="preserve"> IF(AND(LEN(ChartLines.ID)&gt;0,"Unused"&lt;&gt;ChartLines.ID), COUNTIFS(ChartLines.ID,ChartLines.ID), "·")</f>
        <v>2</v>
      </c>
      <c r="F30">
        <f t="shared" ref="F30" si="5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52" xml:space="preserve"> IF(LEN(ChartLines.Hex6)=6, HEX2DEC(LEFT(ChartLines.Hex6, 2)), "·")</f>
        <v>255</v>
      </c>
      <c r="I30">
        <f t="shared" ref="I30" si="53" xml:space="preserve"> IF(LEN(ChartLines.Hex6)=6, HEX2DEC(MID(ChartLines.Hex6, 3, 2)), "·")</f>
        <v>209</v>
      </c>
      <c r="J30">
        <f t="shared" ref="J30" si="5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128</v>
      </c>
      <c r="C31" t="s">
        <v>1858</v>
      </c>
      <c r="E31">
        <f t="shared" ref="E31" si="55" xml:space="preserve"> IF(AND(LEN(ChartLines.ID)&gt;0,"Unused"&lt;&gt;ChartLines.ID), COUNTIFS(ChartLines.ID,ChartLines.ID), "·")</f>
        <v>2</v>
      </c>
      <c r="F31">
        <f t="shared" ref="F31" si="5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57" xml:space="preserve"> IF(LEN(ChartLines.Hex6)=6, HEX2DEC(LEFT(ChartLines.Hex6, 2)), "·")</f>
        <v>186</v>
      </c>
      <c r="I31">
        <f t="shared" ref="I31" si="58" xml:space="preserve"> IF(LEN(ChartLines.Hex6)=6, HEX2DEC(MID(ChartLines.Hex6, 3, 2)), "·")</f>
        <v>12</v>
      </c>
      <c r="J31">
        <f t="shared" ref="J31" si="59" xml:space="preserve"> IF(LEN(ChartLines.Hex6)=6, HEX2DEC(RIGHT(ChartLines.Hex6, 2)), "·")</f>
        <v>47</v>
      </c>
      <c r="K31" cm="1">
        <f t="array" ref="K31" xml:space="preserve"> 1 + ROW() - _xlfn.SINGLE(ROW(ChartLines.RowNum))</f>
        <v>29</v>
      </c>
    </row>
    <row r="32" spans="2:11" x14ac:dyDescent="0.2">
      <c r="B32" t="s">
        <v>128</v>
      </c>
      <c r="C32" t="s">
        <v>1859</v>
      </c>
      <c r="E32">
        <f t="shared" ref="E32" si="60" xml:space="preserve"> IF(AND(LEN(ChartLines.ID)&gt;0,"Unused"&lt;&gt;ChartLines.ID), COUNTIFS(ChartLines.ID,ChartLines.ID), "·")</f>
        <v>2</v>
      </c>
      <c r="F32">
        <f t="shared" ref="F32" si="6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62" xml:space="preserve"> IF(LEN(ChartLines.Hex6)=6, HEX2DEC(LEFT(ChartLines.Hex6, 2)), "·")</f>
        <v>0</v>
      </c>
      <c r="I32">
        <f t="shared" ref="I32" si="63" xml:space="preserve"> IF(LEN(ChartLines.Hex6)=6, HEX2DEC(MID(ChartLines.Hex6, 3, 2)), "·")</f>
        <v>32</v>
      </c>
      <c r="J32">
        <f t="shared" ref="J32" si="64" xml:space="preserve"> IF(LEN(ChartLines.Hex6)=6, HEX2DEC(RIGHT(ChartLines.Hex6, 2)), "·")</f>
        <v>91</v>
      </c>
      <c r="K32" cm="1">
        <f t="array" ref="K32" xml:space="preserve"> 1 + ROW() - _xlfn.SINGLE(ROW(ChartLines.RowNum))</f>
        <v>30</v>
      </c>
    </row>
    <row r="33" spans="2:11" x14ac:dyDescent="0.2">
      <c r="E33" t="str">
        <f t="shared" ref="E33" si="65" xml:space="preserve"> IF(AND(LEN(ChartLines.ID)&gt;0,"Unused"&lt;&gt;ChartLines.ID), COUNTIFS(ChartLines.ID,ChartLines.ID), "·")</f>
        <v>·</v>
      </c>
      <c r="F33" t="str">
        <f t="shared" ref="F33" si="66" xml:space="preserve"> IF(AND(LEN(ChartLines.ID)&gt;0,"Unused"&lt;&gt;ChartLines.ID), COUNTIFS(ChartLines.ID,ChartLines.ID,   ChartLines.RowNum,"&lt;="&amp;ChartLines.RowNum), "·")</f>
        <v>·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3" t="str">
        <f t="shared" ref="H33" si="67" xml:space="preserve"> IF(LEN(ChartLines.Hex6)=6, HEX2DEC(LEFT(ChartLines.Hex6, 2)), "·")</f>
        <v>·</v>
      </c>
      <c r="I33" t="str">
        <f t="shared" ref="I33" si="68" xml:space="preserve"> IF(LEN(ChartLines.Hex6)=6, HEX2DEC(MID(ChartLines.Hex6, 3, 2)), "·")</f>
        <v>·</v>
      </c>
      <c r="J33" t="str">
        <f t="shared" ref="J33" si="69" xml:space="preserve"> IF(LEN(ChartLines.Hex6)=6, HEX2DEC(RIGHT(ChartLines.Hex6, 2)), "·")</f>
        <v>·</v>
      </c>
      <c r="K33" cm="1">
        <f t="array" ref="K33" xml:space="preserve"> 1 + ROW() - _xlfn.SINGLE(ROW(ChartLines.RowNum))</f>
        <v>31</v>
      </c>
    </row>
    <row r="34" spans="2:11" x14ac:dyDescent="0.2">
      <c r="B34" t="s">
        <v>798</v>
      </c>
      <c r="C34" t="s">
        <v>1848</v>
      </c>
      <c r="E34">
        <f t="shared" ref="E34" si="70" xml:space="preserve"> IF(AND(LEN(ChartLines.ID)&gt;0,"Unused"&lt;&gt;ChartLines.ID), COUNTIFS(ChartLines.ID,ChartLines.ID), "·")</f>
        <v>2</v>
      </c>
      <c r="F34">
        <f t="shared" ref="F34" si="71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72" xml:space="preserve"> IF(LEN(ChartLines.Hex6)=6, HEX2DEC(LEFT(ChartLines.Hex6, 2)), "·")</f>
        <v>255</v>
      </c>
      <c r="I34">
        <f t="shared" ref="I34" si="73" xml:space="preserve"> IF(LEN(ChartLines.Hex6)=6, HEX2DEC(MID(ChartLines.Hex6, 3, 2)), "·")</f>
        <v>51</v>
      </c>
      <c r="J34">
        <f t="shared" ref="J34" si="74" xml:space="preserve"> IF(LEN(ChartLines.Hex6)=6, HEX2DEC(RIGHT(ChartLines.Hex6, 2)), "·")</f>
        <v>255</v>
      </c>
      <c r="K34" cm="1">
        <f t="array" ref="K34" xml:space="preserve"> 1 + ROW() - _xlfn.SINGLE(ROW(ChartLines.RowNum))</f>
        <v>32</v>
      </c>
    </row>
    <row r="35" spans="2:11" x14ac:dyDescent="0.2">
      <c r="B35" t="s">
        <v>798</v>
      </c>
      <c r="C35" t="s">
        <v>1851</v>
      </c>
      <c r="E35">
        <f t="shared" ref="E35" si="75" xml:space="preserve"> IF(AND(LEN(ChartLines.ID)&gt;0,"Unused"&lt;&gt;ChartLines.ID), COUNTIFS(ChartLines.ID,ChartLines.ID), "·")</f>
        <v>2</v>
      </c>
      <c r="F35">
        <f t="shared" ref="F35" si="76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77" xml:space="preserve"> IF(LEN(ChartLines.Hex6)=6, HEX2DEC(LEFT(ChartLines.Hex6, 2)), "·")</f>
        <v>255</v>
      </c>
      <c r="I35">
        <f t="shared" ref="I35" si="78" xml:space="preserve"> IF(LEN(ChartLines.Hex6)=6, HEX2DEC(MID(ChartLines.Hex6, 3, 2)), "·")</f>
        <v>255</v>
      </c>
      <c r="J35">
        <f t="shared" ref="J35" si="79" xml:space="preserve"> IF(LEN(ChartLines.Hex6)=6, HEX2DEC(RIGHT(ChartLines.Hex6, 2)), "·")</f>
        <v>255</v>
      </c>
      <c r="K35" cm="1">
        <f t="array" ref="K35" xml:space="preserve"> 1 + ROW() - _xlfn.SINGLE(ROW(ChartLines.RowNum))</f>
        <v>33</v>
      </c>
    </row>
    <row r="36" spans="2:11" x14ac:dyDescent="0.2">
      <c r="B36" t="s">
        <v>800</v>
      </c>
      <c r="C36" t="str">
        <f xml:space="preserve"> "000000"</f>
        <v>000000</v>
      </c>
      <c r="E36">
        <f t="shared" ref="E36" si="80" xml:space="preserve"> IF(AND(LEN(ChartLines.ID)&gt;0,"Unused"&lt;&gt;ChartLines.ID), COUNTIFS(ChartLines.ID,ChartLines.ID), "·")</f>
        <v>2</v>
      </c>
      <c r="F36">
        <f t="shared" ref="F36" si="81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82" xml:space="preserve"> IF(LEN(ChartLines.Hex6)=6, HEX2DEC(LEFT(ChartLines.Hex6, 2)), "·")</f>
        <v>0</v>
      </c>
      <c r="I36">
        <f t="shared" ref="I36" si="83" xml:space="preserve"> IF(LEN(ChartLines.Hex6)=6, HEX2DEC(MID(ChartLines.Hex6, 3, 2)), "·")</f>
        <v>0</v>
      </c>
      <c r="J36">
        <f t="shared" ref="J36" si="84" xml:space="preserve"> IF(LEN(ChartLines.Hex6)=6, HEX2DEC(RIGHT(ChartLines.Hex6, 2)), "·")</f>
        <v>0</v>
      </c>
      <c r="K36" cm="1">
        <f t="array" ref="K36" xml:space="preserve"> 1 + ROW() - _xlfn.SINGLE(ROW(ChartLines.RowNum))</f>
        <v>34</v>
      </c>
    </row>
    <row r="37" spans="2:11" x14ac:dyDescent="0.2">
      <c r="B37" t="s">
        <v>800</v>
      </c>
      <c r="C37" t="s">
        <v>1848</v>
      </c>
      <c r="E37">
        <f t="shared" ref="E37" si="85" xml:space="preserve"> IF(AND(LEN(ChartLines.ID)&gt;0,"Unused"&lt;&gt;ChartLines.ID), COUNTIFS(ChartLines.ID,ChartLines.ID), "·")</f>
        <v>2</v>
      </c>
      <c r="F37">
        <f t="shared" ref="F37" si="86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87" xml:space="preserve"> IF(LEN(ChartLines.Hex6)=6, HEX2DEC(LEFT(ChartLines.Hex6, 2)), "·")</f>
        <v>255</v>
      </c>
      <c r="I37">
        <f t="shared" ref="I37" si="88" xml:space="preserve"> IF(LEN(ChartLines.Hex6)=6, HEX2DEC(MID(ChartLines.Hex6, 3, 2)), "·")</f>
        <v>51</v>
      </c>
      <c r="J37">
        <f t="shared" ref="J37" si="89" xml:space="preserve"> IF(LEN(ChartLines.Hex6)=6, HEX2DEC(RIGHT(ChartLines.Hex6, 2)), "·")</f>
        <v>255</v>
      </c>
      <c r="K37" cm="1">
        <f t="array" ref="K37" xml:space="preserve"> 1 + ROW() - _xlfn.SINGLE(ROW(ChartLines.RowNum))</f>
        <v>35</v>
      </c>
    </row>
    <row r="38" spans="2:11" x14ac:dyDescent="0.2">
      <c r="B38" t="s">
        <v>582</v>
      </c>
      <c r="C38" t="str">
        <f xml:space="preserve"> "000000"</f>
        <v>000000</v>
      </c>
      <c r="E38">
        <f t="shared" ref="E38" si="90" xml:space="preserve"> IF(AND(LEN(ChartLines.ID)&gt;0,"Unused"&lt;&gt;ChartLines.ID), COUNTIFS(ChartLines.ID,ChartLines.ID), "·")</f>
        <v>2</v>
      </c>
      <c r="F38">
        <f t="shared" ref="F38" si="9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92" xml:space="preserve"> IF(LEN(ChartLines.Hex6)=6, HEX2DEC(LEFT(ChartLines.Hex6, 2)), "·")</f>
        <v>0</v>
      </c>
      <c r="I38">
        <f t="shared" ref="I38" si="93" xml:space="preserve"> IF(LEN(ChartLines.Hex6)=6, HEX2DEC(MID(ChartLines.Hex6, 3, 2)), "·")</f>
        <v>0</v>
      </c>
      <c r="J38">
        <f t="shared" ref="J38" si="94" xml:space="preserve"> IF(LEN(ChartLines.Hex6)=6, HEX2DEC(RIGHT(ChartLines.Hex6, 2)), "·")</f>
        <v>0</v>
      </c>
      <c r="K38" cm="1">
        <f t="array" ref="K38" xml:space="preserve"> 1 + ROW() - _xlfn.SINGLE(ROW(ChartLines.RowNum))</f>
        <v>36</v>
      </c>
    </row>
    <row r="39" spans="2:11" x14ac:dyDescent="0.2">
      <c r="B39" t="s">
        <v>582</v>
      </c>
      <c r="C39" t="s">
        <v>1851</v>
      </c>
      <c r="E39">
        <f t="shared" ref="E39" si="95" xml:space="preserve"> IF(AND(LEN(ChartLines.ID)&gt;0,"Unused"&lt;&gt;ChartLines.ID), COUNTIFS(ChartLines.ID,ChartLines.ID), "·")</f>
        <v>2</v>
      </c>
      <c r="F39">
        <f t="shared" ref="F39" si="9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97" xml:space="preserve"> IF(LEN(ChartLines.Hex6)=6, HEX2DEC(LEFT(ChartLines.Hex6, 2)), "·")</f>
        <v>255</v>
      </c>
      <c r="I39">
        <f t="shared" ref="I39" si="98" xml:space="preserve"> IF(LEN(ChartLines.Hex6)=6, HEX2DEC(MID(ChartLines.Hex6, 3, 2)), "·")</f>
        <v>255</v>
      </c>
      <c r="J39">
        <f t="shared" ref="J39" si="9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599</v>
      </c>
      <c r="C40" t="s">
        <v>1860</v>
      </c>
      <c r="E40">
        <f t="shared" ref="E40" si="100" xml:space="preserve"> IF(AND(LEN(ChartLines.ID)&gt;0,"Unused"&lt;&gt;ChartLines.ID), COUNTIFS(ChartLines.ID,ChartLines.ID), "·")</f>
        <v>2</v>
      </c>
      <c r="F40">
        <f t="shared" ref="F40" si="10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02" xml:space="preserve"> IF(LEN(ChartLines.Hex6)=6, HEX2DEC(LEFT(ChartLines.Hex6, 2)), "·")</f>
        <v>0</v>
      </c>
      <c r="I40">
        <f t="shared" ref="I40" si="103" xml:space="preserve"> IF(LEN(ChartLines.Hex6)=6, HEX2DEC(MID(ChartLines.Hex6, 3, 2)), "·")</f>
        <v>85</v>
      </c>
      <c r="J40">
        <f t="shared" ref="J40" si="104" xml:space="preserve"> IF(LEN(ChartLines.Hex6)=6, HEX2DEC(RIGHT(ChartLines.Hex6, 2)), "·")</f>
        <v>164</v>
      </c>
      <c r="K40" cm="1">
        <f t="array" ref="K40" xml:space="preserve"> 1 + ROW() - _xlfn.SINGLE(ROW(ChartLines.RowNum))</f>
        <v>38</v>
      </c>
    </row>
    <row r="41" spans="2:11" x14ac:dyDescent="0.2">
      <c r="B41" t="s">
        <v>599</v>
      </c>
      <c r="C41" t="s">
        <v>1861</v>
      </c>
      <c r="E41">
        <f t="shared" ref="E41" si="105" xml:space="preserve"> IF(AND(LEN(ChartLines.ID)&gt;0,"Unused"&lt;&gt;ChartLines.ID), COUNTIFS(ChartLines.ID,ChartLines.ID), "·")</f>
        <v>2</v>
      </c>
      <c r="F41">
        <f t="shared" ref="F41" si="10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07" xml:space="preserve"> IF(LEN(ChartLines.Hex6)=6, HEX2DEC(LEFT(ChartLines.Hex6, 2)), "·")</f>
        <v>239</v>
      </c>
      <c r="I41">
        <f t="shared" ref="I41" si="108" xml:space="preserve"> IF(LEN(ChartLines.Hex6)=6, HEX2DEC(MID(ChartLines.Hex6, 3, 2)), "·")</f>
        <v>65</v>
      </c>
      <c r="J41">
        <f t="shared" ref="J41" si="109" xml:space="preserve"> IF(LEN(ChartLines.Hex6)=6, HEX2DEC(RIGHT(ChartLines.Hex6, 2)), "·")</f>
        <v>53</v>
      </c>
      <c r="K41" cm="1">
        <f t="array" ref="K41" xml:space="preserve"> 1 + ROW() - _xlfn.SINGLE(ROW(ChartLines.RowNum))</f>
        <v>39</v>
      </c>
    </row>
    <row r="42" spans="2:11" x14ac:dyDescent="0.2">
      <c r="B42" t="s">
        <v>636</v>
      </c>
      <c r="C42" t="s">
        <v>1862</v>
      </c>
      <c r="E42">
        <f t="shared" ref="E42" si="110" xml:space="preserve"> IF(AND(LEN(ChartLines.ID)&gt;0,"Unused"&lt;&gt;ChartLines.ID), COUNTIFS(ChartLines.ID,ChartLines.ID), "·")</f>
        <v>2</v>
      </c>
      <c r="F42">
        <f t="shared" ref="F42" si="11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" si="112" xml:space="preserve"> IF(LEN(ChartLines.Hex6)=6, HEX2DEC(LEFT(ChartLines.Hex6, 2)), "·")</f>
        <v>0</v>
      </c>
      <c r="I42">
        <f t="shared" ref="I42" si="113" xml:space="preserve"> IF(LEN(ChartLines.Hex6)=6, HEX2DEC(MID(ChartLines.Hex6, 3, 2)), "·")</f>
        <v>140</v>
      </c>
      <c r="J42">
        <f t="shared" ref="J42" si="114" xml:space="preserve"> IF(LEN(ChartLines.Hex6)=6, HEX2DEC(RIGHT(ChartLines.Hex6, 2)), "·")</f>
        <v>69</v>
      </c>
      <c r="K42" cm="1">
        <f t="array" ref="K42" xml:space="preserve"> 1 + ROW() - _xlfn.SINGLE(ROW(ChartLines.RowNum))</f>
        <v>40</v>
      </c>
    </row>
    <row r="43" spans="2:11" x14ac:dyDescent="0.2">
      <c r="B43" t="s">
        <v>636</v>
      </c>
      <c r="C43" t="s">
        <v>1863</v>
      </c>
      <c r="E43">
        <f t="shared" ref="E43" si="115" xml:space="preserve"> IF(AND(LEN(ChartLines.ID)&gt;0,"Unused"&lt;&gt;ChartLines.ID), COUNTIFS(ChartLines.ID,ChartLines.ID), "·")</f>
        <v>2</v>
      </c>
      <c r="F43">
        <f t="shared" ref="F43" si="11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" si="117" xml:space="preserve"> IF(LEN(ChartLines.Hex6)=6, HEX2DEC(LEFT(ChartLines.Hex6, 2)), "·")</f>
        <v>205</v>
      </c>
      <c r="I43">
        <f t="shared" ref="I43" si="118" xml:space="preserve"> IF(LEN(ChartLines.Hex6)=6, HEX2DEC(MID(ChartLines.Hex6, 3, 2)), "·")</f>
        <v>33</v>
      </c>
      <c r="J43">
        <f t="shared" ref="J43" si="119" xml:space="preserve"> IF(LEN(ChartLines.Hex6)=6, HEX2DEC(RIGHT(ChartLines.Hex6, 2)), "·")</f>
        <v>42</v>
      </c>
      <c r="K43" cm="1">
        <f t="array" ref="K43" xml:space="preserve"> 1 + ROW() - _xlfn.SINGLE(ROW(ChartLines.RowNum))</f>
        <v>41</v>
      </c>
    </row>
    <row r="44" spans="2:11" x14ac:dyDescent="0.2">
      <c r="B44" t="s">
        <v>171</v>
      </c>
      <c r="C44" t="s">
        <v>2161</v>
      </c>
      <c r="E44">
        <f t="shared" ref="E44" si="120" xml:space="preserve"> IF(AND(LEN(ChartLines.ID)&gt;0,"Unused"&lt;&gt;ChartLines.ID), COUNTIFS(ChartLines.ID,ChartLines.ID), "·")</f>
        <v>2</v>
      </c>
      <c r="F44">
        <f t="shared" ref="F44" si="121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122" xml:space="preserve"> IF(LEN(ChartLines.Hex6)=6, HEX2DEC(LEFT(ChartLines.Hex6, 2)), "·")</f>
        <v>173</v>
      </c>
      <c r="I44">
        <f t="shared" ref="I44" si="123" xml:space="preserve"> IF(LEN(ChartLines.Hex6)=6, HEX2DEC(MID(ChartLines.Hex6, 3, 2)), "·")</f>
        <v>21</v>
      </c>
      <c r="J44">
        <f t="shared" ref="J44" si="124" xml:space="preserve"> IF(LEN(ChartLines.Hex6)=6, HEX2DEC(RIGHT(ChartLines.Hex6, 2)), "·")</f>
        <v>25</v>
      </c>
      <c r="K44" cm="1">
        <f t="array" ref="K44" xml:space="preserve"> 1 + ROW() - _xlfn.SINGLE(ROW(ChartLines.RowNum))</f>
        <v>42</v>
      </c>
    </row>
    <row r="45" spans="2:11" x14ac:dyDescent="0.2">
      <c r="B45" t="s">
        <v>171</v>
      </c>
      <c r="C45" t="s">
        <v>2162</v>
      </c>
      <c r="E45">
        <f t="shared" ref="E45" si="125" xml:space="preserve"> IF(AND(LEN(ChartLines.ID)&gt;0,"Unused"&lt;&gt;ChartLines.ID), COUNTIFS(ChartLines.ID,ChartLines.ID), "·")</f>
        <v>2</v>
      </c>
      <c r="F45">
        <f t="shared" ref="F45" si="126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127" xml:space="preserve"> IF(LEN(ChartLines.Hex6)=6, HEX2DEC(LEFT(ChartLines.Hex6, 2)), "·")</f>
        <v>250</v>
      </c>
      <c r="I45">
        <f t="shared" ref="I45" si="128" xml:space="preserve"> IF(LEN(ChartLines.Hex6)=6, HEX2DEC(MID(ChartLines.Hex6, 3, 2)), "·")</f>
        <v>189</v>
      </c>
      <c r="J45">
        <f t="shared" ref="J45" si="129" xml:space="preserve"> IF(LEN(ChartLines.Hex6)=6, HEX2DEC(RIGHT(ChartLines.Hex6, 2)), "·")</f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637</v>
      </c>
      <c r="C46" t="s">
        <v>1864</v>
      </c>
      <c r="E46">
        <f t="shared" ref="E46" si="130" xml:space="preserve"> IF(AND(LEN(ChartLines.ID)&gt;0,"Unused"&lt;&gt;ChartLines.ID), COUNTIFS(ChartLines.ID,ChartLines.ID), "·")</f>
        <v>2</v>
      </c>
      <c r="F46">
        <f t="shared" ref="F46" si="13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132" xml:space="preserve"> IF(LEN(ChartLines.Hex6)=6, HEX2DEC(LEFT(ChartLines.Hex6, 2)), "·")</f>
        <v>0</v>
      </c>
      <c r="I46">
        <f t="shared" ref="I46" si="133" xml:space="preserve"> IF(LEN(ChartLines.Hex6)=6, HEX2DEC(MID(ChartLines.Hex6, 3, 2)), "·")</f>
        <v>61</v>
      </c>
      <c r="J46">
        <f t="shared" ref="J46" si="134" xml:space="preserve"> IF(LEN(ChartLines.Hex6)=6, HEX2DEC(RIGHT(ChartLines.Hex6, 2)), "·")</f>
        <v>165</v>
      </c>
      <c r="K46" cm="1">
        <f t="array" ref="K46" xml:space="preserve"> 1 + ROW() - _xlfn.SINGLE(ROW(ChartLines.RowNum))</f>
        <v>44</v>
      </c>
    </row>
    <row r="47" spans="2:11" x14ac:dyDescent="0.2">
      <c r="B47" t="s">
        <v>637</v>
      </c>
      <c r="C47" t="s">
        <v>1865</v>
      </c>
      <c r="E47">
        <f t="shared" ref="E47" si="135" xml:space="preserve"> IF(AND(LEN(ChartLines.ID)&gt;0,"Unused"&lt;&gt;ChartLines.ID), COUNTIFS(ChartLines.ID,ChartLines.ID), "·")</f>
        <v>2</v>
      </c>
      <c r="F47">
        <f t="shared" ref="F47" si="13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137" xml:space="preserve"> IF(LEN(ChartLines.Hex6)=6, HEX2DEC(LEFT(ChartLines.Hex6, 2)), "·")</f>
        <v>250</v>
      </c>
      <c r="I47">
        <f t="shared" ref="I47" si="138" xml:space="preserve"> IF(LEN(ChartLines.Hex6)=6, HEX2DEC(MID(ChartLines.Hex6, 3, 2)), "·")</f>
        <v>155</v>
      </c>
      <c r="J47">
        <f t="shared" ref="J47" si="139" xml:space="preserve"> IF(LEN(ChartLines.Hex6)=6, HEX2DEC(RIGHT(ChartLines.Hex6, 2)), "·")</f>
        <v>30</v>
      </c>
      <c r="K47" cm="1">
        <f t="array" ref="K47" xml:space="preserve"> 1 + ROW() - _xlfn.SINGLE(ROW(ChartLines.RowNum))</f>
        <v>45</v>
      </c>
    </row>
    <row r="48" spans="2:11" x14ac:dyDescent="0.2">
      <c r="B48" t="s">
        <v>656</v>
      </c>
      <c r="C48">
        <v>663319</v>
      </c>
      <c r="E48">
        <f t="shared" ref="E48" si="140" xml:space="preserve"> IF(AND(LEN(ChartLines.ID)&gt;0,"Unused"&lt;&gt;ChartLines.ID), COUNTIFS(ChartLines.ID,ChartLines.ID), "·")</f>
        <v>2</v>
      </c>
      <c r="F48">
        <f t="shared" ref="F48" si="141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142" xml:space="preserve"> IF(LEN(ChartLines.Hex6)=6, HEX2DEC(LEFT(ChartLines.Hex6, 2)), "·")</f>
        <v>102</v>
      </c>
      <c r="I48">
        <f t="shared" ref="I48" si="143" xml:space="preserve"> IF(LEN(ChartLines.Hex6)=6, HEX2DEC(MID(ChartLines.Hex6, 3, 2)), "·")</f>
        <v>51</v>
      </c>
      <c r="J48">
        <f t="shared" ref="J48" si="144" xml:space="preserve"> IF(LEN(ChartLines.Hex6)=6, HEX2DEC(RIGHT(ChartLines.Hex6, 2)), "·")</f>
        <v>25</v>
      </c>
      <c r="K48" cm="1">
        <f t="array" ref="K48" xml:space="preserve"> 1 + ROW() - _xlfn.SINGLE(ROW(ChartLines.RowNum))</f>
        <v>46</v>
      </c>
    </row>
    <row r="49" spans="2:11" x14ac:dyDescent="0.2">
      <c r="B49" t="s">
        <v>656</v>
      </c>
      <c r="C49" t="s">
        <v>1866</v>
      </c>
      <c r="E49">
        <f t="shared" ref="E49" si="145" xml:space="preserve"> IF(AND(LEN(ChartLines.ID)&gt;0,"Unused"&lt;&gt;ChartLines.ID), COUNTIFS(ChartLines.ID,ChartLines.ID), "·")</f>
        <v>2</v>
      </c>
      <c r="F49">
        <f t="shared" ref="F49" si="146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147" xml:space="preserve"> IF(LEN(ChartLines.Hex6)=6, HEX2DEC(LEFT(ChartLines.Hex6, 2)), "·")</f>
        <v>255</v>
      </c>
      <c r="I49">
        <f t="shared" ref="I49" si="148" xml:space="preserve"> IF(LEN(ChartLines.Hex6)=6, HEX2DEC(MID(ChartLines.Hex6, 3, 2)), "·")</f>
        <v>204</v>
      </c>
      <c r="J49">
        <f t="shared" ref="J49" si="149" xml:space="preserve"> IF(LEN(ChartLines.Hex6)=6, HEX2DEC(RIGHT(ChartLines.Hex6, 2)), "·")</f>
        <v>51</v>
      </c>
      <c r="K49" cm="1">
        <f t="array" ref="K49" xml:space="preserve"> 1 + ROW() - _xlfn.SINGLE(ROW(ChartLines.RowNum))</f>
        <v>47</v>
      </c>
    </row>
    <row r="50" spans="2:11" x14ac:dyDescent="0.2">
      <c r="B50" t="s">
        <v>657</v>
      </c>
      <c r="C50" t="s">
        <v>1856</v>
      </c>
      <c r="E50">
        <f t="shared" ref="E50" si="150" xml:space="preserve"> IF(AND(LEN(ChartLines.ID)&gt;0,"Unused"&lt;&gt;ChartLines.ID), COUNTIFS(ChartLines.ID,ChartLines.ID), "·")</f>
        <v>2</v>
      </c>
      <c r="F50">
        <f t="shared" ref="F50" si="15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152" xml:space="preserve"> IF(LEN(ChartLines.Hex6)=6, HEX2DEC(LEFT(ChartLines.Hex6, 2)), "·")</f>
        <v>200</v>
      </c>
      <c r="I50">
        <f t="shared" ref="I50" si="153" xml:space="preserve"> IF(LEN(ChartLines.Hex6)=6, HEX2DEC(MID(ChartLines.Hex6, 3, 2)), "·")</f>
        <v>16</v>
      </c>
      <c r="J50">
        <f t="shared" ref="J50" si="154" xml:space="preserve"> IF(LEN(ChartLines.Hex6)=6, HEX2DEC(RIGHT(ChartLines.Hex6, 2)), "·")</f>
        <v>46</v>
      </c>
      <c r="K50" cm="1">
        <f t="array" ref="K50" xml:space="preserve"> 1 + ROW() - _xlfn.SINGLE(ROW(ChartLines.RowNum))</f>
        <v>48</v>
      </c>
    </row>
    <row r="51" spans="2:11" x14ac:dyDescent="0.2">
      <c r="B51" t="s">
        <v>657</v>
      </c>
      <c r="C51" t="s">
        <v>1851</v>
      </c>
      <c r="E51">
        <f t="shared" ref="E51" si="155" xml:space="preserve"> IF(AND(LEN(ChartLines.ID)&gt;0,"Unused"&lt;&gt;ChartLines.ID), COUNTIFS(ChartLines.ID,ChartLines.ID), "·")</f>
        <v>2</v>
      </c>
      <c r="F51">
        <f t="shared" ref="F51" si="15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157" xml:space="preserve"> IF(LEN(ChartLines.Hex6)=6, HEX2DEC(LEFT(ChartLines.Hex6, 2)), "·")</f>
        <v>255</v>
      </c>
      <c r="I51">
        <f t="shared" ref="I51" si="158" xml:space="preserve"> IF(LEN(ChartLines.Hex6)=6, HEX2DEC(MID(ChartLines.Hex6, 3, 2)), "·")</f>
        <v>255</v>
      </c>
      <c r="J51">
        <f t="shared" ref="J51" si="159" xml:space="preserve"> IF(LEN(ChartLines.Hex6)=6, HEX2DEC(RIGHT(ChartLines.Hex6, 2)), "·")</f>
        <v>255</v>
      </c>
      <c r="K51" cm="1">
        <f t="array" ref="K51" xml:space="preserve"> 1 + ROW() - _xlfn.SINGLE(ROW(ChartLines.RowNum))</f>
        <v>49</v>
      </c>
    </row>
    <row r="52" spans="2:11" x14ac:dyDescent="0.2">
      <c r="B52" t="s">
        <v>658</v>
      </c>
      <c r="C52" t="s">
        <v>1867</v>
      </c>
      <c r="E52">
        <f t="shared" ref="E52" si="160" xml:space="preserve"> IF(AND(LEN(ChartLines.ID)&gt;0,"Unused"&lt;&gt;ChartLines.ID), COUNTIFS(ChartLines.ID,ChartLines.ID), "·")</f>
        <v>1</v>
      </c>
      <c r="F52">
        <f t="shared" ref="F52" si="161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2">
        <f t="shared" ref="H52" si="162" xml:space="preserve"> IF(LEN(ChartLines.Hex6)=6, HEX2DEC(LEFT(ChartLines.Hex6, 2)), "·")</f>
        <v>0</v>
      </c>
      <c r="I52">
        <f t="shared" ref="I52" si="163" xml:space="preserve"> IF(LEN(ChartLines.Hex6)=6, HEX2DEC(MID(ChartLines.Hex6, 3, 2)), "·")</f>
        <v>47</v>
      </c>
      <c r="J52">
        <f t="shared" ref="J52" si="164" xml:space="preserve"> IF(LEN(ChartLines.Hex6)=6, HEX2DEC(RIGHT(ChartLines.Hex6, 2)), "·")</f>
        <v>108</v>
      </c>
      <c r="K52" cm="1">
        <f t="array" ref="K52" xml:space="preserve"> 1 + ROW() - _xlfn.SINGLE(ROW(ChartLines.RowNum))</f>
        <v>50</v>
      </c>
    </row>
    <row r="53" spans="2:11" x14ac:dyDescent="0.2">
      <c r="B53" t="s">
        <v>1847</v>
      </c>
      <c r="E53" t="str">
        <f t="shared" ref="E53" si="165" xml:space="preserve"> IF(AND(LEN(ChartLines.ID)&gt;0,"Unused"&lt;&gt;ChartLines.ID), COUNTIFS(ChartLines.ID,ChartLines.ID), "·")</f>
        <v>·</v>
      </c>
      <c r="F53" t="str">
        <f t="shared" ref="F53" si="166" xml:space="preserve"> IF(AND(LEN(ChartLines.ID)&gt;0,"Unused"&lt;&gt;ChartLines.ID), COUNTIFS(ChartLines.ID,ChartLines.ID,   ChartLines.RowNum,"&lt;="&amp;ChartLines.RowNum), "·")</f>
        <v>·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53" t="str">
        <f t="shared" ref="H53" si="167" xml:space="preserve"> IF(LEN(ChartLines.Hex6)=6, HEX2DEC(LEFT(ChartLines.Hex6, 2)), "·")</f>
        <v>·</v>
      </c>
      <c r="I53" t="str">
        <f t="shared" ref="I53" si="168" xml:space="preserve"> IF(LEN(ChartLines.Hex6)=6, HEX2DEC(MID(ChartLines.Hex6, 3, 2)), "·")</f>
        <v>·</v>
      </c>
      <c r="J53" t="str">
        <f t="shared" ref="J53" si="169" xml:space="preserve"> IF(LEN(ChartLines.Hex6)=6, HEX2DEC(RIGHT(ChartLines.Hex6, 2)), "·")</f>
        <v>·</v>
      </c>
      <c r="K53" cm="1">
        <f t="array" ref="K53" xml:space="preserve"> 1 + ROW() - _xlfn.SINGLE(ROW(ChartLines.RowNum))</f>
        <v>51</v>
      </c>
    </row>
    <row r="54" spans="2:11" x14ac:dyDescent="0.2">
      <c r="B54" t="s">
        <v>172</v>
      </c>
      <c r="C54" t="s">
        <v>1868</v>
      </c>
      <c r="E54">
        <f t="shared" ref="E54" si="170" xml:space="preserve"> IF(AND(LEN(ChartLines.ID)&gt;0,"Unused"&lt;&gt;ChartLines.ID), COUNTIFS(ChartLines.ID,ChartLines.ID), "·")</f>
        <v>2</v>
      </c>
      <c r="F54">
        <f t="shared" ref="F54" si="17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172" xml:space="preserve"> IF(LEN(ChartLines.Hex6)=6, HEX2DEC(LEFT(ChartLines.Hex6, 2)), "·")</f>
        <v>0</v>
      </c>
      <c r="I54">
        <f t="shared" ref="I54" si="173" xml:space="preserve"> IF(LEN(ChartLines.Hex6)=6, HEX2DEC(MID(ChartLines.Hex6, 3, 2)), "·")</f>
        <v>76</v>
      </c>
      <c r="J54">
        <f t="shared" ref="J54" si="174" xml:space="preserve"> IF(LEN(ChartLines.Hex6)=6, HEX2DEC(RIGHT(ChartLines.Hex6, 2)), "·")</f>
        <v>152</v>
      </c>
      <c r="K54" cm="1">
        <f t="array" ref="K54" xml:space="preserve"> 1 + ROW() - _xlfn.SINGLE(ROW(ChartLines.RowNum))</f>
        <v>52</v>
      </c>
    </row>
    <row r="55" spans="2:11" x14ac:dyDescent="0.2">
      <c r="B55" t="s">
        <v>172</v>
      </c>
      <c r="C55" t="s">
        <v>1851</v>
      </c>
      <c r="E55">
        <f t="shared" ref="E55" si="175" xml:space="preserve"> IF(AND(LEN(ChartLines.ID)&gt;0,"Unused"&lt;&gt;ChartLines.ID), COUNTIFS(ChartLines.ID,ChartLines.ID), "·")</f>
        <v>2</v>
      </c>
      <c r="F55">
        <f t="shared" ref="F55" si="17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177" xml:space="preserve"> IF(LEN(ChartLines.Hex6)=6, HEX2DEC(LEFT(ChartLines.Hex6, 2)), "·")</f>
        <v>255</v>
      </c>
      <c r="I55">
        <f t="shared" ref="I55" si="178" xml:space="preserve"> IF(LEN(ChartLines.Hex6)=6, HEX2DEC(MID(ChartLines.Hex6, 3, 2)), "·")</f>
        <v>255</v>
      </c>
      <c r="J55">
        <f t="shared" ref="J55" si="179" xml:space="preserve"> IF(LEN(ChartLines.Hex6)=6, HEX2DEC(RIGHT(ChartLines.Hex6, 2)), "·")</f>
        <v>255</v>
      </c>
      <c r="K55" cm="1">
        <f t="array" ref="K55" xml:space="preserve"> 1 + ROW() - _xlfn.SINGLE(ROW(ChartLines.RowNum))</f>
        <v>53</v>
      </c>
    </row>
    <row r="56" spans="2:11" x14ac:dyDescent="0.2">
      <c r="B56" t="s">
        <v>103</v>
      </c>
      <c r="C56" t="s">
        <v>1869</v>
      </c>
      <c r="E56">
        <f t="shared" ref="E56" si="180" xml:space="preserve"> IF(AND(LEN(ChartLines.ID)&gt;0,"Unused"&lt;&gt;ChartLines.ID), COUNTIFS(ChartLines.ID,ChartLines.ID), "·")</f>
        <v>1</v>
      </c>
      <c r="F56">
        <f t="shared" ref="F56" si="181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6">
        <f t="shared" ref="H56" si="182" xml:space="preserve"> IF(LEN(ChartLines.Hex6)=6, HEX2DEC(LEFT(ChartLines.Hex6, 2)), "·")</f>
        <v>218</v>
      </c>
      <c r="I56">
        <f t="shared" ref="I56" si="183" xml:space="preserve"> IF(LEN(ChartLines.Hex6)=6, HEX2DEC(MID(ChartLines.Hex6, 3, 2)), "·")</f>
        <v>41</v>
      </c>
      <c r="J56">
        <f t="shared" ref="J56" si="184" xml:space="preserve"> IF(LEN(ChartLines.Hex6)=6, HEX2DEC(RIGHT(ChartLines.Hex6, 2)), "·")</f>
        <v>28</v>
      </c>
      <c r="K56" cm="1">
        <f t="array" ref="K56" xml:space="preserve"> 1 + ROW() - _xlfn.SINGLE(ROW(ChartLines.RowNum))</f>
        <v>54</v>
      </c>
    </row>
    <row r="57" spans="2:11" x14ac:dyDescent="0.2">
      <c r="B57" t="s">
        <v>1847</v>
      </c>
      <c r="E57" t="str">
        <f t="shared" ref="E57" si="185" xml:space="preserve"> IF(AND(LEN(ChartLines.ID)&gt;0,"Unused"&lt;&gt;ChartLines.ID), COUNTIFS(ChartLines.ID,ChartLines.ID), "·")</f>
        <v>·</v>
      </c>
      <c r="F57" t="str">
        <f t="shared" ref="F57" si="186" xml:space="preserve"> IF(AND(LEN(ChartLines.ID)&gt;0,"Unused"&lt;&gt;ChartLines.ID), COUNTIFS(ChartLines.ID,ChartLines.ID,   ChartLines.RowNum,"&lt;="&amp;ChartLines.RowNum), "·")</f>
        <v>·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57" t="str">
        <f t="shared" ref="H57" si="187" xml:space="preserve"> IF(LEN(ChartLines.Hex6)=6, HEX2DEC(LEFT(ChartLines.Hex6, 2)), "·")</f>
        <v>·</v>
      </c>
      <c r="I57" t="str">
        <f t="shared" ref="I57" si="188" xml:space="preserve"> IF(LEN(ChartLines.Hex6)=6, HEX2DEC(MID(ChartLines.Hex6, 3, 2)), "·")</f>
        <v>·</v>
      </c>
      <c r="J57" t="str">
        <f t="shared" ref="J57" si="189" xml:space="preserve"> IF(LEN(ChartLines.Hex6)=6, HEX2DEC(RIGHT(ChartLines.Hex6, 2)), "·")</f>
        <v>·</v>
      </c>
      <c r="K57" cm="1">
        <f t="array" ref="K57" xml:space="preserve"> 1 + ROW() - _xlfn.SINGLE(ROW(ChartLines.RowNum))</f>
        <v>55</v>
      </c>
    </row>
    <row r="58" spans="2:11" x14ac:dyDescent="0.2">
      <c r="B58" t="s">
        <v>676</v>
      </c>
      <c r="C58" t="s">
        <v>1870</v>
      </c>
      <c r="E58">
        <f t="shared" ref="E58" si="190" xml:space="preserve"> IF(AND(LEN(ChartLines.ID)&gt;0,"Unused"&lt;&gt;ChartLines.ID), COUNTIFS(ChartLines.ID,ChartLines.ID), "·")</f>
        <v>2</v>
      </c>
      <c r="F58">
        <f t="shared" ref="F58" si="19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192" xml:space="preserve"> IF(LEN(ChartLines.Hex6)=6, HEX2DEC(LEFT(ChartLines.Hex6, 2)), "·")</f>
        <v>255</v>
      </c>
      <c r="I58">
        <f t="shared" ref="I58" si="193" xml:space="preserve"> IF(LEN(ChartLines.Hex6)=6, HEX2DEC(MID(ChartLines.Hex6, 3, 2)), "·")</f>
        <v>136</v>
      </c>
      <c r="J58">
        <f t="shared" ref="J58" si="194" xml:space="preserve"> IF(LEN(ChartLines.Hex6)=6, HEX2DEC(RIGHT(ChartLines.Hex6, 2)), "·")</f>
        <v>62</v>
      </c>
      <c r="K58" cm="1">
        <f t="array" ref="K58" xml:space="preserve"> 1 + ROW() - _xlfn.SINGLE(ROW(ChartLines.RowNum))</f>
        <v>56</v>
      </c>
    </row>
    <row r="59" spans="2:11" x14ac:dyDescent="0.2">
      <c r="B59" t="s">
        <v>676</v>
      </c>
      <c r="C59" t="s">
        <v>1871</v>
      </c>
      <c r="E59">
        <f t="shared" ref="E59" si="195" xml:space="preserve"> IF(AND(LEN(ChartLines.ID)&gt;0,"Unused"&lt;&gt;ChartLines.ID), COUNTIFS(ChartLines.ID,ChartLines.ID), "·")</f>
        <v>2</v>
      </c>
      <c r="F59">
        <f t="shared" ref="F59" si="19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197" xml:space="preserve"> IF(LEN(ChartLines.Hex6)=6, HEX2DEC(LEFT(ChartLines.Hex6, 2)), "·")</f>
        <v>22</v>
      </c>
      <c r="I59">
        <f t="shared" ref="I59" si="198" xml:space="preserve"> IF(LEN(ChartLines.Hex6)=6, HEX2DEC(MID(ChartLines.Hex6, 3, 2)), "·")</f>
        <v>155</v>
      </c>
      <c r="J59">
        <f t="shared" ref="J59" si="199" xml:space="preserve"> IF(LEN(ChartLines.Hex6)=6, HEX2DEC(RIGHT(ChartLines.Hex6, 2)), "·")</f>
        <v>98</v>
      </c>
      <c r="K59" cm="1">
        <f t="array" ref="K59" xml:space="preserve"> 1 + ROW() - _xlfn.SINGLE(ROW(ChartLines.RowNum))</f>
        <v>57</v>
      </c>
    </row>
    <row r="60" spans="2:11" x14ac:dyDescent="0.2">
      <c r="B60" t="s">
        <v>359</v>
      </c>
      <c r="C60" t="s">
        <v>1849</v>
      </c>
      <c r="E60">
        <f t="shared" ref="E60" si="200" xml:space="preserve"> IF(AND(LEN(ChartLines.ID)&gt;0,"Unused"&lt;&gt;ChartLines.ID), COUNTIFS(ChartLines.ID,ChartLines.ID), "·")</f>
        <v>2</v>
      </c>
      <c r="F60">
        <f t="shared" ref="F60" si="201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02" xml:space="preserve"> IF(LEN(ChartLines.Hex6)=6, HEX2DEC(LEFT(ChartLines.Hex6, 2)), "·")</f>
        <v>239</v>
      </c>
      <c r="I60">
        <f t="shared" ref="I60" si="203" xml:space="preserve"> IF(LEN(ChartLines.Hex6)=6, HEX2DEC(MID(ChartLines.Hex6, 3, 2)), "·")</f>
        <v>51</v>
      </c>
      <c r="J60">
        <f t="shared" ref="J60" si="204" xml:space="preserve"> IF(LEN(ChartLines.Hex6)=6, HEX2DEC(RIGHT(ChartLines.Hex6, 2)), "·")</f>
        <v>64</v>
      </c>
      <c r="K60" cm="1">
        <f t="array" ref="K60" xml:space="preserve"> 1 + ROW() - _xlfn.SINGLE(ROW(ChartLines.RowNum))</f>
        <v>58</v>
      </c>
    </row>
    <row r="61" spans="2:11" x14ac:dyDescent="0.2">
      <c r="B61" t="s">
        <v>359</v>
      </c>
      <c r="C61" t="s">
        <v>1872</v>
      </c>
      <c r="E61">
        <f t="shared" ref="E61" si="205" xml:space="preserve"> IF(AND(LEN(ChartLines.ID)&gt;0,"Unused"&lt;&gt;ChartLines.ID), COUNTIFS(ChartLines.ID,ChartLines.ID), "·")</f>
        <v>2</v>
      </c>
      <c r="F61">
        <f t="shared" ref="F61" si="206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07" xml:space="preserve"> IF(LEN(ChartLines.Hex6)=6, HEX2DEC(LEFT(ChartLines.Hex6, 2)), "·")</f>
        <v>3</v>
      </c>
      <c r="I61">
        <f t="shared" ref="I61" si="208" xml:space="preserve"> IF(LEN(ChartLines.Hex6)=6, HEX2DEC(MID(ChartLines.Hex6, 3, 2)), "·")</f>
        <v>77</v>
      </c>
      <c r="J61">
        <f t="shared" ref="J61" si="209" xml:space="preserve"> IF(LEN(ChartLines.Hex6)=6, HEX2DEC(RIGHT(ChartLines.Hex6, 2)), "·")</f>
        <v>163</v>
      </c>
      <c r="K61" cm="1">
        <f t="array" ref="K61" xml:space="preserve"> 1 + ROW() - _xlfn.SINGLE(ROW(ChartLines.RowNum))</f>
        <v>59</v>
      </c>
    </row>
    <row r="62" spans="2:11" x14ac:dyDescent="0.2">
      <c r="B62" t="s">
        <v>615</v>
      </c>
      <c r="C62" t="s">
        <v>2176</v>
      </c>
      <c r="E62">
        <f t="shared" ref="E62" si="210" xml:space="preserve"> IF(AND(LEN(ChartLines.ID)&gt;0,"Unused"&lt;&gt;ChartLines.ID), COUNTIFS(ChartLines.ID,ChartLines.ID), "·")</f>
        <v>2</v>
      </c>
      <c r="F62">
        <f t="shared" ref="F62" si="21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12" xml:space="preserve"> IF(LEN(ChartLines.Hex6)=6, HEX2DEC(LEFT(ChartLines.Hex6, 2)), "·")</f>
        <v>0</v>
      </c>
      <c r="I62">
        <f t="shared" ref="I62" si="213" xml:space="preserve"> IF(LEN(ChartLines.Hex6)=6, HEX2DEC(MID(ChartLines.Hex6, 3, 2)), "·")</f>
        <v>96</v>
      </c>
      <c r="J62">
        <f t="shared" ref="J62" si="214" xml:space="preserve"> IF(LEN(ChartLines.Hex6)=6, HEX2DEC(RIGHT(ChartLines.Hex6, 2)), "·")</f>
        <v>255</v>
      </c>
      <c r="K62" cm="1">
        <f t="array" ref="K62" xml:space="preserve"> 1 + ROW() - _xlfn.SINGLE(ROW(ChartLines.RowNum))</f>
        <v>60</v>
      </c>
    </row>
    <row r="63" spans="2:11" x14ac:dyDescent="0.2">
      <c r="B63" t="s">
        <v>615</v>
      </c>
      <c r="C63" t="s">
        <v>1873</v>
      </c>
      <c r="E63">
        <f t="shared" ref="E63" si="215" xml:space="preserve"> IF(AND(LEN(ChartLines.ID)&gt;0,"Unused"&lt;&gt;ChartLines.ID), COUNTIFS(ChartLines.ID,ChartLines.ID), "·")</f>
        <v>2</v>
      </c>
      <c r="F63">
        <f t="shared" ref="F63" si="21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217" xml:space="preserve"> IF(LEN(ChartLines.Hex6)=6, HEX2DEC(LEFT(ChartLines.Hex6, 2)), "·")</f>
        <v>255</v>
      </c>
      <c r="I63">
        <f t="shared" ref="I63" si="218" xml:space="preserve"> IF(LEN(ChartLines.Hex6)=6, HEX2DEC(MID(ChartLines.Hex6, 3, 2)), "·")</f>
        <v>230</v>
      </c>
      <c r="J63">
        <f t="shared" ref="J63" si="219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104</v>
      </c>
      <c r="C64" t="s">
        <v>1874</v>
      </c>
      <c r="E64">
        <f t="shared" ref="E64" si="220" xml:space="preserve"> IF(AND(LEN(ChartLines.ID)&gt;0,"Unused"&lt;&gt;ChartLines.ID), COUNTIFS(ChartLines.ID,ChartLines.ID), "·")</f>
        <v>1</v>
      </c>
      <c r="F64">
        <f t="shared" ref="F64" si="221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64">
        <f t="shared" ref="H64" si="222" xml:space="preserve"> IF(LEN(ChartLines.Hex6)=6, HEX2DEC(LEFT(ChartLines.Hex6, 2)), "·")</f>
        <v>0</v>
      </c>
      <c r="I64">
        <f t="shared" ref="I64" si="223" xml:space="preserve"> IF(LEN(ChartLines.Hex6)=6, HEX2DEC(MID(ChartLines.Hex6, 3, 2)), "·")</f>
        <v>163</v>
      </c>
      <c r="J64">
        <f t="shared" ref="J64" si="224" xml:space="preserve"> IF(LEN(ChartLines.Hex6)=6, HEX2DEC(RIGHT(ChartLines.Hex6, 2)), "·")</f>
        <v>224</v>
      </c>
      <c r="K64" cm="1">
        <f t="array" ref="K64" xml:space="preserve"> 1 + ROW() - _xlfn.SINGLE(ROW(ChartLines.RowNum))</f>
        <v>62</v>
      </c>
    </row>
    <row r="65" spans="2:11" x14ac:dyDescent="0.2">
      <c r="B65" t="s">
        <v>1847</v>
      </c>
      <c r="E65" t="str">
        <f t="shared" ref="E65" si="225" xml:space="preserve"> IF(AND(LEN(ChartLines.ID)&gt;0,"Unused"&lt;&gt;ChartLines.ID), COUNTIFS(ChartLines.ID,ChartLines.ID), "·")</f>
        <v>·</v>
      </c>
      <c r="F65" t="str">
        <f t="shared" ref="F65" si="226" xml:space="preserve"> IF(AND(LEN(ChartLines.ID)&gt;0,"Unused"&lt;&gt;ChartLines.ID), COUNTIFS(ChartLines.ID,ChartLines.ID,   ChartLines.RowNum,"&lt;="&amp;ChartLines.RowNum), "·")</f>
        <v>·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5" t="str">
        <f t="shared" ref="H65" si="227" xml:space="preserve"> IF(LEN(ChartLines.Hex6)=6, HEX2DEC(LEFT(ChartLines.Hex6, 2)), "·")</f>
        <v>·</v>
      </c>
      <c r="I65" t="str">
        <f t="shared" ref="I65" si="228" xml:space="preserve"> IF(LEN(ChartLines.Hex6)=6, HEX2DEC(MID(ChartLines.Hex6, 3, 2)), "·")</f>
        <v>·</v>
      </c>
      <c r="J65" t="str">
        <f t="shared" ref="J65" si="229" xml:space="preserve"> IF(LEN(ChartLines.Hex6)=6, HEX2DEC(RIGHT(ChartLines.Hex6, 2)), "·")</f>
        <v>·</v>
      </c>
      <c r="K65" cm="1">
        <f t="array" ref="K65" xml:space="preserve"> 1 + ROW() - _xlfn.SINGLE(ROW(ChartLines.RowNum))</f>
        <v>63</v>
      </c>
    </row>
    <row r="66" spans="2:11" x14ac:dyDescent="0.2">
      <c r="B66" t="s">
        <v>1676</v>
      </c>
      <c r="C66" t="str">
        <f xml:space="preserve"> "000000"</f>
        <v>000000</v>
      </c>
      <c r="E66">
        <f t="shared" ref="E66" si="230" xml:space="preserve"> IF(AND(LEN(ChartLines.ID)&gt;0,"Unused"&lt;&gt;ChartLines.ID), COUNTIFS(ChartLines.ID,ChartLines.ID), "·")</f>
        <v>1</v>
      </c>
      <c r="F66">
        <f t="shared" ref="F66" si="23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66">
        <f t="shared" ref="H66" si="232" xml:space="preserve"> IF(LEN(ChartLines.Hex6)=6, HEX2DEC(LEFT(ChartLines.Hex6, 2)), "·")</f>
        <v>0</v>
      </c>
      <c r="I66">
        <f t="shared" ref="I66" si="233" xml:space="preserve"> IF(LEN(ChartLines.Hex6)=6, HEX2DEC(MID(ChartLines.Hex6, 3, 2)), "·")</f>
        <v>0</v>
      </c>
      <c r="J66">
        <f t="shared" ref="J66" si="234" xml:space="preserve"> IF(LEN(ChartLines.Hex6)=6, HEX2DEC(RIGHT(ChartLines.Hex6, 2)), "·")</f>
        <v>0</v>
      </c>
      <c r="K66" cm="1">
        <f t="array" ref="K66" xml:space="preserve"> 1 + ROW() - _xlfn.SINGLE(ROW(ChartLines.RowNum))</f>
        <v>64</v>
      </c>
    </row>
    <row r="67" spans="2:11" x14ac:dyDescent="0.2">
      <c r="B67" t="s">
        <v>1847</v>
      </c>
      <c r="E67" t="str">
        <f t="shared" ref="E67" si="235" xml:space="preserve"> IF(AND(LEN(ChartLines.ID)&gt;0,"Unused"&lt;&gt;ChartLines.ID), COUNTIFS(ChartLines.ID,ChartLines.ID), "·")</f>
        <v>·</v>
      </c>
      <c r="F67" t="str">
        <f t="shared" ref="F67" si="236" xml:space="preserve"> IF(AND(LEN(ChartLines.ID)&gt;0,"Unused"&lt;&gt;ChartLines.ID), COUNTIFS(ChartLines.ID,ChartLines.ID,   ChartLines.RowNum,"&lt;="&amp;ChartLines.RowNum), "·")</f>
        <v>·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7" t="str">
        <f t="shared" ref="H67" si="237" xml:space="preserve"> IF(LEN(ChartLines.Hex6)=6, HEX2DEC(LEFT(ChartLines.Hex6, 2)), "·")</f>
        <v>·</v>
      </c>
      <c r="I67" t="str">
        <f t="shared" ref="I67" si="238" xml:space="preserve"> IF(LEN(ChartLines.Hex6)=6, HEX2DEC(MID(ChartLines.Hex6, 3, 2)), "·")</f>
        <v>·</v>
      </c>
      <c r="J67" t="str">
        <f t="shared" ref="J67" si="239" xml:space="preserve"> IF(LEN(ChartLines.Hex6)=6, HEX2DEC(RIGHT(ChartLines.Hex6, 2)), "·")</f>
        <v>·</v>
      </c>
      <c r="K67" cm="1">
        <f t="array" ref="K67" xml:space="preserve"> 1 + ROW() - _xlfn.SINGLE(ROW(ChartLines.RowNum))</f>
        <v>65</v>
      </c>
    </row>
    <row r="68" spans="2:11" x14ac:dyDescent="0.2">
      <c r="B68" t="s">
        <v>360</v>
      </c>
      <c r="C68" t="s">
        <v>1875</v>
      </c>
      <c r="E68">
        <f t="shared" ref="E68" si="240" xml:space="preserve"> IF(AND(LEN(ChartLines.ID)&gt;0,"Unused"&lt;&gt;ChartLines.ID), COUNTIFS(ChartLines.ID,ChartLines.ID), "·")</f>
        <v>2</v>
      </c>
      <c r="F68">
        <f t="shared" ref="F68" si="241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242" xml:space="preserve"> IF(LEN(ChartLines.Hex6)=6, HEX2DEC(LEFT(ChartLines.Hex6, 2)), "·")</f>
        <v>0</v>
      </c>
      <c r="I68">
        <f t="shared" ref="I68" si="243" xml:space="preserve"> IF(LEN(ChartLines.Hex6)=6, HEX2DEC(MID(ChartLines.Hex6, 3, 2)), "·")</f>
        <v>106</v>
      </c>
      <c r="J68">
        <f t="shared" ref="J68" si="244" xml:space="preserve"> IF(LEN(ChartLines.Hex6)=6, HEX2DEC(RIGHT(ChartLines.Hex6, 2)), "·")</f>
        <v>68</v>
      </c>
      <c r="K68" cm="1">
        <f t="array" ref="K68" xml:space="preserve"> 1 + ROW() - _xlfn.SINGLE(ROW(ChartLines.RowNum))</f>
        <v>66</v>
      </c>
    </row>
    <row r="69" spans="2:11" x14ac:dyDescent="0.2">
      <c r="B69" t="s">
        <v>360</v>
      </c>
      <c r="C69" t="s">
        <v>1876</v>
      </c>
      <c r="E69">
        <f t="shared" ref="E69" si="245" xml:space="preserve"> IF(AND(LEN(ChartLines.ID)&gt;0,"Unused"&lt;&gt;ChartLines.ID), COUNTIFS(ChartLines.ID,ChartLines.ID), "·")</f>
        <v>2</v>
      </c>
      <c r="F69">
        <f t="shared" ref="F69" si="246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247" xml:space="preserve"> IF(LEN(ChartLines.Hex6)=6, HEX2DEC(LEFT(ChartLines.Hex6, 2)), "·")</f>
        <v>253</v>
      </c>
      <c r="I69">
        <f t="shared" ref="I69" si="248" xml:space="preserve"> IF(LEN(ChartLines.Hex6)=6, HEX2DEC(MID(ChartLines.Hex6, 3, 2)), "·")</f>
        <v>185</v>
      </c>
      <c r="J69">
        <f t="shared" ref="J69" si="249" xml:space="preserve"> IF(LEN(ChartLines.Hex6)=6, HEX2DEC(RIGHT(ChartLines.Hex6, 2)), "·")</f>
        <v>19</v>
      </c>
      <c r="K69" cm="1">
        <f t="array" ref="K69" xml:space="preserve"> 1 + ROW() - _xlfn.SINGLE(ROW(ChartLines.RowNum))</f>
        <v>67</v>
      </c>
    </row>
    <row r="70" spans="2:11" x14ac:dyDescent="0.2">
      <c r="B70" t="s">
        <v>677</v>
      </c>
      <c r="C70" t="s">
        <v>1877</v>
      </c>
      <c r="E70">
        <f t="shared" ref="E70" si="250" xml:space="preserve"> IF(AND(LEN(ChartLines.ID)&gt;0,"Unused"&lt;&gt;ChartLines.ID), COUNTIFS(ChartLines.ID,ChartLines.ID), "·")</f>
        <v>2</v>
      </c>
      <c r="F70">
        <f t="shared" ref="F70" si="25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252" xml:space="preserve"> IF(LEN(ChartLines.Hex6)=6, HEX2DEC(LEFT(ChartLines.Hex6, 2)), "·")</f>
        <v>157</v>
      </c>
      <c r="I70">
        <f t="shared" ref="I70" si="253" xml:space="preserve"> IF(LEN(ChartLines.Hex6)=6, HEX2DEC(MID(ChartLines.Hex6, 3, 2)), "·")</f>
        <v>34</v>
      </c>
      <c r="J70">
        <f t="shared" ref="J70" si="254" xml:space="preserve"> IF(LEN(ChartLines.Hex6)=6, HEX2DEC(RIGHT(ChartLines.Hex6, 2)), "·")</f>
        <v>53</v>
      </c>
      <c r="K70" cm="1">
        <f t="array" ref="K70" xml:space="preserve"> 1 + ROW() - _xlfn.SINGLE(ROW(ChartLines.RowNum))</f>
        <v>68</v>
      </c>
    </row>
    <row r="71" spans="2:11" x14ac:dyDescent="0.2">
      <c r="B71" t="s">
        <v>677</v>
      </c>
      <c r="C71" t="s">
        <v>1851</v>
      </c>
      <c r="E71">
        <f t="shared" ref="E71" si="255" xml:space="preserve"> IF(AND(LEN(ChartLines.ID)&gt;0,"Unused"&lt;&gt;ChartLines.ID), COUNTIFS(ChartLines.ID,ChartLines.ID), "·")</f>
        <v>2</v>
      </c>
      <c r="F71">
        <f t="shared" ref="F71" si="256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" si="257" xml:space="preserve"> IF(LEN(ChartLines.Hex6)=6, HEX2DEC(LEFT(ChartLines.Hex6, 2)), "·")</f>
        <v>255</v>
      </c>
      <c r="I71">
        <f t="shared" ref="I71" si="258" xml:space="preserve"> IF(LEN(ChartLines.Hex6)=6, HEX2DEC(MID(ChartLines.Hex6, 3, 2)), "·")</f>
        <v>255</v>
      </c>
      <c r="J71">
        <f t="shared" ref="J71" si="259" xml:space="preserve"> IF(LEN(ChartLines.Hex6)=6, HEX2DEC(RIGHT(ChartLines.Hex6, 2)), "·")</f>
        <v>255</v>
      </c>
      <c r="K71" cm="1">
        <f t="array" ref="K71" xml:space="preserve"> 1 + ROW() - _xlfn.SINGLE(ROW(ChartLines.RowNum))</f>
        <v>69</v>
      </c>
    </row>
    <row r="72" spans="2:11" x14ac:dyDescent="0.2">
      <c r="B72" t="s">
        <v>105</v>
      </c>
      <c r="C72" t="s">
        <v>1878</v>
      </c>
      <c r="E72">
        <f t="shared" ref="E72" si="260" xml:space="preserve"> IF(AND(LEN(ChartLines.ID)&gt;0,"Unused"&lt;&gt;ChartLines.ID), COUNTIFS(ChartLines.ID,ChartLines.ID), "·")</f>
        <v>2</v>
      </c>
      <c r="F72">
        <f t="shared" ref="F72" si="261" xml:space="preserve"> IF(AND(LEN(ChartLines.ID)&gt;0,"Unused"&lt;&gt;ChartLines.ID), COUNTIFS(ChartLines.ID,ChartLines.ID,   ChartLines.RowNum,"&lt;="&amp;ChartLines.RowNum), "·")</f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ref="H72" si="262" xml:space="preserve"> IF(LEN(ChartLines.Hex6)=6, HEX2DEC(LEFT(ChartLines.Hex6, 2)), "·")</f>
        <v>0</v>
      </c>
      <c r="I72">
        <f t="shared" ref="I72" si="263" xml:space="preserve"> IF(LEN(ChartLines.Hex6)=6, HEX2DEC(MID(ChartLines.Hex6, 3, 2)), "·")</f>
        <v>114</v>
      </c>
      <c r="J72">
        <f t="shared" ref="J72" si="264" xml:space="preserve"> IF(LEN(ChartLines.Hex6)=6, HEX2DEC(RIGHT(ChartLines.Hex6, 2)), "·")</f>
        <v>206</v>
      </c>
      <c r="K72" cm="1">
        <f t="array" ref="K72" xml:space="preserve"> 1 + ROW() - _xlfn.SINGLE(ROW(ChartLines.RowNum))</f>
        <v>70</v>
      </c>
    </row>
    <row r="73" spans="2:11" x14ac:dyDescent="0.2">
      <c r="B73" t="s">
        <v>105</v>
      </c>
      <c r="C73" t="str">
        <f xml:space="preserve"> "000000"</f>
        <v>000000</v>
      </c>
      <c r="E73">
        <f t="shared" ref="E73" si="265" xml:space="preserve"> IF(AND(LEN(ChartLines.ID)&gt;0,"Unused"&lt;&gt;ChartLines.ID), COUNTIFS(ChartLines.ID,ChartLines.ID), "·")</f>
        <v>2</v>
      </c>
      <c r="F73">
        <f t="shared" ref="F73" si="266" xml:space="preserve"> IF(AND(LEN(ChartLines.ID)&gt;0,"Unused"&lt;&gt;ChartLines.ID), COUNTIFS(ChartLines.ID,ChartLines.ID,   ChartLines.RowNum,"&lt;="&amp;ChartLines.RowNum), "·")</f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ref="H73" si="267" xml:space="preserve"> IF(LEN(ChartLines.Hex6)=6, HEX2DEC(LEFT(ChartLines.Hex6, 2)), "·")</f>
        <v>0</v>
      </c>
      <c r="I73">
        <f t="shared" ref="I73" si="268" xml:space="preserve"> IF(LEN(ChartLines.Hex6)=6, HEX2DEC(MID(ChartLines.Hex6, 3, 2)), "·")</f>
        <v>0</v>
      </c>
      <c r="J73">
        <f t="shared" ref="J73" si="269" xml:space="preserve"> IF(LEN(ChartLines.Hex6)=6, HEX2DEC(RIGHT(ChartLines.Hex6, 2)), "·")</f>
        <v>0</v>
      </c>
      <c r="K73" cm="1">
        <f t="array" ref="K73" xml:space="preserve"> 1 + ROW() - _xlfn.SINGLE(ROW(ChartLines.RowNum))</f>
        <v>71</v>
      </c>
    </row>
    <row r="74" spans="2:11" x14ac:dyDescent="0.2">
      <c r="B74" t="s">
        <v>695</v>
      </c>
      <c r="C74" t="s">
        <v>1879</v>
      </c>
      <c r="E74">
        <f t="shared" ref="E74" si="270" xml:space="preserve"> IF(AND(LEN(ChartLines.ID)&gt;0,"Unused"&lt;&gt;ChartLines.ID), COUNTIFS(ChartLines.ID,ChartLines.ID), "·")</f>
        <v>2</v>
      </c>
      <c r="F74">
        <f t="shared" ref="F74" si="2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" si="272" xml:space="preserve"> IF(LEN(ChartLines.Hex6)=6, HEX2DEC(LEFT(ChartLines.Hex6, 2)), "·")</f>
        <v>213</v>
      </c>
      <c r="I74">
        <f t="shared" ref="I74" si="273" xml:space="preserve"> IF(LEN(ChartLines.Hex6)=6, HEX2DEC(MID(ChartLines.Hex6, 3, 2)), "·")</f>
        <v>120</v>
      </c>
      <c r="J74">
        <f t="shared" ref="J74" si="274" xml:space="preserve"> IF(LEN(ChartLines.Hex6)=6, HEX2DEC(RIGHT(ChartLines.Hex6, 2)), "·")</f>
        <v>0</v>
      </c>
      <c r="K74" cm="1">
        <f t="array" ref="K74" xml:space="preserve"> 1 + ROW() - _xlfn.SINGLE(ROW(ChartLines.RowNum))</f>
        <v>72</v>
      </c>
    </row>
    <row r="75" spans="2:11" x14ac:dyDescent="0.2">
      <c r="B75" t="s">
        <v>695</v>
      </c>
      <c r="C75" t="s">
        <v>1880</v>
      </c>
      <c r="E75">
        <f t="shared" ref="E75" si="275" xml:space="preserve"> IF(AND(LEN(ChartLines.ID)&gt;0,"Unused"&lt;&gt;ChartLines.ID), COUNTIFS(ChartLines.ID,ChartLines.ID), "·")</f>
        <v>2</v>
      </c>
      <c r="F75">
        <f t="shared" ref="F75" si="2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" si="277" xml:space="preserve"> IF(LEN(ChartLines.Hex6)=6, HEX2DEC(LEFT(ChartLines.Hex6, 2)), "·")</f>
        <v>78</v>
      </c>
      <c r="I75">
        <f t="shared" ref="I75" si="278" xml:space="preserve"> IF(LEN(ChartLines.Hex6)=6, HEX2DEC(MID(ChartLines.Hex6, 3, 2)), "·")</f>
        <v>91</v>
      </c>
      <c r="J75">
        <f t="shared" ref="J75" si="279" xml:space="preserve"> IF(LEN(ChartLines.Hex6)=6, HEX2DEC(RIGHT(ChartLines.Hex6, 2)), "·")</f>
        <v>49</v>
      </c>
      <c r="K75" cm="1">
        <f t="array" ref="K75" xml:space="preserve"> 1 + ROW() - _xlfn.SINGLE(ROW(ChartLines.RowNum))</f>
        <v>73</v>
      </c>
    </row>
    <row r="76" spans="2:11" x14ac:dyDescent="0.2">
      <c r="B76" t="s">
        <v>715</v>
      </c>
      <c r="C76" t="s">
        <v>1881</v>
      </c>
      <c r="E76">
        <f t="shared" ref="E76" si="280" xml:space="preserve"> IF(AND(LEN(ChartLines.ID)&gt;0,"Unused"&lt;&gt;ChartLines.ID), COUNTIFS(ChartLines.ID,ChartLines.ID), "·")</f>
        <v>2</v>
      </c>
      <c r="F76">
        <f t="shared" ref="F76" si="281" xml:space="preserve"> IF(AND(LEN(ChartLines.ID)&gt;0,"Unused"&lt;&gt;ChartLines.ID), COUNTIFS(ChartLines.ID,ChartLines.ID,   ChartLines.RowNum,"&lt;="&amp;ChartLines.RowNum), "·")</f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ref="H76" si="282" xml:space="preserve"> IF(LEN(ChartLines.Hex6)=6, HEX2DEC(LEFT(ChartLines.Hex6, 2)), "·")</f>
        <v>207</v>
      </c>
      <c r="I76">
        <f t="shared" ref="I76" si="283" xml:space="preserve"> IF(LEN(ChartLines.Hex6)=6, HEX2DEC(MID(ChartLines.Hex6, 3, 2)), "·")</f>
        <v>20</v>
      </c>
      <c r="J76">
        <f t="shared" ref="J76" si="284" xml:space="preserve"> IF(LEN(ChartLines.Hex6)=6, HEX2DEC(RIGHT(ChartLines.Hex6, 2)), "·")</f>
        <v>43</v>
      </c>
      <c r="K76" cm="1">
        <f t="array" ref="K76" xml:space="preserve"> 1 + ROW() - _xlfn.SINGLE(ROW(ChartLines.RowNum))</f>
        <v>74</v>
      </c>
    </row>
    <row r="77" spans="2:11" x14ac:dyDescent="0.2">
      <c r="B77" t="s">
        <v>715</v>
      </c>
      <c r="C77" t="s">
        <v>2174</v>
      </c>
      <c r="E77">
        <f t="shared" ref="E77" si="285" xml:space="preserve"> IF(AND(LEN(ChartLines.ID)&gt;0,"Unused"&lt;&gt;ChartLines.ID), COUNTIFS(ChartLines.ID,ChartLines.ID), "·")</f>
        <v>2</v>
      </c>
      <c r="F77">
        <f t="shared" ref="F77" si="286" xml:space="preserve"> IF(AND(LEN(ChartLines.ID)&gt;0,"Unused"&lt;&gt;ChartLines.ID), COUNTIFS(ChartLines.ID,ChartLines.ID,   ChartLines.RowNum,"&lt;="&amp;ChartLines.RowNum), "·")</f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ref="H77" si="287" xml:space="preserve"> IF(LEN(ChartLines.Hex6)=6, HEX2DEC(LEFT(ChartLines.Hex6, 2)), "·")</f>
        <v>192</v>
      </c>
      <c r="I77">
        <f t="shared" ref="I77" si="288" xml:space="preserve"> IF(LEN(ChartLines.Hex6)=6, HEX2DEC(MID(ChartLines.Hex6, 3, 2)), "·")</f>
        <v>192</v>
      </c>
      <c r="J77">
        <f t="shared" ref="J77" si="289" xml:space="preserve"> IF(LEN(ChartLines.Hex6)=6, HEX2DEC(RIGHT(ChartLines.Hex6, 2)), "·")</f>
        <v>192</v>
      </c>
      <c r="K77" cm="1">
        <f t="array" ref="K77" xml:space="preserve"> 1 + ROW() - _xlfn.SINGLE(ROW(ChartLines.RowNum))</f>
        <v>75</v>
      </c>
    </row>
    <row r="78" spans="2:11" x14ac:dyDescent="0.2">
      <c r="B78" t="s">
        <v>716</v>
      </c>
      <c r="C78" t="s">
        <v>1882</v>
      </c>
      <c r="E78">
        <f t="shared" ref="E78" si="290" xml:space="preserve"> IF(AND(LEN(ChartLines.ID)&gt;0,"Unused"&lt;&gt;ChartLines.ID), COUNTIFS(ChartLines.ID,ChartLines.ID), "·")</f>
        <v>2</v>
      </c>
      <c r="F78">
        <f t="shared" ref="F78" si="29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8">
        <f t="shared" ref="H78" si="292" xml:space="preserve"> IF(LEN(ChartLines.Hex6)=6, HEX2DEC(LEFT(ChartLines.Hex6, 2)), "·")</f>
        <v>33</v>
      </c>
      <c r="I78">
        <f t="shared" ref="I78" si="293" xml:space="preserve"> IF(LEN(ChartLines.Hex6)=6, HEX2DEC(MID(ChartLines.Hex6, 3, 2)), "·")</f>
        <v>95</v>
      </c>
      <c r="J78">
        <f t="shared" ref="J78" si="294" xml:space="preserve"> IF(LEN(ChartLines.Hex6)=6, HEX2DEC(RIGHT(ChartLines.Hex6, 2)), "·")</f>
        <v>143</v>
      </c>
      <c r="K78" cm="1">
        <f t="array" ref="K78" xml:space="preserve"> 1 + ROW() - _xlfn.SINGLE(ROW(ChartLines.RowNum))</f>
        <v>76</v>
      </c>
    </row>
    <row r="79" spans="2:11" x14ac:dyDescent="0.2">
      <c r="B79" t="s">
        <v>716</v>
      </c>
      <c r="C79" t="s">
        <v>1883</v>
      </c>
      <c r="E79">
        <f t="shared" ref="E79" si="295" xml:space="preserve"> IF(AND(LEN(ChartLines.ID)&gt;0,"Unused"&lt;&gt;ChartLines.ID), COUNTIFS(ChartLines.ID,ChartLines.ID), "·")</f>
        <v>2</v>
      </c>
      <c r="F79">
        <f t="shared" ref="F79" si="296" xml:space="preserve"> IF(AND(LEN(ChartLines.ID)&gt;0,"Unused"&lt;&gt;ChartLines.ID), COUNTIFS(ChartLines.ID,ChartLines.ID,   ChartLines.RowNum,"&lt;="&amp;ChartLines.RowNum), "·")</f>
        <v>2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9">
        <f t="shared" ref="H79" si="297" xml:space="preserve"> IF(LEN(ChartLines.Hex6)=6, HEX2DEC(LEFT(ChartLines.Hex6, 2)), "·")</f>
        <v>211</v>
      </c>
      <c r="I79">
        <f t="shared" ref="I79" si="298" xml:space="preserve"> IF(LEN(ChartLines.Hex6)=6, HEX2DEC(MID(ChartLines.Hex6, 3, 2)), "·")</f>
        <v>174</v>
      </c>
      <c r="J79">
        <f t="shared" ref="J79" si="299" xml:space="preserve"> IF(LEN(ChartLines.Hex6)=6, HEX2DEC(RIGHT(ChartLines.Hex6, 2)), "·")</f>
        <v>69</v>
      </c>
      <c r="K79" cm="1">
        <f t="array" ref="K79" xml:space="preserve"> 1 + ROW() - _xlfn.SINGLE(ROW(ChartLines.RowNum))</f>
        <v>77</v>
      </c>
    </row>
    <row r="80" spans="2:11" x14ac:dyDescent="0.2">
      <c r="B80" t="s">
        <v>1716</v>
      </c>
      <c r="C80" t="str">
        <f xml:space="preserve"> "000000"</f>
        <v>000000</v>
      </c>
      <c r="E80">
        <f t="shared" ref="E80" si="300" xml:space="preserve"> IF(AND(LEN(ChartLines.ID)&gt;0,"Unused"&lt;&gt;ChartLines.ID), COUNTIFS(ChartLines.ID,ChartLines.ID), "·")</f>
        <v>2</v>
      </c>
      <c r="F80">
        <f t="shared" ref="F80" si="301" xml:space="preserve"> IF(AND(LEN(ChartLines.ID)&gt;0,"Unused"&lt;&gt;ChartLines.ID), COUNTIFS(ChartLines.ID,ChartLines.ID,   ChartLines.RowNum,"&lt;="&amp;ChartLines.RowNum), "·")</f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ref="H80" si="302" xml:space="preserve"> IF(LEN(ChartLines.Hex6)=6, HEX2DEC(LEFT(ChartLines.Hex6, 2)), "·")</f>
        <v>0</v>
      </c>
      <c r="I80">
        <f t="shared" ref="I80" si="303" xml:space="preserve"> IF(LEN(ChartLines.Hex6)=6, HEX2DEC(MID(ChartLines.Hex6, 3, 2)), "·")</f>
        <v>0</v>
      </c>
      <c r="J80">
        <f t="shared" ref="J80" si="304" xml:space="preserve"> IF(LEN(ChartLines.Hex6)=6, HEX2DEC(RIGHT(ChartLines.Hex6, 2)), "·")</f>
        <v>0</v>
      </c>
      <c r="K80" cm="1">
        <f t="array" ref="K80" xml:space="preserve"> 1 + ROW() - _xlfn.SINGLE(ROW(ChartLines.RowNum))</f>
        <v>78</v>
      </c>
    </row>
    <row r="81" spans="2:11" x14ac:dyDescent="0.2">
      <c r="B81" t="s">
        <v>1716</v>
      </c>
      <c r="C81" t="s">
        <v>1884</v>
      </c>
      <c r="E81">
        <f t="shared" ref="E81:E109" si="305" xml:space="preserve"> IF(AND(LEN(ChartLines.ID)&gt;0,"Unused"&lt;&gt;ChartLines.ID), COUNTIFS(ChartLines.ID,ChartLines.ID), "·")</f>
        <v>2</v>
      </c>
      <c r="F81">
        <f t="shared" ref="F81:F109" si="306" xml:space="preserve"> IF(AND(LEN(ChartLines.ID)&gt;0,"Unused"&lt;&gt;ChartLines.ID), COUNTIFS(ChartLines.ID,ChartLines.ID,   ChartLines.RowNum,"&lt;="&amp;ChartLines.RowNum), "·")</f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ref="H81:H109" si="307" xml:space="preserve"> IF(LEN(ChartLines.Hex6)=6, HEX2DEC(LEFT(ChartLines.Hex6, 2)), "·")</f>
        <v>208</v>
      </c>
      <c r="I81">
        <f t="shared" ref="I81:I109" si="308" xml:space="preserve"> IF(LEN(ChartLines.Hex6)=6, HEX2DEC(MID(ChartLines.Hex6, 3, 2)), "·")</f>
        <v>166</v>
      </c>
      <c r="J81">
        <f t="shared" ref="J81:J109" si="309" xml:space="preserve"> IF(LEN(ChartLines.Hex6)=6, HEX2DEC(RIGHT(ChartLines.Hex6, 2)), "·")</f>
        <v>80</v>
      </c>
      <c r="K81" cm="1">
        <f t="array" ref="K81" xml:space="preserve"> 1 + ROW() - _xlfn.SINGLE(ROW(ChartLines.RowNum))</f>
        <v>79</v>
      </c>
    </row>
    <row r="82" spans="2:11" x14ac:dyDescent="0.2">
      <c r="B82" t="s">
        <v>799</v>
      </c>
      <c r="C82" t="s">
        <v>1885</v>
      </c>
      <c r="E82">
        <f t="shared" si="305"/>
        <v>2</v>
      </c>
      <c r="F82">
        <f t="shared" si="306"/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si="307"/>
        <v>255</v>
      </c>
      <c r="I82">
        <f t="shared" si="308"/>
        <v>213</v>
      </c>
      <c r="J82">
        <f t="shared" si="309"/>
        <v>0</v>
      </c>
      <c r="K82" cm="1">
        <f t="array" ref="K82" xml:space="preserve"> 1 + ROW() - _xlfn.SINGLE(ROW(ChartLines.RowNum))</f>
        <v>80</v>
      </c>
    </row>
    <row r="83" spans="2:11" x14ac:dyDescent="0.2">
      <c r="B83" t="s">
        <v>799</v>
      </c>
      <c r="C83" t="str">
        <f xml:space="preserve"> "004494"</f>
        <v>004494</v>
      </c>
      <c r="E83">
        <f t="shared" si="305"/>
        <v>2</v>
      </c>
      <c r="F83">
        <f t="shared" si="306"/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si="307"/>
        <v>0</v>
      </c>
      <c r="I83">
        <f t="shared" si="308"/>
        <v>68</v>
      </c>
      <c r="J83">
        <f t="shared" si="309"/>
        <v>148</v>
      </c>
      <c r="K83" cm="1">
        <f t="array" ref="K83" xml:space="preserve"> 1 + ROW() - _xlfn.SINGLE(ROW(ChartLines.RowNum))</f>
        <v>81</v>
      </c>
    </row>
    <row r="84" spans="2:11" x14ac:dyDescent="0.2">
      <c r="B84" t="s">
        <v>2145</v>
      </c>
      <c r="C84" t="s">
        <v>1874</v>
      </c>
      <c r="E84">
        <f t="shared" si="305"/>
        <v>2</v>
      </c>
      <c r="F84">
        <f t="shared" si="306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307"/>
        <v>0</v>
      </c>
      <c r="I84">
        <f t="shared" si="308"/>
        <v>163</v>
      </c>
      <c r="J84">
        <f t="shared" si="309"/>
        <v>224</v>
      </c>
      <c r="K84" cm="1">
        <f t="array" ref="K84" xml:space="preserve"> 1 + ROW() - _xlfn.SINGLE(ROW(ChartLines.RowNum))</f>
        <v>82</v>
      </c>
    </row>
    <row r="85" spans="2:11" x14ac:dyDescent="0.2">
      <c r="B85" t="s">
        <v>2145</v>
      </c>
      <c r="C85" t="s">
        <v>1849</v>
      </c>
      <c r="E85">
        <f t="shared" si="305"/>
        <v>2</v>
      </c>
      <c r="F85">
        <f t="shared" si="30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307"/>
        <v>239</v>
      </c>
      <c r="I85">
        <f t="shared" si="308"/>
        <v>51</v>
      </c>
      <c r="J85">
        <f t="shared" si="309"/>
        <v>64</v>
      </c>
      <c r="K85" cm="1">
        <f t="array" ref="K85" xml:space="preserve"> 1 + ROW() - _xlfn.SINGLE(ROW(ChartLines.RowNum))</f>
        <v>83</v>
      </c>
    </row>
    <row r="86" spans="2:11" x14ac:dyDescent="0.2">
      <c r="E86" t="str">
        <f t="shared" si="305"/>
        <v>·</v>
      </c>
      <c r="F86" t="str">
        <f t="shared" si="306"/>
        <v>·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6" t="str">
        <f t="shared" si="307"/>
        <v>·</v>
      </c>
      <c r="I86" t="str">
        <f t="shared" si="308"/>
        <v>·</v>
      </c>
      <c r="J86" t="str">
        <f t="shared" si="309"/>
        <v>·</v>
      </c>
      <c r="K86" cm="1">
        <f t="array" ref="K86" xml:space="preserve"> 1 + ROW() - _xlfn.SINGLE(ROW(ChartLines.RowNum))</f>
        <v>84</v>
      </c>
    </row>
    <row r="87" spans="2:11" x14ac:dyDescent="0.2">
      <c r="B87" t="s">
        <v>132</v>
      </c>
      <c r="C87" t="s">
        <v>1869</v>
      </c>
      <c r="E87">
        <f t="shared" si="305"/>
        <v>2</v>
      </c>
      <c r="F87">
        <f t="shared" si="306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07"/>
        <v>218</v>
      </c>
      <c r="I87">
        <f t="shared" si="308"/>
        <v>41</v>
      </c>
      <c r="J87">
        <f t="shared" si="309"/>
        <v>28</v>
      </c>
      <c r="K87" cm="1">
        <f t="array" ref="K87" xml:space="preserve"> 1 + ROW() - _xlfn.SINGLE(ROW(ChartLines.RowNum))</f>
        <v>85</v>
      </c>
    </row>
    <row r="88" spans="2:11" x14ac:dyDescent="0.2">
      <c r="B88" t="s">
        <v>132</v>
      </c>
      <c r="C88" t="s">
        <v>1851</v>
      </c>
      <c r="E88">
        <f t="shared" si="305"/>
        <v>2</v>
      </c>
      <c r="F88">
        <f t="shared" si="306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07"/>
        <v>255</v>
      </c>
      <c r="I88">
        <f t="shared" si="308"/>
        <v>255</v>
      </c>
      <c r="J88">
        <f t="shared" si="309"/>
        <v>255</v>
      </c>
      <c r="K88" cm="1">
        <f t="array" ref="K88" xml:space="preserve"> 1 + ROW() - _xlfn.SINGLE(ROW(ChartLines.RowNum))</f>
        <v>86</v>
      </c>
    </row>
    <row r="89" spans="2:11" x14ac:dyDescent="0.2">
      <c r="B89" t="s">
        <v>1544</v>
      </c>
      <c r="C89" t="s">
        <v>1886</v>
      </c>
      <c r="E89">
        <f t="shared" si="305"/>
        <v>2</v>
      </c>
      <c r="F89">
        <f t="shared" si="306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07"/>
        <v>2</v>
      </c>
      <c r="I89">
        <f t="shared" si="308"/>
        <v>82</v>
      </c>
      <c r="J89">
        <f t="shared" si="309"/>
        <v>156</v>
      </c>
      <c r="K89" cm="1">
        <f t="array" ref="K89" xml:space="preserve"> 1 + ROW() - _xlfn.SINGLE(ROW(ChartLines.RowNum))</f>
        <v>87</v>
      </c>
    </row>
    <row r="90" spans="2:11" x14ac:dyDescent="0.2">
      <c r="B90" t="s">
        <v>1544</v>
      </c>
      <c r="C90" t="s">
        <v>1887</v>
      </c>
      <c r="E90">
        <f t="shared" si="305"/>
        <v>2</v>
      </c>
      <c r="F90">
        <f t="shared" si="306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07"/>
        <v>220</v>
      </c>
      <c r="I90">
        <f t="shared" si="308"/>
        <v>30</v>
      </c>
      <c r="J90">
        <f t="shared" si="309"/>
        <v>53</v>
      </c>
      <c r="K90" cm="1">
        <f t="array" ref="K90" xml:space="preserve"> 1 + ROW() - _xlfn.SINGLE(ROW(ChartLines.RowNum))</f>
        <v>88</v>
      </c>
    </row>
    <row r="91" spans="2:11" x14ac:dyDescent="0.2">
      <c r="B91" t="s">
        <v>327</v>
      </c>
      <c r="C91" t="s">
        <v>1994</v>
      </c>
      <c r="E91">
        <f t="shared" si="305"/>
        <v>1</v>
      </c>
      <c r="F91">
        <f t="shared" si="306"/>
        <v>1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1">
        <f t="shared" si="307"/>
        <v>210</v>
      </c>
      <c r="I91">
        <f t="shared" si="308"/>
        <v>38</v>
      </c>
      <c r="J91">
        <f t="shared" si="309"/>
        <v>48</v>
      </c>
      <c r="K91" cm="1">
        <f t="array" ref="K91" xml:space="preserve"> 1 + ROW() - _xlfn.SINGLE(ROW(ChartLines.RowNum))</f>
        <v>89</v>
      </c>
    </row>
    <row r="92" spans="2:11" x14ac:dyDescent="0.2">
      <c r="B92" t="s">
        <v>1847</v>
      </c>
      <c r="E92" t="str">
        <f t="shared" si="305"/>
        <v>·</v>
      </c>
      <c r="F92" t="str">
        <f t="shared" si="306"/>
        <v>·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2" t="str">
        <f t="shared" si="307"/>
        <v>·</v>
      </c>
      <c r="I92" t="str">
        <f t="shared" si="308"/>
        <v>·</v>
      </c>
      <c r="J92" t="str">
        <f t="shared" si="309"/>
        <v>·</v>
      </c>
      <c r="K92" cm="1">
        <f t="array" ref="K92" xml:space="preserve"> 1 + ROW() - _xlfn.SINGLE(ROW(ChartLines.RowNum))</f>
        <v>90</v>
      </c>
    </row>
    <row r="93" spans="2:11" x14ac:dyDescent="0.2">
      <c r="B93" t="s">
        <v>373</v>
      </c>
      <c r="C93" t="s">
        <v>1889</v>
      </c>
      <c r="E93">
        <f t="shared" si="305"/>
        <v>2</v>
      </c>
      <c r="F93">
        <f t="shared" si="306"/>
        <v>1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3">
        <f t="shared" si="307"/>
        <v>215</v>
      </c>
      <c r="I93">
        <f t="shared" si="308"/>
        <v>20</v>
      </c>
      <c r="J93">
        <f t="shared" si="309"/>
        <v>26</v>
      </c>
      <c r="K93" cm="1">
        <f t="array" ref="K93" xml:space="preserve"> 1 + ROW() - _xlfn.SINGLE(ROW(ChartLines.RowNum))</f>
        <v>91</v>
      </c>
    </row>
    <row r="94" spans="2:11" x14ac:dyDescent="0.2">
      <c r="B94" t="s">
        <v>373</v>
      </c>
      <c r="C94" t="s">
        <v>1888</v>
      </c>
      <c r="E94">
        <f t="shared" si="305"/>
        <v>2</v>
      </c>
      <c r="F94">
        <f t="shared" si="306"/>
        <v>2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4">
        <f t="shared" si="307"/>
        <v>17</v>
      </c>
      <c r="I94">
        <f t="shared" si="308"/>
        <v>69</v>
      </c>
      <c r="J94">
        <f t="shared" si="309"/>
        <v>126</v>
      </c>
      <c r="K94" cm="1">
        <f t="array" ref="K94" xml:space="preserve"> 1 + ROW() - _xlfn.SINGLE(ROW(ChartLines.RowNum))</f>
        <v>92</v>
      </c>
    </row>
    <row r="95" spans="2:11" x14ac:dyDescent="0.2">
      <c r="B95" t="s">
        <v>358</v>
      </c>
      <c r="C95" t="s">
        <v>1854</v>
      </c>
      <c r="E95">
        <f t="shared" si="305"/>
        <v>2</v>
      </c>
      <c r="F95">
        <f t="shared" si="306"/>
        <v>1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5">
        <f t="shared" si="307"/>
        <v>0</v>
      </c>
      <c r="I95">
        <f t="shared" si="308"/>
        <v>132</v>
      </c>
      <c r="J95">
        <f t="shared" si="309"/>
        <v>61</v>
      </c>
      <c r="K95" cm="1">
        <f t="array" ref="K95" xml:space="preserve"> 1 + ROW() - _xlfn.SINGLE(ROW(ChartLines.RowNum))</f>
        <v>93</v>
      </c>
    </row>
    <row r="96" spans="2:11" x14ac:dyDescent="0.2">
      <c r="B96" t="s">
        <v>358</v>
      </c>
      <c r="C96" t="s">
        <v>1890</v>
      </c>
      <c r="E96">
        <f t="shared" si="305"/>
        <v>2</v>
      </c>
      <c r="F96">
        <f t="shared" si="306"/>
        <v>2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6">
        <f t="shared" si="307"/>
        <v>206</v>
      </c>
      <c r="I96">
        <f t="shared" si="308"/>
        <v>41</v>
      </c>
      <c r="J96">
        <f t="shared" si="309"/>
        <v>57</v>
      </c>
      <c r="K96" cm="1">
        <f t="array" ref="K96" xml:space="preserve"> 1 + ROW() - _xlfn.SINGLE(ROW(ChartLines.RowNum))</f>
        <v>94</v>
      </c>
    </row>
    <row r="97" spans="2:11" x14ac:dyDescent="0.2">
      <c r="B97" t="s">
        <v>377</v>
      </c>
      <c r="C97" t="s">
        <v>1891</v>
      </c>
      <c r="E97">
        <f t="shared" si="305"/>
        <v>2</v>
      </c>
      <c r="F97">
        <f t="shared" si="306"/>
        <v>1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7">
        <f t="shared" si="307"/>
        <v>0</v>
      </c>
      <c r="I97">
        <f t="shared" si="308"/>
        <v>43</v>
      </c>
      <c r="J97">
        <f t="shared" si="309"/>
        <v>127</v>
      </c>
      <c r="K97" cm="1">
        <f t="array" ref="K97" xml:space="preserve"> 1 + ROW() - _xlfn.SINGLE(ROW(ChartLines.RowNum))</f>
        <v>95</v>
      </c>
    </row>
    <row r="98" spans="2:11" x14ac:dyDescent="0.2">
      <c r="B98" t="s">
        <v>377</v>
      </c>
      <c r="C98" t="s">
        <v>1892</v>
      </c>
      <c r="E98">
        <f t="shared" si="305"/>
        <v>2</v>
      </c>
      <c r="F98">
        <f t="shared" si="306"/>
        <v>2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8">
        <f t="shared" si="307"/>
        <v>252</v>
      </c>
      <c r="I98">
        <f t="shared" si="308"/>
        <v>209</v>
      </c>
      <c r="J98">
        <f t="shared" si="309"/>
        <v>22</v>
      </c>
      <c r="K98" cm="1">
        <f t="array" ref="K98" xml:space="preserve"> 1 + ROW() - _xlfn.SINGLE(ROW(ChartLines.RowNum))</f>
        <v>96</v>
      </c>
    </row>
    <row r="99" spans="2:11" x14ac:dyDescent="0.2">
      <c r="B99" t="s">
        <v>394</v>
      </c>
      <c r="C99" t="s">
        <v>1893</v>
      </c>
      <c r="E99">
        <f t="shared" si="305"/>
        <v>2</v>
      </c>
      <c r="F99">
        <f t="shared" si="306"/>
        <v>1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9">
        <f t="shared" si="307"/>
        <v>0</v>
      </c>
      <c r="I99">
        <f t="shared" si="308"/>
        <v>175</v>
      </c>
      <c r="J99">
        <f t="shared" si="309"/>
        <v>102</v>
      </c>
      <c r="K99" cm="1">
        <f t="array" ref="K99" xml:space="preserve"> 1 + ROW() - _xlfn.SINGLE(ROW(ChartLines.RowNum))</f>
        <v>97</v>
      </c>
    </row>
    <row r="100" spans="2:11" x14ac:dyDescent="0.2">
      <c r="B100" t="s">
        <v>394</v>
      </c>
      <c r="C100" t="s">
        <v>1851</v>
      </c>
      <c r="E100">
        <f t="shared" si="305"/>
        <v>2</v>
      </c>
      <c r="F100">
        <f t="shared" si="306"/>
        <v>2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0">
        <f t="shared" si="307"/>
        <v>255</v>
      </c>
      <c r="I100">
        <f t="shared" si="308"/>
        <v>255</v>
      </c>
      <c r="J100">
        <f t="shared" si="309"/>
        <v>255</v>
      </c>
      <c r="K100" cm="1">
        <f t="array" ref="K100" xml:space="preserve"> 1 + ROW() - _xlfn.SINGLE(ROW(ChartLines.RowNum))</f>
        <v>98</v>
      </c>
    </row>
    <row r="101" spans="2:11" x14ac:dyDescent="0.2">
      <c r="E101" t="str">
        <f t="shared" si="305"/>
        <v>·</v>
      </c>
      <c r="F101" t="str">
        <f t="shared" si="306"/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si="307"/>
        <v>·</v>
      </c>
      <c r="I101" t="str">
        <f t="shared" si="308"/>
        <v>·</v>
      </c>
      <c r="J101" t="str">
        <f t="shared" si="309"/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133</v>
      </c>
      <c r="C102" t="s">
        <v>1894</v>
      </c>
      <c r="E102">
        <f t="shared" si="305"/>
        <v>2</v>
      </c>
      <c r="F102">
        <f t="shared" si="306"/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si="307"/>
        <v>222</v>
      </c>
      <c r="I102">
        <f t="shared" si="308"/>
        <v>41</v>
      </c>
      <c r="J102">
        <f t="shared" si="309"/>
        <v>16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133</v>
      </c>
      <c r="C103" t="s">
        <v>1895</v>
      </c>
      <c r="E103">
        <f t="shared" si="305"/>
        <v>2</v>
      </c>
      <c r="F103">
        <f t="shared" si="306"/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si="307"/>
        <v>255</v>
      </c>
      <c r="I103">
        <f t="shared" si="308"/>
        <v>222</v>
      </c>
      <c r="J103">
        <f t="shared" si="309"/>
        <v>0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1896</v>
      </c>
      <c r="C104" t="s">
        <v>1850</v>
      </c>
      <c r="E104">
        <f t="shared" si="305"/>
        <v>1</v>
      </c>
      <c r="F104">
        <f t="shared" si="306"/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4">
        <f t="shared" si="307"/>
        <v>255</v>
      </c>
      <c r="I104">
        <f t="shared" si="308"/>
        <v>0</v>
      </c>
      <c r="J104">
        <f t="shared" si="309"/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1847</v>
      </c>
      <c r="E105" t="str">
        <f t="shared" si="305"/>
        <v>·</v>
      </c>
      <c r="F105" t="str">
        <f t="shared" si="306"/>
        <v>·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5" t="str">
        <f t="shared" si="307"/>
        <v>·</v>
      </c>
      <c r="I105" t="str">
        <f t="shared" si="308"/>
        <v>·</v>
      </c>
      <c r="J105" t="str">
        <f t="shared" si="309"/>
        <v>·</v>
      </c>
      <c r="K105" cm="1">
        <f t="array" ref="K105" xml:space="preserve"> 1 + ROW() - _xlfn.SINGLE(ROW(ChartLines.RowNum))</f>
        <v>103</v>
      </c>
    </row>
    <row r="106" spans="2:11" x14ac:dyDescent="0.2">
      <c r="B106" t="s">
        <v>204</v>
      </c>
      <c r="C106" t="s">
        <v>1897</v>
      </c>
      <c r="E106">
        <f t="shared" si="305"/>
        <v>2</v>
      </c>
      <c r="F106">
        <f t="shared" si="306"/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si="307"/>
        <v>0</v>
      </c>
      <c r="I106">
        <f t="shared" si="308"/>
        <v>41</v>
      </c>
      <c r="J106">
        <f t="shared" si="309"/>
        <v>204</v>
      </c>
      <c r="K106" cm="1">
        <f t="array" ref="K106" xml:space="preserve"> 1 + ROW() - _xlfn.SINGLE(ROW(ChartLines.RowNum))</f>
        <v>104</v>
      </c>
    </row>
    <row r="107" spans="2:11" x14ac:dyDescent="0.2">
      <c r="B107" t="s">
        <v>204</v>
      </c>
      <c r="C107" t="s">
        <v>1851</v>
      </c>
      <c r="E107">
        <f t="shared" si="305"/>
        <v>2</v>
      </c>
      <c r="F107">
        <f t="shared" si="306"/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si="307"/>
        <v>255</v>
      </c>
      <c r="I107">
        <f t="shared" si="308"/>
        <v>255</v>
      </c>
      <c r="J107">
        <f t="shared" si="309"/>
        <v>255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1898</v>
      </c>
      <c r="C108" t="s">
        <v>1899</v>
      </c>
      <c r="E108">
        <f t="shared" si="305"/>
        <v>2</v>
      </c>
      <c r="F108">
        <f t="shared" si="306"/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si="307"/>
        <v>205</v>
      </c>
      <c r="I108">
        <f t="shared" si="308"/>
        <v>46</v>
      </c>
      <c r="J108">
        <f t="shared" si="309"/>
        <v>58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1898</v>
      </c>
      <c r="C109" t="s">
        <v>1900</v>
      </c>
      <c r="E109">
        <f t="shared" si="305"/>
        <v>2</v>
      </c>
      <c r="F109">
        <f t="shared" si="306"/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si="307"/>
        <v>0</v>
      </c>
      <c r="I109">
        <f t="shared" si="308"/>
        <v>71</v>
      </c>
      <c r="J109">
        <f t="shared" si="309"/>
        <v>160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136</v>
      </c>
      <c r="C110" t="s">
        <v>1901</v>
      </c>
      <c r="E110">
        <f t="shared" ref="E110" si="310" xml:space="preserve"> IF(AND(LEN(ChartLines.ID)&gt;0,"Unused"&lt;&gt;ChartLines.ID), COUNTIFS(ChartLines.ID,ChartLines.ID), "·")</f>
        <v>1</v>
      </c>
      <c r="F110">
        <f t="shared" ref="F110" si="311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0">
        <f t="shared" ref="H110" si="312" xml:space="preserve"> IF(LEN(ChartLines.Hex6)=6, HEX2DEC(LEFT(ChartLines.Hex6, 2)), "·")</f>
        <v>167</v>
      </c>
      <c r="I110">
        <f t="shared" ref="I110" si="313" xml:space="preserve"> IF(LEN(ChartLines.Hex6)=6, HEX2DEC(MID(ChartLines.Hex6, 3, 2)), "·")</f>
        <v>131</v>
      </c>
      <c r="J110">
        <f t="shared" ref="J110" si="314" xml:space="preserve"> IF(LEN(ChartLines.Hex6)=6, HEX2DEC(RIGHT(ChartLines.Hex6, 2)), "·")</f>
        <v>55</v>
      </c>
      <c r="K110" cm="1">
        <f t="array" ref="K110" xml:space="preserve"> 1 + ROW() - _xlfn.SINGLE(ROW(ChartLines.RowNum))</f>
        <v>108</v>
      </c>
    </row>
    <row r="111" spans="2:11" x14ac:dyDescent="0.2">
      <c r="B111" t="s">
        <v>1847</v>
      </c>
      <c r="E111" t="str">
        <f t="shared" ref="E111" si="315" xml:space="preserve"> IF(AND(LEN(ChartLines.ID)&gt;0,"Unused"&lt;&gt;ChartLines.ID), COUNTIFS(ChartLines.ID,ChartLines.ID), "·")</f>
        <v>·</v>
      </c>
      <c r="F111" t="str">
        <f t="shared" ref="F111" si="316" xml:space="preserve"> IF(AND(LEN(ChartLines.ID)&gt;0,"Unused"&lt;&gt;ChartLines.ID), COUNTIFS(ChartLines.ID,ChartLines.ID,   ChartLines.RowNum,"&lt;="&amp;ChartLines.RowNum), "·")</f>
        <v>·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1" t="str">
        <f t="shared" ref="H111" si="317" xml:space="preserve"> IF(LEN(ChartLines.Hex6)=6, HEX2DEC(LEFT(ChartLines.Hex6, 2)), "·")</f>
        <v>·</v>
      </c>
      <c r="I111" t="str">
        <f t="shared" ref="I111" si="318" xml:space="preserve"> IF(LEN(ChartLines.Hex6)=6, HEX2DEC(MID(ChartLines.Hex6, 3, 2)), "·")</f>
        <v>·</v>
      </c>
      <c r="J111" t="str">
        <f t="shared" ref="J111" si="319" xml:space="preserve"> IF(LEN(ChartLines.Hex6)=6, HEX2DEC(RIGHT(ChartLines.Hex6, 2)), "·")</f>
        <v>·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236</v>
      </c>
      <c r="C112" t="str">
        <f xml:space="preserve"> "DECE05"</f>
        <v>DECE05</v>
      </c>
      <c r="E112">
        <f t="shared" ref="E112" si="320" xml:space="preserve"> IF(AND(LEN(ChartLines.ID)&gt;0,"Unused"&lt;&gt;ChartLines.ID), COUNTIFS(ChartLines.ID,ChartLines.ID), "·")</f>
        <v>2</v>
      </c>
      <c r="F112">
        <f t="shared" ref="F112" si="321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322" xml:space="preserve"> IF(LEN(ChartLines.Hex6)=6, HEX2DEC(LEFT(ChartLines.Hex6, 2)), "·")</f>
        <v>222</v>
      </c>
      <c r="I112">
        <f t="shared" ref="I112" si="323" xml:space="preserve"> IF(LEN(ChartLines.Hex6)=6, HEX2DEC(MID(ChartLines.Hex6, 3, 2)), "·")</f>
        <v>206</v>
      </c>
      <c r="J112">
        <f t="shared" ref="J112" si="324" xml:space="preserve"> IF(LEN(ChartLines.Hex6)=6, HEX2DEC(RIGHT(ChartLines.Hex6, 2)), "·")</f>
        <v>5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236</v>
      </c>
      <c r="C113" t="s">
        <v>1902</v>
      </c>
      <c r="E113">
        <f t="shared" ref="E113" si="325" xml:space="preserve"> IF(AND(LEN(ChartLines.ID)&gt;0,"Unused"&lt;&gt;ChartLines.ID), COUNTIFS(ChartLines.ID,ChartLines.ID), "·")</f>
        <v>2</v>
      </c>
      <c r="F113">
        <f t="shared" ref="F113" si="326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327" xml:space="preserve"> IF(LEN(ChartLines.Hex6)=6, HEX2DEC(LEFT(ChartLines.Hex6, 2)), "·")</f>
        <v>0</v>
      </c>
      <c r="I113">
        <f t="shared" ref="I113" si="328" xml:space="preserve"> IF(LEN(ChartLines.Hex6)=6, HEX2DEC(MID(ChartLines.Hex6, 3, 2)), "·")</f>
        <v>50</v>
      </c>
      <c r="J113">
        <f t="shared" ref="J113" si="329" xml:space="preserve"> IF(LEN(ChartLines.Hex6)=6, HEX2DEC(RIGHT(ChartLines.Hex6, 2)), "·")</f>
        <v>106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163</v>
      </c>
      <c r="C114" t="s">
        <v>1850</v>
      </c>
      <c r="E114">
        <f t="shared" ref="E114" si="330" xml:space="preserve"> IF(AND(LEN(ChartLines.ID)&gt;0,"Unused"&lt;&gt;ChartLines.ID), COUNTIFS(ChartLines.ID,ChartLines.ID), "·")</f>
        <v>2</v>
      </c>
      <c r="F114">
        <f t="shared" ref="F114" si="331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332" xml:space="preserve"> IF(LEN(ChartLines.Hex6)=6, HEX2DEC(LEFT(ChartLines.Hex6, 2)), "·")</f>
        <v>255</v>
      </c>
      <c r="I114">
        <f t="shared" ref="I114" si="333" xml:space="preserve"> IF(LEN(ChartLines.Hex6)=6, HEX2DEC(MID(ChartLines.Hex6, 3, 2)), "·")</f>
        <v>0</v>
      </c>
      <c r="J114">
        <f t="shared" ref="J114" si="334" xml:space="preserve"> IF(LEN(ChartLines.Hex6)=6, HEX2DEC(RIGHT(ChartLines.Hex6, 2)), "·")</f>
        <v>0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163</v>
      </c>
      <c r="C115" t="s">
        <v>1851</v>
      </c>
      <c r="E115">
        <f t="shared" ref="E115" si="335" xml:space="preserve"> IF(AND(LEN(ChartLines.ID)&gt;0,"Unused"&lt;&gt;ChartLines.ID), COUNTIFS(ChartLines.ID,ChartLines.ID), "·")</f>
        <v>2</v>
      </c>
      <c r="F115">
        <f t="shared" ref="F115" si="336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337" xml:space="preserve"> IF(LEN(ChartLines.Hex6)=6, HEX2DEC(LEFT(ChartLines.Hex6, 2)), "·")</f>
        <v>255</v>
      </c>
      <c r="I115">
        <f t="shared" ref="I115" si="338" xml:space="preserve"> IF(LEN(ChartLines.Hex6)=6, HEX2DEC(MID(ChartLines.Hex6, 3, 2)), "·")</f>
        <v>255</v>
      </c>
      <c r="J115">
        <f t="shared" ref="J115" si="339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164</v>
      </c>
      <c r="C116" t="s">
        <v>1903</v>
      </c>
      <c r="E116">
        <f t="shared" ref="E116" si="340" xml:space="preserve"> IF(AND(LEN(ChartLines.ID)&gt;0,"Unused"&lt;&gt;ChartLines.ID), COUNTIFS(ChartLines.ID,ChartLines.ID), "·")</f>
        <v>2</v>
      </c>
      <c r="F116">
        <f t="shared" ref="F116" si="341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342" xml:space="preserve"> IF(LEN(ChartLines.Hex6)=6, HEX2DEC(LEFT(ChartLines.Hex6, 2)), "·")</f>
        <v>254</v>
      </c>
      <c r="I116">
        <f t="shared" ref="I116" si="343" xml:space="preserve"> IF(LEN(ChartLines.Hex6)=6, HEX2DEC(MID(ChartLines.Hex6, 3, 2)), "·")</f>
        <v>0</v>
      </c>
      <c r="J116">
        <f t="shared" ref="J116" si="344" xml:space="preserve"> IF(LEN(ChartLines.Hex6)=6, HEX2DEC(RIGHT(ChartLines.Hex6, 2)), "·")</f>
        <v>0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164</v>
      </c>
      <c r="C117" t="str">
        <f xml:space="preserve"> "010080"</f>
        <v>010080</v>
      </c>
      <c r="E117">
        <f t="shared" ref="E117" si="345" xml:space="preserve"> IF(AND(LEN(ChartLines.ID)&gt;0,"Unused"&lt;&gt;ChartLines.ID), COUNTIFS(ChartLines.ID,ChartLines.ID), "·")</f>
        <v>2</v>
      </c>
      <c r="F117">
        <f t="shared" ref="F117" si="346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347" xml:space="preserve"> IF(LEN(ChartLines.Hex6)=6, HEX2DEC(LEFT(ChartLines.Hex6, 2)), "·")</f>
        <v>1</v>
      </c>
      <c r="I117">
        <f t="shared" ref="I117" si="348" xml:space="preserve"> IF(LEN(ChartLines.Hex6)=6, HEX2DEC(MID(ChartLines.Hex6, 3, 2)), "·")</f>
        <v>0</v>
      </c>
      <c r="J117">
        <f t="shared" ref="J117" si="349" xml:space="preserve"> IF(LEN(ChartLines.Hex6)=6, HEX2DEC(RIGHT(ChartLines.Hex6, 2)), "·")</f>
        <v>128</v>
      </c>
      <c r="K117" cm="1">
        <f t="array" ref="K117" xml:space="preserve"> 1 + ROW() - _xlfn.SINGLE(ROW(ChartLines.RowNum))</f>
        <v>115</v>
      </c>
    </row>
    <row r="118" spans="2:11" x14ac:dyDescent="0.2">
      <c r="B118" t="s">
        <v>249</v>
      </c>
      <c r="C118" t="s">
        <v>1904</v>
      </c>
      <c r="E118">
        <f t="shared" ref="E118" si="350" xml:space="preserve"> IF(AND(LEN(ChartLines.ID)&gt;0,"Unused"&lt;&gt;ChartLines.ID), COUNTIFS(ChartLines.ID,ChartLines.ID), "·")</f>
        <v>2</v>
      </c>
      <c r="F118">
        <f t="shared" ref="F118" si="351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352" xml:space="preserve"> IF(LEN(ChartLines.Hex6)=6, HEX2DEC(LEFT(ChartLines.Hex6, 2)), "·")</f>
        <v>0</v>
      </c>
      <c r="I118">
        <f t="shared" ref="I118" si="353" xml:space="preserve"> IF(LEN(ChartLines.Hex6)=6, HEX2DEC(MID(ChartLines.Hex6, 3, 2)), "·")</f>
        <v>56</v>
      </c>
      <c r="J118">
        <f t="shared" ref="J118" si="354" xml:space="preserve"> IF(LEN(ChartLines.Hex6)=6, HEX2DEC(RIGHT(ChartLines.Hex6, 2)), "·")</f>
        <v>168</v>
      </c>
      <c r="K118" cm="1">
        <f t="array" ref="K118" xml:space="preserve"> 1 + ROW() - _xlfn.SINGLE(ROW(ChartLines.RowNum))</f>
        <v>116</v>
      </c>
    </row>
    <row r="119" spans="2:11" x14ac:dyDescent="0.2">
      <c r="B119" t="s">
        <v>249</v>
      </c>
      <c r="C119" t="s">
        <v>1892</v>
      </c>
      <c r="E119">
        <f t="shared" ref="E119" si="355" xml:space="preserve"> IF(AND(LEN(ChartLines.ID)&gt;0,"Unused"&lt;&gt;ChartLines.ID), COUNTIFS(ChartLines.ID,ChartLines.ID), "·")</f>
        <v>2</v>
      </c>
      <c r="F119">
        <f t="shared" ref="F119" si="356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357" xml:space="preserve"> IF(LEN(ChartLines.Hex6)=6, HEX2DEC(LEFT(ChartLines.Hex6, 2)), "·")</f>
        <v>252</v>
      </c>
      <c r="I119">
        <f t="shared" ref="I119" si="358" xml:space="preserve"> IF(LEN(ChartLines.Hex6)=6, HEX2DEC(MID(ChartLines.Hex6, 3, 2)), "·")</f>
        <v>209</v>
      </c>
      <c r="J119">
        <f t="shared" ref="J119" si="359" xml:space="preserve"> IF(LEN(ChartLines.Hex6)=6, HEX2DEC(RIGHT(ChartLines.Hex6, 2)), "·")</f>
        <v>22</v>
      </c>
      <c r="K119" cm="1">
        <f t="array" ref="K119" xml:space="preserve"> 1 + ROW() - _xlfn.SINGLE(ROW(ChartLines.RowNum))</f>
        <v>117</v>
      </c>
    </row>
    <row r="120" spans="2:11" x14ac:dyDescent="0.2">
      <c r="B120" t="s">
        <v>262</v>
      </c>
      <c r="C120" t="s">
        <v>1905</v>
      </c>
      <c r="E120">
        <f t="shared" ref="E120" si="360" xml:space="preserve"> IF(AND(LEN(ChartLines.ID)&gt;0,"Unused"&lt;&gt;ChartLines.ID), COUNTIFS(ChartLines.ID,ChartLines.ID), "·")</f>
        <v>2</v>
      </c>
      <c r="F120">
        <f t="shared" ref="F120" si="361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362" xml:space="preserve"> IF(LEN(ChartLines.Hex6)=6, HEX2DEC(LEFT(ChartLines.Hex6, 2)), "·")</f>
        <v>255</v>
      </c>
      <c r="I120">
        <f t="shared" ref="I120" si="363" xml:space="preserve"> IF(LEN(ChartLines.Hex6)=6, HEX2DEC(MID(ChartLines.Hex6, 3, 2)), "·")</f>
        <v>255</v>
      </c>
      <c r="J120">
        <f t="shared" ref="J120" si="364" xml:space="preserve"> IF(LEN(ChartLines.Hex6)=6, HEX2DEC(RIGHT(ChartLines.Hex6, 2)), "·")</f>
        <v>0</v>
      </c>
      <c r="K120" cm="1">
        <f t="array" ref="K120" xml:space="preserve"> 1 + ROW() - _xlfn.SINGLE(ROW(ChartLines.RowNum))</f>
        <v>118</v>
      </c>
    </row>
    <row r="121" spans="2:11" x14ac:dyDescent="0.2">
      <c r="B121" t="s">
        <v>262</v>
      </c>
      <c r="C121" t="s">
        <v>1906</v>
      </c>
      <c r="E121">
        <f t="shared" ref="E121" si="365" xml:space="preserve"> IF(AND(LEN(ChartLines.ID)&gt;0,"Unused"&lt;&gt;ChartLines.ID), COUNTIFS(ChartLines.ID,ChartLines.ID), "·")</f>
        <v>2</v>
      </c>
      <c r="F121">
        <f t="shared" ref="F121" si="366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367" xml:space="preserve"> IF(LEN(ChartLines.Hex6)=6, HEX2DEC(LEFT(ChartLines.Hex6, 2)), "·")</f>
        <v>218</v>
      </c>
      <c r="I121">
        <f t="shared" ref="I121" si="368" xml:space="preserve"> IF(LEN(ChartLines.Hex6)=6, HEX2DEC(MID(ChartLines.Hex6, 3, 2)), "·")</f>
        <v>37</v>
      </c>
      <c r="J121">
        <f t="shared" ref="J121" si="369" xml:space="preserve"> IF(LEN(ChartLines.Hex6)=6, HEX2DEC(RIGHT(ChartLines.Hex6, 2)), "·")</f>
        <v>29</v>
      </c>
      <c r="K121" cm="1">
        <f t="array" ref="K121" xml:space="preserve"> 1 + ROW() - _xlfn.SINGLE(ROW(ChartLines.RowNum))</f>
        <v>119</v>
      </c>
    </row>
    <row r="122" spans="2:11" x14ac:dyDescent="0.2">
      <c r="B122" t="s">
        <v>297</v>
      </c>
      <c r="C122" t="str">
        <f xml:space="preserve"> "250E62"</f>
        <v>250E62</v>
      </c>
      <c r="E122">
        <f t="shared" ref="E122" si="370" xml:space="preserve"> IF(AND(LEN(ChartLines.ID)&gt;0,"Unused"&lt;&gt;ChartLines.ID), COUNTIFS(ChartLines.ID,ChartLines.ID), "·")</f>
        <v>2</v>
      </c>
      <c r="F122">
        <f t="shared" ref="F122" si="371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372" xml:space="preserve"> IF(LEN(ChartLines.Hex6)=6, HEX2DEC(LEFT(ChartLines.Hex6, 2)), "·")</f>
        <v>37</v>
      </c>
      <c r="I122">
        <f t="shared" ref="I122" si="373" xml:space="preserve"> IF(LEN(ChartLines.Hex6)=6, HEX2DEC(MID(ChartLines.Hex6, 3, 2)), "·")</f>
        <v>14</v>
      </c>
      <c r="J122">
        <f t="shared" ref="J122" si="374" xml:space="preserve"> IF(LEN(ChartLines.Hex6)=6, HEX2DEC(RIGHT(ChartLines.Hex6, 2)), "·")</f>
        <v>98</v>
      </c>
      <c r="K122" cm="1">
        <f t="array" ref="K122" xml:space="preserve"> 1 + ROW() - _xlfn.SINGLE(ROW(ChartLines.RowNum))</f>
        <v>120</v>
      </c>
    </row>
    <row r="123" spans="2:11" x14ac:dyDescent="0.2">
      <c r="B123" t="s">
        <v>297</v>
      </c>
      <c r="C123" t="s">
        <v>1851</v>
      </c>
      <c r="E123">
        <f t="shared" ref="E123" si="375" xml:space="preserve"> IF(AND(LEN(ChartLines.ID)&gt;0,"Unused"&lt;&gt;ChartLines.ID), COUNTIFS(ChartLines.ID,ChartLines.ID), "·")</f>
        <v>2</v>
      </c>
      <c r="F123">
        <f t="shared" ref="F123" si="376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377" xml:space="preserve"> IF(LEN(ChartLines.Hex6)=6, HEX2DEC(LEFT(ChartLines.Hex6, 2)), "·")</f>
        <v>255</v>
      </c>
      <c r="I123">
        <f t="shared" ref="I123" si="378" xml:space="preserve"> IF(LEN(ChartLines.Hex6)=6, HEX2DEC(MID(ChartLines.Hex6, 3, 2)), "·")</f>
        <v>255</v>
      </c>
      <c r="J123">
        <f t="shared" ref="J123" si="379" xml:space="preserve"> IF(LEN(ChartLines.Hex6)=6, HEX2DEC(RIGHT(ChartLines.Hex6, 2)), "·")</f>
        <v>255</v>
      </c>
      <c r="K123" cm="1">
        <f t="array" ref="K123" xml:space="preserve"> 1 + ROW() - _xlfn.SINGLE(ROW(ChartLines.RowNum))</f>
        <v>121</v>
      </c>
    </row>
    <row r="124" spans="2:11" x14ac:dyDescent="0.2">
      <c r="B124" t="s">
        <v>135</v>
      </c>
      <c r="C124" t="s">
        <v>1907</v>
      </c>
      <c r="E124">
        <f t="shared" ref="E124" si="380" xml:space="preserve"> IF(AND(LEN(ChartLines.ID)&gt;0,"Unused"&lt;&gt;ChartLines.ID), COUNTIFS(ChartLines.ID,ChartLines.ID), "·")</f>
        <v>2</v>
      </c>
      <c r="F124">
        <f t="shared" ref="F124" si="381" xml:space="preserve"> IF(AND(LEN(ChartLines.ID)&gt;0,"Unused"&lt;&gt;ChartLines.ID), COUNTIFS(ChartLines.ID,ChartLines.ID,   ChartLines.RowNum,"&lt;="&amp;ChartLines.RowNum), "·")</f>
        <v>1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4">
        <f t="shared" ref="H124" si="382" xml:space="preserve"> IF(LEN(ChartLines.Hex6)=6, HEX2DEC(LEFT(ChartLines.Hex6, 2)), "·")</f>
        <v>1</v>
      </c>
      <c r="I124">
        <f t="shared" ref="I124" si="383" xml:space="preserve"> IF(LEN(ChartLines.Hex6)=6, HEX2DEC(MID(ChartLines.Hex6, 3, 2)), "·")</f>
        <v>65</v>
      </c>
      <c r="J124">
        <f t="shared" ref="J124" si="384" xml:space="preserve"> IF(LEN(ChartLines.Hex6)=6, HEX2DEC(RIGHT(ChartLines.Hex6, 2)), "·")</f>
        <v>28</v>
      </c>
      <c r="K124" cm="1">
        <f t="array" ref="K124" xml:space="preserve"> 1 + ROW() - _xlfn.SINGLE(ROW(ChartLines.RowNum))</f>
        <v>122</v>
      </c>
    </row>
    <row r="125" spans="2:11" x14ac:dyDescent="0.2">
      <c r="B125" t="s">
        <v>135</v>
      </c>
      <c r="C125" t="s">
        <v>1851</v>
      </c>
      <c r="E125">
        <f t="shared" ref="E125" si="385" xml:space="preserve"> IF(AND(LEN(ChartLines.ID)&gt;0,"Unused"&lt;&gt;ChartLines.ID), COUNTIFS(ChartLines.ID,ChartLines.ID), "·")</f>
        <v>2</v>
      </c>
      <c r="F125">
        <f t="shared" ref="F125" si="386" xml:space="preserve"> IF(AND(LEN(ChartLines.ID)&gt;0,"Unused"&lt;&gt;ChartLines.ID), COUNTIFS(ChartLines.ID,ChartLines.ID,   ChartLines.RowNum,"&lt;="&amp;ChartLines.RowNum), "·")</f>
        <v>2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5">
        <f t="shared" ref="H125" si="387" xml:space="preserve"> IF(LEN(ChartLines.Hex6)=6, HEX2DEC(LEFT(ChartLines.Hex6, 2)), "·")</f>
        <v>255</v>
      </c>
      <c r="I125">
        <f t="shared" ref="I125" si="388" xml:space="preserve"> IF(LEN(ChartLines.Hex6)=6, HEX2DEC(MID(ChartLines.Hex6, 3, 2)), "·")</f>
        <v>255</v>
      </c>
      <c r="J125">
        <f t="shared" ref="J125" si="389" xml:space="preserve"> IF(LEN(ChartLines.Hex6)=6, HEX2DEC(RIGHT(ChartLines.Hex6, 2)), "·")</f>
        <v>255</v>
      </c>
      <c r="K125" cm="1">
        <f t="array" ref="K125" xml:space="preserve"> 1 + ROW() - _xlfn.SINGLE(ROW(ChartLines.RowNum))</f>
        <v>123</v>
      </c>
    </row>
    <row r="126" spans="2:11" x14ac:dyDescent="0.2">
      <c r="B126" t="s">
        <v>97</v>
      </c>
      <c r="C126" t="s">
        <v>1908</v>
      </c>
      <c r="E126">
        <f t="shared" ref="E126" si="390" xml:space="preserve"> IF(AND(LEN(ChartLines.ID)&gt;0,"Unused"&lt;&gt;ChartLines.ID), COUNTIFS(ChartLines.ID,ChartLines.ID), "·")</f>
        <v>2</v>
      </c>
      <c r="F126">
        <f t="shared" ref="F126" si="391" xml:space="preserve"> IF(AND(LEN(ChartLines.ID)&gt;0,"Unused"&lt;&gt;ChartLines.ID), COUNTIFS(ChartLines.ID,ChartLines.ID,   ChartLines.RowNum,"&lt;="&amp;ChartLines.RowNum), "·")</f>
        <v>1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6">
        <f t="shared" ref="H126" si="392" xml:space="preserve"> IF(LEN(ChartLines.Hex6)=6, HEX2DEC(LEFT(ChartLines.Hex6, 2)), "·")</f>
        <v>0</v>
      </c>
      <c r="I126">
        <f t="shared" ref="I126" si="393" xml:space="preserve"> IF(LEN(ChartLines.Hex6)=6, HEX2DEC(MID(ChartLines.Hex6, 3, 2)), "·")</f>
        <v>106</v>
      </c>
      <c r="J126">
        <f t="shared" ref="J126" si="394" xml:space="preserve"> IF(LEN(ChartLines.Hex6)=6, HEX2DEC(RIGHT(ChartLines.Hex6, 2)), "·")</f>
        <v>78</v>
      </c>
      <c r="K126" cm="1">
        <f t="array" ref="K126" xml:space="preserve"> 1 + ROW() - _xlfn.SINGLE(ROW(ChartLines.RowNum))</f>
        <v>124</v>
      </c>
    </row>
    <row r="127" spans="2:11" x14ac:dyDescent="0.2">
      <c r="B127" t="s">
        <v>97</v>
      </c>
      <c r="C127" t="s">
        <v>1909</v>
      </c>
      <c r="E127">
        <f t="shared" ref="E127" si="395" xml:space="preserve"> IF(AND(LEN(ChartLines.ID)&gt;0,"Unused"&lt;&gt;ChartLines.ID), COUNTIFS(ChartLines.ID,ChartLines.ID), "·")</f>
        <v>2</v>
      </c>
      <c r="F127">
        <f t="shared" ref="F127" si="396" xml:space="preserve"> IF(AND(LEN(ChartLines.ID)&gt;0,"Unused"&lt;&gt;ChartLines.ID), COUNTIFS(ChartLines.ID,ChartLines.ID,   ChartLines.RowNum,"&lt;="&amp;ChartLines.RowNum), "·")</f>
        <v>2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7">
        <f t="shared" ref="H127" si="397" xml:space="preserve"> IF(LEN(ChartLines.Hex6)=6, HEX2DEC(LEFT(ChartLines.Hex6, 2)), "·")</f>
        <v>244</v>
      </c>
      <c r="I127">
        <f t="shared" ref="I127" si="398" xml:space="preserve"> IF(LEN(ChartLines.Hex6)=6, HEX2DEC(MID(ChartLines.Hex6, 3, 2)), "·")</f>
        <v>42</v>
      </c>
      <c r="J127">
        <f t="shared" ref="J127" si="399" xml:space="preserve"> IF(LEN(ChartLines.Hex6)=6, HEX2DEC(RIGHT(ChartLines.Hex6, 2)), "·")</f>
        <v>65</v>
      </c>
      <c r="K127" cm="1">
        <f t="array" ref="K127" xml:space="preserve"> 1 + ROW() - _xlfn.SINGLE(ROW(ChartLines.RowNum))</f>
        <v>125</v>
      </c>
    </row>
    <row r="128" spans="2:11" x14ac:dyDescent="0.2">
      <c r="B128" t="s">
        <v>165</v>
      </c>
      <c r="C128" t="s">
        <v>1910</v>
      </c>
      <c r="E128">
        <f t="shared" ref="E128" si="400" xml:space="preserve"> IF(AND(LEN(ChartLines.ID)&gt;0,"Unused"&lt;&gt;ChartLines.ID), COUNTIFS(ChartLines.ID,ChartLines.ID), "·")</f>
        <v>2</v>
      </c>
      <c r="F128">
        <f t="shared" ref="F128" si="401" xml:space="preserve"> IF(AND(LEN(ChartLines.ID)&gt;0,"Unused"&lt;&gt;ChartLines.ID), COUNTIFS(ChartLines.ID,ChartLines.ID,   ChartLines.RowNum,"&lt;="&amp;ChartLines.RowNum), "·")</f>
        <v>1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8">
        <f t="shared" ref="H128" si="402" xml:space="preserve"> IF(LEN(ChartLines.Hex6)=6, HEX2DEC(LEFT(ChartLines.Hex6, 2)), "·")</f>
        <v>121</v>
      </c>
      <c r="I128">
        <f t="shared" ref="I128" si="403" xml:space="preserve"> IF(LEN(ChartLines.Hex6)=6, HEX2DEC(MID(ChartLines.Hex6, 3, 2)), "·")</f>
        <v>5</v>
      </c>
      <c r="J128">
        <f t="shared" ref="J128" si="404" xml:space="preserve"> IF(LEN(ChartLines.Hex6)=6, HEX2DEC(RIGHT(ChartLines.Hex6, 2)), "·")</f>
        <v>44</v>
      </c>
      <c r="K128" cm="1">
        <f t="array" ref="K128" xml:space="preserve"> 1 + ROW() - _xlfn.SINGLE(ROW(ChartLines.RowNum))</f>
        <v>126</v>
      </c>
    </row>
    <row r="129" spans="2:11" x14ac:dyDescent="0.2">
      <c r="B129" t="s">
        <v>165</v>
      </c>
      <c r="C129" t="s">
        <v>1911</v>
      </c>
      <c r="E129">
        <f t="shared" ref="E129" si="405" xml:space="preserve"> IF(AND(LEN(ChartLines.ID)&gt;0,"Unused"&lt;&gt;ChartLines.ID), COUNTIFS(ChartLines.ID,ChartLines.ID), "·")</f>
        <v>2</v>
      </c>
      <c r="F129">
        <f t="shared" ref="F129" si="406" xml:space="preserve"> IF(AND(LEN(ChartLines.ID)&gt;0,"Unused"&lt;&gt;ChartLines.ID), COUNTIFS(ChartLines.ID,ChartLines.ID,   ChartLines.RowNum,"&lt;="&amp;ChartLines.RowNum), "·")</f>
        <v>2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9">
        <f t="shared" ref="H129" si="407" xml:space="preserve"> IF(LEN(ChartLines.Hex6)=6, HEX2DEC(LEFT(ChartLines.Hex6, 2)), "·")</f>
        <v>253</v>
      </c>
      <c r="I129">
        <f t="shared" ref="I129" si="408" xml:space="preserve"> IF(LEN(ChartLines.Hex6)=6, HEX2DEC(MID(ChartLines.Hex6, 3, 2)), "·")</f>
        <v>178</v>
      </c>
      <c r="J129">
        <f t="shared" ref="J129" si="409" xml:space="preserve"> IF(LEN(ChartLines.Hex6)=6, HEX2DEC(RIGHT(ChartLines.Hex6, 2)), "·")</f>
        <v>33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1912</v>
      </c>
      <c r="C130" t="s">
        <v>1913</v>
      </c>
      <c r="E130">
        <f t="shared" ref="E130" si="410" xml:space="preserve"> IF(AND(LEN(ChartLines.ID)&gt;0,"Unused"&lt;&gt;ChartLines.ID), COUNTIFS(ChartLines.ID,ChartLines.ID), "·")</f>
        <v>2</v>
      </c>
      <c r="F130">
        <f t="shared" ref="F130" si="411" xml:space="preserve"> IF(AND(LEN(ChartLines.ID)&gt;0,"Unused"&lt;&gt;ChartLines.ID), COUNTIFS(ChartLines.ID,ChartLines.ID,   ChartLines.RowNum,"&lt;="&amp;ChartLines.RowNum), "·")</f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ref="H130" si="412" xml:space="preserve"> IF(LEN(ChartLines.Hex6)=6, HEX2DEC(LEFT(ChartLines.Hex6, 2)), "·")</f>
        <v>0</v>
      </c>
      <c r="I130">
        <f t="shared" ref="I130" si="413" xml:space="preserve"> IF(LEN(ChartLines.Hex6)=6, HEX2DEC(MID(ChartLines.Hex6, 3, 2)), "·")</f>
        <v>174</v>
      </c>
      <c r="J130">
        <f t="shared" ref="J130" si="414" xml:space="preserve"> IF(LEN(ChartLines.Hex6)=6, HEX2DEC(RIGHT(ChartLines.Hex6, 2)), "·")</f>
        <v>199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1912</v>
      </c>
      <c r="C131" t="s">
        <v>1914</v>
      </c>
      <c r="E131">
        <f t="shared" ref="E131" si="415" xml:space="preserve"> IF(AND(LEN(ChartLines.ID)&gt;0,"Unused"&lt;&gt;ChartLines.ID), COUNTIFS(ChartLines.ID,ChartLines.ID), "·")</f>
        <v>2</v>
      </c>
      <c r="F131">
        <f t="shared" ref="F131" si="416" xml:space="preserve"> IF(AND(LEN(ChartLines.ID)&gt;0,"Unused"&lt;&gt;ChartLines.ID), COUNTIFS(ChartLines.ID,ChartLines.ID,   ChartLines.RowNum,"&lt;="&amp;ChartLines.RowNum), "·")</f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ref="H131" si="417" xml:space="preserve"> IF(LEN(ChartLines.Hex6)=6, HEX2DEC(LEFT(ChartLines.Hex6, 2)), "·")</f>
        <v>246</v>
      </c>
      <c r="I131">
        <f t="shared" ref="I131" si="418" xml:space="preserve"> IF(LEN(ChartLines.Hex6)=6, HEX2DEC(MID(ChartLines.Hex6, 3, 2)), "·")</f>
        <v>229</v>
      </c>
      <c r="J131">
        <f t="shared" ref="J131" si="419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1618</v>
      </c>
      <c r="C132" t="s">
        <v>1915</v>
      </c>
      <c r="E132">
        <f t="shared" ref="E132" si="420" xml:space="preserve"> IF(AND(LEN(ChartLines.ID)&gt;0,"Unused"&lt;&gt;ChartLines.ID), COUNTIFS(ChartLines.ID,ChartLines.ID), "·")</f>
        <v>2</v>
      </c>
      <c r="F132">
        <f t="shared" ref="F132" si="421" xml:space="preserve"> IF(AND(LEN(ChartLines.ID)&gt;0,"Unused"&lt;&gt;ChartLines.ID), COUNTIFS(ChartLines.ID,ChartLines.ID,   ChartLines.RowNum,"&lt;="&amp;ChartLines.RowNum), "·")</f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2">
        <f t="shared" ref="H132" si="422" xml:space="preserve"> IF(LEN(ChartLines.Hex6)=6, HEX2DEC(LEFT(ChartLines.Hex6, 2)), "·")</f>
        <v>0</v>
      </c>
      <c r="I132">
        <f t="shared" ref="I132" si="423" xml:space="preserve"> IF(LEN(ChartLines.Hex6)=6, HEX2DEC(MID(ChartLines.Hex6, 3, 2)), "·")</f>
        <v>102</v>
      </c>
      <c r="J132">
        <f t="shared" ref="J132" si="424" xml:space="preserve"> IF(LEN(ChartLines.Hex6)=6, HEX2DEC(RIGHT(ChartLines.Hex6, 2)), "·")</f>
        <v>179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1618</v>
      </c>
      <c r="C133" t="s">
        <v>1916</v>
      </c>
      <c r="E133">
        <f t="shared" ref="E133" si="425" xml:space="preserve"> IF(AND(LEN(ChartLines.ID)&gt;0,"Unused"&lt;&gt;ChartLines.ID), COUNTIFS(ChartLines.ID,ChartLines.ID), "·")</f>
        <v>2</v>
      </c>
      <c r="F133">
        <f t="shared" ref="F133" si="426" xml:space="preserve"> IF(AND(LEN(ChartLines.ID)&gt;0,"Unused"&lt;&gt;ChartLines.ID), COUNTIFS(ChartLines.ID,ChartLines.ID,   ChartLines.RowNum,"&lt;="&amp;ChartLines.RowNum), "·")</f>
        <v>2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3">
        <f t="shared" ref="H133" si="427" xml:space="preserve"> IF(LEN(ChartLines.Hex6)=6, HEX2DEC(LEFT(ChartLines.Hex6, 2)), "·")</f>
        <v>218</v>
      </c>
      <c r="I133">
        <f t="shared" ref="I133" si="428" xml:space="preserve"> IF(LEN(ChartLines.Hex6)=6, HEX2DEC(MID(ChartLines.Hex6, 3, 2)), "·")</f>
        <v>32</v>
      </c>
      <c r="J133">
        <f t="shared" ref="J133" si="429" xml:space="preserve"> IF(LEN(ChartLines.Hex6)=6, HEX2DEC(RIGHT(ChartLines.Hex6, 2)), "·")</f>
        <v>50</v>
      </c>
      <c r="K133" cm="1">
        <f t="array" ref="K133" xml:space="preserve"> 1 + ROW() - _xlfn.SINGLE(ROW(ChartLines.RowNum))</f>
        <v>131</v>
      </c>
    </row>
    <row r="134" spans="2:11" x14ac:dyDescent="0.2">
      <c r="E134" t="str">
        <f t="shared" ref="E134" si="430" xml:space="preserve"> IF(AND(LEN(ChartLines.ID)&gt;0,"Unused"&lt;&gt;ChartLines.ID), COUNTIFS(ChartLines.ID,ChartLines.ID), "·")</f>
        <v>·</v>
      </c>
      <c r="F134" t="str">
        <f t="shared" ref="F134" si="431" xml:space="preserve"> IF(AND(LEN(ChartLines.ID)&gt;0,"Unused"&lt;&gt;ChartLines.ID), COUNTIFS(ChartLines.ID,ChartLines.ID,   ChartLines.RowNum,"&lt;="&amp;ChartLines.RowNum), "·")</f>
        <v>·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4" t="str">
        <f t="shared" ref="H134" si="432" xml:space="preserve"> IF(LEN(ChartLines.Hex6)=6, HEX2DEC(LEFT(ChartLines.Hex6, 2)), "·")</f>
        <v>·</v>
      </c>
      <c r="I134" t="str">
        <f t="shared" ref="I134" si="433" xml:space="preserve"> IF(LEN(ChartLines.Hex6)=6, HEX2DEC(MID(ChartLines.Hex6, 3, 2)), "·")</f>
        <v>·</v>
      </c>
      <c r="J134" t="str">
        <f t="shared" ref="J134" si="434" xml:space="preserve"> IF(LEN(ChartLines.Hex6)=6, HEX2DEC(RIGHT(ChartLines.Hex6, 2)), "·")</f>
        <v>·</v>
      </c>
      <c r="K134" cm="1">
        <f t="array" ref="K134" xml:space="preserve"> 1 + ROW() - _xlfn.SINGLE(ROW(ChartLines.RowNum))</f>
        <v>132</v>
      </c>
    </row>
    <row r="135" spans="2:11" x14ac:dyDescent="0.2">
      <c r="B135" t="s">
        <v>883</v>
      </c>
      <c r="C135" t="s">
        <v>1917</v>
      </c>
      <c r="E135">
        <f t="shared" ref="E135" si="435" xml:space="preserve"> IF(AND(LEN(ChartLines.ID)&gt;0,"Unused"&lt;&gt;ChartLines.ID), COUNTIFS(ChartLines.ID,ChartLines.ID), "·")</f>
        <v>2</v>
      </c>
      <c r="F135">
        <f t="shared" ref="F135" si="436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437" xml:space="preserve"> IF(LEN(ChartLines.Hex6)=6, HEX2DEC(LEFT(ChartLines.Hex6, 2)), "·")</f>
        <v>199</v>
      </c>
      <c r="I135">
        <f t="shared" ref="I135" si="438" xml:space="preserve"> IF(LEN(ChartLines.Hex6)=6, HEX2DEC(MID(ChartLines.Hex6, 3, 2)), "·")</f>
        <v>54</v>
      </c>
      <c r="J135">
        <f t="shared" ref="J135" si="439" xml:space="preserve"> IF(LEN(ChartLines.Hex6)=6, HEX2DEC(RIGHT(ChartLines.Hex6, 2)), "·")</f>
        <v>61</v>
      </c>
      <c r="K135" cm="1">
        <f t="array" ref="K135" xml:space="preserve"> 1 + ROW() - _xlfn.SINGLE(ROW(ChartLines.RowNum))</f>
        <v>133</v>
      </c>
    </row>
    <row r="136" spans="2:11" x14ac:dyDescent="0.2">
      <c r="B136" t="s">
        <v>883</v>
      </c>
      <c r="C136" t="s">
        <v>1918</v>
      </c>
      <c r="E136">
        <f t="shared" ref="E136" si="440" xml:space="preserve"> IF(AND(LEN(ChartLines.ID)&gt;0,"Unused"&lt;&gt;ChartLines.ID), COUNTIFS(ChartLines.ID,ChartLines.ID), "·")</f>
        <v>2</v>
      </c>
      <c r="F136">
        <f t="shared" ref="F136" si="441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442" xml:space="preserve"> IF(LEN(ChartLines.Hex6)=6, HEX2DEC(LEFT(ChartLines.Hex6, 2)), "·")</f>
        <v>12</v>
      </c>
      <c r="I136">
        <f t="shared" ref="I136" si="443" xml:space="preserve"> IF(LEN(ChartLines.Hex6)=6, HEX2DEC(MID(ChartLines.Hex6, 3, 2)), "·")</f>
        <v>64</v>
      </c>
      <c r="J136">
        <f t="shared" ref="J136" si="444" xml:space="preserve"> IF(LEN(ChartLines.Hex6)=6, HEX2DEC(RIGHT(ChartLines.Hex6, 2)), "·")</f>
        <v>119</v>
      </c>
      <c r="K136" cm="1">
        <f t="array" ref="K136" xml:space="preserve"> 1 + ROW() - _xlfn.SINGLE(ROW(ChartLines.RowNum))</f>
        <v>134</v>
      </c>
    </row>
    <row r="137" spans="2:11" x14ac:dyDescent="0.2">
      <c r="B137" t="s">
        <v>395</v>
      </c>
      <c r="C137" t="str">
        <f xml:space="preserve"> "000000"</f>
        <v>000000</v>
      </c>
      <c r="E137">
        <f t="shared" ref="E137" si="445" xml:space="preserve"> IF(AND(LEN(ChartLines.ID)&gt;0,"Unused"&lt;&gt;ChartLines.ID), COUNTIFS(ChartLines.ID,ChartLines.ID), "·")</f>
        <v>2</v>
      </c>
      <c r="F137">
        <f t="shared" ref="F137" si="446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447" xml:space="preserve"> IF(LEN(ChartLines.Hex6)=6, HEX2DEC(LEFT(ChartLines.Hex6, 2)), "·")</f>
        <v>0</v>
      </c>
      <c r="I137">
        <f t="shared" ref="I137" si="448" xml:space="preserve"> IF(LEN(ChartLines.Hex6)=6, HEX2DEC(MID(ChartLines.Hex6, 3, 2)), "·")</f>
        <v>0</v>
      </c>
      <c r="J137">
        <f t="shared" ref="J137" si="449" xml:space="preserve"> IF(LEN(ChartLines.Hex6)=6, HEX2DEC(RIGHT(ChartLines.Hex6, 2)), "·")</f>
        <v>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395</v>
      </c>
      <c r="C138" t="s">
        <v>1869</v>
      </c>
      <c r="E138">
        <f t="shared" ref="E138" si="450" xml:space="preserve"> IF(AND(LEN(ChartLines.ID)&gt;0,"Unused"&lt;&gt;ChartLines.ID), COUNTIFS(ChartLines.ID,ChartLines.ID), "·")</f>
        <v>2</v>
      </c>
      <c r="F138">
        <f t="shared" ref="F138" si="451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452" xml:space="preserve"> IF(LEN(ChartLines.Hex6)=6, HEX2DEC(LEFT(ChartLines.Hex6, 2)), "·")</f>
        <v>218</v>
      </c>
      <c r="I138">
        <f t="shared" ref="I138" si="453" xml:space="preserve"> IF(LEN(ChartLines.Hex6)=6, HEX2DEC(MID(ChartLines.Hex6, 3, 2)), "·")</f>
        <v>41</v>
      </c>
      <c r="J138">
        <f t="shared" ref="J138" si="454" xml:space="preserve"> IF(LEN(ChartLines.Hex6)=6, HEX2DEC(RIGHT(ChartLines.Hex6, 2)), "·")</f>
        <v>28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407</v>
      </c>
      <c r="C139" t="s">
        <v>1919</v>
      </c>
      <c r="E139">
        <f t="shared" ref="E139" si="455" xml:space="preserve"> IF(AND(LEN(ChartLines.ID)&gt;0,"Unused"&lt;&gt;ChartLines.ID), COUNTIFS(ChartLines.ID,ChartLines.ID), "·")</f>
        <v>2</v>
      </c>
      <c r="F139">
        <f t="shared" ref="F139" si="456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457" xml:space="preserve"> IF(LEN(ChartLines.Hex6)=6, HEX2DEC(LEFT(ChartLines.Hex6, 2)), "·")</f>
        <v>206</v>
      </c>
      <c r="I139">
        <f t="shared" ref="I139" si="458" xml:space="preserve"> IF(LEN(ChartLines.Hex6)=6, HEX2DEC(MID(ChartLines.Hex6, 3, 2)), "·")</f>
        <v>32</v>
      </c>
      <c r="J139">
        <f t="shared" ref="J139" si="459" xml:space="preserve"> IF(LEN(ChartLines.Hex6)=6, HEX2DEC(RIGHT(ChartLines.Hex6, 2)), "·")</f>
        <v>40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407</v>
      </c>
      <c r="C140" t="s">
        <v>1920</v>
      </c>
      <c r="E140">
        <f t="shared" ref="E140" si="460" xml:space="preserve"> IF(AND(LEN(ChartLines.ID)&gt;0,"Unused"&lt;&gt;ChartLines.ID), COUNTIFS(ChartLines.ID,ChartLines.ID), "·")</f>
        <v>2</v>
      </c>
      <c r="F140">
        <f t="shared" ref="F140" si="461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462" xml:space="preserve"> IF(LEN(ChartLines.Hex6)=6, HEX2DEC(LEFT(ChartLines.Hex6, 2)), "·")</f>
        <v>249</v>
      </c>
      <c r="I140">
        <f t="shared" ref="I140" si="463" xml:space="preserve"> IF(LEN(ChartLines.Hex6)=6, HEX2DEC(MID(ChartLines.Hex6, 3, 2)), "·")</f>
        <v>214</v>
      </c>
      <c r="J140">
        <f t="shared" ref="J140" si="464" xml:space="preserve"> IF(LEN(ChartLines.Hex6)=6, HEX2DEC(RIGHT(ChartLines.Hex6, 2)), "·")</f>
        <v>22</v>
      </c>
      <c r="K140" cm="1">
        <f t="array" ref="K140" xml:space="preserve"> 1 + ROW() - _xlfn.SINGLE(ROW(ChartLines.RowNum))</f>
        <v>138</v>
      </c>
    </row>
    <row r="141" spans="2:11" x14ac:dyDescent="0.2">
      <c r="B141" t="s">
        <v>1680</v>
      </c>
      <c r="C141" t="s">
        <v>1921</v>
      </c>
      <c r="E141">
        <f t="shared" ref="E141" si="465" xml:space="preserve"> IF(AND(LEN(ChartLines.ID)&gt;0,"Unused"&lt;&gt;ChartLines.ID), COUNTIFS(ChartLines.ID,ChartLines.ID), "·")</f>
        <v>2</v>
      </c>
      <c r="F141">
        <f t="shared" ref="F141" si="466" xml:space="preserve"> IF(AND(LEN(ChartLines.ID)&gt;0,"Unused"&lt;&gt;ChartLines.ID), COUNTIFS(ChartLines.ID,ChartLines.ID,   ChartLines.RowNum,"&lt;="&amp;ChartLines.RowNum), "·")</f>
        <v>1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1">
        <f t="shared" ref="H141" si="467" xml:space="preserve"> IF(LEN(ChartLines.Hex6)=6, HEX2DEC(LEFT(ChartLines.Hex6, 2)), "·")</f>
        <v>255</v>
      </c>
      <c r="I141">
        <f t="shared" ref="I141" si="468" xml:space="preserve"> IF(LEN(ChartLines.Hex6)=6, HEX2DEC(MID(ChartLines.Hex6, 3, 2)), "·")</f>
        <v>210</v>
      </c>
      <c r="J141">
        <f t="shared" ref="J141" si="469" xml:space="preserve"> IF(LEN(ChartLines.Hex6)=6, HEX2DEC(RIGHT(ChartLines.Hex6, 2)), "·")</f>
        <v>0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1680</v>
      </c>
      <c r="C142" t="s">
        <v>1922</v>
      </c>
      <c r="E142">
        <f t="shared" ref="E142" si="470" xml:space="preserve"> IF(AND(LEN(ChartLines.ID)&gt;0,"Unused"&lt;&gt;ChartLines.ID), COUNTIFS(ChartLines.ID,ChartLines.ID), "·")</f>
        <v>2</v>
      </c>
      <c r="F142">
        <f t="shared" ref="F142" si="471" xml:space="preserve"> IF(AND(LEN(ChartLines.ID)&gt;0,"Unused"&lt;&gt;ChartLines.ID), COUNTIFS(ChartLines.ID,ChartLines.ID,   ChartLines.RowNum,"&lt;="&amp;ChartLines.RowNum), "·")</f>
        <v>2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2">
        <f t="shared" ref="H142" si="472" xml:space="preserve"> IF(LEN(ChartLines.Hex6)=6, HEX2DEC(LEFT(ChartLines.Hex6, 2)), "·")</f>
        <v>204</v>
      </c>
      <c r="I142">
        <f t="shared" ref="I142" si="473" xml:space="preserve"> IF(LEN(ChartLines.Hex6)=6, HEX2DEC(MID(ChartLines.Hex6, 3, 2)), "·")</f>
        <v>9</v>
      </c>
      <c r="J142">
        <f t="shared" ref="J142" si="474" xml:space="preserve"> IF(LEN(ChartLines.Hex6)=6, HEX2DEC(RIGHT(ChartLines.Hex6, 2)), "·")</f>
        <v>47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166</v>
      </c>
      <c r="C143" t="s">
        <v>1923</v>
      </c>
      <c r="E143">
        <f t="shared" ref="E143" si="475" xml:space="preserve"> IF(AND(LEN(ChartLines.ID)&gt;0,"Unused"&lt;&gt;ChartLines.ID), COUNTIFS(ChartLines.ID,ChartLines.ID), "·")</f>
        <v>2</v>
      </c>
      <c r="F143">
        <f t="shared" ref="F143" si="476" xml:space="preserve"> IF(AND(LEN(ChartLines.ID)&gt;0,"Unused"&lt;&gt;ChartLines.ID), COUNTIFS(ChartLines.ID,ChartLines.ID,   ChartLines.RowNum,"&lt;="&amp;ChartLines.RowNum), "·")</f>
        <v>1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3">
        <f t="shared" ref="H143" si="477" xml:space="preserve"> IF(LEN(ChartLines.Hex6)=6, HEX2DEC(LEFT(ChartLines.Hex6, 2)), "·")</f>
        <v>0</v>
      </c>
      <c r="I143">
        <f t="shared" ref="I143" si="478" xml:space="preserve"> IF(LEN(ChartLines.Hex6)=6, HEX2DEC(MID(ChartLines.Hex6, 3, 2)), "·")</f>
        <v>87</v>
      </c>
      <c r="J143">
        <f t="shared" ref="J143" si="479" xml:space="preserve"> IF(LEN(ChartLines.Hex6)=6, HEX2DEC(RIGHT(ChartLines.Hex6, 2)), "·")</f>
        <v>183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166</v>
      </c>
      <c r="C144" t="s">
        <v>1993</v>
      </c>
      <c r="E144">
        <f t="shared" ref="E144" si="480" xml:space="preserve"> IF(AND(LEN(ChartLines.ID)&gt;0,"Unused"&lt;&gt;ChartLines.ID), COUNTIFS(ChartLines.ID,ChartLines.ID), "·")</f>
        <v>2</v>
      </c>
      <c r="F144">
        <f t="shared" ref="F144" si="481" xml:space="preserve"> IF(AND(LEN(ChartLines.ID)&gt;0,"Unused"&lt;&gt;ChartLines.ID), COUNTIFS(ChartLines.ID,ChartLines.ID,   ChartLines.RowNum,"&lt;="&amp;ChartLines.RowNum), "·")</f>
        <v>2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4">
        <f t="shared" ref="H144" si="482" xml:space="preserve"> IF(LEN(ChartLines.Hex6)=6, HEX2DEC(LEFT(ChartLines.Hex6, 2)), "·")</f>
        <v>255</v>
      </c>
      <c r="I144">
        <f t="shared" ref="I144" si="483" xml:space="preserve"> IF(LEN(ChartLines.Hex6)=6, HEX2DEC(MID(ChartLines.Hex6, 3, 2)), "·")</f>
        <v>215</v>
      </c>
      <c r="J144">
        <f t="shared" ref="J144" si="48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1924</v>
      </c>
      <c r="C145" t="s">
        <v>1850</v>
      </c>
      <c r="E145">
        <f t="shared" ref="E145" si="485" xml:space="preserve"> IF(AND(LEN(ChartLines.ID)&gt;0,"Unused"&lt;&gt;ChartLines.ID), COUNTIFS(ChartLines.ID,ChartLines.ID), "·")</f>
        <v>2</v>
      </c>
      <c r="F145">
        <f t="shared" ref="F145" si="486" xml:space="preserve"> IF(AND(LEN(ChartLines.ID)&gt;0,"Unused"&lt;&gt;ChartLines.ID), COUNTIFS(ChartLines.ID,ChartLines.ID,   ChartLines.RowNum,"&lt;="&amp;ChartLines.RowNum), "·")</f>
        <v>1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5">
        <f t="shared" ref="H145" si="487" xml:space="preserve"> IF(LEN(ChartLines.Hex6)=6, HEX2DEC(LEFT(ChartLines.Hex6, 2)), "·")</f>
        <v>255</v>
      </c>
      <c r="I145">
        <f t="shared" ref="I145" si="488" xml:space="preserve"> IF(LEN(ChartLines.Hex6)=6, HEX2DEC(MID(ChartLines.Hex6, 3, 2)), "·")</f>
        <v>0</v>
      </c>
      <c r="J145">
        <f t="shared" ref="J145" si="489" xml:space="preserve"> IF(LEN(ChartLines.Hex6)=6, HEX2DEC(RIGHT(ChartLines.Hex6, 2)), "·")</f>
        <v>0</v>
      </c>
      <c r="K145" cm="1">
        <f t="array" ref="K145" xml:space="preserve"> 1 + ROW() - _xlfn.SINGLE(ROW(ChartLines.RowNum))</f>
        <v>143</v>
      </c>
    </row>
    <row r="146" spans="2:11" x14ac:dyDescent="0.2">
      <c r="B146" t="s">
        <v>1924</v>
      </c>
      <c r="C146" t="s">
        <v>1851</v>
      </c>
      <c r="E146">
        <f t="shared" ref="E146" si="490" xml:space="preserve"> IF(AND(LEN(ChartLines.ID)&gt;0,"Unused"&lt;&gt;ChartLines.ID), COUNTIFS(ChartLines.ID,ChartLines.ID), "·")</f>
        <v>2</v>
      </c>
      <c r="F146">
        <f t="shared" ref="F146" si="491" xml:space="preserve"> IF(AND(LEN(ChartLines.ID)&gt;0,"Unused"&lt;&gt;ChartLines.ID), COUNTIFS(ChartLines.ID,ChartLines.ID,   ChartLines.RowNum,"&lt;="&amp;ChartLines.RowNum), "·")</f>
        <v>2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6">
        <f t="shared" ref="H146" si="492" xml:space="preserve"> IF(LEN(ChartLines.Hex6)=6, HEX2DEC(LEFT(ChartLines.Hex6, 2)), "·")</f>
        <v>255</v>
      </c>
      <c r="I146">
        <f t="shared" ref="I146" si="493" xml:space="preserve"> IF(LEN(ChartLines.Hex6)=6, HEX2DEC(MID(ChartLines.Hex6, 3, 2)), "·")</f>
        <v>255</v>
      </c>
      <c r="J146">
        <f t="shared" ref="J146" si="494" xml:space="preserve"> IF(LEN(ChartLines.Hex6)=6, HEX2DEC(RIGHT(ChartLines.Hex6, 2)), "·")</f>
        <v>255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2168</v>
      </c>
      <c r="C147" t="s">
        <v>1925</v>
      </c>
      <c r="E147">
        <f t="shared" ref="E147" si="495" xml:space="preserve"> IF(AND(LEN(ChartLines.ID)&gt;0,"Unused"&lt;&gt;ChartLines.ID), COUNTIFS(ChartLines.ID,ChartLines.ID), "·")</f>
        <v>2</v>
      </c>
      <c r="F147">
        <f t="shared" ref="F147" si="496" xml:space="preserve"> IF(AND(LEN(ChartLines.ID)&gt;0,"Unused"&lt;&gt;ChartLines.ID), COUNTIFS(ChartLines.ID,ChartLines.ID,   ChartLines.RowNum,"&lt;="&amp;ChartLines.RowNum), "·")</f>
        <v>1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7">
        <f t="shared" ref="H147" si="497" xml:space="preserve"> IF(LEN(ChartLines.Hex6)=6, HEX2DEC(LEFT(ChartLines.Hex6, 2)), "·")</f>
        <v>207</v>
      </c>
      <c r="I147">
        <f t="shared" ref="I147" si="498" xml:space="preserve"> IF(LEN(ChartLines.Hex6)=6, HEX2DEC(MID(ChartLines.Hex6, 3, 2)), "·")</f>
        <v>16</v>
      </c>
      <c r="J147">
        <f t="shared" ref="J147" si="499" xml:space="preserve"> IF(LEN(ChartLines.Hex6)=6, HEX2DEC(RIGHT(ChartLines.Hex6, 2)), "·")</f>
        <v>26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2168</v>
      </c>
      <c r="C148" t="s">
        <v>1851</v>
      </c>
      <c r="E148">
        <f t="shared" ref="E148" si="500" xml:space="preserve"> IF(AND(LEN(ChartLines.ID)&gt;0,"Unused"&lt;&gt;ChartLines.ID), COUNTIFS(ChartLines.ID,ChartLines.ID), "·")</f>
        <v>2</v>
      </c>
      <c r="F148">
        <f t="shared" ref="F148" si="501" xml:space="preserve"> IF(AND(LEN(ChartLines.ID)&gt;0,"Unused"&lt;&gt;ChartLines.ID), COUNTIFS(ChartLines.ID,ChartLines.ID,   ChartLines.RowNum,"&lt;="&amp;ChartLines.RowNum), "·")</f>
        <v>2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8">
        <f t="shared" ref="H148" si="502" xml:space="preserve"> IF(LEN(ChartLines.Hex6)=6, HEX2DEC(LEFT(ChartLines.Hex6, 2)), "·")</f>
        <v>255</v>
      </c>
      <c r="I148">
        <f t="shared" ref="I148" si="503" xml:space="preserve"> IF(LEN(ChartLines.Hex6)=6, HEX2DEC(MID(ChartLines.Hex6, 3, 2)), "·")</f>
        <v>255</v>
      </c>
      <c r="J148">
        <f t="shared" ref="J148" si="504" xml:space="preserve"> IF(LEN(ChartLines.Hex6)=6, HEX2DEC(RIGHT(ChartLines.Hex6, 2)), "·")</f>
        <v>255</v>
      </c>
      <c r="K148" cm="1">
        <f t="array" ref="K148" xml:space="preserve"> 1 + ROW() - _xlfn.SINGLE(ROW(ChartLines.RowNum))</f>
        <v>146</v>
      </c>
    </row>
    <row r="149" spans="2:11" x14ac:dyDescent="0.2">
      <c r="B149" t="s">
        <v>408</v>
      </c>
      <c r="C149" t="s">
        <v>2091</v>
      </c>
      <c r="E149">
        <f t="shared" ref="E149" si="505" xml:space="preserve"> IF(AND(LEN(ChartLines.ID)&gt;0,"Unused"&lt;&gt;ChartLines.ID), COUNTIFS(ChartLines.ID,ChartLines.ID), "·")</f>
        <v>2</v>
      </c>
      <c r="F149">
        <f t="shared" ref="F149" si="506" xml:space="preserve"> IF(AND(LEN(ChartLines.ID)&gt;0,"Unused"&lt;&gt;ChartLines.ID), COUNTIFS(ChartLines.ID,ChartLines.ID,   ChartLines.RowNum,"&lt;="&amp;ChartLines.RowNum), "·")</f>
        <v>1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9">
        <f t="shared" ref="H149" si="507" xml:space="preserve"> IF(LEN(ChartLines.Hex6)=6, HEX2DEC(LEFT(ChartLines.Hex6, 2)), "·")</f>
        <v>106</v>
      </c>
      <c r="I149">
        <f t="shared" ref="I149" si="508" xml:space="preserve"> IF(LEN(ChartLines.Hex6)=6, HEX2DEC(MID(ChartLines.Hex6, 3, 2)), "·")</f>
        <v>87</v>
      </c>
      <c r="J149">
        <f t="shared" ref="J149" si="509" xml:space="preserve"> IF(LEN(ChartLines.Hex6)=6, HEX2DEC(RIGHT(ChartLines.Hex6, 2)), "·")</f>
        <v>27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408</v>
      </c>
      <c r="C150" t="s">
        <v>2082</v>
      </c>
      <c r="E150">
        <f t="shared" ref="E150" si="510" xml:space="preserve"> IF(AND(LEN(ChartLines.ID)&gt;0,"Unused"&lt;&gt;ChartLines.ID), COUNTIFS(ChartLines.ID,ChartLines.ID), "·")</f>
        <v>2</v>
      </c>
      <c r="F150">
        <f t="shared" ref="F150" si="511" xml:space="preserve"> IF(AND(LEN(ChartLines.ID)&gt;0,"Unused"&lt;&gt;ChartLines.ID), COUNTIFS(ChartLines.ID,ChartLines.ID,   ChartLines.RowNum,"&lt;="&amp;ChartLines.RowNum), "·")</f>
        <v>2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0">
        <f t="shared" ref="H150" si="512" xml:space="preserve"> IF(LEN(ChartLines.Hex6)=6, HEX2DEC(LEFT(ChartLines.Hex6, 2)), "·")</f>
        <v>212</v>
      </c>
      <c r="I150">
        <f t="shared" ref="I150" si="513" xml:space="preserve"> IF(LEN(ChartLines.Hex6)=6, HEX2DEC(MID(ChartLines.Hex6, 3, 2)), "·")</f>
        <v>175</v>
      </c>
      <c r="J150">
        <f t="shared" ref="J150" si="514" xml:space="preserve"> IF(LEN(ChartLines.Hex6)=6, HEX2DEC(RIGHT(ChartLines.Hex6, 2)), "·")</f>
        <v>55</v>
      </c>
      <c r="K150" cm="1">
        <f t="array" ref="K150" xml:space="preserve"> 1 + ROW() - _xlfn.SINGLE(ROW(ChartLines.RowNum))</f>
        <v>148</v>
      </c>
    </row>
    <row r="151" spans="2:11" x14ac:dyDescent="0.2">
      <c r="E151" t="str">
        <f t="shared" ref="E151" si="515" xml:space="preserve"> IF(AND(LEN(ChartLines.ID)&gt;0,"Unused"&lt;&gt;ChartLines.ID), COUNTIFS(ChartLines.ID,ChartLines.ID), "·")</f>
        <v>·</v>
      </c>
      <c r="F151" t="str">
        <f t="shared" ref="F151" si="516" xml:space="preserve"> IF(AND(LEN(ChartLines.ID)&gt;0,"Unused"&lt;&gt;ChartLines.ID), COUNTIFS(ChartLines.ID,ChartLines.ID,   ChartLines.RowNum,"&lt;="&amp;ChartLines.RowNum), "·")</f>
        <v>·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51" t="str">
        <f t="shared" ref="H151" si="517" xml:space="preserve"> IF(LEN(ChartLines.Hex6)=6, HEX2DEC(LEFT(ChartLines.Hex6, 2)), "·")</f>
        <v>·</v>
      </c>
      <c r="I151" t="str">
        <f t="shared" ref="I151" si="518" xml:space="preserve"> IF(LEN(ChartLines.Hex6)=6, HEX2DEC(MID(ChartLines.Hex6, 3, 2)), "·")</f>
        <v>·</v>
      </c>
      <c r="J151" t="str">
        <f t="shared" ref="J151" si="519" xml:space="preserve"> IF(LEN(ChartLines.Hex6)=6, HEX2DEC(RIGHT(ChartLines.Hex6, 2)), "·")</f>
        <v>·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134</v>
      </c>
      <c r="C152" t="s">
        <v>1926</v>
      </c>
      <c r="E152">
        <f t="shared" ref="E152" si="520" xml:space="preserve"> IF(AND(LEN(ChartLines.ID)&gt;0,"Unused"&lt;&gt;ChartLines.ID), COUNTIFS(ChartLines.ID,ChartLines.ID), "·")</f>
        <v>1</v>
      </c>
      <c r="F152">
        <f t="shared" ref="F152" si="52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52">
        <f t="shared" ref="H152" si="522" xml:space="preserve"> IF(LEN(ChartLines.Hex6)=6, HEX2DEC(LEFT(ChartLines.Hex6, 2)), "·")</f>
        <v>227</v>
      </c>
      <c r="I152">
        <f t="shared" ref="I152" si="523" xml:space="preserve"> IF(LEN(ChartLines.Hex6)=6, HEX2DEC(MID(ChartLines.Hex6, 3, 2)), "·")</f>
        <v>10</v>
      </c>
      <c r="J152">
        <f t="shared" ref="J152" si="524" xml:space="preserve"> IF(LEN(ChartLines.Hex6)=6, HEX2DEC(RIGHT(ChartLines.Hex6, 2)), "·")</f>
        <v>23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1847</v>
      </c>
      <c r="E153" t="str">
        <f t="shared" ref="E153" si="525" xml:space="preserve"> IF(AND(LEN(ChartLines.ID)&gt;0,"Unused"&lt;&gt;ChartLines.ID), COUNTIFS(ChartLines.ID,ChartLines.ID), "·")</f>
        <v>·</v>
      </c>
      <c r="F153" t="str">
        <f t="shared" ref="F153" si="526" xml:space="preserve"> IF(AND(LEN(ChartLines.ID)&gt;0,"Unused"&lt;&gt;ChartLines.ID), COUNTIFS(ChartLines.ID,ChartLines.ID,   ChartLines.RowNum,"&lt;="&amp;ChartLines.RowNum), "·")</f>
        <v>·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53" t="str">
        <f t="shared" ref="H153" si="527" xml:space="preserve"> IF(LEN(ChartLines.Hex6)=6, HEX2DEC(LEFT(ChartLines.Hex6, 2)), "·")</f>
        <v>·</v>
      </c>
      <c r="I153" t="str">
        <f t="shared" ref="I153" si="528" xml:space="preserve"> IF(LEN(ChartLines.Hex6)=6, HEX2DEC(MID(ChartLines.Hex6, 3, 2)), "·")</f>
        <v>·</v>
      </c>
      <c r="J153" t="str">
        <f t="shared" ref="J153" si="529" xml:space="preserve"> IF(LEN(ChartLines.Hex6)=6, HEX2DEC(RIGHT(ChartLines.Hex6, 2)), "·")</f>
        <v>·</v>
      </c>
      <c r="K153" cm="1">
        <f t="array" ref="K153" xml:space="preserve"> 1 + ROW() - _xlfn.SINGLE(ROW(ChartLines.RowNum))</f>
        <v>151</v>
      </c>
    </row>
    <row r="154" spans="2:11" x14ac:dyDescent="0.2">
      <c r="B154" t="s">
        <v>167</v>
      </c>
      <c r="C154" t="str">
        <f xml:space="preserve"> "009639"</f>
        <v>009639</v>
      </c>
      <c r="E154">
        <f t="shared" ref="E154" si="530" xml:space="preserve"> IF(AND(LEN(ChartLines.ID)&gt;0,"Unused"&lt;&gt;ChartLines.ID), COUNTIFS(ChartLines.ID,ChartLines.ID), "·")</f>
        <v>2</v>
      </c>
      <c r="F154">
        <f t="shared" ref="F154" si="53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532" xml:space="preserve"> IF(LEN(ChartLines.Hex6)=6, HEX2DEC(LEFT(ChartLines.Hex6, 2)), "·")</f>
        <v>0</v>
      </c>
      <c r="I154">
        <f t="shared" ref="I154" si="533" xml:space="preserve"> IF(LEN(ChartLines.Hex6)=6, HEX2DEC(MID(ChartLines.Hex6, 3, 2)), "·")</f>
        <v>150</v>
      </c>
      <c r="J154">
        <f t="shared" ref="J154" si="534" xml:space="preserve"> IF(LEN(ChartLines.Hex6)=6, HEX2DEC(RIGHT(ChartLines.Hex6, 2)), "·")</f>
        <v>57</v>
      </c>
      <c r="K154" cm="1">
        <f t="array" ref="K154" xml:space="preserve"> 1 + ROW() - _xlfn.SINGLE(ROW(ChartLines.RowNum))</f>
        <v>152</v>
      </c>
    </row>
    <row r="155" spans="2:11" x14ac:dyDescent="0.2">
      <c r="B155" t="s">
        <v>167</v>
      </c>
      <c r="C155" t="s">
        <v>1851</v>
      </c>
      <c r="E155">
        <f t="shared" ref="E155" si="535" xml:space="preserve"> IF(AND(LEN(ChartLines.ID)&gt;0,"Unused"&lt;&gt;ChartLines.ID), COUNTIFS(ChartLines.ID,ChartLines.ID), "·")</f>
        <v>2</v>
      </c>
      <c r="F155">
        <f t="shared" ref="F155" si="53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537" xml:space="preserve"> IF(LEN(ChartLines.Hex6)=6, HEX2DEC(LEFT(ChartLines.Hex6, 2)), "·")</f>
        <v>255</v>
      </c>
      <c r="I155">
        <f t="shared" ref="I155" si="538" xml:space="preserve"> IF(LEN(ChartLines.Hex6)=6, HEX2DEC(MID(ChartLines.Hex6, 3, 2)), "·")</f>
        <v>255</v>
      </c>
      <c r="J155">
        <f t="shared" ref="J155" si="539" xml:space="preserve"> IF(LEN(ChartLines.Hex6)=6, HEX2DEC(RIGHT(ChartLines.Hex6, 2)), "·")</f>
        <v>255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460</v>
      </c>
      <c r="C156" t="str">
        <f xml:space="preserve"> "009639"</f>
        <v>009639</v>
      </c>
      <c r="E156">
        <f t="shared" ref="E156" si="540" xml:space="preserve"> IF(AND(LEN(ChartLines.ID)&gt;0,"Unused"&lt;&gt;ChartLines.ID), COUNTIFS(ChartLines.ID,ChartLines.ID), "·")</f>
        <v>2</v>
      </c>
      <c r="F156">
        <f t="shared" ref="F156" si="54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542" xml:space="preserve"> IF(LEN(ChartLines.Hex6)=6, HEX2DEC(LEFT(ChartLines.Hex6, 2)), "·")</f>
        <v>0</v>
      </c>
      <c r="I156">
        <f t="shared" ref="I156" si="543" xml:space="preserve"> IF(LEN(ChartLines.Hex6)=6, HEX2DEC(MID(ChartLines.Hex6, 3, 2)), "·")</f>
        <v>150</v>
      </c>
      <c r="J156">
        <f t="shared" ref="J156" si="544" xml:space="preserve"> IF(LEN(ChartLines.Hex6)=6, HEX2DEC(RIGHT(ChartLines.Hex6, 2)), "·")</f>
        <v>57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460</v>
      </c>
      <c r="C157" t="s">
        <v>1849</v>
      </c>
      <c r="E157">
        <f t="shared" ref="E157:E159" si="545" xml:space="preserve"> IF(AND(LEN(ChartLines.ID)&gt;0,"Unused"&lt;&gt;ChartLines.ID), COUNTIFS(ChartLines.ID,ChartLines.ID), "·")</f>
        <v>2</v>
      </c>
      <c r="F157">
        <f t="shared" ref="F157:F159" si="54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:H159" si="547" xml:space="preserve"> IF(LEN(ChartLines.Hex6)=6, HEX2DEC(LEFT(ChartLines.Hex6, 2)), "·")</f>
        <v>239</v>
      </c>
      <c r="I157">
        <f t="shared" ref="I157:I159" si="548" xml:space="preserve"> IF(LEN(ChartLines.Hex6)=6, HEX2DEC(MID(ChartLines.Hex6, 3, 2)), "·")</f>
        <v>51</v>
      </c>
      <c r="J157">
        <f t="shared" ref="J157:J159" si="549" xml:space="preserve"> IF(LEN(ChartLines.Hex6)=6, HEX2DEC(RIGHT(ChartLines.Hex6, 2)), "·")</f>
        <v>64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1992</v>
      </c>
      <c r="C158" t="s">
        <v>1856</v>
      </c>
      <c r="E158">
        <f t="shared" si="545"/>
        <v>2</v>
      </c>
      <c r="F158">
        <f t="shared" si="546"/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si="547"/>
        <v>200</v>
      </c>
      <c r="I158">
        <f t="shared" si="548"/>
        <v>16</v>
      </c>
      <c r="J158">
        <f t="shared" si="549"/>
        <v>46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1992</v>
      </c>
      <c r="C159" t="s">
        <v>1993</v>
      </c>
      <c r="E159">
        <f t="shared" si="545"/>
        <v>2</v>
      </c>
      <c r="F159">
        <f t="shared" si="546"/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si="547"/>
        <v>255</v>
      </c>
      <c r="I159">
        <f t="shared" si="548"/>
        <v>215</v>
      </c>
      <c r="J159">
        <f t="shared" si="549"/>
        <v>0</v>
      </c>
      <c r="K159" cm="1">
        <f t="array" ref="K159" xml:space="preserve"> 1 + ROW() - _xlfn.SINGLE(ROW(ChartLines.RowNum))</f>
        <v>157</v>
      </c>
    </row>
    <row r="160" spans="2:11" x14ac:dyDescent="0.2">
      <c r="B160" t="s">
        <v>474</v>
      </c>
      <c r="C160" t="s">
        <v>1927</v>
      </c>
      <c r="E160">
        <f t="shared" ref="E160" si="550" xml:space="preserve"> IF(AND(LEN(ChartLines.ID)&gt;0,"Unused"&lt;&gt;ChartLines.ID), COUNTIFS(ChartLines.ID,ChartLines.ID), "·")</f>
        <v>2</v>
      </c>
      <c r="F160">
        <f t="shared" ref="F160" si="55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552" xml:space="preserve"> IF(LEN(ChartLines.Hex6)=6, HEX2DEC(LEFT(ChartLines.Hex6, 2)), "·")</f>
        <v>108</v>
      </c>
      <c r="I160">
        <f t="shared" ref="I160" si="553" xml:space="preserve"> IF(LEN(ChartLines.Hex6)=6, HEX2DEC(MID(ChartLines.Hex6, 3, 2)), "·")</f>
        <v>29</v>
      </c>
      <c r="J160">
        <f t="shared" ref="J160" si="554" xml:space="preserve"> IF(LEN(ChartLines.Hex6)=6, HEX2DEC(RIGHT(ChartLines.Hex6, 2)), "·")</f>
        <v>69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474</v>
      </c>
      <c r="C161" t="s">
        <v>1851</v>
      </c>
      <c r="E161">
        <f t="shared" ref="E161" si="555" xml:space="preserve"> IF(AND(LEN(ChartLines.ID)&gt;0,"Unused"&lt;&gt;ChartLines.ID), COUNTIFS(ChartLines.ID,ChartLines.ID), "·")</f>
        <v>2</v>
      </c>
      <c r="F161">
        <f t="shared" ref="F161" si="55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557" xml:space="preserve"> IF(LEN(ChartLines.Hex6)=6, HEX2DEC(LEFT(ChartLines.Hex6, 2)), "·")</f>
        <v>255</v>
      </c>
      <c r="I161">
        <f t="shared" ref="I161" si="558" xml:space="preserve"> IF(LEN(ChartLines.Hex6)=6, HEX2DEC(MID(ChartLines.Hex6, 3, 2)), "·")</f>
        <v>255</v>
      </c>
      <c r="J161">
        <f t="shared" ref="J161" si="559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1928</v>
      </c>
      <c r="C162" t="str">
        <f xml:space="preserve"> "000000"</f>
        <v>000000</v>
      </c>
      <c r="E162">
        <f t="shared" ref="E162" si="560" xml:space="preserve"> IF(AND(LEN(ChartLines.ID)&gt;0,"Unused"&lt;&gt;ChartLines.ID), COUNTIFS(ChartLines.ID,ChartLines.ID), "·")</f>
        <v>2</v>
      </c>
      <c r="F162">
        <f t="shared" ref="F162" si="561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562" xml:space="preserve"> IF(LEN(ChartLines.Hex6)=6, HEX2DEC(LEFT(ChartLines.Hex6, 2)), "·")</f>
        <v>0</v>
      </c>
      <c r="I162">
        <f t="shared" ref="I162" si="563" xml:space="preserve"> IF(LEN(ChartLines.Hex6)=6, HEX2DEC(MID(ChartLines.Hex6, 3, 2)), "·")</f>
        <v>0</v>
      </c>
      <c r="J162">
        <f t="shared" ref="J162" si="564" xml:space="preserve"> IF(LEN(ChartLines.Hex6)=6, HEX2DEC(RIGHT(ChartLines.Hex6, 2)), "·")</f>
        <v>0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1928</v>
      </c>
      <c r="C163" t="s">
        <v>1929</v>
      </c>
      <c r="E163">
        <f t="shared" ref="E163:E165" si="565" xml:space="preserve"> IF(AND(LEN(ChartLines.ID)&gt;0,"Unused"&lt;&gt;ChartLines.ID), COUNTIFS(ChartLines.ID,ChartLines.ID), "·")</f>
        <v>2</v>
      </c>
      <c r="F163">
        <f t="shared" ref="F163:F165" si="566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:H165" si="567" xml:space="preserve"> IF(LEN(ChartLines.Hex6)=6, HEX2DEC(LEFT(ChartLines.Hex6, 2)), "·")</f>
        <v>206</v>
      </c>
      <c r="I163">
        <f t="shared" ref="I163:I165" si="568" xml:space="preserve"> IF(LEN(ChartLines.Hex6)=6, HEX2DEC(MID(ChartLines.Hex6, 3, 2)), "·")</f>
        <v>17</v>
      </c>
      <c r="J163">
        <f t="shared" ref="J163:J165" si="569" xml:space="preserve"> IF(LEN(ChartLines.Hex6)=6, HEX2DEC(RIGHT(ChartLines.Hex6, 2)), "·")</f>
        <v>38</v>
      </c>
      <c r="K163" cm="1">
        <f t="array" ref="K163" xml:space="preserve"> 1 + ROW() - _xlfn.SINGLE(ROW(ChartLines.RowNum))</f>
        <v>161</v>
      </c>
    </row>
    <row r="164" spans="2:11" x14ac:dyDescent="0.2">
      <c r="B164" t="s">
        <v>2040</v>
      </c>
      <c r="C164" t="s">
        <v>2039</v>
      </c>
      <c r="E164">
        <f t="shared" si="565"/>
        <v>2</v>
      </c>
      <c r="F164">
        <f t="shared" si="566"/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si="567"/>
        <v>196</v>
      </c>
      <c r="I164">
        <f t="shared" si="568"/>
        <v>156</v>
      </c>
      <c r="J164">
        <f t="shared" si="569"/>
        <v>91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2040</v>
      </c>
      <c r="C165" t="str">
        <f xml:space="preserve"> "000000"</f>
        <v>000000</v>
      </c>
      <c r="E165">
        <f t="shared" si="565"/>
        <v>2</v>
      </c>
      <c r="F165">
        <f t="shared" si="566"/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si="567"/>
        <v>0</v>
      </c>
      <c r="I165">
        <f t="shared" si="568"/>
        <v>0</v>
      </c>
      <c r="J165">
        <f t="shared" si="569"/>
        <v>0</v>
      </c>
      <c r="K165" cm="1">
        <f t="array" ref="K165" xml:space="preserve"> 1 + ROW() - _xlfn.SINGLE(ROW(ChartLines.RowNum))</f>
        <v>163</v>
      </c>
    </row>
    <row r="166" spans="2:11" x14ac:dyDescent="0.2">
      <c r="B166" t="s">
        <v>492</v>
      </c>
      <c r="C166" t="s">
        <v>1929</v>
      </c>
      <c r="E166">
        <f t="shared" ref="E166" si="570" xml:space="preserve"> IF(AND(LEN(ChartLines.ID)&gt;0,"Unused"&lt;&gt;ChartLines.ID), COUNTIFS(ChartLines.ID,ChartLines.ID), "·")</f>
        <v>2</v>
      </c>
      <c r="F166">
        <f t="shared" ref="F166" si="571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572" xml:space="preserve"> IF(LEN(ChartLines.Hex6)=6, HEX2DEC(LEFT(ChartLines.Hex6, 2)), "·")</f>
        <v>206</v>
      </c>
      <c r="I166">
        <f t="shared" ref="I166" si="573" xml:space="preserve"> IF(LEN(ChartLines.Hex6)=6, HEX2DEC(MID(ChartLines.Hex6, 3, 2)), "·")</f>
        <v>17</v>
      </c>
      <c r="J166">
        <f t="shared" ref="J166" si="574" xml:space="preserve"> IF(LEN(ChartLines.Hex6)=6, HEX2DEC(RIGHT(ChartLines.Hex6, 2)), "·")</f>
        <v>38</v>
      </c>
      <c r="K166" cm="1">
        <f t="array" ref="K166" xml:space="preserve"> 1 + ROW() - _xlfn.SINGLE(ROW(ChartLines.RowNum))</f>
        <v>164</v>
      </c>
    </row>
    <row r="167" spans="2:11" x14ac:dyDescent="0.2">
      <c r="B167" t="s">
        <v>492</v>
      </c>
      <c r="C167" t="str">
        <f xml:space="preserve"> "000000"</f>
        <v>000000</v>
      </c>
      <c r="E167">
        <f t="shared" ref="E167" si="575" xml:space="preserve"> IF(AND(LEN(ChartLines.ID)&gt;0,"Unused"&lt;&gt;ChartLines.ID), COUNTIFS(ChartLines.ID,ChartLines.ID), "·")</f>
        <v>2</v>
      </c>
      <c r="F167">
        <f t="shared" ref="F167" si="576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577" xml:space="preserve"> IF(LEN(ChartLines.Hex6)=6, HEX2DEC(LEFT(ChartLines.Hex6, 2)), "·")</f>
        <v>0</v>
      </c>
      <c r="I167">
        <f t="shared" ref="I167" si="578" xml:space="preserve"> IF(LEN(ChartLines.Hex6)=6, HEX2DEC(MID(ChartLines.Hex6, 3, 2)), "·")</f>
        <v>0</v>
      </c>
      <c r="J167">
        <f t="shared" ref="J167" si="579" xml:space="preserve"> IF(LEN(ChartLines.Hex6)=6, HEX2DEC(RIGHT(ChartLines.Hex6, 2)), "·")</f>
        <v>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168</v>
      </c>
      <c r="C168" t="s">
        <v>1849</v>
      </c>
      <c r="E168">
        <f t="shared" ref="E168" si="580" xml:space="preserve"> IF(AND(LEN(ChartLines.ID)&gt;0,"Unused"&lt;&gt;ChartLines.ID), COUNTIFS(ChartLines.ID,ChartLines.ID), "·")</f>
        <v>2</v>
      </c>
      <c r="F168">
        <f t="shared" ref="F168" si="581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582" xml:space="preserve"> IF(LEN(ChartLines.Hex6)=6, HEX2DEC(LEFT(ChartLines.Hex6, 2)), "·")</f>
        <v>239</v>
      </c>
      <c r="I168">
        <f t="shared" ref="I168" si="583" xml:space="preserve"> IF(LEN(ChartLines.Hex6)=6, HEX2DEC(MID(ChartLines.Hex6, 3, 2)), "·")</f>
        <v>51</v>
      </c>
      <c r="J168">
        <f t="shared" ref="J168" si="584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168</v>
      </c>
      <c r="C169" t="str">
        <f xml:space="preserve"> "009639"</f>
        <v>009639</v>
      </c>
      <c r="E169">
        <f t="shared" ref="E169" si="585" xml:space="preserve"> IF(AND(LEN(ChartLines.ID)&gt;0,"Unused"&lt;&gt;ChartLines.ID), COUNTIFS(ChartLines.ID,ChartLines.ID), "·")</f>
        <v>2</v>
      </c>
      <c r="F169">
        <f t="shared" ref="F169" si="586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587" xml:space="preserve"> IF(LEN(ChartLines.Hex6)=6, HEX2DEC(LEFT(ChartLines.Hex6, 2)), "·")</f>
        <v>0</v>
      </c>
      <c r="I169">
        <f t="shared" ref="I169" si="588" xml:space="preserve"> IF(LEN(ChartLines.Hex6)=6, HEX2DEC(MID(ChartLines.Hex6, 3, 2)), "·")</f>
        <v>150</v>
      </c>
      <c r="J169">
        <f t="shared" ref="J169" si="589" xml:space="preserve"> IF(LEN(ChartLines.Hex6)=6, HEX2DEC(RIGHT(ChartLines.Hex6, 2)), "·")</f>
        <v>57</v>
      </c>
      <c r="K169" cm="1">
        <f t="array" ref="K169" xml:space="preserve"> 1 + ROW() - _xlfn.SINGLE(ROW(ChartLines.RowNum))</f>
        <v>167</v>
      </c>
    </row>
    <row r="170" spans="2:11" x14ac:dyDescent="0.2">
      <c r="B170" t="s">
        <v>1930</v>
      </c>
      <c r="C170" t="str">
        <f xml:space="preserve"> "000000"</f>
        <v>000000</v>
      </c>
      <c r="E170">
        <f t="shared" ref="E170" si="590" xml:space="preserve"> IF(AND(LEN(ChartLines.ID)&gt;0,"Unused"&lt;&gt;ChartLines.ID), COUNTIFS(ChartLines.ID,ChartLines.ID), "·")</f>
        <v>2</v>
      </c>
      <c r="F170">
        <f t="shared" ref="F170" si="591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592" xml:space="preserve"> IF(LEN(ChartLines.Hex6)=6, HEX2DEC(LEFT(ChartLines.Hex6, 2)), "·")</f>
        <v>0</v>
      </c>
      <c r="I170">
        <f t="shared" ref="I170" si="593" xml:space="preserve"> IF(LEN(ChartLines.Hex6)=6, HEX2DEC(MID(ChartLines.Hex6, 3, 2)), "·")</f>
        <v>0</v>
      </c>
      <c r="J170">
        <f t="shared" ref="J170" si="594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1930</v>
      </c>
      <c r="C171" t="s">
        <v>1851</v>
      </c>
      <c r="E171">
        <f t="shared" ref="E171" si="595" xml:space="preserve"> IF(AND(LEN(ChartLines.ID)&gt;0,"Unused"&lt;&gt;ChartLines.ID), COUNTIFS(ChartLines.ID,ChartLines.ID), "·")</f>
        <v>2</v>
      </c>
      <c r="F171">
        <f t="shared" ref="F171" si="596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597" xml:space="preserve"> IF(LEN(ChartLines.Hex6)=6, HEX2DEC(LEFT(ChartLines.Hex6, 2)), "·")</f>
        <v>255</v>
      </c>
      <c r="I171">
        <f t="shared" ref="I171" si="598" xml:space="preserve"> IF(LEN(ChartLines.Hex6)=6, HEX2DEC(MID(ChartLines.Hex6, 3, 2)), "·")</f>
        <v>255</v>
      </c>
      <c r="J171">
        <f t="shared" ref="J171" si="599" xml:space="preserve"> IF(LEN(ChartLines.Hex6)=6, HEX2DEC(RIGHT(ChartLines.Hex6, 2)), "·")</f>
        <v>255</v>
      </c>
      <c r="K171" cm="1">
        <f t="array" ref="K171" xml:space="preserve"> 1 + ROW() - _xlfn.SINGLE(ROW(ChartLines.RowNum))</f>
        <v>169</v>
      </c>
    </row>
    <row r="172" spans="2:11" x14ac:dyDescent="0.2">
      <c r="B172" t="s">
        <v>137</v>
      </c>
      <c r="C172" t="s">
        <v>1931</v>
      </c>
      <c r="E172">
        <f t="shared" ref="E172" si="600" xml:space="preserve"> IF(AND(LEN(ChartLines.ID)&gt;0,"Unused"&lt;&gt;ChartLines.ID), COUNTIFS(ChartLines.ID,ChartLines.ID), "·")</f>
        <v>2</v>
      </c>
      <c r="F172">
        <f t="shared" ref="F172" si="601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02" xml:space="preserve"> IF(LEN(ChartLines.Hex6)=6, HEX2DEC(LEFT(ChartLines.Hex6, 2)), "·")</f>
        <v>231</v>
      </c>
      <c r="I172">
        <f t="shared" ref="I172" si="603" xml:space="preserve"> IF(LEN(ChartLines.Hex6)=6, HEX2DEC(MID(ChartLines.Hex6, 3, 2)), "·")</f>
        <v>0</v>
      </c>
      <c r="J172">
        <f t="shared" ref="J172" si="604" xml:space="preserve"> IF(LEN(ChartLines.Hex6)=6, HEX2DEC(RIGHT(ChartLines.Hex6, 2)), "·")</f>
        <v>19</v>
      </c>
      <c r="K172" cm="1">
        <f t="array" ref="K172" xml:space="preserve"> 1 + ROW() - _xlfn.SINGLE(ROW(ChartLines.RowNum))</f>
        <v>170</v>
      </c>
    </row>
    <row r="173" spans="2:11" x14ac:dyDescent="0.2">
      <c r="B173" t="s">
        <v>137</v>
      </c>
      <c r="C173" t="s">
        <v>1851</v>
      </c>
      <c r="E173">
        <f t="shared" ref="E173" si="605" xml:space="preserve"> IF(AND(LEN(ChartLines.ID)&gt;0,"Unused"&lt;&gt;ChartLines.ID), COUNTIFS(ChartLines.ID,ChartLines.ID), "·")</f>
        <v>2</v>
      </c>
      <c r="F173">
        <f t="shared" ref="F173" si="606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07" xml:space="preserve"> IF(LEN(ChartLines.Hex6)=6, HEX2DEC(LEFT(ChartLines.Hex6, 2)), "·")</f>
        <v>255</v>
      </c>
      <c r="I173">
        <f t="shared" ref="I173" si="608" xml:space="preserve"> IF(LEN(ChartLines.Hex6)=6, HEX2DEC(MID(ChartLines.Hex6, 3, 2)), "·")</f>
        <v>255</v>
      </c>
      <c r="J173">
        <f t="shared" ref="J173" si="609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138</v>
      </c>
      <c r="C174" t="str">
        <f xml:space="preserve"> "006233"</f>
        <v>006233</v>
      </c>
      <c r="E174">
        <f t="shared" ref="E174" si="610" xml:space="preserve"> IF(AND(LEN(ChartLines.ID)&gt;0,"Unused"&lt;&gt;ChartLines.ID), COUNTIFS(ChartLines.ID,ChartLines.ID), "·")</f>
        <v>2</v>
      </c>
      <c r="F174">
        <f t="shared" ref="F174" si="611" xml:space="preserve"> IF(AND(LEN(ChartLines.ID)&gt;0,"Unused"&lt;&gt;ChartLines.ID), COUNTIFS(ChartLines.ID,ChartLines.ID,   ChartLines.RowNum,"&lt;="&amp;ChartLines.RowNum), "·")</f>
        <v>1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4">
        <f t="shared" ref="H174" si="612" xml:space="preserve"> IF(LEN(ChartLines.Hex6)=6, HEX2DEC(LEFT(ChartLines.Hex6, 2)), "·")</f>
        <v>0</v>
      </c>
      <c r="I174">
        <f t="shared" ref="I174" si="613" xml:space="preserve"> IF(LEN(ChartLines.Hex6)=6, HEX2DEC(MID(ChartLines.Hex6, 3, 2)), "·")</f>
        <v>98</v>
      </c>
      <c r="J174">
        <f t="shared" ref="J174" si="614" xml:space="preserve"> IF(LEN(ChartLines.Hex6)=6, HEX2DEC(RIGHT(ChartLines.Hex6, 2)), "·")</f>
        <v>51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138</v>
      </c>
      <c r="C175" t="s">
        <v>1932</v>
      </c>
      <c r="E175">
        <f t="shared" ref="E175" si="615" xml:space="preserve"> IF(AND(LEN(ChartLines.ID)&gt;0,"Unused"&lt;&gt;ChartLines.ID), COUNTIFS(ChartLines.ID,ChartLines.ID), "·")</f>
        <v>2</v>
      </c>
      <c r="F175">
        <f t="shared" ref="F175" si="616" xml:space="preserve"> IF(AND(LEN(ChartLines.ID)&gt;0,"Unused"&lt;&gt;ChartLines.ID), COUNTIFS(ChartLines.ID,ChartLines.ID,   ChartLines.RowNum,"&lt;="&amp;ChartLines.RowNum), "·")</f>
        <v>2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5">
        <f t="shared" ref="H175" si="617" xml:space="preserve"> IF(LEN(ChartLines.Hex6)=6, HEX2DEC(LEFT(ChartLines.Hex6, 2)), "·")</f>
        <v>251</v>
      </c>
      <c r="I175">
        <f t="shared" ref="I175" si="618" xml:space="preserve"> IF(LEN(ChartLines.Hex6)=6, HEX2DEC(MID(ChartLines.Hex6, 3, 2)), "·")</f>
        <v>15</v>
      </c>
      <c r="J175">
        <f t="shared" ref="J175" si="619" xml:space="preserve"> IF(LEN(ChartLines.Hex6)=6, HEX2DEC(RIGHT(ChartLines.Hex6, 2)), "·")</f>
        <v>12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1628</v>
      </c>
      <c r="C176" t="str">
        <f xml:space="preserve"> "006633"</f>
        <v>006633</v>
      </c>
      <c r="E176">
        <f t="shared" ref="E176" si="620" xml:space="preserve"> IF(AND(LEN(ChartLines.ID)&gt;0,"Unused"&lt;&gt;ChartLines.ID), COUNTIFS(ChartLines.ID,ChartLines.ID), "·")</f>
        <v>2</v>
      </c>
      <c r="F176">
        <f t="shared" ref="F176" si="621" xml:space="preserve"> IF(AND(LEN(ChartLines.ID)&gt;0,"Unused"&lt;&gt;ChartLines.ID), COUNTIFS(ChartLines.ID,ChartLines.ID,   ChartLines.RowNum,"&lt;="&amp;ChartLines.RowNum), "·")</f>
        <v>1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6">
        <f t="shared" ref="H176" si="622" xml:space="preserve"> IF(LEN(ChartLines.Hex6)=6, HEX2DEC(LEFT(ChartLines.Hex6, 2)), "·")</f>
        <v>0</v>
      </c>
      <c r="I176">
        <f t="shared" ref="I176" si="623" xml:space="preserve"> IF(LEN(ChartLines.Hex6)=6, HEX2DEC(MID(ChartLines.Hex6, 3, 2)), "·")</f>
        <v>102</v>
      </c>
      <c r="J176">
        <f t="shared" ref="J176" si="624" xml:space="preserve"> IF(LEN(ChartLines.Hex6)=6, HEX2DEC(RIGHT(ChartLines.Hex6, 2)), "·")</f>
        <v>51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1628</v>
      </c>
      <c r="C177" t="s">
        <v>1851</v>
      </c>
      <c r="E177">
        <f t="shared" ref="E177" si="625" xml:space="preserve"> IF(AND(LEN(ChartLines.ID)&gt;0,"Unused"&lt;&gt;ChartLines.ID), COUNTIFS(ChartLines.ID,ChartLines.ID), "·")</f>
        <v>2</v>
      </c>
      <c r="F177">
        <f t="shared" ref="F177" si="626" xml:space="preserve"> IF(AND(LEN(ChartLines.ID)&gt;0,"Unused"&lt;&gt;ChartLines.ID), COUNTIFS(ChartLines.ID,ChartLines.ID,   ChartLines.RowNum,"&lt;="&amp;ChartLines.RowNum), "·")</f>
        <v>2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7">
        <f t="shared" ref="H177" si="627" xml:space="preserve"> IF(LEN(ChartLines.Hex6)=6, HEX2DEC(LEFT(ChartLines.Hex6, 2)), "·")</f>
        <v>255</v>
      </c>
      <c r="I177">
        <f t="shared" ref="I177" si="628" xml:space="preserve"> IF(LEN(ChartLines.Hex6)=6, HEX2DEC(MID(ChartLines.Hex6, 3, 2)), "·")</f>
        <v>255</v>
      </c>
      <c r="J177">
        <f t="shared" ref="J177" si="629" xml:space="preserve"> IF(LEN(ChartLines.Hex6)=6, HEX2DEC(RIGHT(ChartLines.Hex6, 2)), "·")</f>
        <v>255</v>
      </c>
      <c r="K177" cm="1">
        <f t="array" ref="K177" xml:space="preserve"> 1 + ROW() - _xlfn.SINGLE(ROW(ChartLines.RowNum))</f>
        <v>175</v>
      </c>
    </row>
    <row r="178" spans="2:11" x14ac:dyDescent="0.2">
      <c r="B178" t="s">
        <v>493</v>
      </c>
      <c r="C178" t="s">
        <v>1933</v>
      </c>
      <c r="E178">
        <f t="shared" ref="E178" si="630" xml:space="preserve"> IF(AND(LEN(ChartLines.ID)&gt;0,"Unused"&lt;&gt;ChartLines.ID), COUNTIFS(ChartLines.ID,ChartLines.ID), "·")</f>
        <v>2</v>
      </c>
      <c r="F178">
        <f t="shared" ref="F178" si="631" xml:space="preserve"> IF(AND(LEN(ChartLines.ID)&gt;0,"Unused"&lt;&gt;ChartLines.ID), COUNTIFS(ChartLines.ID,ChartLines.ID,   ChartLines.RowNum,"&lt;="&amp;ChartLines.RowNum), "·")</f>
        <v>1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8">
        <f t="shared" ref="H178" si="632" xml:space="preserve"> IF(LEN(ChartLines.Hex6)=6, HEX2DEC(LEFT(ChartLines.Hex6, 2)), "·")</f>
        <v>35</v>
      </c>
      <c r="I178">
        <f t="shared" ref="I178" si="633" xml:space="preserve"> IF(LEN(ChartLines.Hex6)=6, HEX2DEC(MID(ChartLines.Hex6, 3, 2)), "·")</f>
        <v>159</v>
      </c>
      <c r="J178">
        <f t="shared" ref="J178" si="634" xml:space="preserve"> IF(LEN(ChartLines.Hex6)=6, HEX2DEC(RIGHT(ChartLines.Hex6, 2)), "·")</f>
        <v>64</v>
      </c>
      <c r="K178" cm="1">
        <f t="array" ref="K178" xml:space="preserve"> 1 + ROW() - _xlfn.SINGLE(ROW(ChartLines.RowNum))</f>
        <v>176</v>
      </c>
    </row>
    <row r="179" spans="2:11" x14ac:dyDescent="0.2">
      <c r="B179" t="s">
        <v>493</v>
      </c>
      <c r="C179" t="s">
        <v>1851</v>
      </c>
      <c r="E179">
        <f t="shared" ref="E179" si="635" xml:space="preserve"> IF(AND(LEN(ChartLines.ID)&gt;0,"Unused"&lt;&gt;ChartLines.ID), COUNTIFS(ChartLines.ID,ChartLines.ID), "·")</f>
        <v>2</v>
      </c>
      <c r="F179">
        <f t="shared" ref="F179" si="636" xml:space="preserve"> IF(AND(LEN(ChartLines.ID)&gt;0,"Unused"&lt;&gt;ChartLines.ID), COUNTIFS(ChartLines.ID,ChartLines.ID,   ChartLines.RowNum,"&lt;="&amp;ChartLines.RowNum), "·")</f>
        <v>2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9">
        <f t="shared" ref="H179" si="637" xml:space="preserve"> IF(LEN(ChartLines.Hex6)=6, HEX2DEC(LEFT(ChartLines.Hex6, 2)), "·")</f>
        <v>255</v>
      </c>
      <c r="I179">
        <f t="shared" ref="I179" si="638" xml:space="preserve"> IF(LEN(ChartLines.Hex6)=6, HEX2DEC(MID(ChartLines.Hex6, 3, 2)), "·")</f>
        <v>255</v>
      </c>
      <c r="J179">
        <f t="shared" ref="J179" si="639" xml:space="preserve"> IF(LEN(ChartLines.Hex6)=6, HEX2DEC(RIGHT(ChartLines.Hex6, 2)), "·")</f>
        <v>255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904</v>
      </c>
      <c r="C180" t="str">
        <f xml:space="preserve"> "000000"</f>
        <v>000000</v>
      </c>
      <c r="E180">
        <f t="shared" ref="E180" si="640" xml:space="preserve"> IF(AND(LEN(ChartLines.ID)&gt;0,"Unused"&lt;&gt;ChartLines.ID), COUNTIFS(ChartLines.ID,ChartLines.ID), "·")</f>
        <v>2</v>
      </c>
      <c r="F180">
        <f t="shared" ref="F180" si="641" xml:space="preserve"> IF(AND(LEN(ChartLines.ID)&gt;0,"Unused"&lt;&gt;ChartLines.ID), COUNTIFS(ChartLines.ID,ChartLines.ID,   ChartLines.RowNum,"&lt;="&amp;ChartLines.RowNum), "·")</f>
        <v>1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0">
        <f t="shared" ref="H180" si="642" xml:space="preserve"> IF(LEN(ChartLines.Hex6)=6, HEX2DEC(LEFT(ChartLines.Hex6, 2)), "·")</f>
        <v>0</v>
      </c>
      <c r="I180">
        <f t="shared" ref="I180" si="643" xml:space="preserve"> IF(LEN(ChartLines.Hex6)=6, HEX2DEC(MID(ChartLines.Hex6, 3, 2)), "·")</f>
        <v>0</v>
      </c>
      <c r="J180">
        <f t="shared" ref="J180" si="644" xml:space="preserve"> IF(LEN(ChartLines.Hex6)=6, HEX2DEC(RIGHT(ChartLines.Hex6, 2)), "·")</f>
        <v>0</v>
      </c>
      <c r="K180" cm="1">
        <f t="array" ref="K180" xml:space="preserve"> 1 + ROW() - _xlfn.SINGLE(ROW(ChartLines.RowNum))</f>
        <v>178</v>
      </c>
    </row>
    <row r="181" spans="2:11" x14ac:dyDescent="0.2">
      <c r="B181" t="s">
        <v>904</v>
      </c>
      <c r="C181" t="s">
        <v>1934</v>
      </c>
      <c r="E181">
        <f t="shared" ref="E181" si="645" xml:space="preserve"> IF(AND(LEN(ChartLines.ID)&gt;0,"Unused"&lt;&gt;ChartLines.ID), COUNTIFS(ChartLines.ID,ChartLines.ID), "·")</f>
        <v>2</v>
      </c>
      <c r="F181">
        <f t="shared" ref="F181" si="646" xml:space="preserve"> IF(AND(LEN(ChartLines.ID)&gt;0,"Unused"&lt;&gt;ChartLines.ID), COUNTIFS(ChartLines.ID,ChartLines.ID,   ChartLines.RowNum,"&lt;="&amp;ChartLines.RowNum), "·")</f>
        <v>2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1">
        <f t="shared" ref="H181" si="647" xml:space="preserve"> IF(LEN(ChartLines.Hex6)=6, HEX2DEC(LEFT(ChartLines.Hex6, 2)), "·")</f>
        <v>227</v>
      </c>
      <c r="I181">
        <f t="shared" ref="I181" si="648" xml:space="preserve"> IF(LEN(ChartLines.Hex6)=6, HEX2DEC(MID(ChartLines.Hex6, 3, 2)), "·")</f>
        <v>179</v>
      </c>
      <c r="J181">
        <f t="shared" ref="J181" si="649" xml:space="preserve"> IF(LEN(ChartLines.Hex6)=6, HEX2DEC(RIGHT(ChartLines.Hex6, 2)), "·")</f>
        <v>41</v>
      </c>
      <c r="K181" cm="1">
        <f t="array" ref="K181" xml:space="preserve"> 1 + ROW() - _xlfn.SINGLE(ROW(ChartLines.RowNum))</f>
        <v>179</v>
      </c>
    </row>
    <row r="182" spans="2:11" x14ac:dyDescent="0.2">
      <c r="B182" t="s">
        <v>511</v>
      </c>
      <c r="C182" t="s">
        <v>1935</v>
      </c>
      <c r="E182">
        <f t="shared" ref="E182" si="650" xml:space="preserve"> IF(AND(LEN(ChartLines.ID)&gt;0,"Unused"&lt;&gt;ChartLines.ID), COUNTIFS(ChartLines.ID,ChartLines.ID), "·")</f>
        <v>2</v>
      </c>
      <c r="F182">
        <f t="shared" ref="F182" si="65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2">
        <f t="shared" ref="H182" si="652" xml:space="preserve"> IF(LEN(ChartLines.Hex6)=6, HEX2DEC(LEFT(ChartLines.Hex6, 2)), "·")</f>
        <v>0</v>
      </c>
      <c r="I182">
        <f t="shared" ref="I182" si="653" xml:space="preserve"> IF(LEN(ChartLines.Hex6)=6, HEX2DEC(MID(ChartLines.Hex6, 3, 2)), "·")</f>
        <v>94</v>
      </c>
      <c r="J182">
        <f t="shared" ref="J182" si="654" xml:space="preserve"> IF(LEN(ChartLines.Hex6)=6, HEX2DEC(RIGHT(ChartLines.Hex6, 2)), "·")</f>
        <v>184</v>
      </c>
      <c r="K182" cm="1">
        <f t="array" ref="K182" xml:space="preserve"> 1 + ROW() - _xlfn.SINGLE(ROW(ChartLines.RowNum))</f>
        <v>180</v>
      </c>
    </row>
    <row r="183" spans="2:11" x14ac:dyDescent="0.2">
      <c r="B183" t="s">
        <v>511</v>
      </c>
      <c r="C183" t="s">
        <v>1851</v>
      </c>
      <c r="E183">
        <f t="shared" ref="E183" si="655" xml:space="preserve"> IF(AND(LEN(ChartLines.ID)&gt;0,"Unused"&lt;&gt;ChartLines.ID), COUNTIFS(ChartLines.ID,ChartLines.ID), "·")</f>
        <v>2</v>
      </c>
      <c r="F183">
        <f t="shared" ref="F183" si="656" xml:space="preserve"> IF(AND(LEN(ChartLines.ID)&gt;0,"Unused"&lt;&gt;ChartLines.ID), COUNTIFS(ChartLines.ID,ChartLines.ID,   ChartLines.RowNum,"&lt;="&amp;ChartLines.RowNum), "·")</f>
        <v>2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3">
        <f t="shared" ref="H183" si="657" xml:space="preserve"> IF(LEN(ChartLines.Hex6)=6, HEX2DEC(LEFT(ChartLines.Hex6, 2)), "·")</f>
        <v>255</v>
      </c>
      <c r="I183">
        <f t="shared" ref="I183" si="658" xml:space="preserve"> IF(LEN(ChartLines.Hex6)=6, HEX2DEC(MID(ChartLines.Hex6, 3, 2)), "·")</f>
        <v>255</v>
      </c>
      <c r="J183">
        <f t="shared" ref="J183" si="659" xml:space="preserve"> IF(LEN(ChartLines.Hex6)=6, HEX2DEC(RIGHT(ChartLines.Hex6, 2)), "·")</f>
        <v>255</v>
      </c>
      <c r="K183" cm="1">
        <f t="array" ref="K183" xml:space="preserve"> 1 + ROW() - _xlfn.SINGLE(ROW(ChartLines.RowNum))</f>
        <v>181</v>
      </c>
    </row>
    <row r="184" spans="2:11" x14ac:dyDescent="0.2">
      <c r="E184" t="str">
        <f t="shared" ref="E184" si="660" xml:space="preserve"> IF(AND(LEN(ChartLines.ID)&gt;0,"Unused"&lt;&gt;ChartLines.ID), COUNTIFS(ChartLines.ID,ChartLines.ID), "·")</f>
        <v>·</v>
      </c>
      <c r="F184" t="str">
        <f t="shared" ref="F184" si="661" xml:space="preserve"> IF(AND(LEN(ChartLines.ID)&gt;0,"Unused"&lt;&gt;ChartLines.ID), COUNTIFS(ChartLines.ID,ChartLines.ID,   ChartLines.RowNum,"&lt;="&amp;ChartLines.RowNum), "·")</f>
        <v>·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4" t="str">
        <f t="shared" ref="H184" si="662" xml:space="preserve"> IF(LEN(ChartLines.Hex6)=6, HEX2DEC(LEFT(ChartLines.Hex6, 2)), "·")</f>
        <v>·</v>
      </c>
      <c r="I184" t="str">
        <f t="shared" ref="I184" si="663" xml:space="preserve"> IF(LEN(ChartLines.Hex6)=6, HEX2DEC(MID(ChartLines.Hex6, 3, 2)), "·")</f>
        <v>·</v>
      </c>
      <c r="J184" t="str">
        <f t="shared" ref="J184" si="664" xml:space="preserve"> IF(LEN(ChartLines.Hex6)=6, HEX2DEC(RIGHT(ChartLines.Hex6, 2)), "·")</f>
        <v>·</v>
      </c>
      <c r="K184" cm="1">
        <f t="array" ref="K184" xml:space="preserve"> 1 + ROW() - _xlfn.SINGLE(ROW(ChartLines.RowNum))</f>
        <v>182</v>
      </c>
    </row>
    <row r="185" spans="2:11" x14ac:dyDescent="0.2">
      <c r="B185" t="s">
        <v>434</v>
      </c>
      <c r="C185" t="str">
        <f xml:space="preserve"> "007749"</f>
        <v>007749</v>
      </c>
      <c r="E185">
        <f t="shared" ref="E185" si="665" xml:space="preserve"> IF(AND(LEN(ChartLines.ID)&gt;0,"Unused"&lt;&gt;ChartLines.ID), COUNTIFS(ChartLines.ID,ChartLines.ID), "·")</f>
        <v>2</v>
      </c>
      <c r="F185">
        <f t="shared" ref="F185" si="666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667" xml:space="preserve"> IF(LEN(ChartLines.Hex6)=6, HEX2DEC(LEFT(ChartLines.Hex6, 2)), "·")</f>
        <v>0</v>
      </c>
      <c r="I185">
        <f t="shared" ref="I185" si="668" xml:space="preserve"> IF(LEN(ChartLines.Hex6)=6, HEX2DEC(MID(ChartLines.Hex6, 3, 2)), "·")</f>
        <v>119</v>
      </c>
      <c r="J185">
        <f t="shared" ref="J185" si="669" xml:space="preserve"> IF(LEN(ChartLines.Hex6)=6, HEX2DEC(RIGHT(ChartLines.Hex6, 2)), "·")</f>
        <v>73</v>
      </c>
      <c r="K185" cm="1">
        <f t="array" ref="K185" xml:space="preserve"> 1 + ROW() - _xlfn.SINGLE(ROW(ChartLines.RowNum))</f>
        <v>183</v>
      </c>
    </row>
    <row r="186" spans="2:11" x14ac:dyDescent="0.2">
      <c r="B186" t="s">
        <v>434</v>
      </c>
      <c r="C186" t="str">
        <f xml:space="preserve"> "FFA500"</f>
        <v>FFA500</v>
      </c>
      <c r="E186">
        <f t="shared" ref="E186" si="670" xml:space="preserve"> IF(AND(LEN(ChartLines.ID)&gt;0,"Unused"&lt;&gt;ChartLines.ID), COUNTIFS(ChartLines.ID,ChartLines.ID), "·")</f>
        <v>2</v>
      </c>
      <c r="F186">
        <f t="shared" ref="F186" si="671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672" xml:space="preserve"> IF(LEN(ChartLines.Hex6)=6, HEX2DEC(LEFT(ChartLines.Hex6, 2)), "·")</f>
        <v>255</v>
      </c>
      <c r="I186">
        <f t="shared" ref="I186" si="673" xml:space="preserve"> IF(LEN(ChartLines.Hex6)=6, HEX2DEC(MID(ChartLines.Hex6, 3, 2)), "·")</f>
        <v>165</v>
      </c>
      <c r="J186">
        <f t="shared" ref="J186" si="674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169</v>
      </c>
      <c r="C187" t="str">
        <f xml:space="preserve"> "009639"</f>
        <v>009639</v>
      </c>
      <c r="E187">
        <f t="shared" ref="E187" si="675" xml:space="preserve"> IF(AND(LEN(ChartLines.ID)&gt;0,"Unused"&lt;&gt;ChartLines.ID), COUNTIFS(ChartLines.ID,ChartLines.ID), "·")</f>
        <v>2</v>
      </c>
      <c r="F187">
        <f t="shared" ref="F187" si="676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677" xml:space="preserve"> IF(LEN(ChartLines.Hex6)=6, HEX2DEC(LEFT(ChartLines.Hex6, 2)), "·")</f>
        <v>0</v>
      </c>
      <c r="I187">
        <f t="shared" ref="I187" si="678" xml:space="preserve"> IF(LEN(ChartLines.Hex6)=6, HEX2DEC(MID(ChartLines.Hex6, 3, 2)), "·")</f>
        <v>150</v>
      </c>
      <c r="J187">
        <f t="shared" ref="J187" si="679" xml:space="preserve"> IF(LEN(ChartLines.Hex6)=6, HEX2DEC(RIGHT(ChartLines.Hex6, 2)), "·")</f>
        <v>57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169</v>
      </c>
      <c r="C188" t="s">
        <v>1851</v>
      </c>
      <c r="E188">
        <f t="shared" ref="E188" si="680" xml:space="preserve"> IF(AND(LEN(ChartLines.ID)&gt;0,"Unused"&lt;&gt;ChartLines.ID), COUNTIFS(ChartLines.ID,ChartLines.ID), "·")</f>
        <v>2</v>
      </c>
      <c r="F188">
        <f t="shared" ref="F188" si="681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682" xml:space="preserve"> IF(LEN(ChartLines.Hex6)=6, HEX2DEC(LEFT(ChartLines.Hex6, 2)), "·")</f>
        <v>255</v>
      </c>
      <c r="I188">
        <f t="shared" ref="I188" si="683" xml:space="preserve"> IF(LEN(ChartLines.Hex6)=6, HEX2DEC(MID(ChartLines.Hex6, 3, 2)), "·")</f>
        <v>255</v>
      </c>
      <c r="J188">
        <f t="shared" ref="J188" si="684" xml:space="preserve"> IF(LEN(ChartLines.Hex6)=6, HEX2DEC(RIGHT(ChartLines.Hex6, 2)), "·")</f>
        <v>255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1621</v>
      </c>
      <c r="C189" t="str">
        <f xml:space="preserve"> "0F47AF"</f>
        <v>0F47AF</v>
      </c>
      <c r="E189">
        <f t="shared" ref="E189" si="685" xml:space="preserve"> IF(AND(LEN(ChartLines.ID)&gt;0,"Unused"&lt;&gt;ChartLines.ID), COUNTIFS(ChartLines.ID,ChartLines.ID), "·")</f>
        <v>2</v>
      </c>
      <c r="F189">
        <f t="shared" ref="F189" si="686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687" xml:space="preserve"> IF(LEN(ChartLines.Hex6)=6, HEX2DEC(LEFT(ChartLines.Hex6, 2)), "·")</f>
        <v>15</v>
      </c>
      <c r="I189">
        <f t="shared" ref="I189" si="688" xml:space="preserve"> IF(LEN(ChartLines.Hex6)=6, HEX2DEC(MID(ChartLines.Hex6, 3, 2)), "·")</f>
        <v>71</v>
      </c>
      <c r="J189">
        <f t="shared" ref="J189" si="689" xml:space="preserve"> IF(LEN(ChartLines.Hex6)=6, HEX2DEC(RIGHT(ChartLines.Hex6, 2)), "·")</f>
        <v>175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1621</v>
      </c>
      <c r="C190" t="s">
        <v>1936</v>
      </c>
      <c r="E190">
        <f t="shared" ref="E190:E192" si="690" xml:space="preserve"> IF(AND(LEN(ChartLines.ID)&gt;0,"Unused"&lt;&gt;ChartLines.ID), COUNTIFS(ChartLines.ID,ChartLines.ID), "·")</f>
        <v>2</v>
      </c>
      <c r="F190">
        <f t="shared" ref="F190:F192" si="691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:H192" si="692" xml:space="preserve"> IF(LEN(ChartLines.Hex6)=6, HEX2DEC(LEFT(ChartLines.Hex6, 2)), "·")</f>
        <v>252</v>
      </c>
      <c r="I190">
        <f t="shared" ref="I190:I192" si="693" xml:space="preserve"> IF(LEN(ChartLines.Hex6)=6, HEX2DEC(MID(ChartLines.Hex6, 3, 2)), "·")</f>
        <v>221</v>
      </c>
      <c r="J190">
        <f t="shared" ref="J190:J192" si="694" xml:space="preserve"> IF(LEN(ChartLines.Hex6)=6, HEX2DEC(RIGHT(ChartLines.Hex6, 2)), "·")</f>
        <v>9</v>
      </c>
      <c r="K190" cm="1">
        <f t="array" ref="K190" xml:space="preserve"> 1 + ROW() - _xlfn.SINGLE(ROW(ChartLines.RowNum))</f>
        <v>188</v>
      </c>
    </row>
    <row r="191" spans="2:11" x14ac:dyDescent="0.2">
      <c r="B191" t="s">
        <v>2019</v>
      </c>
      <c r="C191" t="str">
        <f xml:space="preserve"> "000000"</f>
        <v>000000</v>
      </c>
      <c r="E191">
        <f t="shared" si="690"/>
        <v>2</v>
      </c>
      <c r="F191">
        <f t="shared" si="691"/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si="692"/>
        <v>0</v>
      </c>
      <c r="I191">
        <f t="shared" si="693"/>
        <v>0</v>
      </c>
      <c r="J191">
        <f t="shared" si="694"/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2019</v>
      </c>
      <c r="C192" t="s">
        <v>1851</v>
      </c>
      <c r="E192">
        <f t="shared" si="690"/>
        <v>2</v>
      </c>
      <c r="F192">
        <f t="shared" si="691"/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si="692"/>
        <v>255</v>
      </c>
      <c r="I192">
        <f t="shared" si="693"/>
        <v>255</v>
      </c>
      <c r="J192">
        <f t="shared" si="694"/>
        <v>255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1637</v>
      </c>
      <c r="C193" t="s">
        <v>1937</v>
      </c>
      <c r="E193">
        <f t="shared" ref="E193" si="695" xml:space="preserve"> IF(AND(LEN(ChartLines.ID)&gt;0,"Unused"&lt;&gt;ChartLines.ID), COUNTIFS(ChartLines.ID,ChartLines.ID), "·")</f>
        <v>2</v>
      </c>
      <c r="F193">
        <f t="shared" ref="F193" si="696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697" xml:space="preserve"> IF(LEN(ChartLines.Hex6)=6, HEX2DEC(LEFT(ChartLines.Hex6, 2)), "·")</f>
        <v>187</v>
      </c>
      <c r="I193">
        <f t="shared" ref="I193" si="698" xml:space="preserve"> IF(LEN(ChartLines.Hex6)=6, HEX2DEC(MID(ChartLines.Hex6, 3, 2)), "·")</f>
        <v>0</v>
      </c>
      <c r="J193">
        <f t="shared" ref="J193" si="699" xml:space="preserve"> IF(LEN(ChartLines.Hex6)=6, HEX2DEC(RIGHT(ChartLines.Hex6, 2)), "·")</f>
        <v>0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1637</v>
      </c>
      <c r="C194" t="str">
        <f xml:space="preserve"> "000000"</f>
        <v>000000</v>
      </c>
      <c r="E194">
        <f t="shared" ref="E194" si="700" xml:space="preserve"> IF(AND(LEN(ChartLines.ID)&gt;0,"Unused"&lt;&gt;ChartLines.ID), COUNTIFS(ChartLines.ID,ChartLines.ID), "·")</f>
        <v>2</v>
      </c>
      <c r="F194">
        <f t="shared" ref="F194" si="701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02" xml:space="preserve"> IF(LEN(ChartLines.Hex6)=6, HEX2DEC(LEFT(ChartLines.Hex6, 2)), "·")</f>
        <v>0</v>
      </c>
      <c r="I194">
        <f t="shared" ref="I194" si="703" xml:space="preserve"> IF(LEN(ChartLines.Hex6)=6, HEX2DEC(MID(ChartLines.Hex6, 3, 2)), "·")</f>
        <v>0</v>
      </c>
      <c r="J194">
        <f t="shared" ref="J194" si="704" xml:space="preserve"> IF(LEN(ChartLines.Hex6)=6, HEX2DEC(RIGHT(ChartLines.Hex6, 2)), "·")</f>
        <v>0</v>
      </c>
      <c r="K194" cm="1">
        <f t="array" ref="K194" xml:space="preserve"> 1 + ROW() - _xlfn.SINGLE(ROW(ChartLines.RowNum))</f>
        <v>192</v>
      </c>
    </row>
    <row r="195" spans="2:11" x14ac:dyDescent="0.2">
      <c r="B195" t="s">
        <v>1627</v>
      </c>
      <c r="C195" t="s">
        <v>1892</v>
      </c>
      <c r="E195">
        <f t="shared" ref="E195" si="705" xml:space="preserve"> IF(AND(LEN(ChartLines.ID)&gt;0,"Unused"&lt;&gt;ChartLines.ID), COUNTIFS(ChartLines.ID,ChartLines.ID), "·")</f>
        <v>2</v>
      </c>
      <c r="F195">
        <f t="shared" ref="F195" si="706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07" xml:space="preserve"> IF(LEN(ChartLines.Hex6)=6, HEX2DEC(LEFT(ChartLines.Hex6, 2)), "·")</f>
        <v>252</v>
      </c>
      <c r="I195">
        <f t="shared" ref="I195" si="708" xml:space="preserve"> IF(LEN(ChartLines.Hex6)=6, HEX2DEC(MID(ChartLines.Hex6, 3, 2)), "·")</f>
        <v>209</v>
      </c>
      <c r="J195">
        <f t="shared" ref="J195" si="709" xml:space="preserve"> IF(LEN(ChartLines.Hex6)=6, HEX2DEC(RIGHT(ChartLines.Hex6, 2)), "·")</f>
        <v>22</v>
      </c>
      <c r="K195" cm="1">
        <f t="array" ref="K195" xml:space="preserve"> 1 + ROW() - _xlfn.SINGLE(ROW(ChartLines.RowNum))</f>
        <v>193</v>
      </c>
    </row>
    <row r="196" spans="2:11" x14ac:dyDescent="0.2">
      <c r="B196" t="s">
        <v>1627</v>
      </c>
      <c r="C196" t="str">
        <f xml:space="preserve"> "000000"</f>
        <v>000000</v>
      </c>
      <c r="E196">
        <f t="shared" ref="E196" si="710" xml:space="preserve"> IF(AND(LEN(ChartLines.ID)&gt;0,"Unused"&lt;&gt;ChartLines.ID), COUNTIFS(ChartLines.ID,ChartLines.ID), "·")</f>
        <v>2</v>
      </c>
      <c r="F196">
        <f t="shared" ref="F196" si="711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12" xml:space="preserve"> IF(LEN(ChartLines.Hex6)=6, HEX2DEC(LEFT(ChartLines.Hex6, 2)), "·")</f>
        <v>0</v>
      </c>
      <c r="I196">
        <f t="shared" ref="I196" si="713" xml:space="preserve"> IF(LEN(ChartLines.Hex6)=6, HEX2DEC(MID(ChartLines.Hex6, 3, 2)), "·")</f>
        <v>0</v>
      </c>
      <c r="J196">
        <f t="shared" ref="J196" si="714" xml:space="preserve"> IF(LEN(ChartLines.Hex6)=6, HEX2DEC(RIGHT(ChartLines.Hex6, 2)), "·")</f>
        <v>0</v>
      </c>
      <c r="K196" cm="1">
        <f t="array" ref="K196" xml:space="preserve"> 1 + ROW() - _xlfn.SINGLE(ROW(ChartLines.RowNum))</f>
        <v>194</v>
      </c>
    </row>
    <row r="197" spans="2:11" x14ac:dyDescent="0.2">
      <c r="B197" t="s">
        <v>1647</v>
      </c>
      <c r="C197" t="str">
        <f xml:space="preserve"> "000000"</f>
        <v>000000</v>
      </c>
      <c r="E197">
        <f t="shared" ref="E197" si="715" xml:space="preserve"> IF(AND(LEN(ChartLines.ID)&gt;0,"Unused"&lt;&gt;ChartLines.ID), COUNTIFS(ChartLines.ID,ChartLines.ID), "·")</f>
        <v>2</v>
      </c>
      <c r="F197">
        <f t="shared" ref="F197" si="716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717" xml:space="preserve"> IF(LEN(ChartLines.Hex6)=6, HEX2DEC(LEFT(ChartLines.Hex6, 2)), "·")</f>
        <v>0</v>
      </c>
      <c r="I197">
        <f t="shared" ref="I197" si="718" xml:space="preserve"> IF(LEN(ChartLines.Hex6)=6, HEX2DEC(MID(ChartLines.Hex6, 3, 2)), "·")</f>
        <v>0</v>
      </c>
      <c r="J197">
        <f t="shared" ref="J197" si="719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1647</v>
      </c>
      <c r="C198" t="s">
        <v>1938</v>
      </c>
      <c r="E198">
        <f t="shared" ref="E198" si="720" xml:space="preserve"> IF(AND(LEN(ChartLines.ID)&gt;0,"Unused"&lt;&gt;ChartLines.ID), COUNTIFS(ChartLines.ID,ChartLines.ID), "·")</f>
        <v>2</v>
      </c>
      <c r="F198">
        <f t="shared" ref="F198" si="721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" si="722" xml:space="preserve"> IF(LEN(ChartLines.Hex6)=6, HEX2DEC(LEFT(ChartLines.Hex6, 2)), "·")</f>
        <v>217</v>
      </c>
      <c r="I198">
        <f t="shared" ref="I198" si="723" xml:space="preserve"> IF(LEN(ChartLines.Hex6)=6, HEX2DEC(MID(ChartLines.Hex6, 3, 2)), "·")</f>
        <v>0</v>
      </c>
      <c r="J198">
        <f t="shared" ref="J198" si="724" xml:space="preserve"> IF(LEN(ChartLines.Hex6)=6, HEX2DEC(RIGHT(ChartLines.Hex6, 2)), "·")</f>
        <v>0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1624</v>
      </c>
      <c r="C199" t="str">
        <f xml:space="preserve"> "007FFF"</f>
        <v>007FFF</v>
      </c>
      <c r="E199">
        <f t="shared" ref="E199" si="725" xml:space="preserve"> IF(AND(LEN(ChartLines.ID)&gt;0,"Unused"&lt;&gt;ChartLines.ID), COUNTIFS(ChartLines.ID,ChartLines.ID), "·")</f>
        <v>2</v>
      </c>
      <c r="F199">
        <f t="shared" ref="F199" si="726" xml:space="preserve"> IF(AND(LEN(ChartLines.ID)&gt;0,"Unused"&lt;&gt;ChartLines.ID), COUNTIFS(ChartLines.ID,ChartLines.ID,   ChartLines.RowNum,"&lt;="&amp;ChartLines.RowNum), "·")</f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ref="H199" si="727" xml:space="preserve"> IF(LEN(ChartLines.Hex6)=6, HEX2DEC(LEFT(ChartLines.Hex6, 2)), "·")</f>
        <v>0</v>
      </c>
      <c r="I199">
        <f t="shared" ref="I199" si="728" xml:space="preserve"> IF(LEN(ChartLines.Hex6)=6, HEX2DEC(MID(ChartLines.Hex6, 3, 2)), "·")</f>
        <v>127</v>
      </c>
      <c r="J199">
        <f t="shared" ref="J199" si="729" xml:space="preserve"> IF(LEN(ChartLines.Hex6)=6, HEX2DEC(RIGHT(ChartLines.Hex6, 2)), "·")</f>
        <v>255</v>
      </c>
      <c r="K199" cm="1">
        <f t="array" ref="K199" xml:space="preserve"> 1 + ROW() - _xlfn.SINGLE(ROW(ChartLines.RowNum))</f>
        <v>197</v>
      </c>
    </row>
    <row r="200" spans="2:11" x14ac:dyDescent="0.2">
      <c r="B200" t="s">
        <v>1624</v>
      </c>
      <c r="C200" t="s">
        <v>1939</v>
      </c>
      <c r="E200">
        <f t="shared" ref="E200" si="730" xml:space="preserve"> IF(AND(LEN(ChartLines.ID)&gt;0,"Unused"&lt;&gt;ChartLines.ID), COUNTIFS(ChartLines.ID,ChartLines.ID), "·")</f>
        <v>2</v>
      </c>
      <c r="F200">
        <f t="shared" ref="F200" si="731" xml:space="preserve"> IF(AND(LEN(ChartLines.ID)&gt;0,"Unused"&lt;&gt;ChartLines.ID), COUNTIFS(ChartLines.ID,ChartLines.ID,   ChartLines.RowNum,"&lt;="&amp;ChartLines.RowNum), "·")</f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ref="H200" si="732" xml:space="preserve"> IF(LEN(ChartLines.Hex6)=6, HEX2DEC(LEFT(ChartLines.Hex6, 2)), "·")</f>
        <v>247</v>
      </c>
      <c r="I200">
        <f t="shared" ref="I200" si="733" xml:space="preserve"> IF(LEN(ChartLines.Hex6)=6, HEX2DEC(MID(ChartLines.Hex6, 3, 2)), "·")</f>
        <v>214</v>
      </c>
      <c r="J200">
        <f t="shared" ref="J200" si="734" xml:space="preserve"> IF(LEN(ChartLines.Hex6)=6, HEX2DEC(RIGHT(ChartLines.Hex6, 2)), "·")</f>
        <v>24</v>
      </c>
      <c r="K200" cm="1">
        <f t="array" ref="K200" xml:space="preserve"> 1 + ROW() - _xlfn.SINGLE(ROW(ChartLines.RowNum))</f>
        <v>198</v>
      </c>
    </row>
    <row r="201" spans="2:11" x14ac:dyDescent="0.2">
      <c r="B201" t="s">
        <v>1972</v>
      </c>
      <c r="C201" t="str">
        <f xml:space="preserve"> "000000"</f>
        <v>000000</v>
      </c>
      <c r="E201">
        <f t="shared" ref="E201" si="735" xml:space="preserve"> IF(AND(LEN(ChartLines.ID)&gt;0,"Unused"&lt;&gt;ChartLines.ID), COUNTIFS(ChartLines.ID,ChartLines.ID), "·")</f>
        <v>2</v>
      </c>
      <c r="F201">
        <f t="shared" ref="F201" si="736" xml:space="preserve"> IF(AND(LEN(ChartLines.ID)&gt;0,"Unused"&lt;&gt;ChartLines.ID), COUNTIFS(ChartLines.ID,ChartLines.ID,   ChartLines.RowNum,"&lt;="&amp;ChartLines.RowNum), "·")</f>
        <v>1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1">
        <f t="shared" ref="H201" si="737" xml:space="preserve"> IF(LEN(ChartLines.Hex6)=6, HEX2DEC(LEFT(ChartLines.Hex6, 2)), "·")</f>
        <v>0</v>
      </c>
      <c r="I201">
        <f t="shared" ref="I201" si="738" xml:space="preserve"> IF(LEN(ChartLines.Hex6)=6, HEX2DEC(MID(ChartLines.Hex6, 3, 2)), "·")</f>
        <v>0</v>
      </c>
      <c r="J201">
        <f t="shared" ref="J201" si="739" xml:space="preserve"> IF(LEN(ChartLines.Hex6)=6, HEX2DEC(RIGHT(ChartLines.Hex6, 2)), "·")</f>
        <v>0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1972</v>
      </c>
      <c r="C202" t="s">
        <v>1857</v>
      </c>
      <c r="E202">
        <f t="shared" ref="E202" si="740" xml:space="preserve"> IF(AND(LEN(ChartLines.ID)&gt;0,"Unused"&lt;&gt;ChartLines.ID), COUNTIFS(ChartLines.ID,ChartLines.ID), "·")</f>
        <v>2</v>
      </c>
      <c r="F202">
        <f t="shared" ref="F202" si="741" xml:space="preserve"> IF(AND(LEN(ChartLines.ID)&gt;0,"Unused"&lt;&gt;ChartLines.ID), COUNTIFS(ChartLines.ID,ChartLines.ID,   ChartLines.RowNum,"&lt;="&amp;ChartLines.RowNum), "·")</f>
        <v>2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2">
        <f t="shared" ref="H202" si="742" xml:space="preserve"> IF(LEN(ChartLines.Hex6)=6, HEX2DEC(LEFT(ChartLines.Hex6, 2)), "·")</f>
        <v>255</v>
      </c>
      <c r="I202">
        <f t="shared" ref="I202" si="743" xml:space="preserve"> IF(LEN(ChartLines.Hex6)=6, HEX2DEC(MID(ChartLines.Hex6, 3, 2)), "·")</f>
        <v>209</v>
      </c>
      <c r="J202">
        <f t="shared" ref="J202" si="744" xml:space="preserve"> IF(LEN(ChartLines.Hex6)=6, HEX2DEC(RIGHT(ChartLines.Hex6, 2)), "·")</f>
        <v>0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139</v>
      </c>
      <c r="C203" t="s">
        <v>1941</v>
      </c>
      <c r="E203">
        <f t="shared" ref="E203" si="745" xml:space="preserve"> IF(AND(LEN(ChartLines.ID)&gt;0,"Unused"&lt;&gt;ChartLines.ID), COUNTIFS(ChartLines.ID,ChartLines.ID), "·")</f>
        <v>2</v>
      </c>
      <c r="F203">
        <f t="shared" ref="F203" si="746" xml:space="preserve"> IF(AND(LEN(ChartLines.ID)&gt;0,"Unused"&lt;&gt;ChartLines.ID), COUNTIFS(ChartLines.ID,ChartLines.ID,   ChartLines.RowNum,"&lt;="&amp;ChartLines.RowNum), "·")</f>
        <v>1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3">
        <f t="shared" ref="H203" si="747" xml:space="preserve"> IF(LEN(ChartLines.Hex6)=6, HEX2DEC(LEFT(ChartLines.Hex6, 2)), "·")</f>
        <v>253</v>
      </c>
      <c r="I203">
        <f t="shared" ref="I203" si="748" xml:space="preserve"> IF(LEN(ChartLines.Hex6)=6, HEX2DEC(MID(ChartLines.Hex6, 3, 2)), "·")</f>
        <v>239</v>
      </c>
      <c r="J203">
        <f t="shared" ref="J203" si="749" xml:space="preserve"> IF(LEN(ChartLines.Hex6)=6, HEX2DEC(RIGHT(ChartLines.Hex6, 2)), "·")</f>
        <v>66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139</v>
      </c>
      <c r="C204" t="s">
        <v>1940</v>
      </c>
      <c r="E204">
        <f t="shared" ref="E204" si="750" xml:space="preserve"> IF(AND(LEN(ChartLines.ID)&gt;0,"Unused"&lt;&gt;ChartLines.ID), COUNTIFS(ChartLines.ID,ChartLines.ID), "·")</f>
        <v>2</v>
      </c>
      <c r="F204">
        <f t="shared" ref="F204" si="751" xml:space="preserve"> IF(AND(LEN(ChartLines.ID)&gt;0,"Unused"&lt;&gt;ChartLines.ID), COUNTIFS(ChartLines.ID,ChartLines.ID,   ChartLines.RowNum,"&lt;="&amp;ChartLines.RowNum), "·")</f>
        <v>2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4">
        <f t="shared" ref="H204" si="752" xml:space="preserve"> IF(LEN(ChartLines.Hex6)=6, HEX2DEC(LEFT(ChartLines.Hex6, 2)), "·")</f>
        <v>29</v>
      </c>
      <c r="I204">
        <f t="shared" ref="I204" si="753" xml:space="preserve"> IF(LEN(ChartLines.Hex6)=6, HEX2DEC(MID(ChartLines.Hex6, 3, 2)), "·")</f>
        <v>98</v>
      </c>
      <c r="J204">
        <f t="shared" ref="J204" si="754" xml:space="preserve"> IF(LEN(ChartLines.Hex6)=6, HEX2DEC(RIGHT(ChartLines.Hex6, 2)), "·")</f>
        <v>51</v>
      </c>
      <c r="K204" cm="1">
        <f t="array" ref="K204" xml:space="preserve"> 1 + ROW() - _xlfn.SINGLE(ROW(ChartLines.RowNum))</f>
        <v>202</v>
      </c>
    </row>
    <row r="205" spans="2:11" x14ac:dyDescent="0.2">
      <c r="B205" t="s">
        <v>99</v>
      </c>
      <c r="C205" t="s">
        <v>1864</v>
      </c>
      <c r="E205">
        <f t="shared" ref="E205" si="755" xml:space="preserve"> IF(AND(LEN(ChartLines.ID)&gt;0,"Unused"&lt;&gt;ChartLines.ID), COUNTIFS(ChartLines.ID,ChartLines.ID), "·")</f>
        <v>2</v>
      </c>
      <c r="F205">
        <f t="shared" ref="F205" si="756" xml:space="preserve"> IF(AND(LEN(ChartLines.ID)&gt;0,"Unused"&lt;&gt;ChartLines.ID), COUNTIFS(ChartLines.ID,ChartLines.ID,   ChartLines.RowNum,"&lt;="&amp;ChartLines.RowNum), "·")</f>
        <v>1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5">
        <f t="shared" ref="H205" si="757" xml:space="preserve"> IF(LEN(ChartLines.Hex6)=6, HEX2DEC(LEFT(ChartLines.Hex6, 2)), "·")</f>
        <v>0</v>
      </c>
      <c r="I205">
        <f t="shared" ref="I205" si="758" xml:space="preserve"> IF(LEN(ChartLines.Hex6)=6, HEX2DEC(MID(ChartLines.Hex6, 3, 2)), "·")</f>
        <v>61</v>
      </c>
      <c r="J205">
        <f t="shared" ref="J205" si="759" xml:space="preserve"> IF(LEN(ChartLines.Hex6)=6, HEX2DEC(RIGHT(ChartLines.Hex6, 2)), "·")</f>
        <v>165</v>
      </c>
      <c r="K205" cm="1">
        <f t="array" ref="K205" xml:space="preserve"> 1 + ROW() - _xlfn.SINGLE(ROW(ChartLines.RowNum))</f>
        <v>203</v>
      </c>
    </row>
    <row r="206" spans="2:11" x14ac:dyDescent="0.2">
      <c r="B206" t="s">
        <v>99</v>
      </c>
      <c r="C206" t="str">
        <f xml:space="preserve"> "009639"</f>
        <v>009639</v>
      </c>
      <c r="E206">
        <f t="shared" ref="E206" si="760" xml:space="preserve"> IF(AND(LEN(ChartLines.ID)&gt;0,"Unused"&lt;&gt;ChartLines.ID), COUNTIFS(ChartLines.ID,ChartLines.ID), "·")</f>
        <v>2</v>
      </c>
      <c r="F206">
        <f t="shared" ref="F206" si="761" xml:space="preserve"> IF(AND(LEN(ChartLines.ID)&gt;0,"Unused"&lt;&gt;ChartLines.ID), COUNTIFS(ChartLines.ID,ChartLines.ID,   ChartLines.RowNum,"&lt;="&amp;ChartLines.RowNum), "·")</f>
        <v>2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6">
        <f t="shared" ref="H206" si="762" xml:space="preserve"> IF(LEN(ChartLines.Hex6)=6, HEX2DEC(LEFT(ChartLines.Hex6, 2)), "·")</f>
        <v>0</v>
      </c>
      <c r="I206">
        <f t="shared" ref="I206" si="763" xml:space="preserve"> IF(LEN(ChartLines.Hex6)=6, HEX2DEC(MID(ChartLines.Hex6, 3, 2)), "·")</f>
        <v>150</v>
      </c>
      <c r="J206">
        <f t="shared" ref="J206" si="764" xml:space="preserve"> IF(LEN(ChartLines.Hex6)=6, HEX2DEC(RIGHT(ChartLines.Hex6, 2)), "·")</f>
        <v>57</v>
      </c>
      <c r="K206" cm="1">
        <f t="array" ref="K206" xml:space="preserve"> 1 + ROW() - _xlfn.SINGLE(ROW(ChartLines.RowNum))</f>
        <v>204</v>
      </c>
    </row>
    <row r="207" spans="2:11" x14ac:dyDescent="0.2">
      <c r="B207" t="s">
        <v>98</v>
      </c>
      <c r="C207" t="s">
        <v>1942</v>
      </c>
      <c r="E207">
        <f t="shared" ref="E207" si="765" xml:space="preserve"> IF(AND(LEN(ChartLines.ID)&gt;0,"Unused"&lt;&gt;ChartLines.ID), COUNTIFS(ChartLines.ID,ChartLines.ID), "·")</f>
        <v>2</v>
      </c>
      <c r="F207">
        <f t="shared" ref="F207" si="766" xml:space="preserve"> IF(AND(LEN(ChartLines.ID)&gt;0,"Unused"&lt;&gt;ChartLines.ID), COUNTIFS(ChartLines.ID,ChartLines.ID,   ChartLines.RowNum,"&lt;="&amp;ChartLines.RowNum), "·")</f>
        <v>1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7">
        <f t="shared" ref="H207" si="767" xml:space="preserve"> IF(LEN(ChartLines.Hex6)=6, HEX2DEC(LEFT(ChartLines.Hex6, 2)), "·")</f>
        <v>234</v>
      </c>
      <c r="I207">
        <f t="shared" ref="I207" si="768" xml:space="preserve"> IF(LEN(ChartLines.Hex6)=6, HEX2DEC(MID(ChartLines.Hex6, 3, 2)), "·")</f>
        <v>118</v>
      </c>
      <c r="J207">
        <f t="shared" ref="J207" si="769" xml:space="preserve"> IF(LEN(ChartLines.Hex6)=6, HEX2DEC(RIGHT(ChartLines.Hex6, 2)), "·")</f>
        <v>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98</v>
      </c>
      <c r="C208" t="s">
        <v>1943</v>
      </c>
      <c r="E208">
        <f t="shared" ref="E208:E212" si="770" xml:space="preserve"> IF(AND(LEN(ChartLines.ID)&gt;0,"Unused"&lt;&gt;ChartLines.ID), COUNTIFS(ChartLines.ID,ChartLines.ID), "·")</f>
        <v>2</v>
      </c>
      <c r="F208">
        <f t="shared" ref="F208:F212" si="771" xml:space="preserve"> IF(AND(LEN(ChartLines.ID)&gt;0,"Unused"&lt;&gt;ChartLines.ID), COUNTIFS(ChartLines.ID,ChartLines.ID,   ChartLines.RowNum,"&lt;="&amp;ChartLines.RowNum), "·")</f>
        <v>2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8">
        <f t="shared" ref="H208:H212" si="772" xml:space="preserve"> IF(LEN(ChartLines.Hex6)=6, HEX2DEC(LEFT(ChartLines.Hex6, 2)), "·")</f>
        <v>0</v>
      </c>
      <c r="I208">
        <f t="shared" ref="I208:I212" si="773" xml:space="preserve"> IF(LEN(ChartLines.Hex6)=6, HEX2DEC(MID(ChartLines.Hex6, 3, 2)), "·")</f>
        <v>154</v>
      </c>
      <c r="J208">
        <f t="shared" ref="J208:J212" si="774" xml:space="preserve"> IF(LEN(ChartLines.Hex6)=6, HEX2DEC(RIGHT(ChartLines.Hex6, 2)), "·")</f>
        <v>68</v>
      </c>
      <c r="K208" cm="1">
        <f t="array" ref="K208" xml:space="preserve"> 1 + ROW() - _xlfn.SINGLE(ROW(ChartLines.RowNum))</f>
        <v>206</v>
      </c>
    </row>
    <row r="209" spans="2:11" x14ac:dyDescent="0.2">
      <c r="B209" t="s">
        <v>2165</v>
      </c>
      <c r="C209" t="s">
        <v>1856</v>
      </c>
      <c r="E209">
        <f t="shared" si="770"/>
        <v>2</v>
      </c>
      <c r="F209">
        <f t="shared" si="771"/>
        <v>1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9">
        <f t="shared" si="772"/>
        <v>200</v>
      </c>
      <c r="I209">
        <f t="shared" si="773"/>
        <v>16</v>
      </c>
      <c r="J209">
        <f t="shared" si="774"/>
        <v>46</v>
      </c>
      <c r="K209" cm="1">
        <f t="array" ref="K209" xml:space="preserve"> 1 + ROW() - _xlfn.SINGLE(ROW(ChartLines.RowNum))</f>
        <v>207</v>
      </c>
    </row>
    <row r="210" spans="2:11" x14ac:dyDescent="0.2">
      <c r="B210" t="s">
        <v>2165</v>
      </c>
      <c r="C210" t="s">
        <v>1855</v>
      </c>
      <c r="E210">
        <f t="shared" si="770"/>
        <v>2</v>
      </c>
      <c r="F210">
        <f t="shared" si="771"/>
        <v>2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0">
        <f t="shared" si="772"/>
        <v>255</v>
      </c>
      <c r="I210">
        <f t="shared" si="773"/>
        <v>205</v>
      </c>
      <c r="J210">
        <f t="shared" si="774"/>
        <v>0</v>
      </c>
      <c r="K210" cm="1">
        <f t="array" ref="K210" xml:space="preserve"> 1 + ROW() - _xlfn.SINGLE(ROW(ChartLines.RowNum))</f>
        <v>208</v>
      </c>
    </row>
    <row r="211" spans="2:11" x14ac:dyDescent="0.2">
      <c r="E211" t="str">
        <f t="shared" si="770"/>
        <v>·</v>
      </c>
      <c r="F211" t="str">
        <f t="shared" si="771"/>
        <v>·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1" t="str">
        <f t="shared" si="772"/>
        <v>·</v>
      </c>
      <c r="I211" t="str">
        <f t="shared" si="773"/>
        <v>·</v>
      </c>
      <c r="J211" t="str">
        <f t="shared" si="774"/>
        <v>·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527</v>
      </c>
      <c r="C212" t="str">
        <f xml:space="preserve"> "006341"</f>
        <v>006341</v>
      </c>
      <c r="E212">
        <f t="shared" si="770"/>
        <v>2</v>
      </c>
      <c r="F212">
        <f t="shared" si="771"/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si="772"/>
        <v>0</v>
      </c>
      <c r="I212">
        <f t="shared" si="773"/>
        <v>99</v>
      </c>
      <c r="J212">
        <f t="shared" si="774"/>
        <v>65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527</v>
      </c>
      <c r="C213" t="s">
        <v>1856</v>
      </c>
      <c r="E213">
        <f t="shared" ref="E213" si="775" xml:space="preserve"> IF(AND(LEN(ChartLines.ID)&gt;0,"Unused"&lt;&gt;ChartLines.ID), COUNTIFS(ChartLines.ID,ChartLines.ID), "·")</f>
        <v>2</v>
      </c>
      <c r="F213">
        <f t="shared" ref="F213" si="776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777" xml:space="preserve"> IF(LEN(ChartLines.Hex6)=6, HEX2DEC(LEFT(ChartLines.Hex6, 2)), "·")</f>
        <v>200</v>
      </c>
      <c r="I213">
        <f t="shared" ref="I213" si="778" xml:space="preserve"> IF(LEN(ChartLines.Hex6)=6, HEX2DEC(MID(ChartLines.Hex6, 3, 2)), "·")</f>
        <v>16</v>
      </c>
      <c r="J213">
        <f t="shared" ref="J213" si="779" xml:space="preserve"> IF(LEN(ChartLines.Hex6)=6, HEX2DEC(RIGHT(ChartLines.Hex6, 2)), "·")</f>
        <v>46</v>
      </c>
      <c r="K213" cm="1">
        <f t="array" ref="K213" xml:space="preserve"> 1 + ROW() - _xlfn.SINGLE(ROW(ChartLines.RowNum))</f>
        <v>211</v>
      </c>
    </row>
    <row r="214" spans="2:11" x14ac:dyDescent="0.2">
      <c r="B214" t="s">
        <v>529</v>
      </c>
      <c r="C214" t="str">
        <f xml:space="preserve"> "009639"</f>
        <v>009639</v>
      </c>
      <c r="E214">
        <f t="shared" ref="E214" si="780" xml:space="preserve"> IF(AND(LEN(ChartLines.ID)&gt;0,"Unused"&lt;&gt;ChartLines.ID), COUNTIFS(ChartLines.ID,ChartLines.ID), "·")</f>
        <v>2</v>
      </c>
      <c r="F214">
        <f t="shared" ref="F214" si="781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782" xml:space="preserve"> IF(LEN(ChartLines.Hex6)=6, HEX2DEC(LEFT(ChartLines.Hex6, 2)), "·")</f>
        <v>0</v>
      </c>
      <c r="I214">
        <f t="shared" ref="I214" si="783" xml:space="preserve"> IF(LEN(ChartLines.Hex6)=6, HEX2DEC(MID(ChartLines.Hex6, 3, 2)), "·")</f>
        <v>150</v>
      </c>
      <c r="J214">
        <f t="shared" ref="J214" si="784" xml:space="preserve"> IF(LEN(ChartLines.Hex6)=6, HEX2DEC(RIGHT(ChartLines.Hex6, 2)), "·")</f>
        <v>57</v>
      </c>
      <c r="K214" cm="1">
        <f t="array" ref="K214" xml:space="preserve"> 1 + ROW() - _xlfn.SINGLE(ROW(ChartLines.RowNum))</f>
        <v>212</v>
      </c>
    </row>
    <row r="215" spans="2:11" x14ac:dyDescent="0.2">
      <c r="B215" t="s">
        <v>529</v>
      </c>
      <c r="C215" t="s">
        <v>1944</v>
      </c>
      <c r="E215">
        <f t="shared" ref="E215" si="785" xml:space="preserve"> IF(AND(LEN(ChartLines.ID)&gt;0,"Unused"&lt;&gt;ChartLines.ID), COUNTIFS(ChartLines.ID,ChartLines.ID), "·")</f>
        <v>2</v>
      </c>
      <c r="F215">
        <f t="shared" ref="F215" si="786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787" xml:space="preserve"> IF(LEN(ChartLines.Hex6)=6, HEX2DEC(LEFT(ChartLines.Hex6, 2)), "·")</f>
        <v>254</v>
      </c>
      <c r="I215">
        <f t="shared" ref="I215" si="788" xml:space="preserve"> IF(LEN(ChartLines.Hex6)=6, HEX2DEC(MID(ChartLines.Hex6, 3, 2)), "·")</f>
        <v>221</v>
      </c>
      <c r="J215">
        <f t="shared" ref="J215" si="789" xml:space="preserve"> IF(LEN(ChartLines.Hex6)=6, HEX2DEC(RIGHT(ChartLines.Hex6, 2)), "·")</f>
        <v>0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140</v>
      </c>
      <c r="C216" t="s">
        <v>1945</v>
      </c>
      <c r="E216">
        <f t="shared" ref="E216" si="790" xml:space="preserve"> IF(AND(LEN(ChartLines.ID)&gt;0,"Unused"&lt;&gt;ChartLines.ID), COUNTIFS(ChartLines.ID,ChartLines.ID), "·")</f>
        <v>2</v>
      </c>
      <c r="F216">
        <f t="shared" ref="F216" si="791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792" xml:space="preserve"> IF(LEN(ChartLines.Hex6)=6, HEX2DEC(LEFT(ChartLines.Hex6, 2)), "·")</f>
        <v>213</v>
      </c>
      <c r="I216">
        <f t="shared" ref="I216" si="793" xml:space="preserve"> IF(LEN(ChartLines.Hex6)=6, HEX2DEC(MID(ChartLines.Hex6, 3, 2)), "·")</f>
        <v>43</v>
      </c>
      <c r="J216">
        <f t="shared" ref="J216" si="794" xml:space="preserve"> IF(LEN(ChartLines.Hex6)=6, HEX2DEC(RIGHT(ChartLines.Hex6, 2)), "·")</f>
        <v>30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140</v>
      </c>
      <c r="C217" t="s">
        <v>1946</v>
      </c>
      <c r="E217">
        <f t="shared" ref="E217" si="795" xml:space="preserve"> IF(AND(LEN(ChartLines.ID)&gt;0,"Unused"&lt;&gt;ChartLines.ID), COUNTIFS(ChartLines.ID,ChartLines.ID), "·")</f>
        <v>2</v>
      </c>
      <c r="F217">
        <f t="shared" ref="F217" si="796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797" xml:space="preserve"> IF(LEN(ChartLines.Hex6)=6, HEX2DEC(LEFT(ChartLines.Hex6, 2)), "·")</f>
        <v>0</v>
      </c>
      <c r="I217">
        <f t="shared" ref="I217" si="798" xml:space="preserve"> IF(LEN(ChartLines.Hex6)=6, HEX2DEC(MID(ChartLines.Hex6, 3, 2)), "·")</f>
        <v>51</v>
      </c>
      <c r="J217">
        <f t="shared" ref="J217" si="799" xml:space="preserve"> IF(LEN(ChartLines.Hex6)=6, HEX2DEC(RIGHT(ChartLines.Hex6, 2)), "·")</f>
        <v>160</v>
      </c>
      <c r="K217" cm="1">
        <f t="array" ref="K217" xml:space="preserve"> 1 + ROW() - _xlfn.SINGLE(ROW(ChartLines.RowNum))</f>
        <v>215</v>
      </c>
    </row>
    <row r="218" spans="2:11" x14ac:dyDescent="0.2">
      <c r="B218" t="s">
        <v>100</v>
      </c>
      <c r="C218" t="str">
        <f xml:space="preserve"> "003087"</f>
        <v>003087</v>
      </c>
      <c r="E218">
        <f t="shared" ref="E218" si="800" xml:space="preserve"> IF(AND(LEN(ChartLines.ID)&gt;0,"Unused"&lt;&gt;ChartLines.ID), COUNTIFS(ChartLines.ID,ChartLines.ID), "·")</f>
        <v>2</v>
      </c>
      <c r="F218">
        <f t="shared" ref="F218" si="801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02" xml:space="preserve"> IF(LEN(ChartLines.Hex6)=6, HEX2DEC(LEFT(ChartLines.Hex6, 2)), "·")</f>
        <v>0</v>
      </c>
      <c r="I218">
        <f t="shared" ref="I218" si="803" xml:space="preserve"> IF(LEN(ChartLines.Hex6)=6, HEX2DEC(MID(ChartLines.Hex6, 3, 2)), "·")</f>
        <v>48</v>
      </c>
      <c r="J218">
        <f t="shared" ref="J218" si="804" xml:space="preserve"> IF(LEN(ChartLines.Hex6)=6, HEX2DEC(RIGHT(ChartLines.Hex6, 2)), "·")</f>
        <v>135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100</v>
      </c>
      <c r="C219" t="s">
        <v>1855</v>
      </c>
      <c r="E219">
        <f t="shared" ref="E219" si="805" xml:space="preserve"> IF(AND(LEN(ChartLines.ID)&gt;0,"Unused"&lt;&gt;ChartLines.ID), COUNTIFS(ChartLines.ID,ChartLines.ID), "·")</f>
        <v>2</v>
      </c>
      <c r="F219">
        <f t="shared" ref="F219" si="806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07" xml:space="preserve"> IF(LEN(ChartLines.Hex6)=6, HEX2DEC(LEFT(ChartLines.Hex6, 2)), "·")</f>
        <v>255</v>
      </c>
      <c r="I219">
        <f t="shared" ref="I219" si="808" xml:space="preserve"> IF(LEN(ChartLines.Hex6)=6, HEX2DEC(MID(ChartLines.Hex6, 3, 2)), "·")</f>
        <v>205</v>
      </c>
      <c r="J219">
        <f t="shared" ref="J219" si="809" xml:space="preserve"> IF(LEN(ChartLines.Hex6)=6, HEX2DEC(RIGHT(ChartLines.Hex6, 2)), "·")</f>
        <v>0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101</v>
      </c>
      <c r="C220" t="s">
        <v>1856</v>
      </c>
      <c r="E220">
        <f t="shared" ref="E220" si="810" xml:space="preserve"> IF(AND(LEN(ChartLines.ID)&gt;0,"Unused"&lt;&gt;ChartLines.ID), COUNTIFS(ChartLines.ID,ChartLines.ID), "·")</f>
        <v>2</v>
      </c>
      <c r="F220">
        <f t="shared" ref="F220" si="811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12" xml:space="preserve"> IF(LEN(ChartLines.Hex6)=6, HEX2DEC(LEFT(ChartLines.Hex6, 2)), "·")</f>
        <v>200</v>
      </c>
      <c r="I220">
        <f t="shared" ref="I220" si="813" xml:space="preserve"> IF(LEN(ChartLines.Hex6)=6, HEX2DEC(MID(ChartLines.Hex6, 3, 2)), "·")</f>
        <v>16</v>
      </c>
      <c r="J220">
        <f t="shared" ref="J220" si="814" xml:space="preserve"> IF(LEN(ChartLines.Hex6)=6, HEX2DEC(RIGHT(ChartLines.Hex6, 2)), "·")</f>
        <v>46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101</v>
      </c>
      <c r="C221" t="s">
        <v>1851</v>
      </c>
      <c r="E221">
        <f t="shared" ref="E221" si="815" xml:space="preserve"> IF(AND(LEN(ChartLines.ID)&gt;0,"Unused"&lt;&gt;ChartLines.ID), COUNTIFS(ChartLines.ID,ChartLines.ID), "·")</f>
        <v>2</v>
      </c>
      <c r="F221">
        <f t="shared" ref="F221" si="816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817" xml:space="preserve"> IF(LEN(ChartLines.Hex6)=6, HEX2DEC(LEFT(ChartLines.Hex6, 2)), "·")</f>
        <v>255</v>
      </c>
      <c r="I221">
        <f t="shared" ref="I221" si="818" xml:space="preserve"> IF(LEN(ChartLines.Hex6)=6, HEX2DEC(MID(ChartLines.Hex6, 3, 2)), "·")</f>
        <v>255</v>
      </c>
      <c r="J221">
        <f t="shared" ref="J221" si="819" xml:space="preserve"> IF(LEN(ChartLines.Hex6)=6, HEX2DEC(RIGHT(ChartLines.Hex6, 2)), "·")</f>
        <v>255</v>
      </c>
      <c r="K221" cm="1">
        <f t="array" ref="K221" xml:space="preserve"> 1 + ROW() - _xlfn.SINGLE(ROW(ChartLines.RowNum))</f>
        <v>219</v>
      </c>
    </row>
    <row r="222" spans="2:11" x14ac:dyDescent="0.2">
      <c r="B222" t="s">
        <v>545</v>
      </c>
      <c r="C222" t="s">
        <v>2175</v>
      </c>
      <c r="E222">
        <f t="shared" ref="E222" si="820" xml:space="preserve"> IF(AND(LEN(ChartLines.ID)&gt;0,"Unused"&lt;&gt;ChartLines.ID), COUNTIFS(ChartLines.ID,ChartLines.ID), "·")</f>
        <v>2</v>
      </c>
      <c r="F222">
        <f t="shared" ref="F222" si="821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822" xml:space="preserve"> IF(LEN(ChartLines.Hex6)=6, HEX2DEC(LEFT(ChartLines.Hex6, 2)), "·")</f>
        <v>123</v>
      </c>
      <c r="I222">
        <f t="shared" ref="I222" si="823" xml:space="preserve"> IF(LEN(ChartLines.Hex6)=6, HEX2DEC(MID(ChartLines.Hex6, 3, 2)), "·")</f>
        <v>63</v>
      </c>
      <c r="J222">
        <f t="shared" ref="J222" si="824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545</v>
      </c>
      <c r="C223" t="s">
        <v>1851</v>
      </c>
      <c r="E223">
        <f t="shared" ref="E223" si="825" xml:space="preserve"> IF(AND(LEN(ChartLines.ID)&gt;0,"Unused"&lt;&gt;ChartLines.ID), COUNTIFS(ChartLines.ID,ChartLines.ID), "·")</f>
        <v>2</v>
      </c>
      <c r="F223">
        <f t="shared" ref="F223" si="826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827" xml:space="preserve"> IF(LEN(ChartLines.Hex6)=6, HEX2DEC(LEFT(ChartLines.Hex6, 2)), "·")</f>
        <v>255</v>
      </c>
      <c r="I223">
        <f t="shared" ref="I223" si="828" xml:space="preserve"> IF(LEN(ChartLines.Hex6)=6, HEX2DEC(MID(ChartLines.Hex6, 3, 2)), "·")</f>
        <v>255</v>
      </c>
      <c r="J223">
        <f t="shared" ref="J223" si="829" xml:space="preserve"> IF(LEN(ChartLines.Hex6)=6, HEX2DEC(RIGHT(ChartLines.Hex6, 2)), "·")</f>
        <v>255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102</v>
      </c>
      <c r="C224" t="s">
        <v>1947</v>
      </c>
      <c r="E224">
        <f t="shared" ref="E224" si="830" xml:space="preserve"> IF(AND(LEN(ChartLines.ID)&gt;0,"Unused"&lt;&gt;ChartLines.ID), COUNTIFS(ChartLines.ID,ChartLines.ID), "·")</f>
        <v>2</v>
      </c>
      <c r="F224">
        <f t="shared" ref="F224" si="831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832" xml:space="preserve"> IF(LEN(ChartLines.Hex6)=6, HEX2DEC(LEFT(ChartLines.Hex6, 2)), "·")</f>
        <v>108</v>
      </c>
      <c r="I224">
        <f t="shared" ref="I224" si="833" xml:space="preserve"> IF(LEN(ChartLines.Hex6)=6, HEX2DEC(MID(ChartLines.Hex6, 3, 2)), "·")</f>
        <v>172</v>
      </c>
      <c r="J224">
        <f t="shared" ref="J224" si="834" xml:space="preserve"> IF(LEN(ChartLines.Hex6)=6, HEX2DEC(RIGHT(ChartLines.Hex6, 2)), "·")</f>
        <v>228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102</v>
      </c>
      <c r="C225" t="s">
        <v>1851</v>
      </c>
      <c r="E225">
        <f t="shared" ref="E225" si="835" xml:space="preserve"> IF(AND(LEN(ChartLines.ID)&gt;0,"Unused"&lt;&gt;ChartLines.ID), COUNTIFS(ChartLines.ID,ChartLines.ID), "·")</f>
        <v>2</v>
      </c>
      <c r="F225">
        <f t="shared" ref="F225" si="836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837" xml:space="preserve"> IF(LEN(ChartLines.Hex6)=6, HEX2DEC(LEFT(ChartLines.Hex6, 2)), "·")</f>
        <v>255</v>
      </c>
      <c r="I225">
        <f t="shared" ref="I225" si="838" xml:space="preserve"> IF(LEN(ChartLines.Hex6)=6, HEX2DEC(MID(ChartLines.Hex6, 3, 2)), "·")</f>
        <v>255</v>
      </c>
      <c r="J225">
        <f t="shared" ref="J225" si="839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1948</v>
      </c>
      <c r="C226" t="str">
        <f xml:space="preserve"> "000000"</f>
        <v>000000</v>
      </c>
      <c r="E226">
        <f t="shared" ref="E226" si="840" xml:space="preserve"> IF(AND(LEN(ChartLines.ID)&gt;0,"Unused"&lt;&gt;ChartLines.ID), COUNTIFS(ChartLines.ID,ChartLines.ID), "·")</f>
        <v>2</v>
      </c>
      <c r="F226">
        <f t="shared" ref="F226" si="841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842" xml:space="preserve"> IF(LEN(ChartLines.Hex6)=6, HEX2DEC(LEFT(ChartLines.Hex6, 2)), "·")</f>
        <v>0</v>
      </c>
      <c r="I226">
        <f t="shared" ref="I226" si="843" xml:space="preserve"> IF(LEN(ChartLines.Hex6)=6, HEX2DEC(MID(ChartLines.Hex6, 3, 2)), "·")</f>
        <v>0</v>
      </c>
      <c r="J226">
        <f t="shared" ref="J226" si="844" xml:space="preserve"> IF(LEN(ChartLines.Hex6)=6, HEX2DEC(RIGHT(ChartLines.Hex6, 2)), "·")</f>
        <v>0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1948</v>
      </c>
      <c r="C227" t="s">
        <v>1851</v>
      </c>
      <c r="E227">
        <f t="shared" ref="E227" si="845" xml:space="preserve"> IF(AND(LEN(ChartLines.ID)&gt;0,"Unused"&lt;&gt;ChartLines.ID), COUNTIFS(ChartLines.ID,ChartLines.ID), "·")</f>
        <v>2</v>
      </c>
      <c r="F227">
        <f t="shared" ref="F227" si="846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847" xml:space="preserve"> IF(LEN(ChartLines.Hex6)=6, HEX2DEC(LEFT(ChartLines.Hex6, 2)), "·")</f>
        <v>255</v>
      </c>
      <c r="I227">
        <f t="shared" ref="I227" si="848" xml:space="preserve"> IF(LEN(ChartLines.Hex6)=6, HEX2DEC(MID(ChartLines.Hex6, 3, 2)), "·")</f>
        <v>255</v>
      </c>
      <c r="J227">
        <f t="shared" ref="J227" si="849" xml:space="preserve"> IF(LEN(ChartLines.Hex6)=6, HEX2DEC(RIGHT(ChartLines.Hex6, 2)), "·")</f>
        <v>255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561</v>
      </c>
      <c r="C228" t="s">
        <v>1949</v>
      </c>
      <c r="E228">
        <f t="shared" ref="E228" si="850" xml:space="preserve"> IF(AND(LEN(ChartLines.ID)&gt;0,"Unused"&lt;&gt;ChartLines.ID), COUNTIFS(ChartLines.ID,ChartLines.ID), "·")</f>
        <v>2</v>
      </c>
      <c r="F228">
        <f t="shared" ref="F228" si="851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852" xml:space="preserve"> IF(LEN(ChartLines.Hex6)=6, HEX2DEC(LEFT(ChartLines.Hex6, 2)), "·")</f>
        <v>29</v>
      </c>
      <c r="I228">
        <f t="shared" ref="I228" si="853" xml:space="preserve"> IF(LEN(ChartLines.Hex6)=6, HEX2DEC(MID(ChartLines.Hex6, 3, 2)), "·")</f>
        <v>66</v>
      </c>
      <c r="J228">
        <f t="shared" ref="J228" si="854" xml:space="preserve"> IF(LEN(ChartLines.Hex6)=6, HEX2DEC(RIGHT(ChartLines.Hex6, 2)), "·")</f>
        <v>138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561</v>
      </c>
      <c r="C229" t="s">
        <v>1856</v>
      </c>
      <c r="E229">
        <f t="shared" ref="E229" si="855" xml:space="preserve"> IF(AND(LEN(ChartLines.ID)&gt;0,"Unused"&lt;&gt;ChartLines.ID), COUNTIFS(ChartLines.ID,ChartLines.ID), "·")</f>
        <v>2</v>
      </c>
      <c r="F229">
        <f t="shared" ref="F229" si="856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857" xml:space="preserve"> IF(LEN(ChartLines.Hex6)=6, HEX2DEC(LEFT(ChartLines.Hex6, 2)), "·")</f>
        <v>200</v>
      </c>
      <c r="I229">
        <f t="shared" ref="I229" si="858" xml:space="preserve"> IF(LEN(ChartLines.Hex6)=6, HEX2DEC(MID(ChartLines.Hex6, 3, 2)), "·")</f>
        <v>16</v>
      </c>
      <c r="J229">
        <f t="shared" ref="J229" si="859" xml:space="preserve"> IF(LEN(ChartLines.Hex6)=6, HEX2DEC(RIGHT(ChartLines.Hex6, 2)), "·")</f>
        <v>46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564</v>
      </c>
      <c r="C230" t="s">
        <v>1878</v>
      </c>
      <c r="E230">
        <f t="shared" ref="E230" si="860" xml:space="preserve"> IF(AND(LEN(ChartLines.ID)&gt;0,"Unused"&lt;&gt;ChartLines.ID), COUNTIFS(ChartLines.ID,ChartLines.ID), "·")</f>
        <v>2</v>
      </c>
      <c r="F230">
        <f t="shared" ref="F230" si="861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862" xml:space="preserve"> IF(LEN(ChartLines.Hex6)=6, HEX2DEC(LEFT(ChartLines.Hex6, 2)), "·")</f>
        <v>0</v>
      </c>
      <c r="I230">
        <f t="shared" ref="I230" si="863" xml:space="preserve"> IF(LEN(ChartLines.Hex6)=6, HEX2DEC(MID(ChartLines.Hex6, 3, 2)), "·")</f>
        <v>114</v>
      </c>
      <c r="J230">
        <f t="shared" ref="J230" si="864" xml:space="preserve"> IF(LEN(ChartLines.Hex6)=6, HEX2DEC(RIGHT(ChartLines.Hex6, 2)), "·")</f>
        <v>206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564</v>
      </c>
      <c r="C231" t="s">
        <v>1857</v>
      </c>
      <c r="E231">
        <f t="shared" ref="E231" si="865" xml:space="preserve"> IF(AND(LEN(ChartLines.ID)&gt;0,"Unused"&lt;&gt;ChartLines.ID), COUNTIFS(ChartLines.ID,ChartLines.ID), "·")</f>
        <v>2</v>
      </c>
      <c r="F231">
        <f t="shared" ref="F231" si="866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867" xml:space="preserve"> IF(LEN(ChartLines.Hex6)=6, HEX2DEC(LEFT(ChartLines.Hex6, 2)), "·")</f>
        <v>255</v>
      </c>
      <c r="I231">
        <f t="shared" ref="I231" si="868" xml:space="preserve"> IF(LEN(ChartLines.Hex6)=6, HEX2DEC(MID(ChartLines.Hex6, 3, 2)), "·")</f>
        <v>209</v>
      </c>
      <c r="J231">
        <f t="shared" ref="J231" si="869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141</v>
      </c>
      <c r="C232" t="s">
        <v>1950</v>
      </c>
      <c r="E232">
        <f t="shared" ref="E232" si="870" xml:space="preserve"> IF(AND(LEN(ChartLines.ID)&gt;0,"Unused"&lt;&gt;ChartLines.ID), COUNTIFS(ChartLines.ID,ChartLines.ID), "·")</f>
        <v>2</v>
      </c>
      <c r="F232">
        <f t="shared" ref="F232" si="871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872" xml:space="preserve"> IF(LEN(ChartLines.Hex6)=6, HEX2DEC(LEFT(ChartLines.Hex6, 2)), "·")</f>
        <v>252</v>
      </c>
      <c r="I232">
        <f t="shared" ref="I232" si="873" xml:space="preserve"> IF(LEN(ChartLines.Hex6)=6, HEX2DEC(MID(ChartLines.Hex6, 3, 2)), "·")</f>
        <v>227</v>
      </c>
      <c r="J232">
        <f t="shared" ref="J232" si="874" xml:space="preserve"> IF(LEN(ChartLines.Hex6)=6, HEX2DEC(RIGHT(ChartLines.Hex6, 2)), "·")</f>
        <v>0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141</v>
      </c>
      <c r="C233" t="s">
        <v>1864</v>
      </c>
      <c r="E233">
        <f t="shared" ref="E233" si="875" xml:space="preserve"> IF(AND(LEN(ChartLines.ID)&gt;0,"Unused"&lt;&gt;ChartLines.ID), COUNTIFS(ChartLines.ID,ChartLines.ID), "·")</f>
        <v>2</v>
      </c>
      <c r="F233">
        <f t="shared" ref="F233" si="876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877" xml:space="preserve"> IF(LEN(ChartLines.Hex6)=6, HEX2DEC(LEFT(ChartLines.Hex6, 2)), "·")</f>
        <v>0</v>
      </c>
      <c r="I233">
        <f t="shared" ref="I233" si="878" xml:space="preserve"> IF(LEN(ChartLines.Hex6)=6, HEX2DEC(MID(ChartLines.Hex6, 3, 2)), "·")</f>
        <v>61</v>
      </c>
      <c r="J233">
        <f t="shared" ref="J233" si="879" xml:space="preserve"> IF(LEN(ChartLines.Hex6)=6, HEX2DEC(RIGHT(ChartLines.Hex6, 2)), "·")</f>
        <v>165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170</v>
      </c>
      <c r="C234" t="s">
        <v>1935</v>
      </c>
      <c r="E234">
        <f t="shared" ref="E234" si="880" xml:space="preserve"> IF(AND(LEN(ChartLines.ID)&gt;0,"Unused"&lt;&gt;ChartLines.ID), COUNTIFS(ChartLines.ID,ChartLines.ID), "·")</f>
        <v>2</v>
      </c>
      <c r="F234">
        <f t="shared" ref="F234" si="881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882" xml:space="preserve"> IF(LEN(ChartLines.Hex6)=6, HEX2DEC(LEFT(ChartLines.Hex6, 2)), "·")</f>
        <v>0</v>
      </c>
      <c r="I234">
        <f t="shared" ref="I234" si="883" xml:space="preserve"> IF(LEN(ChartLines.Hex6)=6, HEX2DEC(MID(ChartLines.Hex6, 3, 2)), "·")</f>
        <v>94</v>
      </c>
      <c r="J234">
        <f t="shared" ref="J234" si="884" xml:space="preserve"> IF(LEN(ChartLines.Hex6)=6, HEX2DEC(RIGHT(ChartLines.Hex6, 2)), "·")</f>
        <v>184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170</v>
      </c>
      <c r="C235" t="s">
        <v>1851</v>
      </c>
      <c r="E235">
        <f t="shared" ref="E235" si="885" xml:space="preserve"> IF(AND(LEN(ChartLines.ID)&gt;0,"Unused"&lt;&gt;ChartLines.ID), COUNTIFS(ChartLines.ID,ChartLines.ID), "·")</f>
        <v>2</v>
      </c>
      <c r="F235">
        <f t="shared" ref="F235" si="886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887" xml:space="preserve"> IF(LEN(ChartLines.Hex6)=6, HEX2DEC(LEFT(ChartLines.Hex6, 2)), "·")</f>
        <v>255</v>
      </c>
      <c r="I235">
        <f t="shared" ref="I235" si="888" xml:space="preserve"> IF(LEN(ChartLines.Hex6)=6, HEX2DEC(MID(ChartLines.Hex6, 3, 2)), "·")</f>
        <v>255</v>
      </c>
      <c r="J235">
        <f t="shared" ref="J235" si="889" xml:space="preserve"> IF(LEN(ChartLines.Hex6)=6, HEX2DEC(RIGHT(ChartLines.Hex6, 2)), "·")</f>
        <v>255</v>
      </c>
      <c r="K235" cm="1">
        <f t="array" ref="K235" xml:space="preserve"> 1 + ROW() - _xlfn.SINGLE(ROW(ChartLines.RowNum))</f>
        <v>233</v>
      </c>
    </row>
    <row r="236" spans="2:11" x14ac:dyDescent="0.2">
      <c r="B236" t="s">
        <v>1719</v>
      </c>
      <c r="C236" t="str">
        <f xml:space="preserve"> "072357"</f>
        <v>072357</v>
      </c>
      <c r="E236">
        <f t="shared" ref="E236" si="890" xml:space="preserve"> IF(AND(LEN(ChartLines.ID)&gt;0,"Unused"&lt;&gt;ChartLines.ID), COUNTIFS(ChartLines.ID,ChartLines.ID), "·")</f>
        <v>2</v>
      </c>
      <c r="F236">
        <f t="shared" ref="F236" si="891" xml:space="preserve"> IF(AND(LEN(ChartLines.ID)&gt;0,"Unused"&lt;&gt;ChartLines.ID), COUNTIFS(ChartLines.ID,ChartLines.ID,   ChartLines.RowNum,"&lt;="&amp;ChartLines.RowNum), "·")</f>
        <v>1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6">
        <f t="shared" ref="H236" si="892" xml:space="preserve"> IF(LEN(ChartLines.Hex6)=6, HEX2DEC(LEFT(ChartLines.Hex6, 2)), "·")</f>
        <v>7</v>
      </c>
      <c r="I236">
        <f t="shared" ref="I236" si="893" xml:space="preserve"> IF(LEN(ChartLines.Hex6)=6, HEX2DEC(MID(ChartLines.Hex6, 3, 2)), "·")</f>
        <v>35</v>
      </c>
      <c r="J236">
        <f t="shared" ref="J236" si="894" xml:space="preserve"> IF(LEN(ChartLines.Hex6)=6, HEX2DEC(RIGHT(ChartLines.Hex6, 2)), "·")</f>
        <v>87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1719</v>
      </c>
      <c r="C237" t="s">
        <v>1951</v>
      </c>
      <c r="E237">
        <f t="shared" ref="E237" si="895" xml:space="preserve"> IF(AND(LEN(ChartLines.ID)&gt;0,"Unused"&lt;&gt;ChartLines.ID), COUNTIFS(ChartLines.ID,ChartLines.ID), "·")</f>
        <v>2</v>
      </c>
      <c r="F237">
        <f t="shared" ref="F237" si="896" xml:space="preserve"> IF(AND(LEN(ChartLines.ID)&gt;0,"Unused"&lt;&gt;ChartLines.ID), COUNTIFS(ChartLines.ID,ChartLines.ID,   ChartLines.RowNum,"&lt;="&amp;ChartLines.RowNum), "·")</f>
        <v>2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7">
        <f t="shared" ref="H237" si="897" xml:space="preserve"> IF(LEN(ChartLines.Hex6)=6, HEX2DEC(LEFT(ChartLines.Hex6, 2)), "·")</f>
        <v>218</v>
      </c>
      <c r="I237">
        <f t="shared" ref="I237" si="898" xml:space="preserve"> IF(LEN(ChartLines.Hex6)=6, HEX2DEC(MID(ChartLines.Hex6, 3, 2)), "·")</f>
        <v>18</v>
      </c>
      <c r="J237">
        <f t="shared" ref="J237" si="899" xml:space="preserve"> IF(LEN(ChartLines.Hex6)=6, HEX2DEC(RIGHT(ChartLines.Hex6, 2)), "·")</f>
        <v>26</v>
      </c>
      <c r="K237" cm="1">
        <f t="array" ref="K237" xml:space="preserve"> 1 + ROW() - _xlfn.SINGLE(ROW(ChartLines.RowNum))</f>
        <v>235</v>
      </c>
    </row>
    <row r="238" spans="2:11" x14ac:dyDescent="0.2">
      <c r="B238" t="s">
        <v>579</v>
      </c>
      <c r="C238" t="str">
        <f xml:space="preserve"> "002D62"</f>
        <v>002D62</v>
      </c>
      <c r="E238">
        <f t="shared" ref="E238" si="900" xml:space="preserve"> IF(AND(LEN(ChartLines.ID)&gt;0,"Unused"&lt;&gt;ChartLines.ID), COUNTIFS(ChartLines.ID,ChartLines.ID), "·")</f>
        <v>2</v>
      </c>
      <c r="F238">
        <f t="shared" ref="F238" si="901" xml:space="preserve"> IF(AND(LEN(ChartLines.ID)&gt;0,"Unused"&lt;&gt;ChartLines.ID), COUNTIFS(ChartLines.ID,ChartLines.ID,   ChartLines.RowNum,"&lt;="&amp;ChartLines.RowNum), "·")</f>
        <v>1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8">
        <f t="shared" ref="H238" si="902" xml:space="preserve"> IF(LEN(ChartLines.Hex6)=6, HEX2DEC(LEFT(ChartLines.Hex6, 2)), "·")</f>
        <v>0</v>
      </c>
      <c r="I238">
        <f t="shared" ref="I238" si="903" xml:space="preserve"> IF(LEN(ChartLines.Hex6)=6, HEX2DEC(MID(ChartLines.Hex6, 3, 2)), "·")</f>
        <v>45</v>
      </c>
      <c r="J238">
        <f t="shared" ref="J238" si="904" xml:space="preserve"> IF(LEN(ChartLines.Hex6)=6, HEX2DEC(RIGHT(ChartLines.Hex6, 2)), "·")</f>
        <v>98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579</v>
      </c>
      <c r="C239" t="s">
        <v>1929</v>
      </c>
      <c r="E239">
        <f t="shared" ref="E239" si="905" xml:space="preserve"> IF(AND(LEN(ChartLines.ID)&gt;0,"Unused"&lt;&gt;ChartLines.ID), COUNTIFS(ChartLines.ID,ChartLines.ID), "·")</f>
        <v>2</v>
      </c>
      <c r="F239">
        <f t="shared" ref="F239" si="906" xml:space="preserve"> IF(AND(LEN(ChartLines.ID)&gt;0,"Unused"&lt;&gt;ChartLines.ID), COUNTIFS(ChartLines.ID,ChartLines.ID,   ChartLines.RowNum,"&lt;="&amp;ChartLines.RowNum), "·")</f>
        <v>2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9">
        <f t="shared" ref="H239" si="907" xml:space="preserve"> IF(LEN(ChartLines.Hex6)=6, HEX2DEC(LEFT(ChartLines.Hex6, 2)), "·")</f>
        <v>206</v>
      </c>
      <c r="I239">
        <f t="shared" ref="I239" si="908" xml:space="preserve"> IF(LEN(ChartLines.Hex6)=6, HEX2DEC(MID(ChartLines.Hex6, 3, 2)), "·")</f>
        <v>17</v>
      </c>
      <c r="J239">
        <f t="shared" ref="J239" si="909" xml:space="preserve"> IF(LEN(ChartLines.Hex6)=6, HEX2DEC(RIGHT(ChartLines.Hex6, 2)), "·")</f>
        <v>38</v>
      </c>
      <c r="K239" cm="1">
        <f t="array" ref="K239" xml:space="preserve"> 1 + ROW() - _xlfn.SINGLE(ROW(ChartLines.RowNum))</f>
        <v>237</v>
      </c>
    </row>
    <row r="240" spans="2:11" x14ac:dyDescent="0.2">
      <c r="B240" t="s">
        <v>580</v>
      </c>
      <c r="C240" t="str">
        <f xml:space="preserve"> "C8102E"</f>
        <v>C8102E</v>
      </c>
      <c r="E240">
        <f t="shared" ref="E240" si="910" xml:space="preserve"> IF(AND(LEN(ChartLines.ID)&gt;0,"Unused"&lt;&gt;ChartLines.ID), COUNTIFS(ChartLines.ID,ChartLines.ID), "·")</f>
        <v>2</v>
      </c>
      <c r="F240">
        <f t="shared" ref="F240" si="911" xml:space="preserve"> IF(AND(LEN(ChartLines.ID)&gt;0,"Unused"&lt;&gt;ChartLines.ID), COUNTIFS(ChartLines.ID,ChartLines.ID,   ChartLines.RowNum,"&lt;="&amp;ChartLines.RowNum), "·")</f>
        <v>1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0">
        <f t="shared" ref="H240" si="912" xml:space="preserve"> IF(LEN(ChartLines.Hex6)=6, HEX2DEC(LEFT(ChartLines.Hex6, 2)), "·")</f>
        <v>200</v>
      </c>
      <c r="I240">
        <f t="shared" ref="I240" si="913" xml:space="preserve"> IF(LEN(ChartLines.Hex6)=6, HEX2DEC(MID(ChartLines.Hex6, 3, 2)), "·")</f>
        <v>16</v>
      </c>
      <c r="J240">
        <f t="shared" ref="J240" si="914" xml:space="preserve"> IF(LEN(ChartLines.Hex6)=6, HEX2DEC(RIGHT(ChartLines.Hex6, 2)), "·")</f>
        <v>46</v>
      </c>
      <c r="K240" cm="1">
        <f t="array" ref="K240" xml:space="preserve"> 1 + ROW() - _xlfn.SINGLE(ROW(ChartLines.RowNum))</f>
        <v>238</v>
      </c>
    </row>
    <row r="241" spans="2:11" x14ac:dyDescent="0.2">
      <c r="B241" t="s">
        <v>580</v>
      </c>
      <c r="C241" t="str">
        <f xml:space="preserve"> "000000"</f>
        <v>000000</v>
      </c>
      <c r="E241">
        <f t="shared" ref="E241" si="915" xml:space="preserve"> IF(AND(LEN(ChartLines.ID)&gt;0,"Unused"&lt;&gt;ChartLines.ID), COUNTIFS(ChartLines.ID,ChartLines.ID), "·")</f>
        <v>2</v>
      </c>
      <c r="F241">
        <f t="shared" ref="F241" si="916" xml:space="preserve"> IF(AND(LEN(ChartLines.ID)&gt;0,"Unused"&lt;&gt;ChartLines.ID), COUNTIFS(ChartLines.ID,ChartLines.ID,   ChartLines.RowNum,"&lt;="&amp;ChartLines.RowNum), "·")</f>
        <v>2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1">
        <f t="shared" ref="H241" si="917" xml:space="preserve"> IF(LEN(ChartLines.Hex6)=6, HEX2DEC(LEFT(ChartLines.Hex6, 2)), "·")</f>
        <v>0</v>
      </c>
      <c r="I241">
        <f t="shared" ref="I241" si="918" xml:space="preserve"> IF(LEN(ChartLines.Hex6)=6, HEX2DEC(MID(ChartLines.Hex6, 3, 2)), "·")</f>
        <v>0</v>
      </c>
      <c r="J241">
        <f t="shared" ref="J241" si="919" xml:space="preserve"> IF(LEN(ChartLines.Hex6)=6, HEX2DEC(RIGHT(ChartLines.Hex6, 2)), "·")</f>
        <v>0</v>
      </c>
      <c r="K241" cm="1">
        <f t="array" ref="K241" xml:space="preserve"> 1 + ROW() - _xlfn.SINGLE(ROW(ChartLines.RowNum))</f>
        <v>239</v>
      </c>
    </row>
    <row r="242" spans="2:11" x14ac:dyDescent="0.2">
      <c r="B242" t="s">
        <v>581</v>
      </c>
      <c r="C242" t="str">
        <f xml:space="preserve"> "009639"</f>
        <v>009639</v>
      </c>
      <c r="E242">
        <f t="shared" ref="E242" si="920" xml:space="preserve"> IF(AND(LEN(ChartLines.ID)&gt;0,"Unused"&lt;&gt;ChartLines.ID), COUNTIFS(ChartLines.ID,ChartLines.ID), "·")</f>
        <v>2</v>
      </c>
      <c r="F242">
        <f t="shared" ref="F242" si="921" xml:space="preserve"> IF(AND(LEN(ChartLines.ID)&gt;0,"Unused"&lt;&gt;ChartLines.ID), COUNTIFS(ChartLines.ID,ChartLines.ID,   ChartLines.RowNum,"&lt;="&amp;ChartLines.RowNum), "·")</f>
        <v>1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2">
        <f t="shared" ref="H242" si="922" xml:space="preserve"> IF(LEN(ChartLines.Hex6)=6, HEX2DEC(LEFT(ChartLines.Hex6, 2)), "·")</f>
        <v>0</v>
      </c>
      <c r="I242">
        <f t="shared" ref="I242" si="923" xml:space="preserve"> IF(LEN(ChartLines.Hex6)=6, HEX2DEC(MID(ChartLines.Hex6, 3, 2)), "·")</f>
        <v>150</v>
      </c>
      <c r="J242">
        <f t="shared" ref="J242" si="924" xml:space="preserve"> IF(LEN(ChartLines.Hex6)=6, HEX2DEC(RIGHT(ChartLines.Hex6, 2)), "·")</f>
        <v>57</v>
      </c>
      <c r="K242" cm="1">
        <f t="array" ref="K242" xml:space="preserve"> 1 + ROW() - _xlfn.SINGLE(ROW(ChartLines.RowNum))</f>
        <v>240</v>
      </c>
    </row>
    <row r="243" spans="2:11" x14ac:dyDescent="0.2">
      <c r="B243" t="s">
        <v>581</v>
      </c>
      <c r="C243" t="str">
        <f xml:space="preserve"> "000000"</f>
        <v>000000</v>
      </c>
      <c r="E243">
        <f t="shared" ref="E243" si="925" xml:space="preserve"> IF(AND(LEN(ChartLines.ID)&gt;0,"Unused"&lt;&gt;ChartLines.ID), COUNTIFS(ChartLines.ID,ChartLines.ID), "·")</f>
        <v>2</v>
      </c>
      <c r="F243">
        <f t="shared" ref="F243" si="926" xml:space="preserve"> IF(AND(LEN(ChartLines.ID)&gt;0,"Unused"&lt;&gt;ChartLines.ID), COUNTIFS(ChartLines.ID,ChartLines.ID,   ChartLines.RowNum,"&lt;="&amp;ChartLines.RowNum), "·")</f>
        <v>2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3">
        <f t="shared" ref="H243" si="927" xml:space="preserve"> IF(LEN(ChartLines.Hex6)=6, HEX2DEC(LEFT(ChartLines.Hex6, 2)), "·")</f>
        <v>0</v>
      </c>
      <c r="I243">
        <f t="shared" ref="I243" si="928" xml:space="preserve"> IF(LEN(ChartLines.Hex6)=6, HEX2DEC(MID(ChartLines.Hex6, 3, 2)), "·")</f>
        <v>0</v>
      </c>
      <c r="J243">
        <f t="shared" ref="J243" si="929" xml:space="preserve"> IF(LEN(ChartLines.Hex6)=6, HEX2DEC(RIGHT(ChartLines.Hex6, 2)), "·")</f>
        <v>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1788</v>
      </c>
      <c r="C244" t="s">
        <v>1952</v>
      </c>
      <c r="E244">
        <f t="shared" ref="E244" si="930" xml:space="preserve"> IF(AND(LEN(ChartLines.ID)&gt;0,"Unused"&lt;&gt;ChartLines.ID), COUNTIFS(ChartLines.ID,ChartLines.ID), "·")</f>
        <v>2</v>
      </c>
      <c r="F244">
        <f t="shared" ref="F244" si="931" xml:space="preserve"> IF(AND(LEN(ChartLines.ID)&gt;0,"Unused"&lt;&gt;ChartLines.ID), COUNTIFS(ChartLines.ID,ChartLines.ID,   ChartLines.RowNum,"&lt;="&amp;ChartLines.RowNum), "·")</f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ref="H244" si="932" xml:space="preserve"> IF(LEN(ChartLines.Hex6)=6, HEX2DEC(LEFT(ChartLines.Hex6, 2)), "·")</f>
        <v>255</v>
      </c>
      <c r="I244">
        <f t="shared" ref="I244" si="933" xml:space="preserve"> IF(LEN(ChartLines.Hex6)=6, HEX2DEC(MID(ChartLines.Hex6, 3, 2)), "·")</f>
        <v>199</v>
      </c>
      <c r="J244">
        <f t="shared" ref="J244" si="934" xml:space="preserve"> IF(LEN(ChartLines.Hex6)=6, HEX2DEC(RIGHT(ChartLines.Hex6, 2)), "·")</f>
        <v>44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1788</v>
      </c>
      <c r="C245" t="str">
        <f xml:space="preserve"> "00778B"</f>
        <v>00778B</v>
      </c>
      <c r="E245">
        <f t="shared" ref="E245" si="935" xml:space="preserve"> IF(AND(LEN(ChartLines.ID)&gt;0,"Unused"&lt;&gt;ChartLines.ID), COUNTIFS(ChartLines.ID,ChartLines.ID), "·")</f>
        <v>2</v>
      </c>
      <c r="F245">
        <f t="shared" ref="F245" si="93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937" xml:space="preserve"> IF(LEN(ChartLines.Hex6)=6, HEX2DEC(LEFT(ChartLines.Hex6, 2)), "·")</f>
        <v>0</v>
      </c>
      <c r="I245">
        <f t="shared" ref="I245" si="938" xml:space="preserve"> IF(LEN(ChartLines.Hex6)=6, HEX2DEC(MID(ChartLines.Hex6, 3, 2)), "·")</f>
        <v>119</v>
      </c>
      <c r="J245">
        <f t="shared" ref="J245" si="939" xml:space="preserve"> IF(LEN(ChartLines.Hex6)=6, HEX2DEC(RIGHT(ChartLines.Hex6, 2)), "·")</f>
        <v>139</v>
      </c>
      <c r="K245" cm="1">
        <f t="array" ref="K245" xml:space="preserve"> 1 + ROW() - _xlfn.SINGLE(ROW(ChartLines.RowNum))</f>
        <v>243</v>
      </c>
    </row>
    <row r="246" spans="2:11" x14ac:dyDescent="0.2">
      <c r="E246" t="str">
        <f t="shared" ref="E246" si="940" xml:space="preserve"> IF(AND(LEN(ChartLines.ID)&gt;0,"Unused"&lt;&gt;ChartLines.ID), COUNTIFS(ChartLines.ID,ChartLines.ID), "·")</f>
        <v>·</v>
      </c>
      <c r="F246" t="str">
        <f t="shared" ref="F246" si="941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942" xml:space="preserve"> IF(LEN(ChartLines.Hex6)=6, HEX2DEC(LEFT(ChartLines.Hex6, 2)), "·")</f>
        <v>·</v>
      </c>
      <c r="I246" t="str">
        <f t="shared" ref="I246" si="943" xml:space="preserve"> IF(LEN(ChartLines.Hex6)=6, HEX2DEC(MID(ChartLines.Hex6, 3, 2)), "·")</f>
        <v>·</v>
      </c>
      <c r="J246" t="str">
        <f t="shared" ref="J246" si="944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173</v>
      </c>
      <c r="C247" t="s">
        <v>1953</v>
      </c>
      <c r="E247">
        <f t="shared" ref="E247" si="945" xml:space="preserve"> IF(AND(LEN(ChartLines.ID)&gt;0,"Unused"&lt;&gt;ChartLines.ID), COUNTIFS(ChartLines.ID,ChartLines.ID), "·")</f>
        <v>2</v>
      </c>
      <c r="F247">
        <f t="shared" ref="F247" si="946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947" xml:space="preserve"> IF(LEN(ChartLines.Hex6)=6, HEX2DEC(LEFT(ChartLines.Hex6, 2)), "·")</f>
        <v>8</v>
      </c>
      <c r="I247">
        <f t="shared" ref="I247" si="948" xml:space="preserve"> IF(LEN(ChartLines.Hex6)=6, HEX2DEC(MID(ChartLines.Hex6, 3, 2)), "·")</f>
        <v>82</v>
      </c>
      <c r="J247">
        <f t="shared" ref="J247" si="949" xml:space="preserve"> IF(LEN(ChartLines.Hex6)=6, HEX2DEC(RIGHT(ChartLines.Hex6, 2)), "·")</f>
        <v>140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173</v>
      </c>
      <c r="C248" t="str">
        <f xml:space="preserve"> "949494"</f>
        <v>949494</v>
      </c>
      <c r="E248">
        <f t="shared" ref="E248" si="950" xml:space="preserve"> IF(AND(LEN(ChartLines.ID)&gt;0,"Unused"&lt;&gt;ChartLines.ID), COUNTIFS(ChartLines.ID,ChartLines.ID), "·")</f>
        <v>2</v>
      </c>
      <c r="F248">
        <f t="shared" ref="F248" si="951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952" xml:space="preserve"> IF(LEN(ChartLines.Hex6)=6, HEX2DEC(LEFT(ChartLines.Hex6, 2)), "·")</f>
        <v>148</v>
      </c>
      <c r="I248">
        <f t="shared" ref="I248" si="953" xml:space="preserve"> IF(LEN(ChartLines.Hex6)=6, HEX2DEC(MID(ChartLines.Hex6, 3, 2)), "·")</f>
        <v>148</v>
      </c>
      <c r="J248">
        <f t="shared" ref="J248" si="954" xml:space="preserve"> IF(LEN(ChartLines.Hex6)=6, HEX2DEC(RIGHT(ChartLines.Hex6, 2)), "·")</f>
        <v>148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975</v>
      </c>
      <c r="C249" t="str">
        <f xml:space="preserve"> "0A6AAA"</f>
        <v>0A6AAA</v>
      </c>
      <c r="E249">
        <f t="shared" ref="E249" si="955" xml:space="preserve"> IF(AND(LEN(ChartLines.ID)&gt;0,"Unused"&lt;&gt;ChartLines.ID), COUNTIFS(ChartLines.ID,ChartLines.ID), "·")</f>
        <v>2</v>
      </c>
      <c r="F249">
        <f t="shared" ref="F249" si="956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957" xml:space="preserve"> IF(LEN(ChartLines.Hex6)=6, HEX2DEC(LEFT(ChartLines.Hex6, 2)), "·")</f>
        <v>10</v>
      </c>
      <c r="I249">
        <f t="shared" ref="I249" si="958" xml:space="preserve"> IF(LEN(ChartLines.Hex6)=6, HEX2DEC(MID(ChartLines.Hex6, 3, 2)), "·")</f>
        <v>106</v>
      </c>
      <c r="J249">
        <f t="shared" ref="J249" si="959" xml:space="preserve"> IF(LEN(ChartLines.Hex6)=6, HEX2DEC(RIGHT(ChartLines.Hex6, 2)), "·")</f>
        <v>170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975</v>
      </c>
      <c r="C250" t="s">
        <v>1851</v>
      </c>
      <c r="E250">
        <f t="shared" ref="E250:E252" si="960" xml:space="preserve"> IF(AND(LEN(ChartLines.ID)&gt;0,"Unused"&lt;&gt;ChartLines.ID), COUNTIFS(ChartLines.ID,ChartLines.ID), "·")</f>
        <v>2</v>
      </c>
      <c r="F250">
        <f t="shared" ref="F250:F252" si="961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:H252" si="962" xml:space="preserve"> IF(LEN(ChartLines.Hex6)=6, HEX2DEC(LEFT(ChartLines.Hex6, 2)), "·")</f>
        <v>255</v>
      </c>
      <c r="I250">
        <f t="shared" ref="I250:I252" si="963" xml:space="preserve"> IF(LEN(ChartLines.Hex6)=6, HEX2DEC(MID(ChartLines.Hex6, 3, 2)), "·")</f>
        <v>255</v>
      </c>
      <c r="J250">
        <f t="shared" ref="J250:J252" si="964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2260</v>
      </c>
      <c r="C251" t="str">
        <f xml:space="preserve"> "092251"</f>
        <v>092251</v>
      </c>
      <c r="E251">
        <f t="shared" si="960"/>
        <v>2</v>
      </c>
      <c r="F251">
        <f t="shared" si="961"/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si="962"/>
        <v>9</v>
      </c>
      <c r="I251">
        <f t="shared" si="963"/>
        <v>34</v>
      </c>
      <c r="J251">
        <f t="shared" si="964"/>
        <v>81</v>
      </c>
      <c r="K251" cm="1">
        <f t="array" ref="K251" xml:space="preserve"> 1 + ROW() - _xlfn.SINGLE(ROW(ChartLines.RowNum))</f>
        <v>249</v>
      </c>
    </row>
    <row r="252" spans="2:11" x14ac:dyDescent="0.2">
      <c r="B252" t="s">
        <v>2260</v>
      </c>
      <c r="C252" t="s">
        <v>1851</v>
      </c>
      <c r="E252">
        <f t="shared" si="960"/>
        <v>2</v>
      </c>
      <c r="F252">
        <f t="shared" si="961"/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si="962"/>
        <v>255</v>
      </c>
      <c r="I252">
        <f t="shared" si="963"/>
        <v>255</v>
      </c>
      <c r="J252">
        <f t="shared" si="964"/>
        <v>255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1954</v>
      </c>
      <c r="C253" t="str">
        <f xml:space="preserve"> "165788"</f>
        <v>165788</v>
      </c>
      <c r="E253">
        <f t="shared" ref="E253" si="965" xml:space="preserve"> IF(AND(LEN(ChartLines.ID)&gt;0,"Unused"&lt;&gt;ChartLines.ID), COUNTIFS(ChartLines.ID,ChartLines.ID), "·")</f>
        <v>2</v>
      </c>
      <c r="F253">
        <f t="shared" ref="F253" si="966" xml:space="preserve"> IF(AND(LEN(ChartLines.ID)&gt;0,"Unused"&lt;&gt;ChartLines.ID), COUNTIFS(ChartLines.ID,ChartLines.ID,   ChartLines.RowNum,"&lt;="&amp;ChartLines.RowNum), "·")</f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ref="H253" si="967" xml:space="preserve"> IF(LEN(ChartLines.Hex6)=6, HEX2DEC(LEFT(ChartLines.Hex6, 2)), "·")</f>
        <v>22</v>
      </c>
      <c r="I253">
        <f t="shared" ref="I253" si="968" xml:space="preserve"> IF(LEN(ChartLines.Hex6)=6, HEX2DEC(MID(ChartLines.Hex6, 3, 2)), "·")</f>
        <v>87</v>
      </c>
      <c r="J253">
        <f t="shared" ref="J253" si="969" xml:space="preserve"> IF(LEN(ChartLines.Hex6)=6, HEX2DEC(RIGHT(ChartLines.Hex6, 2)), "·")</f>
        <v>136</v>
      </c>
      <c r="K253" cm="1">
        <f t="array" ref="K253" xml:space="preserve"> 1 + ROW() - _xlfn.SINGLE(ROW(ChartLines.RowNum))</f>
        <v>251</v>
      </c>
    </row>
    <row r="254" spans="2:11" x14ac:dyDescent="0.2">
      <c r="B254" t="s">
        <v>1954</v>
      </c>
      <c r="C254" t="str">
        <f xml:space="preserve"> "C3DCF4"</f>
        <v>C3DCF4</v>
      </c>
      <c r="E254">
        <f t="shared" ref="E254" si="970" xml:space="preserve"> IF(AND(LEN(ChartLines.ID)&gt;0,"Unused"&lt;&gt;ChartLines.ID), COUNTIFS(ChartLines.ID,ChartLines.ID), "·")</f>
        <v>2</v>
      </c>
      <c r="F254">
        <f t="shared" ref="F254" si="971" xml:space="preserve"> IF(AND(LEN(ChartLines.ID)&gt;0,"Unused"&lt;&gt;ChartLines.ID), COUNTIFS(ChartLines.ID,ChartLines.ID,   ChartLines.RowNum,"&lt;="&amp;ChartLines.RowNum), "·")</f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ref="H254" si="972" xml:space="preserve"> IF(LEN(ChartLines.Hex6)=6, HEX2DEC(LEFT(ChartLines.Hex6, 2)), "·")</f>
        <v>195</v>
      </c>
      <c r="I254">
        <f t="shared" ref="I254" si="973" xml:space="preserve"> IF(LEN(ChartLines.Hex6)=6, HEX2DEC(MID(ChartLines.Hex6, 3, 2)), "·")</f>
        <v>220</v>
      </c>
      <c r="J254">
        <f t="shared" ref="J254" si="974" xml:space="preserve"> IF(LEN(ChartLines.Hex6)=6, HEX2DEC(RIGHT(ChartLines.Hex6, 2)), "·")</f>
        <v>244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802</v>
      </c>
      <c r="C255" t="s">
        <v>2144</v>
      </c>
      <c r="E255">
        <f t="shared" ref="E255:E258" si="975" xml:space="preserve"> IF(AND(LEN(ChartLines.ID)&gt;0,"Unused"&lt;&gt;ChartLines.ID), COUNTIFS(ChartLines.ID,ChartLines.ID), "·")</f>
        <v>1</v>
      </c>
      <c r="F255">
        <f t="shared" ref="F255:F258" si="976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55">
        <f t="shared" ref="H255:H258" si="977" xml:space="preserve"> IF(LEN(ChartLines.Hex6)=6, HEX2DEC(LEFT(ChartLines.Hex6, 2)), "·")</f>
        <v>27</v>
      </c>
      <c r="I255">
        <f t="shared" ref="I255:I258" si="978" xml:space="preserve"> IF(LEN(ChartLines.Hex6)=6, HEX2DEC(MID(ChartLines.Hex6, 3, 2)), "·")</f>
        <v>97</v>
      </c>
      <c r="J255">
        <f t="shared" ref="J255:J258" si="979" xml:space="preserve"> IF(LEN(ChartLines.Hex6)=6, HEX2DEC(RIGHT(ChartLines.Hex6, 2)), "·")</f>
        <v>140</v>
      </c>
      <c r="K255" cm="1">
        <f t="array" ref="K255" xml:space="preserve"> 1 + ROW() - _xlfn.SINGLE(ROW(ChartLines.RowNum))</f>
        <v>253</v>
      </c>
    </row>
    <row r="256" spans="2:11" x14ac:dyDescent="0.2">
      <c r="B256" t="s">
        <v>2261</v>
      </c>
      <c r="C256">
        <v>273375</v>
      </c>
      <c r="E256">
        <f t="shared" si="975"/>
        <v>2</v>
      </c>
      <c r="F256">
        <f t="shared" si="976"/>
        <v>1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6">
        <f t="shared" si="977"/>
        <v>39</v>
      </c>
      <c r="I256">
        <f t="shared" si="978"/>
        <v>51</v>
      </c>
      <c r="J256">
        <f t="shared" si="979"/>
        <v>117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2261</v>
      </c>
      <c r="C257" t="s">
        <v>2264</v>
      </c>
      <c r="E257">
        <f t="shared" si="975"/>
        <v>2</v>
      </c>
      <c r="F257">
        <f t="shared" si="976"/>
        <v>2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7">
        <f t="shared" si="977"/>
        <v>226</v>
      </c>
      <c r="I257">
        <f t="shared" si="978"/>
        <v>6</v>
      </c>
      <c r="J257">
        <f t="shared" si="979"/>
        <v>19</v>
      </c>
      <c r="K257" cm="1">
        <f t="array" ref="K257" xml:space="preserve"> 1 + ROW() - _xlfn.SINGLE(ROW(ChartLines.RowNum))</f>
        <v>255</v>
      </c>
    </row>
    <row r="258" spans="2:11" x14ac:dyDescent="0.2">
      <c r="B258" t="s">
        <v>1847</v>
      </c>
      <c r="E258" t="str">
        <f t="shared" si="975"/>
        <v>·</v>
      </c>
      <c r="F258" t="str">
        <f t="shared" si="976"/>
        <v>·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58" t="str">
        <f t="shared" si="977"/>
        <v>·</v>
      </c>
      <c r="I258" t="str">
        <f t="shared" si="978"/>
        <v>·</v>
      </c>
      <c r="J258" t="str">
        <f t="shared" si="979"/>
        <v>·</v>
      </c>
      <c r="K258" cm="1">
        <f t="array" ref="K258" xml:space="preserve"> 1 + ROW() - _xlfn.SINGLE(ROW(ChartLines.RowNum))</f>
        <v>256</v>
      </c>
    </row>
    <row r="259" spans="2:11" x14ac:dyDescent="0.2">
      <c r="B259" t="s">
        <v>174</v>
      </c>
      <c r="C259" t="s">
        <v>1955</v>
      </c>
      <c r="E259">
        <f t="shared" ref="E259" si="980" xml:space="preserve"> IF(AND(LEN(ChartLines.ID)&gt;0,"Unused"&lt;&gt;ChartLines.ID), COUNTIFS(ChartLines.ID,ChartLines.ID), "·")</f>
        <v>1</v>
      </c>
      <c r="F259">
        <f t="shared" ref="F259" si="981" xml:space="preserve"> IF(AND(LEN(ChartLines.ID)&gt;0,"Unused"&lt;&gt;ChartLines.ID), COUNTIFS(ChartLines.ID,ChartLines.ID,   ChartLines.RowNum,"&lt;="&amp;ChartLines.RowNum), "·")</f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59">
        <f t="shared" ref="H259" si="982" xml:space="preserve"> IF(LEN(ChartLines.Hex6)=6, HEX2DEC(LEFT(ChartLines.Hex6, 2)), "·")</f>
        <v>28</v>
      </c>
      <c r="I259">
        <f t="shared" ref="I259" si="983" xml:space="preserve"> IF(LEN(ChartLines.Hex6)=6, HEX2DEC(MID(ChartLines.Hex6, 3, 2)), "·")</f>
        <v>48</v>
      </c>
      <c r="J259">
        <f t="shared" ref="J259" si="984" xml:space="preserve"> IF(LEN(ChartLines.Hex6)=6, HEX2DEC(RIGHT(ChartLines.Hex6, 2)), "·")</f>
        <v>96</v>
      </c>
      <c r="K259" cm="1">
        <f t="array" ref="K259" xml:space="preserve"> 1 + ROW() - _xlfn.SINGLE(ROW(ChartLines.RowNum))</f>
        <v>257</v>
      </c>
    </row>
    <row r="260" spans="2:11" x14ac:dyDescent="0.2">
      <c r="B260" t="s">
        <v>1847</v>
      </c>
      <c r="E260" t="str">
        <f t="shared" ref="E260" si="985" xml:space="preserve"> IF(AND(LEN(ChartLines.ID)&gt;0,"Unused"&lt;&gt;ChartLines.ID), COUNTIFS(ChartLines.ID,ChartLines.ID), "·")</f>
        <v>·</v>
      </c>
      <c r="F260" t="str">
        <f t="shared" ref="F260" si="986" xml:space="preserve"> IF(AND(LEN(ChartLines.ID)&gt;0,"Unused"&lt;&gt;ChartLines.ID), COUNTIFS(ChartLines.ID,ChartLines.ID,   ChartLines.RowNum,"&lt;="&amp;ChartLines.RowNum), "·")</f>
        <v>·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0" t="str">
        <f t="shared" ref="H260" si="987" xml:space="preserve"> IF(LEN(ChartLines.Hex6)=6, HEX2DEC(LEFT(ChartLines.Hex6, 2)), "·")</f>
        <v>·</v>
      </c>
      <c r="I260" t="str">
        <f t="shared" ref="I260" si="988" xml:space="preserve"> IF(LEN(ChartLines.Hex6)=6, HEX2DEC(MID(ChartLines.Hex6, 3, 2)), "·")</f>
        <v>·</v>
      </c>
      <c r="J260" t="str">
        <f t="shared" ref="J260" si="989" xml:space="preserve"> IF(LEN(ChartLines.Hex6)=6, HEX2DEC(RIGHT(ChartLines.Hex6, 2)), "·")</f>
        <v>·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1956</v>
      </c>
      <c r="C261" t="s">
        <v>1957</v>
      </c>
      <c r="E261">
        <f t="shared" ref="E261" si="990" xml:space="preserve"> IF(AND(LEN(ChartLines.ID)&gt;0,"Unused"&lt;&gt;ChartLines.ID), COUNTIFS(ChartLines.ID,ChartLines.ID), "·")</f>
        <v>2</v>
      </c>
      <c r="F261">
        <f t="shared" ref="F261" si="99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992" xml:space="preserve"> IF(LEN(ChartLines.Hex6)=6, HEX2DEC(LEFT(ChartLines.Hex6, 2)), "·")</f>
        <v>134</v>
      </c>
      <c r="I261">
        <f t="shared" ref="I261" si="993" xml:space="preserve"> IF(LEN(ChartLines.Hex6)=6, HEX2DEC(MID(ChartLines.Hex6, 3, 2)), "·")</f>
        <v>12</v>
      </c>
      <c r="J261">
        <f t="shared" ref="J261" si="994" xml:space="preserve"> IF(LEN(ChartLines.Hex6)=6, HEX2DEC(RIGHT(ChartLines.Hex6, 2)), "·")</f>
        <v>20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1956</v>
      </c>
      <c r="C262" t="s">
        <v>1851</v>
      </c>
      <c r="E262">
        <f t="shared" ref="E262" si="995" xml:space="preserve"> IF(AND(LEN(ChartLines.ID)&gt;0,"Unused"&lt;&gt;ChartLines.ID), COUNTIFS(ChartLines.ID,ChartLines.ID), "·")</f>
        <v>2</v>
      </c>
      <c r="F262">
        <f t="shared" ref="F262" si="99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997" xml:space="preserve"> IF(LEN(ChartLines.Hex6)=6, HEX2DEC(LEFT(ChartLines.Hex6, 2)), "·")</f>
        <v>255</v>
      </c>
      <c r="I262">
        <f t="shared" ref="I262" si="998" xml:space="preserve"> IF(LEN(ChartLines.Hex6)=6, HEX2DEC(MID(ChartLines.Hex6, 3, 2)), "·")</f>
        <v>255</v>
      </c>
      <c r="J262">
        <f t="shared" ref="J262" si="999" xml:space="preserve"> IF(LEN(ChartLines.Hex6)=6, HEX2DEC(RIGHT(ChartLines.Hex6, 2)), "·")</f>
        <v>255</v>
      </c>
      <c r="K262" cm="1">
        <f t="array" ref="K262" xml:space="preserve"> 1 + ROW() - _xlfn.SINGLE(ROW(ChartLines.RowNum))</f>
        <v>260</v>
      </c>
    </row>
    <row r="263" spans="2:11" x14ac:dyDescent="0.2">
      <c r="B263" t="s">
        <v>959</v>
      </c>
      <c r="C263" t="str">
        <f xml:space="preserve"> "039355"</f>
        <v>039355</v>
      </c>
      <c r="E263">
        <f t="shared" ref="E263" si="1000" xml:space="preserve"> IF(AND(LEN(ChartLines.ID)&gt;0,"Unused"&lt;&gt;ChartLines.ID), COUNTIFS(ChartLines.ID,ChartLines.ID), "·")</f>
        <v>2</v>
      </c>
      <c r="F263">
        <f t="shared" ref="F263" si="100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02" xml:space="preserve"> IF(LEN(ChartLines.Hex6)=6, HEX2DEC(LEFT(ChartLines.Hex6, 2)), "·")</f>
        <v>3</v>
      </c>
      <c r="I263">
        <f t="shared" ref="I263" si="1003" xml:space="preserve"> IF(LEN(ChartLines.Hex6)=6, HEX2DEC(MID(ChartLines.Hex6, 3, 2)), "·")</f>
        <v>147</v>
      </c>
      <c r="J263">
        <f t="shared" ref="J263" si="1004" xml:space="preserve"> IF(LEN(ChartLines.Hex6)=6, HEX2DEC(RIGHT(ChartLines.Hex6, 2)), "·")</f>
        <v>85</v>
      </c>
      <c r="K263" cm="1">
        <f t="array" ref="K263" xml:space="preserve"> 1 + ROW() - _xlfn.SINGLE(ROW(ChartLines.RowNum))</f>
        <v>261</v>
      </c>
    </row>
    <row r="264" spans="2:11" x14ac:dyDescent="0.2">
      <c r="B264" t="s">
        <v>959</v>
      </c>
      <c r="C264" t="s">
        <v>1851</v>
      </c>
      <c r="E264">
        <f t="shared" ref="E264" si="1005" xml:space="preserve"> IF(AND(LEN(ChartLines.ID)&gt;0,"Unused"&lt;&gt;ChartLines.ID), COUNTIFS(ChartLines.ID,ChartLines.ID), "·")</f>
        <v>2</v>
      </c>
      <c r="F264">
        <f t="shared" ref="F264" si="100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07" xml:space="preserve"> IF(LEN(ChartLines.Hex6)=6, HEX2DEC(LEFT(ChartLines.Hex6, 2)), "·")</f>
        <v>255</v>
      </c>
      <c r="I264">
        <f t="shared" ref="I264" si="1008" xml:space="preserve"> IF(LEN(ChartLines.Hex6)=6, HEX2DEC(MID(ChartLines.Hex6, 3, 2)), "·")</f>
        <v>255</v>
      </c>
      <c r="J264">
        <f t="shared" ref="J264" si="100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106</v>
      </c>
      <c r="C265" t="str">
        <f xml:space="preserve"> "000000"</f>
        <v>000000</v>
      </c>
      <c r="E265">
        <f t="shared" ref="E265" si="1010" xml:space="preserve"> IF(AND(LEN(ChartLines.ID)&gt;0,"Unused"&lt;&gt;ChartLines.ID), COUNTIFS(ChartLines.ID,ChartLines.ID), "·")</f>
        <v>2</v>
      </c>
      <c r="F265">
        <f t="shared" ref="F265" si="101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5">
        <f t="shared" ref="H265" si="1012" xml:space="preserve"> IF(LEN(ChartLines.Hex6)=6, HEX2DEC(LEFT(ChartLines.Hex6, 2)), "·")</f>
        <v>0</v>
      </c>
      <c r="I265">
        <f t="shared" ref="I265" si="1013" xml:space="preserve"> IF(LEN(ChartLines.Hex6)=6, HEX2DEC(MID(ChartLines.Hex6, 3, 2)), "·")</f>
        <v>0</v>
      </c>
      <c r="J265">
        <f t="shared" ref="J265" si="1014" xml:space="preserve"> IF(LEN(ChartLines.Hex6)=6, HEX2DEC(RIGHT(ChartLines.Hex6, 2)), "·")</f>
        <v>0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106</v>
      </c>
      <c r="C266" t="str">
        <f xml:space="preserve"> "039355"</f>
        <v>039355</v>
      </c>
      <c r="E266">
        <f t="shared" ref="E266:E268" si="1015" xml:space="preserve"> IF(AND(LEN(ChartLines.ID)&gt;0,"Unused"&lt;&gt;ChartLines.ID), COUNTIFS(ChartLines.ID,ChartLines.ID), "·")</f>
        <v>2</v>
      </c>
      <c r="F266">
        <f t="shared" ref="F266:F268" si="1016" xml:space="preserve"> IF(AND(LEN(ChartLines.ID)&gt;0,"Unused"&lt;&gt;ChartLines.ID), COUNTIFS(ChartLines.ID,ChartLines.ID,   ChartLines.RowNum,"&lt;="&amp;ChartLines.RowNum), "·")</f>
        <v>2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6">
        <f t="shared" ref="H266:H268" si="1017" xml:space="preserve"> IF(LEN(ChartLines.Hex6)=6, HEX2DEC(LEFT(ChartLines.Hex6, 2)), "·")</f>
        <v>3</v>
      </c>
      <c r="I266">
        <f t="shared" ref="I266:I268" si="1018" xml:space="preserve"> IF(LEN(ChartLines.Hex6)=6, HEX2DEC(MID(ChartLines.Hex6, 3, 2)), "·")</f>
        <v>147</v>
      </c>
      <c r="J266">
        <f t="shared" ref="J266:J268" si="1019" xml:space="preserve"> IF(LEN(ChartLines.Hex6)=6, HEX2DEC(RIGHT(ChartLines.Hex6, 2)), "·")</f>
        <v>85</v>
      </c>
      <c r="K266" cm="1">
        <f t="array" ref="K266" xml:space="preserve"> 1 + ROW() - _xlfn.SINGLE(ROW(ChartLines.RowNum))</f>
        <v>264</v>
      </c>
    </row>
    <row r="267" spans="2:11" x14ac:dyDescent="0.2">
      <c r="B267" t="s">
        <v>2056</v>
      </c>
      <c r="C267" t="s">
        <v>2057</v>
      </c>
      <c r="E267">
        <f t="shared" si="1015"/>
        <v>2</v>
      </c>
      <c r="F267">
        <f t="shared" si="1016"/>
        <v>1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7">
        <f t="shared" si="1017"/>
        <v>25</v>
      </c>
      <c r="I267">
        <f t="shared" si="1018"/>
        <v>141</v>
      </c>
      <c r="J267">
        <f t="shared" si="1019"/>
        <v>102</v>
      </c>
      <c r="K267" cm="1">
        <f t="array" ref="K267" xml:space="preserve"> 1 + ROW() - _xlfn.SINGLE(ROW(ChartLines.RowNum))</f>
        <v>265</v>
      </c>
    </row>
    <row r="268" spans="2:11" x14ac:dyDescent="0.2">
      <c r="B268" t="s">
        <v>2056</v>
      </c>
      <c r="C268" t="s">
        <v>2058</v>
      </c>
      <c r="E268">
        <f t="shared" si="1015"/>
        <v>2</v>
      </c>
      <c r="F268">
        <f t="shared" si="1016"/>
        <v>2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8">
        <f t="shared" si="1017"/>
        <v>252</v>
      </c>
      <c r="I268">
        <f t="shared" si="1018"/>
        <v>185</v>
      </c>
      <c r="J268">
        <f t="shared" si="1019"/>
        <v>14</v>
      </c>
      <c r="K268" cm="1">
        <f t="array" ref="K268" xml:space="preserve"> 1 + ROW() - _xlfn.SINGLE(ROW(ChartLines.RowNum))</f>
        <v>266</v>
      </c>
    </row>
    <row r="269" spans="2:11" x14ac:dyDescent="0.2">
      <c r="B269" t="s">
        <v>996</v>
      </c>
      <c r="C269" t="str">
        <f xml:space="preserve"> "005073"</f>
        <v>005073</v>
      </c>
      <c r="E269">
        <f t="shared" ref="E269" si="1020" xml:space="preserve"> IF(AND(LEN(ChartLines.ID)&gt;0,"Unused"&lt;&gt;ChartLines.ID), COUNTIFS(ChartLines.ID,ChartLines.ID), "·")</f>
        <v>2</v>
      </c>
      <c r="F269">
        <f t="shared" ref="F269" si="1021" xml:space="preserve"> IF(AND(LEN(ChartLines.ID)&gt;0,"Unused"&lt;&gt;ChartLines.ID), COUNTIFS(ChartLines.ID,ChartLines.ID,   ChartLines.RowNum,"&lt;="&amp;ChartLines.RowNum), "·")</f>
        <v>1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9">
        <f t="shared" ref="H269" si="1022" xml:space="preserve"> IF(LEN(ChartLines.Hex6)=6, HEX2DEC(LEFT(ChartLines.Hex6, 2)), "·")</f>
        <v>0</v>
      </c>
      <c r="I269">
        <f t="shared" ref="I269" si="1023" xml:space="preserve"> IF(LEN(ChartLines.Hex6)=6, HEX2DEC(MID(ChartLines.Hex6, 3, 2)), "·")</f>
        <v>80</v>
      </c>
      <c r="J269">
        <f t="shared" ref="J269" si="1024" xml:space="preserve"> IF(LEN(ChartLines.Hex6)=6, HEX2DEC(RIGHT(ChartLines.Hex6, 2)), "·")</f>
        <v>115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996</v>
      </c>
      <c r="C270" t="s">
        <v>1851</v>
      </c>
      <c r="E270">
        <f t="shared" ref="E270:E274" si="1025" xml:space="preserve"> IF(AND(LEN(ChartLines.ID)&gt;0,"Unused"&lt;&gt;ChartLines.ID), COUNTIFS(ChartLines.ID,ChartLines.ID), "·")</f>
        <v>2</v>
      </c>
      <c r="F270">
        <f t="shared" ref="F270:F274" si="1026" xml:space="preserve"> IF(AND(LEN(ChartLines.ID)&gt;0,"Unused"&lt;&gt;ChartLines.ID), COUNTIFS(ChartLines.ID,ChartLines.ID,   ChartLines.RowNum,"&lt;="&amp;ChartLines.RowNum), "·")</f>
        <v>2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0">
        <f t="shared" ref="H270:H274" si="1027" xml:space="preserve"> IF(LEN(ChartLines.Hex6)=6, HEX2DEC(LEFT(ChartLines.Hex6, 2)), "·")</f>
        <v>255</v>
      </c>
      <c r="I270">
        <f t="shared" ref="I270:I274" si="1028" xml:space="preserve"> IF(LEN(ChartLines.Hex6)=6, HEX2DEC(MID(ChartLines.Hex6, 3, 2)), "·")</f>
        <v>255</v>
      </c>
      <c r="J270">
        <f t="shared" ref="J270:J274" si="1029" xml:space="preserve"> IF(LEN(ChartLines.Hex6)=6, HEX2DEC(RIGHT(ChartLines.Hex6, 2)), "·")</f>
        <v>255</v>
      </c>
      <c r="K270" cm="1">
        <f t="array" ref="K270" xml:space="preserve"> 1 + ROW() - _xlfn.SINGLE(ROW(ChartLines.RowNum))</f>
        <v>268</v>
      </c>
    </row>
    <row r="271" spans="2:11" x14ac:dyDescent="0.2">
      <c r="B271" t="s">
        <v>2046</v>
      </c>
      <c r="C271" t="s">
        <v>2049</v>
      </c>
      <c r="E271">
        <f t="shared" si="1025"/>
        <v>2</v>
      </c>
      <c r="F271">
        <f t="shared" si="1026"/>
        <v>1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1">
        <f t="shared" si="1027"/>
        <v>43</v>
      </c>
      <c r="I271">
        <f t="shared" si="1028"/>
        <v>206</v>
      </c>
      <c r="J271">
        <f t="shared" si="1029"/>
        <v>117</v>
      </c>
      <c r="K271" cm="1">
        <f t="array" ref="K271" xml:space="preserve"> 1 + ROW() - _xlfn.SINGLE(ROW(ChartLines.RowNum))</f>
        <v>269</v>
      </c>
    </row>
    <row r="272" spans="2:11" x14ac:dyDescent="0.2">
      <c r="B272" t="s">
        <v>2046</v>
      </c>
      <c r="C272" t="s">
        <v>2050</v>
      </c>
      <c r="E272">
        <f t="shared" si="1025"/>
        <v>2</v>
      </c>
      <c r="F272">
        <f t="shared" si="1026"/>
        <v>2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2">
        <f t="shared" si="1027"/>
        <v>0</v>
      </c>
      <c r="I272">
        <f t="shared" si="1028"/>
        <v>70</v>
      </c>
      <c r="J272">
        <f t="shared" si="1029"/>
        <v>194</v>
      </c>
      <c r="K272" cm="1">
        <f t="array" ref="K272" xml:space="preserve"> 1 + ROW() - _xlfn.SINGLE(ROW(ChartLines.RowNum))</f>
        <v>270</v>
      </c>
    </row>
    <row r="273" spans="2:11" x14ac:dyDescent="0.2">
      <c r="B273" t="s">
        <v>2051</v>
      </c>
      <c r="C273" t="s">
        <v>2054</v>
      </c>
      <c r="E273">
        <f t="shared" si="1025"/>
        <v>2</v>
      </c>
      <c r="F273">
        <f t="shared" si="1026"/>
        <v>1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3">
        <f t="shared" si="1027"/>
        <v>239</v>
      </c>
      <c r="I273">
        <f t="shared" si="1028"/>
        <v>190</v>
      </c>
      <c r="J273">
        <f t="shared" si="1029"/>
        <v>32</v>
      </c>
      <c r="K273" cm="1">
        <f t="array" ref="K273" xml:space="preserve"> 1 + ROW() - _xlfn.SINGLE(ROW(ChartLines.RowNum))</f>
        <v>271</v>
      </c>
    </row>
    <row r="274" spans="2:11" x14ac:dyDescent="0.2">
      <c r="B274" t="s">
        <v>2051</v>
      </c>
      <c r="C274" t="s">
        <v>2055</v>
      </c>
      <c r="E274">
        <f t="shared" si="1025"/>
        <v>2</v>
      </c>
      <c r="F274">
        <f t="shared" si="1026"/>
        <v>2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4">
        <f t="shared" si="1027"/>
        <v>11</v>
      </c>
      <c r="I274">
        <f t="shared" si="1028"/>
        <v>92</v>
      </c>
      <c r="J274">
        <f t="shared" si="1029"/>
        <v>174</v>
      </c>
      <c r="K274" cm="1">
        <f t="array" ref="K274" xml:space="preserve"> 1 + ROW() - _xlfn.SINGLE(ROW(ChartLines.RowNum))</f>
        <v>272</v>
      </c>
    </row>
    <row r="275" spans="2:11" x14ac:dyDescent="0.2">
      <c r="B275" t="s">
        <v>1054</v>
      </c>
      <c r="C275" t="str">
        <f xml:space="preserve"> "056839"</f>
        <v>056839</v>
      </c>
      <c r="E275">
        <f t="shared" ref="E275" si="1030" xml:space="preserve"> IF(AND(LEN(ChartLines.ID)&gt;0,"Unused"&lt;&gt;ChartLines.ID), COUNTIFS(ChartLines.ID,ChartLines.ID), "·")</f>
        <v>2</v>
      </c>
      <c r="F275">
        <f t="shared" ref="F275" si="1031" xml:space="preserve"> IF(AND(LEN(ChartLines.ID)&gt;0,"Unused"&lt;&gt;ChartLines.ID), COUNTIFS(ChartLines.ID,ChartLines.ID,   ChartLines.RowNum,"&lt;="&amp;ChartLines.RowNum), "·")</f>
        <v>1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5">
        <f t="shared" ref="H275" si="1032" xml:space="preserve"> IF(LEN(ChartLines.Hex6)=6, HEX2DEC(LEFT(ChartLines.Hex6, 2)), "·")</f>
        <v>5</v>
      </c>
      <c r="I275">
        <f t="shared" ref="I275" si="1033" xml:space="preserve"> IF(LEN(ChartLines.Hex6)=6, HEX2DEC(MID(ChartLines.Hex6, 3, 2)), "·")</f>
        <v>104</v>
      </c>
      <c r="J275">
        <f t="shared" ref="J275" si="1034" xml:space="preserve"> IF(LEN(ChartLines.Hex6)=6, HEX2DEC(RIGHT(ChartLines.Hex6, 2)), "·")</f>
        <v>57</v>
      </c>
      <c r="K275" cm="1">
        <f t="array" ref="K275" xml:space="preserve"> 1 + ROW() - _xlfn.SINGLE(ROW(ChartLines.RowNum))</f>
        <v>273</v>
      </c>
    </row>
    <row r="276" spans="2:11" x14ac:dyDescent="0.2">
      <c r="B276" t="s">
        <v>1054</v>
      </c>
      <c r="C276" t="s">
        <v>1958</v>
      </c>
      <c r="E276">
        <f t="shared" ref="E276" si="1035" xml:space="preserve"> IF(AND(LEN(ChartLines.ID)&gt;0,"Unused"&lt;&gt;ChartLines.ID), COUNTIFS(ChartLines.ID,ChartLines.ID), "·")</f>
        <v>2</v>
      </c>
      <c r="F276">
        <f t="shared" ref="F276" si="1036" xml:space="preserve"> IF(AND(LEN(ChartLines.ID)&gt;0,"Unused"&lt;&gt;ChartLines.ID), COUNTIFS(ChartLines.ID,ChartLines.ID,   ChartLines.RowNum,"&lt;="&amp;ChartLines.RowNum), "·")</f>
        <v>2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6">
        <f t="shared" ref="H276" si="1037" xml:space="preserve"> IF(LEN(ChartLines.Hex6)=6, HEX2DEC(LEFT(ChartLines.Hex6, 2)), "·")</f>
        <v>190</v>
      </c>
      <c r="I276">
        <f t="shared" ref="I276" si="1038" xml:space="preserve"> IF(LEN(ChartLines.Hex6)=6, HEX2DEC(MID(ChartLines.Hex6, 3, 2)), "·")</f>
        <v>214</v>
      </c>
      <c r="J276">
        <f t="shared" ref="J276" si="1039" xml:space="preserve"> IF(LEN(ChartLines.Hex6)=6, HEX2DEC(RIGHT(ChartLines.Hex6, 2)), "·")</f>
        <v>47</v>
      </c>
      <c r="K276" cm="1">
        <f t="array" ref="K276" xml:space="preserve"> 1 + ROW() - _xlfn.SINGLE(ROW(ChartLines.RowNum))</f>
        <v>274</v>
      </c>
    </row>
    <row r="277" spans="2:11" x14ac:dyDescent="0.2">
      <c r="B277" t="s">
        <v>1959</v>
      </c>
      <c r="C277" t="str">
        <f xml:space="preserve"> "000000"</f>
        <v>000000</v>
      </c>
      <c r="E277">
        <f t="shared" ref="E277" si="1040" xml:space="preserve"> IF(AND(LEN(ChartLines.ID)&gt;0,"Unused"&lt;&gt;ChartLines.ID), COUNTIFS(ChartLines.ID,ChartLines.ID), "·")</f>
        <v>2</v>
      </c>
      <c r="F277">
        <f t="shared" ref="F277" si="1041" xml:space="preserve"> IF(AND(LEN(ChartLines.ID)&gt;0,"Unused"&lt;&gt;ChartLines.ID), COUNTIFS(ChartLines.ID,ChartLines.ID,   ChartLines.RowNum,"&lt;="&amp;ChartLines.RowNum), "·")</f>
        <v>1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7">
        <f t="shared" ref="H277" si="1042" xml:space="preserve"> IF(LEN(ChartLines.Hex6)=6, HEX2DEC(LEFT(ChartLines.Hex6, 2)), "·")</f>
        <v>0</v>
      </c>
      <c r="I277">
        <f t="shared" ref="I277" si="1043" xml:space="preserve"> IF(LEN(ChartLines.Hex6)=6, HEX2DEC(MID(ChartLines.Hex6, 3, 2)), "·")</f>
        <v>0</v>
      </c>
      <c r="J277">
        <f t="shared" ref="J277" si="1044" xml:space="preserve"> IF(LEN(ChartLines.Hex6)=6, HEX2DEC(RIGHT(ChartLines.Hex6, 2)), "·")</f>
        <v>0</v>
      </c>
      <c r="K277" cm="1">
        <f t="array" ref="K277" xml:space="preserve"> 1 + ROW() - _xlfn.SINGLE(ROW(ChartLines.RowNum))</f>
        <v>275</v>
      </c>
    </row>
    <row r="278" spans="2:11" x14ac:dyDescent="0.2">
      <c r="B278" t="s">
        <v>1959</v>
      </c>
      <c r="C278" t="s">
        <v>1851</v>
      </c>
      <c r="E278">
        <f t="shared" ref="E278" si="1045" xml:space="preserve"> IF(AND(LEN(ChartLines.ID)&gt;0,"Unused"&lt;&gt;ChartLines.ID), COUNTIFS(ChartLines.ID,ChartLines.ID), "·")</f>
        <v>2</v>
      </c>
      <c r="F278">
        <f t="shared" ref="F278" si="1046" xml:space="preserve"> IF(AND(LEN(ChartLines.ID)&gt;0,"Unused"&lt;&gt;ChartLines.ID), COUNTIFS(ChartLines.ID,ChartLines.ID,   ChartLines.RowNum,"&lt;="&amp;ChartLines.RowNum), "·")</f>
        <v>2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8">
        <f t="shared" ref="H278" si="1047" xml:space="preserve"> IF(LEN(ChartLines.Hex6)=6, HEX2DEC(LEFT(ChartLines.Hex6, 2)), "·")</f>
        <v>255</v>
      </c>
      <c r="I278">
        <f t="shared" ref="I278" si="1048" xml:space="preserve"> IF(LEN(ChartLines.Hex6)=6, HEX2DEC(MID(ChartLines.Hex6, 3, 2)), "·")</f>
        <v>255</v>
      </c>
      <c r="J278">
        <f t="shared" ref="J278" si="1049" xml:space="preserve"> IF(LEN(ChartLines.Hex6)=6, HEX2DEC(RIGHT(ChartLines.Hex6, 2)), "·")</f>
        <v>255</v>
      </c>
      <c r="K278" cm="1">
        <f t="array" ref="K278" xml:space="preserve"> 1 + ROW() - _xlfn.SINGLE(ROW(ChartLines.RowNum))</f>
        <v>276</v>
      </c>
    </row>
    <row r="279" spans="2:11" x14ac:dyDescent="0.2">
      <c r="B279" t="s">
        <v>1960</v>
      </c>
      <c r="C279" t="s">
        <v>1961</v>
      </c>
      <c r="E279">
        <f t="shared" ref="E279" si="1050" xml:space="preserve"> IF(AND(LEN(ChartLines.ID)&gt;0,"Unused"&lt;&gt;ChartLines.ID), COUNTIFS(ChartLines.ID,ChartLines.ID), "·")</f>
        <v>1</v>
      </c>
      <c r="F279">
        <f t="shared" ref="F279" si="1051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79">
        <f t="shared" ref="H279" si="1052" xml:space="preserve"> IF(LEN(ChartLines.Hex6)=6, HEX2DEC(LEFT(ChartLines.Hex6, 2)), "·")</f>
        <v>0</v>
      </c>
      <c r="I279">
        <f t="shared" ref="I279" si="1053" xml:space="preserve"> IF(LEN(ChartLines.Hex6)=6, HEX2DEC(MID(ChartLines.Hex6, 3, 2)), "·")</f>
        <v>76</v>
      </c>
      <c r="J279">
        <f t="shared" ref="J279" si="1054" xml:space="preserve"> IF(LEN(ChartLines.Hex6)=6, HEX2DEC(RIGHT(ChartLines.Hex6, 2)), "·")</f>
        <v>151</v>
      </c>
      <c r="K279" cm="1">
        <f t="array" ref="K279" xml:space="preserve"> 1 + ROW() - _xlfn.SINGLE(ROW(ChartLines.RowNum))</f>
        <v>277</v>
      </c>
    </row>
    <row r="280" spans="2:11" x14ac:dyDescent="0.2">
      <c r="B280" t="s">
        <v>1847</v>
      </c>
      <c r="E280" t="str">
        <f t="shared" ref="E280" si="1055" xml:space="preserve"> IF(AND(LEN(ChartLines.ID)&gt;0,"Unused"&lt;&gt;ChartLines.ID), COUNTIFS(ChartLines.ID,ChartLines.ID), "·")</f>
        <v>·</v>
      </c>
      <c r="F280" t="str">
        <f t="shared" ref="F280" si="1056" xml:space="preserve"> IF(AND(LEN(ChartLines.ID)&gt;0,"Unused"&lt;&gt;ChartLines.ID), COUNTIFS(ChartLines.ID,ChartLines.ID,   ChartLines.RowNum,"&lt;="&amp;ChartLines.RowNum), "·")</f>
        <v>·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0" t="str">
        <f t="shared" ref="H280" si="1057" xml:space="preserve"> IF(LEN(ChartLines.Hex6)=6, HEX2DEC(LEFT(ChartLines.Hex6, 2)), "·")</f>
        <v>·</v>
      </c>
      <c r="I280" t="str">
        <f t="shared" ref="I280" si="1058" xml:space="preserve"> IF(LEN(ChartLines.Hex6)=6, HEX2DEC(MID(ChartLines.Hex6, 3, 2)), "·")</f>
        <v>·</v>
      </c>
      <c r="J280" t="str">
        <f t="shared" ref="J280" si="1059" xml:space="preserve"> IF(LEN(ChartLines.Hex6)=6, HEX2DEC(RIGHT(ChartLines.Hex6, 2)), "·")</f>
        <v>·</v>
      </c>
      <c r="K280" cm="1">
        <f t="array" ref="K280" xml:space="preserve"> 1 + ROW() - _xlfn.SINGLE(ROW(ChartLines.RowNum))</f>
        <v>278</v>
      </c>
    </row>
    <row r="281" spans="2:11" x14ac:dyDescent="0.2">
      <c r="E281" t="str">
        <f t="shared" ref="E281" si="1060" xml:space="preserve"> IF(AND(LEN(ChartLines.ID)&gt;0,"Unused"&lt;&gt;ChartLines.ID), COUNTIFS(ChartLines.ID,ChartLines.ID), "·")</f>
        <v>·</v>
      </c>
      <c r="F281" t="str">
        <f t="shared" ref="F281" si="1061" xml:space="preserve"> IF(AND(LEN(ChartLines.ID)&gt;0,"Unused"&lt;&gt;ChartLines.ID), COUNTIFS(ChartLines.ID,ChartLines.ID,   ChartLines.RowNum,"&lt;="&amp;ChartLines.RowNum), "·")</f>
        <v>·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1" t="str">
        <f t="shared" ref="H281" si="1062" xml:space="preserve"> IF(LEN(ChartLines.Hex6)=6, HEX2DEC(LEFT(ChartLines.Hex6, 2)), "·")</f>
        <v>·</v>
      </c>
      <c r="I281" t="str">
        <f t="shared" ref="I281" si="1063" xml:space="preserve"> IF(LEN(ChartLines.Hex6)=6, HEX2DEC(MID(ChartLines.Hex6, 3, 2)), "·")</f>
        <v>·</v>
      </c>
      <c r="J281" t="str">
        <f t="shared" ref="J281" si="1064" xml:space="preserve"> IF(LEN(ChartLines.Hex6)=6, HEX2DEC(RIGHT(ChartLines.Hex6, 2)), "·")</f>
        <v>·</v>
      </c>
      <c r="K281" cm="1">
        <f t="array" ref="K281" xml:space="preserve"> 1 + ROW() - _xlfn.SINGLE(ROW(ChartLines.RowNum))</f>
        <v>279</v>
      </c>
    </row>
    <row r="282" spans="2:11" x14ac:dyDescent="0.2">
      <c r="B282" t="s">
        <v>1962</v>
      </c>
      <c r="C282" t="str">
        <f xml:space="preserve"> "996515"</f>
        <v>996515</v>
      </c>
      <c r="E282">
        <f t="shared" ref="E282" si="1065" xml:space="preserve"> IF(AND(LEN(ChartLines.ID)&gt;0,"Unused"&lt;&gt;ChartLines.ID), COUNTIFS(ChartLines.ID,ChartLines.ID), "·")</f>
        <v>2</v>
      </c>
      <c r="F282">
        <f t="shared" ref="F282" si="1066" xml:space="preserve"> IF(AND(LEN(ChartLines.ID)&gt;0,"Unused"&lt;&gt;ChartLines.ID), COUNTIFS(ChartLines.ID,ChartLines.ID,   ChartLines.RowNum,"&lt;="&amp;ChartLines.RowNum), "·")</f>
        <v>1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2">
        <f t="shared" ref="H282" si="1067" xml:space="preserve"> IF(LEN(ChartLines.Hex6)=6, HEX2DEC(LEFT(ChartLines.Hex6, 2)), "·")</f>
        <v>153</v>
      </c>
      <c r="I282">
        <f t="shared" ref="I282" si="1068" xml:space="preserve"> IF(LEN(ChartLines.Hex6)=6, HEX2DEC(MID(ChartLines.Hex6, 3, 2)), "·")</f>
        <v>101</v>
      </c>
      <c r="J282">
        <f t="shared" ref="J282" si="1069" xml:space="preserve"> IF(LEN(ChartLines.Hex6)=6, HEX2DEC(RIGHT(ChartLines.Hex6, 2)), "·")</f>
        <v>21</v>
      </c>
      <c r="K282" cm="1">
        <f t="array" ref="K282" xml:space="preserve"> 1 + ROW() - _xlfn.SINGLE(ROW(ChartLines.RowNum))</f>
        <v>280</v>
      </c>
    </row>
    <row r="283" spans="2:11" x14ac:dyDescent="0.2">
      <c r="B283" t="s">
        <v>1962</v>
      </c>
      <c r="C283" t="str">
        <f xml:space="preserve"> "D4AF37"</f>
        <v>D4AF37</v>
      </c>
      <c r="E283">
        <f t="shared" ref="E283" si="1070" xml:space="preserve"> IF(AND(LEN(ChartLines.ID)&gt;0,"Unused"&lt;&gt;ChartLines.ID), COUNTIFS(ChartLines.ID,ChartLines.ID), "·")</f>
        <v>2</v>
      </c>
      <c r="F283">
        <f t="shared" ref="F283" si="1071" xml:space="preserve"> IF(AND(LEN(ChartLines.ID)&gt;0,"Unused"&lt;&gt;ChartLines.ID), COUNTIFS(ChartLines.ID,ChartLines.ID,   ChartLines.RowNum,"&lt;="&amp;ChartLines.RowNum), "·")</f>
        <v>2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3">
        <f t="shared" ref="H283" si="1072" xml:space="preserve"> IF(LEN(ChartLines.Hex6)=6, HEX2DEC(LEFT(ChartLines.Hex6, 2)), "·")</f>
        <v>212</v>
      </c>
      <c r="I283">
        <f t="shared" ref="I283" si="1073" xml:space="preserve"> IF(LEN(ChartLines.Hex6)=6, HEX2DEC(MID(ChartLines.Hex6, 3, 2)), "·")</f>
        <v>175</v>
      </c>
      <c r="J283">
        <f t="shared" ref="J283" si="1074" xml:space="preserve"> IF(LEN(ChartLines.Hex6)=6, HEX2DEC(RIGHT(ChartLines.Hex6, 2)), "·")</f>
        <v>55</v>
      </c>
      <c r="K283" cm="1">
        <f t="array" ref="K283" xml:space="preserve"> 1 + ROW() - _xlfn.SINGLE(ROW(ChartLines.RowNum))</f>
        <v>281</v>
      </c>
    </row>
    <row r="284" spans="2:11" x14ac:dyDescent="0.2">
      <c r="B284" t="s">
        <v>1963</v>
      </c>
      <c r="C284" t="s">
        <v>1964</v>
      </c>
      <c r="E284">
        <f t="shared" ref="E284" si="1075" xml:space="preserve"> IF(AND(LEN(ChartLines.ID)&gt;0,"Unused"&lt;&gt;ChartLines.ID), COUNTIFS(ChartLines.ID,ChartLines.ID), "·")</f>
        <v>2</v>
      </c>
      <c r="F284">
        <f t="shared" ref="F284" si="1076" xml:space="preserve"> IF(AND(LEN(ChartLines.ID)&gt;0,"Unused"&lt;&gt;ChartLines.ID), COUNTIFS(ChartLines.ID,ChartLines.ID,   ChartLines.RowNum,"&lt;="&amp;ChartLines.RowNum), "·")</f>
        <v>1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4">
        <f t="shared" ref="H284" si="1077" xml:space="preserve"> IF(LEN(ChartLines.Hex6)=6, HEX2DEC(LEFT(ChartLines.Hex6, 2)), "·")</f>
        <v>92</v>
      </c>
      <c r="I284">
        <f t="shared" ref="I284" si="1078" xml:space="preserve"> IF(LEN(ChartLines.Hex6)=6, HEX2DEC(MID(ChartLines.Hex6, 3, 2)), "·")</f>
        <v>92</v>
      </c>
      <c r="J284">
        <f t="shared" ref="J284" si="1079" xml:space="preserve"> IF(LEN(ChartLines.Hex6)=6, HEX2DEC(RIGHT(ChartLines.Hex6, 2)), "·")</f>
        <v>92</v>
      </c>
      <c r="K284" cm="1">
        <f t="array" ref="K284" xml:space="preserve"> 1 + ROW() - _xlfn.SINGLE(ROW(ChartLines.RowNum))</f>
        <v>282</v>
      </c>
    </row>
    <row r="285" spans="2:11" x14ac:dyDescent="0.2">
      <c r="B285" t="s">
        <v>1963</v>
      </c>
      <c r="C285" t="str">
        <f xml:space="preserve"> "C0C0C0"</f>
        <v>C0C0C0</v>
      </c>
      <c r="E285">
        <f t="shared" ref="E285" si="1080" xml:space="preserve"> IF(AND(LEN(ChartLines.ID)&gt;0,"Unused"&lt;&gt;ChartLines.ID), COUNTIFS(ChartLines.ID,ChartLines.ID), "·")</f>
        <v>2</v>
      </c>
      <c r="F285">
        <f t="shared" ref="F285" si="1081" xml:space="preserve"> IF(AND(LEN(ChartLines.ID)&gt;0,"Unused"&lt;&gt;ChartLines.ID), COUNTIFS(ChartLines.ID,ChartLines.ID,   ChartLines.RowNum,"&lt;="&amp;ChartLines.RowNum), "·")</f>
        <v>2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5">
        <f t="shared" ref="H285" si="1082" xml:space="preserve"> IF(LEN(ChartLines.Hex6)=6, HEX2DEC(LEFT(ChartLines.Hex6, 2)), "·")</f>
        <v>192</v>
      </c>
      <c r="I285">
        <f t="shared" ref="I285" si="1083" xml:space="preserve"> IF(LEN(ChartLines.Hex6)=6, HEX2DEC(MID(ChartLines.Hex6, 3, 2)), "·")</f>
        <v>192</v>
      </c>
      <c r="J285">
        <f t="shared" ref="J285" si="1084" xml:space="preserve"> IF(LEN(ChartLines.Hex6)=6, HEX2DEC(RIGHT(ChartLines.Hex6, 2)), "·")</f>
        <v>192</v>
      </c>
      <c r="K285" cm="1">
        <f t="array" ref="K285" xml:space="preserve"> 1 + ROW() - _xlfn.SINGLE(ROW(ChartLines.RowNum))</f>
        <v>283</v>
      </c>
    </row>
    <row r="286" spans="2:11" x14ac:dyDescent="0.2">
      <c r="B286" t="s">
        <v>933</v>
      </c>
      <c r="C286" t="s">
        <v>1965</v>
      </c>
      <c r="E286">
        <f t="shared" ref="E286" si="1085" xml:space="preserve"> IF(AND(LEN(ChartLines.ID)&gt;0,"Unused"&lt;&gt;ChartLines.ID), COUNTIFS(ChartLines.ID,ChartLines.ID), "·")</f>
        <v>2</v>
      </c>
      <c r="F286">
        <f t="shared" ref="F286" si="1086" xml:space="preserve"> IF(AND(LEN(ChartLines.ID)&gt;0,"Unused"&lt;&gt;ChartLines.ID), COUNTIFS(ChartLines.ID,ChartLines.ID,   ChartLines.RowNum,"&lt;="&amp;ChartLines.RowNum), "·")</f>
        <v>1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6">
        <f t="shared" ref="H286" si="1087" xml:space="preserve"> IF(LEN(ChartLines.Hex6)=6, HEX2DEC(LEFT(ChartLines.Hex6, 2)), "·")</f>
        <v>217</v>
      </c>
      <c r="I286">
        <f t="shared" ref="I286" si="1088" xml:space="preserve"> IF(LEN(ChartLines.Hex6)=6, HEX2DEC(MID(ChartLines.Hex6, 3, 2)), "·")</f>
        <v>91</v>
      </c>
      <c r="J286">
        <f t="shared" ref="J286" si="1089" xml:space="preserve"> IF(LEN(ChartLines.Hex6)=6, HEX2DEC(RIGHT(ChartLines.Hex6, 2)), "·")</f>
        <v>20</v>
      </c>
      <c r="K286" cm="1">
        <f t="array" ref="K286" xml:space="preserve"> 1 + ROW() - _xlfn.SINGLE(ROW(ChartLines.RowNum))</f>
        <v>284</v>
      </c>
    </row>
    <row r="287" spans="2:11" x14ac:dyDescent="0.2">
      <c r="B287" t="s">
        <v>933</v>
      </c>
      <c r="C287" t="s">
        <v>1966</v>
      </c>
      <c r="E287">
        <f t="shared" ref="E287" si="1090" xml:space="preserve"> IF(AND(LEN(ChartLines.ID)&gt;0,"Unused"&lt;&gt;ChartLines.ID), COUNTIFS(ChartLines.ID,ChartLines.ID), "·")</f>
        <v>2</v>
      </c>
      <c r="F287">
        <f t="shared" ref="F287" si="1091" xml:space="preserve"> IF(AND(LEN(ChartLines.ID)&gt;0,"Unused"&lt;&gt;ChartLines.ID), COUNTIFS(ChartLines.ID,ChartLines.ID,   ChartLines.RowNum,"&lt;="&amp;ChartLines.RowNum), "·")</f>
        <v>2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7">
        <f t="shared" ref="H287" si="1092" xml:space="preserve"> IF(LEN(ChartLines.Hex6)=6, HEX2DEC(LEFT(ChartLines.Hex6, 2)), "·")</f>
        <v>199</v>
      </c>
      <c r="I287">
        <f t="shared" ref="I287" si="1093" xml:space="preserve"> IF(LEN(ChartLines.Hex6)=6, HEX2DEC(MID(ChartLines.Hex6, 3, 2)), "·")</f>
        <v>199</v>
      </c>
      <c r="J287">
        <f t="shared" ref="J287" si="1094" xml:space="preserve"> IF(LEN(ChartLines.Hex6)=6, HEX2DEC(RIGHT(ChartLines.Hex6, 2)), "·")</f>
        <v>199</v>
      </c>
      <c r="K287" cm="1">
        <f t="array" ref="K287" xml:space="preserve"> 1 + ROW() - _xlfn.SINGLE(ROW(ChartLines.RowNum))</f>
        <v>285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2170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/Users/JDAW/Documents/GitHub/chart_markers/Construction/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1967</v>
      </c>
      <c r="Y5" s="3" t="s">
        <v>2169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/Users/JDAW/Documents/GitHub/chart_markers/Construction/ChartLines/</v>
      </c>
    </row>
    <row r="7" spans="2:28" x14ac:dyDescent="0.2">
      <c r="B7" s="4" t="s">
        <v>1063</v>
      </c>
      <c r="C7" s="35">
        <f ca="1" xml:space="preserve"> NOW()</f>
        <v>45080.908217129632</v>
      </c>
      <c r="K7" cm="1">
        <f t="array" ref="K7" xml:space="preserve"> 1 + _xlfn.SINGLE(ROW()) - _xlfn.SINGLE(ROW(ExportSubstitutions.RowNum))</f>
        <v>2</v>
      </c>
      <c r="L7" t="s">
        <v>2141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/Users/JDAW/Documents/GitHub/chart_markers/Construction/ChartMarkers_enlarged/</v>
      </c>
    </row>
    <row r="8" spans="2:28" x14ac:dyDescent="0.2">
      <c r="B8" s="4" t="s">
        <v>1064</v>
      </c>
      <c r="C8" s="50">
        <f ca="1" xml:space="preserve"> INT(Now)</f>
        <v>45080</v>
      </c>
      <c r="K8" cm="1">
        <f t="array" ref="K8" xml:space="preserve"> 1 + _xlfn.SINGLE(ROW()) - _xlfn.SINGLE(ROW(ExportSubstitutions.RowNum))</f>
        <v>3</v>
      </c>
      <c r="L8" t="s">
        <v>2142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/Users/JDAW/Documents/GitHub/chart_markers/Construction/ChartMarkers_Excel/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/Users/JDAW/Documents/GitHub/chart_markers/Construction/ChartMarkers/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2171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2173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2172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/Users/JDAW/Documents/GitHub/chart_markers/Construction/ChartMarkers_hugeForExcel/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414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121665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1973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45080.886724537035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2140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2104</v>
      </c>
      <c r="M36" t="s">
        <v>2133</v>
      </c>
      <c r="N36" t="s">
        <v>2140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2140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2105</v>
      </c>
      <c r="M38" t="s">
        <v>2134</v>
      </c>
      <c r="N38" t="s">
        <v>2140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2140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2106</v>
      </c>
      <c r="M40" t="s">
        <v>2135</v>
      </c>
      <c r="N40" t="s">
        <v>2140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2107</v>
      </c>
      <c r="M41" t="s">
        <v>2136</v>
      </c>
      <c r="N41" t="s">
        <v>2140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2107</v>
      </c>
      <c r="M42" t="s">
        <v>2136</v>
      </c>
      <c r="N42" t="s">
        <v>2140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2140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2140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2140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2140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2140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2140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2140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2108</v>
      </c>
      <c r="M50" t="s">
        <v>2137</v>
      </c>
      <c r="N50" t="s">
        <v>2140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2140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2140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2140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2140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2140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2140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2140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2140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2140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2140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2109</v>
      </c>
      <c r="M61" t="s">
        <v>2138</v>
      </c>
      <c r="N61" t="s">
        <v>2140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2110</v>
      </c>
      <c r="M62" t="s">
        <v>2122</v>
      </c>
      <c r="N62" t="s">
        <v>2140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2111</v>
      </c>
      <c r="M63" t="s">
        <v>2123</v>
      </c>
      <c r="N63" t="s">
        <v>2140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2112</v>
      </c>
      <c r="M64" t="s">
        <v>2124</v>
      </c>
      <c r="N64" t="s">
        <v>2140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2113</v>
      </c>
      <c r="M65" t="s">
        <v>2125</v>
      </c>
      <c r="N65" t="s">
        <v>2140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2114</v>
      </c>
      <c r="M66" t="s">
        <v>2126</v>
      </c>
      <c r="N66" t="s">
        <v>2140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2115</v>
      </c>
      <c r="M67" t="s">
        <v>2127</v>
      </c>
      <c r="N67" t="s">
        <v>2140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2116</v>
      </c>
      <c r="M68" t="s">
        <v>2128</v>
      </c>
      <c r="N68" t="s">
        <v>2140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2117</v>
      </c>
      <c r="M69" t="s">
        <v>2129</v>
      </c>
      <c r="N69" t="s">
        <v>2140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2118</v>
      </c>
      <c r="M70" t="s">
        <v>2130</v>
      </c>
      <c r="N70" t="s">
        <v>2140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2119</v>
      </c>
      <c r="M71" t="s">
        <v>2131</v>
      </c>
      <c r="N71" t="s">
        <v>2140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2120</v>
      </c>
      <c r="M72" t="s">
        <v>2132</v>
      </c>
      <c r="N72" t="s">
        <v>2140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2121</v>
      </c>
      <c r="M73" t="s">
        <v>2139</v>
      </c>
      <c r="N73" t="s">
        <v>2140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2104</v>
      </c>
      <c r="T422" t="s">
        <v>2133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2105</v>
      </c>
      <c r="T424" t="s">
        <v>2134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2106</v>
      </c>
      <c r="T426" t="s">
        <v>2135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2107</v>
      </c>
      <c r="T427" t="s">
        <v>2136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2107</v>
      </c>
      <c r="T428" t="s">
        <v>2136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2108</v>
      </c>
      <c r="T436" t="s">
        <v>2137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2109</v>
      </c>
      <c r="T447" t="s">
        <v>2138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2110</v>
      </c>
      <c r="T448" t="s">
        <v>2122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2111</v>
      </c>
      <c r="T449" t="s">
        <v>2123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2112</v>
      </c>
      <c r="T450" t="s">
        <v>2124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2113</v>
      </c>
      <c r="T451" t="s">
        <v>2125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2114</v>
      </c>
      <c r="T452" t="s">
        <v>2126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2115</v>
      </c>
      <c r="T453" t="s">
        <v>2127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2116</v>
      </c>
      <c r="T454" t="s">
        <v>2128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2117</v>
      </c>
      <c r="T455" t="s">
        <v>2129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2118</v>
      </c>
      <c r="T456" t="s">
        <v>2130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2119</v>
      </c>
      <c r="T457" t="s">
        <v>2131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2120</v>
      </c>
      <c r="T458" t="s">
        <v>2132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2121</v>
      </c>
      <c r="T459" t="s">
        <v>2139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topLeftCell="B1"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1227</vt:i4>
      </vt:variant>
    </vt:vector>
  </HeadingPairs>
  <TitlesOfParts>
    <vt:vector size="1283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2023-06-03T20:48:00Z</dcterms:modified>
</cp:coreProperties>
</file>