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5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programming/SVG/CurrencySymbols/"/>
    </mc:Choice>
  </mc:AlternateContent>
  <xr:revisionPtr revIDLastSave="0" documentId="13_ncr:1_{9D2FF3D0-4716-6D4D-973F-702452022819}" xr6:coauthVersionLast="45" xr6:coauthVersionMax="45" xr10:uidLastSave="{00000000-0000-0000-0000-000000000000}"/>
  <bookViews>
    <workbookView xWindow="1100" yWindow="460" windowWidth="30680" windowHeight="28180" firstSheet="37" activeTab="52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GEL" sheetId="49" r:id="rId20"/>
    <sheet name="RUB" sheetId="67" r:id="rId21"/>
    <sheet name="AED" sheetId="29" r:id="rId22"/>
    <sheet name="OMR" sheetId="64" r:id="rId23"/>
    <sheet name="QAR" sheetId="30" r:id="rId24"/>
    <sheet name="KWD" sheetId="59" r:id="rId25"/>
    <sheet name="YER" sheetId="66" r:id="rId26"/>
    <sheet name="EGP" sheetId="62" r:id="rId27"/>
    <sheet name="IQD" sheetId="48" r:id="rId28"/>
    <sheet name="ILS" sheetId="31" r:id="rId29"/>
    <sheet name="ZAR" sheetId="28" r:id="rId30"/>
    <sheet name="SDG" sheetId="65" r:id="rId31"/>
    <sheet name="MXN" sheetId="32" r:id="rId32"/>
    <sheet name="UYU" sheetId="33" r:id="rId33"/>
    <sheet name="BOB" sheetId="34" r:id="rId34"/>
    <sheet name="FR" sheetId="36" r:id="rId35"/>
    <sheet name="NL" sheetId="60" r:id="rId36"/>
    <sheet name="BE" sheetId="39" r:id="rId37"/>
    <sheet name="IE" sheetId="40" r:id="rId38"/>
    <sheet name="GR" sheetId="69" r:id="rId39"/>
    <sheet name="SI" sheetId="38" r:id="rId40"/>
    <sheet name="CY" sheetId="41" r:id="rId41"/>
    <sheet name="MT" sheetId="42" r:id="rId42"/>
    <sheet name="_EBRD" sheetId="52" r:id="rId43"/>
    <sheet name="_NIB" sheetId="54" r:id="rId44"/>
    <sheet name="_AIIB" sheetId="53" r:id="rId45"/>
    <sheet name="_IsDB" sheetId="51" r:id="rId46"/>
    <sheet name="_NDB" sheetId="55" r:id="rId47"/>
    <sheet name="_IBRD" sheetId="50" r:id="rId48"/>
    <sheet name="XDR" sheetId="44" r:id="rId49"/>
    <sheet name="XAU" sheetId="43" r:id="rId50"/>
    <sheet name="XAG" sheetId="45" r:id="rId51"/>
    <sheet name="ChartLines" sheetId="63" r:id="rId52"/>
    <sheet name="Smalls" sheetId="5" r:id="rId53"/>
    <sheet name="Rational" sheetId="57" r:id="rId54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BasicBBoxArea">Smalls!$C$11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ChartLines!$J$3:$J$273</definedName>
    <definedName name="ChartLines.G">ChartLines!$I$3:$I$273</definedName>
    <definedName name="ChartLines.Hex6">ChartLines!$C$3:$C$273</definedName>
    <definedName name="ChartLines.ID">ChartLines!$B$3:$B$273</definedName>
    <definedName name="ChartLines.InstanceNum">ChartLines!$F$3:$F$273</definedName>
    <definedName name="ChartLines.NumInstances">ChartLines!$E$3:$E$273</definedName>
    <definedName name="ChartLines.R">ChartLines!$H$3:$H$273</definedName>
    <definedName name="ChartLines.RowNum">ChartLines!$K$3:$K$273</definedName>
    <definedName name="ChartLines.ThicknessText">ChartLines!$G$3:$G$273</definedName>
    <definedName name="ChowRobbinsConstant">Smalls!$C$50</definedName>
    <definedName name="Circles.AreaMultiplier">Circles!$C$4:$AL$4</definedName>
    <definedName name="Circles.Aspect">Circles!$C$5:$AL$5</definedName>
    <definedName name="Circles.Height">Circles!$C$6:$AL$6</definedName>
    <definedName name="Circles.ID">Circles!$C$2:$AL$2</definedName>
    <definedName name="Circles.svg">Circles!$C$25:$AL$31</definedName>
    <definedName name="Circles.SVG_Painting_0">Circles!$C$17:$AL$17</definedName>
    <definedName name="Circles.SVG_Painting_1">Circles!$C$16:$AL$16</definedName>
    <definedName name="Circles.SVG_Painting_2">Circles!$C$15:$AL$15</definedName>
    <definedName name="Circles.SVG_Painting_3">Circles!$C$14:$AL$14</definedName>
    <definedName name="Circles.SVG_Radius_0">Circles!$C$12:$AL$12</definedName>
    <definedName name="Circles.SVG_Radius_1">Circles!$C$11:$AL$11</definedName>
    <definedName name="Circles.SVG_Radius_2">Circles!$C$10:$AL$10</definedName>
    <definedName name="Circles.SVG_Radius_3">Circles!$C$9:$AL$9</definedName>
    <definedName name="Circles.SVG_Radius_Max">Circles!$C$20:$AL$20</definedName>
    <definedName name="Circles.Width">Circles!$C$7:$AL$7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EquilateralCross!$I$82:$V$82</definedName>
    <definedName name="EquilateralCross.AreaMultiplier_Possible">EquilateralCross!$D$7</definedName>
    <definedName name="EquilateralCross.Aspect">EquilateralCross!$I$83:$V$83</definedName>
    <definedName name="EquilateralCross.Divisor">EquilateralCross!$I$3:$V$3</definedName>
    <definedName name="EquilateralCross.Height">EquilateralCross!$I$84:$V$84</definedName>
    <definedName name="EquilateralCross.ID">EquilateralCross!$I$2:$V$2</definedName>
    <definedName name="EquilateralCross.MaxX">EquilateralCross!$I$77:$V$77</definedName>
    <definedName name="EquilateralCross.MaxY">EquilateralCross!$I$78:$V$78</definedName>
    <definedName name="EquilateralCross.MinX">EquilateralCross!$I$79:$V$79</definedName>
    <definedName name="EquilateralCross.MinY">EquilateralCross!$I$80:$V$80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EquilateralCross!$I$94:$V$100</definedName>
    <definedName name="EquilateralCross.SVG_painting_1">EquilateralCross!$I$89:$V$89</definedName>
    <definedName name="EquilateralCross.SVG_painting_2">EquilateralCross!$I$91:$V$91</definedName>
    <definedName name="EquilateralCross.SVG_painting_3">EquilateralCross!$I$90:$V$90</definedName>
    <definedName name="EquilateralCross.SVG_painting_4">EquilateralCross!$I$88:$V$88</definedName>
    <definedName name="EquilateralCross.SVG_painting_5">EquilateralCross!$I$87:$V$87</definedName>
    <definedName name="EquilateralCross.SVG_painting_Inner">EquilateralCross!$J$89:$V$89</definedName>
    <definedName name="EquilateralCross.SVG_painting_Middle">EquilateralCross!$J$88:$V$88</definedName>
    <definedName name="EquilateralCross.SVG_painting_MiddleInner">EquilateralCross!$J$90:$V$90</definedName>
    <definedName name="EquilateralCross.SVG_painting_Outer">EquilateralCross!$J$87:$V$87</definedName>
    <definedName name="EquilateralCross.Width">EquilateralCross!$I$85:$V$85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Smalls!$Z$6:$Z$9</definedName>
    <definedName name="ExportControl.BasicBBoxArea_Base">Smalls!$Z$3</definedName>
    <definedName name="ExportControl.FileNameSuffix">Smalls!$AA$6:$AA$9</definedName>
    <definedName name="ExportControl.IsMarkers">Smalls!$X$6:$X$9</definedName>
    <definedName name="ExportControl.Num">Smalls!$W$3</definedName>
    <definedName name="ExportControl.Path">Smalls!$AB$6:$AB$9</definedName>
    <definedName name="ExportControl.RowNum">Smalls!$W$6:$W$9</definedName>
    <definedName name="ExportControl.SizeConstant">Smalls!$Y$6:$Y$9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Smalls!$L$6:$L$73</definedName>
    <definedName name="ExportSubstitutions.Notes">Smalls!$N$6:$N$73</definedName>
    <definedName name="ExportSubstitutions.RowNum">Smalls!$K$6:$K$73</definedName>
    <definedName name="ExportSubstitutions.To">Smalls!$M$6:$M$73</definedName>
    <definedName name="fill___002F6C">EquilateralCross!$T$88:$T$90</definedName>
    <definedName name="fill___004B87">EquilateralCross!$L$88:$L$90</definedName>
    <definedName name="fill___02529C">EquilateralCross!$R$88:$R$90</definedName>
    <definedName name="fill___9D2235">EquilateralCross!$N$88:$N$90</definedName>
    <definedName name="fill___BA0C2F">EquilateralCross!$P$88:$P$90</definedName>
    <definedName name="fill__red">EquilateralCross!$J$88:$J$90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GBP!$F$46</definedName>
    <definedName name="GBP.ArmHalfWidthOuter">GBP!$B$3</definedName>
    <definedName name="GBP.Aspect">GBP!$F$47</definedName>
    <definedName name="GBP.DecimalPlaces">GBP!$F$3</definedName>
    <definedName name="GBP.Height">GBP!$F$48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GBP!$F$56:$F$59</definedName>
    <definedName name="GBP.SVG_painting_I">GBP!$F$52</definedName>
    <definedName name="GBP.SVG_painting_O">GBP!$F$51</definedName>
    <definedName name="GBP.Width">GBP!$F$49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GR!$E$36:$E$39</definedName>
    <definedName name="GR.SVG_painting_I">GR!$E$31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Y">Ellipses!$C$51:$C$56</definedName>
    <definedName name="IT.svg">Ellipses!$G$51:$G$56</definedName>
    <definedName name="IT.SVG_painting">Ellipses!$E$51:$E$56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Smalls!$AB$3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Simples!$C$3:$BO$3</definedName>
    <definedName name="Simple.Aspect">Simples!$C$16:$BO$16</definedName>
    <definedName name="Simple.Height">Simples!$C$17:$BO$17</definedName>
    <definedName name="Simple.ID">Simples!$C$2:$BO$2</definedName>
    <definedName name="Simple.MaxX">Simples!$C$10:$BO$10</definedName>
    <definedName name="Simple.MaxY">Simples!$C$11:$BO$11</definedName>
    <definedName name="Simple.MinX">Simples!$C$12:$BO$12</definedName>
    <definedName name="Simple.MinY">Simples!$C$13:$BO$13</definedName>
    <definedName name="Simple.svg">Simples!$C$23:$BO$28</definedName>
    <definedName name="Simple.SVG_borderWidth">Simples!$C$5:$BO$5</definedName>
    <definedName name="Simple.SVG_painting_0">Simples!$C$8:$BO$8</definedName>
    <definedName name="Simple.SVG_painting_1">Simples!$C$7:$BO$7</definedName>
    <definedName name="Simple.SVG_painting_2">Simples!$C$6:$BO$6</definedName>
    <definedName name="Simple.Width">Simples!$C$18:$BO$18</definedName>
    <definedName name="SizeConstant">Smalls!$C$12</definedName>
    <definedName name="SizeConstant_Preamble">Smalls!$C$13</definedName>
    <definedName name="Slavic.AreaMultiplier">Slavics!$G$3:$N$3</definedName>
    <definedName name="Slavic.Aspect">Slavics!$G$65:$N$65</definedName>
    <definedName name="Slavic.Height">Slavics!$G$66:$N$66</definedName>
    <definedName name="Slavic.ID">Slavics!$G$2:$N$2</definedName>
    <definedName name="Slavic.MaxX">Slavics!$G$59:$N$59</definedName>
    <definedName name="Slavic.MaxY">Slavics!$G$61:$N$61</definedName>
    <definedName name="Slavic.MinX">Slavics!$G$58:$N$58</definedName>
    <definedName name="Slavic.MinY">Slavics!$G$60:$N$60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Slavics!$G$63:$N$63</definedName>
    <definedName name="Slavic.svg">Slavics!$G$70:$N$73</definedName>
    <definedName name="Slavic.SVG_painting_Inner">Slavics!$G$6:$N$6</definedName>
    <definedName name="Slavic.SVG_painting_Outer">Slavics!$G$5:$N$5</definedName>
    <definedName name="Slavic.Width">Slavics!$G$67:$N$67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Squares!$C$4:$X$4</definedName>
    <definedName name="Squares.Aspect">Squares!$C$5:$X$5</definedName>
    <definedName name="Squares.Height">Squares!$C$6:$X$6</definedName>
    <definedName name="Squares.ID">Squares!$C$2:$X$2</definedName>
    <definedName name="Squares.svg">Squares!$C$28:$X$34</definedName>
    <definedName name="Squares.SVG_Half_0">Squares!$C$12:$X$12</definedName>
    <definedName name="Squares.SVG_Half_1">Squares!$C$11:$X$11</definedName>
    <definedName name="Squares.SVG_Half_2">Squares!$C$10:$X$10</definedName>
    <definedName name="Squares.SVG_Half_3">Squares!$C$9:$X$9</definedName>
    <definedName name="Squares.SVG_Half_Max">Squares!$C$19:$X$19</definedName>
    <definedName name="Squares.SVG_Painting_0">Squares!$C$17:$X$17</definedName>
    <definedName name="Squares.SVG_Painting_1">Squares!$C$16:$X$16</definedName>
    <definedName name="Squares.SVG_Painting_2">Squares!$C$15:$X$15</definedName>
    <definedName name="Squares.SVG_Painting_3">Squares!$C$14:$X$14</definedName>
    <definedName name="Squares.Width">Squares!$C$7:$X$7</definedName>
    <definedName name="Star_5_2.Area">Star_5_2!$D$2</definedName>
    <definedName name="Star_5_2.AreaMultiplier">Star_5_2!$G$3:$BU$3</definedName>
    <definedName name="Star_5_2.AreaMultiplier_Default">Star_5_2!$D$3</definedName>
    <definedName name="Star_5_2.Aspect">Star_5_2!$G$67:$BU$67</definedName>
    <definedName name="Star_5_2.DecimalPlaces">Star_5_2!$G$13:$BU$13</definedName>
    <definedName name="Star_5_2.Height">Star_5_2!$G$68:$BU$68</definedName>
    <definedName name="Star_5_2.ID">Star_5_2!$G$2:$BU$2</definedName>
    <definedName name="Star_5_2.MaxX">Star_5_2!$G$62:$BU$62</definedName>
    <definedName name="Star_5_2.MaxY">Star_5_2!$G$63:$BU$63</definedName>
    <definedName name="Star_5_2.MinX">Star_5_2!$G$64:$BU$64</definedName>
    <definedName name="Star_5_2.MinY">Star_5_2!$G$65:$BU$65</definedName>
    <definedName name="Star_5_2.MultipleStars">Star_5_2!$G$12:$BU$12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Star_5_2!$G$4:$BU$4</definedName>
    <definedName name="Star_5_2.SizeInner">Star_5_2!$G$7:$BU$7</definedName>
    <definedName name="Star_5_2.SizeMiddle">Star_5_2!$G$6:$BU$6</definedName>
    <definedName name="Star_5_2.SizeOuter">Star_5_2!$G$5:$BU$5</definedName>
    <definedName name="Star_5_2.SizePath">Star_5_2!$G$8:$BU$8</definedName>
    <definedName name="Star_5_2.svg">Star_5_2!$G$73:$BU$84</definedName>
    <definedName name="Star_5_2.SVG_painting_Inner">Star_5_2!$G$11:$BU$11</definedName>
    <definedName name="Star_5_2.SVG_painting_Middle">Star_5_2!$G$10:$BU$10</definedName>
    <definedName name="Star_5_2.SVG_painting_Outer">Star_5_2!$G$9:$BU$9</definedName>
    <definedName name="Star_5_2.Width">Star_5_2!$G$69:$BU$69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Smalls!$C$40</definedName>
    <definedName name="Thirds_M">Smalls!$C$39</definedName>
    <definedName name="Thirds_O">Smalls!$C$38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8" l="1"/>
  <c r="D28" i="8"/>
  <c r="D29" i="8"/>
  <c r="K73" i="61"/>
  <c r="AA9" i="5"/>
  <c r="W9" i="5" a="1"/>
  <c r="W9" i="5" s="1"/>
  <c r="AA8" i="5"/>
  <c r="W8" i="5" a="1"/>
  <c r="W8" i="5" s="1"/>
  <c r="C12" i="5" a="1"/>
  <c r="C12" i="5" s="1"/>
  <c r="T26" i="25" l="1"/>
  <c r="T25" i="25"/>
  <c r="T24" i="25"/>
  <c r="T12" i="25"/>
  <c r="T11" i="25"/>
  <c r="T13" i="25" s="1"/>
  <c r="T31" i="25"/>
  <c r="U28" i="25"/>
  <c r="U27" i="25"/>
  <c r="U26" i="25"/>
  <c r="U25" i="25"/>
  <c r="U24" i="25"/>
  <c r="U23" i="25"/>
  <c r="T16" i="25" l="1"/>
  <c r="E199" i="63"/>
  <c r="H199" i="63"/>
  <c r="I199" i="63"/>
  <c r="J199" i="63"/>
  <c r="K199" i="63" a="1"/>
  <c r="K199" i="63" s="1"/>
  <c r="E200" i="63"/>
  <c r="H200" i="63"/>
  <c r="I200" i="63"/>
  <c r="J200" i="63"/>
  <c r="K200" i="63" a="1"/>
  <c r="K200" i="63" s="1"/>
  <c r="E201" i="63"/>
  <c r="F201" i="63"/>
  <c r="H201" i="63"/>
  <c r="I201" i="63"/>
  <c r="J201" i="63"/>
  <c r="K201" i="63" a="1"/>
  <c r="K201" i="63" s="1"/>
  <c r="E202" i="63"/>
  <c r="K202" i="63" a="1"/>
  <c r="K202" i="63" s="1"/>
  <c r="G201" i="63" l="1" a="1"/>
  <c r="G201" i="63" s="1"/>
  <c r="F199" i="63"/>
  <c r="G199" i="63" s="1" a="1"/>
  <c r="G199" i="63" s="1"/>
  <c r="F200" i="63"/>
  <c r="G200" i="63" s="1" a="1"/>
  <c r="G200" i="63" s="1"/>
  <c r="Z30" i="8" l="1"/>
  <c r="F30" i="8"/>
  <c r="AT24" i="25" l="1"/>
  <c r="AT25" i="25"/>
  <c r="AZ25" i="25" l="1"/>
  <c r="AX25" i="25"/>
  <c r="AU28" i="25" l="1"/>
  <c r="AU27" i="25"/>
  <c r="AU26" i="25"/>
  <c r="AU25" i="25"/>
  <c r="AU24" i="25"/>
  <c r="AU23" i="25"/>
  <c r="AS28" i="25"/>
  <c r="AS27" i="25"/>
  <c r="AS26" i="25"/>
  <c r="AS25" i="25"/>
  <c r="AS24" i="25"/>
  <c r="AS23" i="25"/>
  <c r="AV26" i="25"/>
  <c r="AV31" i="25"/>
  <c r="AW28" i="25"/>
  <c r="AW27" i="25"/>
  <c r="AW26" i="25"/>
  <c r="AW25" i="25"/>
  <c r="AW24" i="25"/>
  <c r="AW23" i="25"/>
  <c r="BB24" i="25" l="1"/>
  <c r="R24" i="25"/>
  <c r="AB26" i="25"/>
  <c r="AB25" i="25"/>
  <c r="AD26" i="25"/>
  <c r="AD25" i="25"/>
  <c r="AF26" i="25"/>
  <c r="AF25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R26" i="25"/>
  <c r="E37" i="69" a="1"/>
  <c r="E3" i="69" l="1"/>
  <c r="E20" i="69" s="1"/>
  <c r="E37" i="69"/>
  <c r="AY25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J10" i="8"/>
  <c r="AJ11" i="8" s="1"/>
  <c r="E26" i="69" l="1" a="1"/>
  <c r="E26" i="69" s="1"/>
  <c r="E38" i="69"/>
  <c r="E72" i="63"/>
  <c r="H72" i="63"/>
  <c r="I72" i="63"/>
  <c r="J72" i="63"/>
  <c r="K72" i="63" a="1"/>
  <c r="K72" i="63" s="1"/>
  <c r="E73" i="63"/>
  <c r="K73" i="63" a="1"/>
  <c r="K73" i="63" s="1"/>
  <c r="E74" i="63"/>
  <c r="H74" i="63"/>
  <c r="I74" i="63"/>
  <c r="J74" i="63"/>
  <c r="K74" i="63" a="1"/>
  <c r="K74" i="63" s="1"/>
  <c r="E75" i="63"/>
  <c r="H75" i="63"/>
  <c r="I75" i="63"/>
  <c r="J75" i="63"/>
  <c r="K75" i="63" a="1"/>
  <c r="K75" i="63" s="1"/>
  <c r="E76" i="63"/>
  <c r="F76" i="63"/>
  <c r="H76" i="63"/>
  <c r="I76" i="63"/>
  <c r="J76" i="63"/>
  <c r="K76" i="63" a="1"/>
  <c r="K76" i="63" s="1"/>
  <c r="E77" i="63"/>
  <c r="H77" i="63"/>
  <c r="I77" i="63"/>
  <c r="J77" i="63"/>
  <c r="K77" i="63" a="1"/>
  <c r="K77" i="63" s="1"/>
  <c r="E78" i="63"/>
  <c r="H78" i="63"/>
  <c r="I78" i="63"/>
  <c r="J78" i="63"/>
  <c r="K78" i="63" a="1"/>
  <c r="K78" i="63" s="1"/>
  <c r="E79" i="63"/>
  <c r="H79" i="63"/>
  <c r="I79" i="63"/>
  <c r="J79" i="63"/>
  <c r="K79" i="63" a="1"/>
  <c r="K79" i="63" s="1"/>
  <c r="E80" i="63"/>
  <c r="H80" i="63"/>
  <c r="I80" i="63"/>
  <c r="J80" i="63"/>
  <c r="K80" i="63" a="1"/>
  <c r="K80" i="63" s="1"/>
  <c r="E81" i="63"/>
  <c r="H81" i="63"/>
  <c r="I81" i="63"/>
  <c r="J81" i="63"/>
  <c r="K81" i="63" a="1"/>
  <c r="K81" i="63" s="1"/>
  <c r="F81" i="63" s="1"/>
  <c r="E82" i="63"/>
  <c r="F82" i="63"/>
  <c r="H82" i="63"/>
  <c r="I82" i="63"/>
  <c r="J82" i="63"/>
  <c r="K82" i="63" a="1"/>
  <c r="K82" i="63" s="1"/>
  <c r="E83" i="63"/>
  <c r="H83" i="63"/>
  <c r="I83" i="63"/>
  <c r="J83" i="63"/>
  <c r="K83" i="63" a="1"/>
  <c r="K83" i="63" s="1"/>
  <c r="E84" i="63"/>
  <c r="H84" i="63"/>
  <c r="I84" i="63"/>
  <c r="J84" i="63"/>
  <c r="K84" i="63" a="1"/>
  <c r="K84" i="63" s="1"/>
  <c r="E85" i="63"/>
  <c r="H85" i="63"/>
  <c r="I85" i="63"/>
  <c r="J85" i="63"/>
  <c r="K85" i="63" a="1"/>
  <c r="K85" i="63" s="1"/>
  <c r="E86" i="63"/>
  <c r="H86" i="63"/>
  <c r="I86" i="63"/>
  <c r="J86" i="63"/>
  <c r="K86" i="63" a="1"/>
  <c r="K86" i="63" s="1"/>
  <c r="E87" i="63"/>
  <c r="H87" i="63"/>
  <c r="I87" i="63"/>
  <c r="J87" i="63"/>
  <c r="K87" i="63" a="1"/>
  <c r="K87" i="63" s="1"/>
  <c r="E88" i="63"/>
  <c r="H88" i="63"/>
  <c r="I88" i="63"/>
  <c r="J88" i="63"/>
  <c r="K88" i="63" a="1"/>
  <c r="K88" i="63" s="1"/>
  <c r="E89" i="63"/>
  <c r="H89" i="63"/>
  <c r="I89" i="63"/>
  <c r="J89" i="63"/>
  <c r="K89" i="63" a="1"/>
  <c r="K89" i="63" s="1"/>
  <c r="E90" i="63"/>
  <c r="H90" i="63"/>
  <c r="I90" i="63"/>
  <c r="J90" i="63"/>
  <c r="K90" i="63" a="1"/>
  <c r="K90" i="63" s="1"/>
  <c r="E91" i="63"/>
  <c r="F91" i="63"/>
  <c r="H91" i="63"/>
  <c r="I91" i="63"/>
  <c r="J91" i="63"/>
  <c r="K91" i="63" a="1"/>
  <c r="K91" i="63" s="1"/>
  <c r="E92" i="63"/>
  <c r="H92" i="63"/>
  <c r="I92" i="63"/>
  <c r="J92" i="63"/>
  <c r="K92" i="63" a="1"/>
  <c r="K92" i="63" s="1"/>
  <c r="E93" i="63"/>
  <c r="H93" i="63"/>
  <c r="I93" i="63"/>
  <c r="J93" i="63"/>
  <c r="K93" i="63" a="1"/>
  <c r="K93" i="63" s="1"/>
  <c r="E94" i="63"/>
  <c r="H94" i="63"/>
  <c r="I94" i="63"/>
  <c r="J94" i="63"/>
  <c r="K94" i="63" a="1"/>
  <c r="K94" i="63" s="1"/>
  <c r="F94" i="63" s="1"/>
  <c r="G94" i="63" s="1" a="1"/>
  <c r="G94" i="63" s="1"/>
  <c r="E95" i="63"/>
  <c r="F95" i="63"/>
  <c r="H95" i="63"/>
  <c r="I95" i="63"/>
  <c r="J95" i="63"/>
  <c r="K95" i="63" a="1"/>
  <c r="K95" i="63" s="1"/>
  <c r="E96" i="63"/>
  <c r="H96" i="63"/>
  <c r="I96" i="63"/>
  <c r="J96" i="63"/>
  <c r="K96" i="63" a="1"/>
  <c r="K96" i="63" s="1"/>
  <c r="E97" i="63"/>
  <c r="H97" i="63"/>
  <c r="I97" i="63"/>
  <c r="J97" i="63"/>
  <c r="K97" i="63" a="1"/>
  <c r="K97" i="63" s="1"/>
  <c r="E98" i="63"/>
  <c r="H98" i="63"/>
  <c r="I98" i="63"/>
  <c r="J98" i="63"/>
  <c r="K98" i="63" a="1"/>
  <c r="K98" i="63" s="1"/>
  <c r="E99" i="63"/>
  <c r="H99" i="63"/>
  <c r="I99" i="63"/>
  <c r="J99" i="63"/>
  <c r="K99" i="63" a="1"/>
  <c r="K99" i="63" s="1"/>
  <c r="AZ8" i="25"/>
  <c r="AZ6" i="25"/>
  <c r="AZ24" i="25" s="1"/>
  <c r="AZ31" i="25"/>
  <c r="AZ12" i="25"/>
  <c r="AZ11" i="25"/>
  <c r="AZ13" i="25" s="1"/>
  <c r="BA28" i="25"/>
  <c r="BA27" i="25"/>
  <c r="BA26" i="25"/>
  <c r="BA25" i="25"/>
  <c r="BA24" i="25"/>
  <c r="BA23" i="25"/>
  <c r="AZ26" i="25" a="1"/>
  <c r="G76" i="63" l="1" a="1"/>
  <c r="G76" i="63" s="1"/>
  <c r="F79" i="63"/>
  <c r="G79" i="63" s="1" a="1"/>
  <c r="G79" i="63" s="1"/>
  <c r="F72" i="63"/>
  <c r="G72" i="63" s="1" a="1"/>
  <c r="G72" i="63" s="1"/>
  <c r="F85" i="63"/>
  <c r="G85" i="63" s="1" a="1"/>
  <c r="G85" i="63" s="1"/>
  <c r="G82" i="63" a="1"/>
  <c r="G82" i="63" s="1"/>
  <c r="G95" i="63" a="1"/>
  <c r="G95" i="63" s="1"/>
  <c r="F90" i="63"/>
  <c r="G90" i="63" s="1" a="1"/>
  <c r="G90" i="63" s="1"/>
  <c r="F92" i="63"/>
  <c r="G92" i="63" s="1" a="1"/>
  <c r="G92" i="63" s="1"/>
  <c r="F96" i="63"/>
  <c r="G96" i="63" s="1" a="1"/>
  <c r="G96" i="63" s="1"/>
  <c r="F87" i="63"/>
  <c r="G87" i="63" s="1" a="1"/>
  <c r="G87" i="63" s="1"/>
  <c r="F78" i="63"/>
  <c r="G78" i="63" s="1" a="1"/>
  <c r="G78" i="63" s="1"/>
  <c r="F97" i="63"/>
  <c r="G97" i="63" s="1" a="1"/>
  <c r="G97" i="63" s="1"/>
  <c r="F83" i="63"/>
  <c r="G83" i="63" s="1" a="1"/>
  <c r="G83" i="63" s="1"/>
  <c r="F73" i="63"/>
  <c r="G73" i="63" s="1" a="1"/>
  <c r="G73" i="63" s="1"/>
  <c r="AZ16" i="25"/>
  <c r="F99" i="63"/>
  <c r="G99" i="63" s="1" a="1"/>
  <c r="G99" i="63" s="1"/>
  <c r="F93" i="63"/>
  <c r="G93" i="63" s="1" a="1"/>
  <c r="G93" i="63" s="1"/>
  <c r="G91" i="63" a="1"/>
  <c r="G91" i="63" s="1"/>
  <c r="G81" i="63" a="1"/>
  <c r="G81" i="63" s="1"/>
  <c r="F75" i="63"/>
  <c r="G75" i="63" s="1" a="1"/>
  <c r="G75" i="63" s="1"/>
  <c r="F74" i="63"/>
  <c r="G74" i="63" s="1" a="1"/>
  <c r="G74" i="63" s="1"/>
  <c r="F89" i="63"/>
  <c r="G89" i="63" s="1" a="1"/>
  <c r="G89" i="63" s="1"/>
  <c r="F77" i="63"/>
  <c r="G77" i="63" s="1" a="1"/>
  <c r="G77" i="63" s="1"/>
  <c r="F98" i="63"/>
  <c r="G98" i="63" s="1" a="1"/>
  <c r="G98" i="63" s="1"/>
  <c r="F86" i="63"/>
  <c r="G86" i="63" s="1" a="1"/>
  <c r="G86" i="63" s="1"/>
  <c r="F88" i="63"/>
  <c r="G88" i="63" s="1" a="1"/>
  <c r="G88" i="63" s="1"/>
  <c r="F84" i="63"/>
  <c r="G84" i="63" s="1" a="1"/>
  <c r="G84" i="63" s="1"/>
  <c r="F80" i="63"/>
  <c r="G80" i="63" s="1" a="1"/>
  <c r="G80" i="63" s="1"/>
  <c r="AZ26" i="25"/>
  <c r="BF25" i="25"/>
  <c r="BF11" i="25"/>
  <c r="BB7" i="25" l="1"/>
  <c r="BB25" i="25" s="1"/>
  <c r="AX24" i="25" l="1"/>
  <c r="AX26" i="25" a="1"/>
  <c r="AX26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D41" i="25"/>
  <c r="BD40" i="25"/>
  <c r="BD38" i="25"/>
  <c r="BD37" i="25"/>
  <c r="BD26" i="25"/>
  <c r="BD25" i="25"/>
  <c r="M3" i="5"/>
  <c r="L3" i="5"/>
  <c r="K3" i="5" a="1"/>
  <c r="K3" i="5" s="1"/>
  <c r="K34" i="5" a="1"/>
  <c r="K34" i="5" s="1"/>
  <c r="K35" i="5" a="1"/>
  <c r="K35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K73" i="5" a="1"/>
  <c r="K73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D27" i="25" l="1"/>
  <c r="M20" i="50"/>
  <c r="F58" i="34"/>
  <c r="D15" i="8"/>
  <c r="D27" i="8" s="1"/>
  <c r="BD44" i="25" l="1"/>
  <c r="BD43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K87" i="67" l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K86" i="67"/>
  <c r="D13" i="67" l="1" a="1"/>
  <c r="D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F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L26" i="25" a="1"/>
  <c r="BL26" i="25" s="1"/>
  <c r="BL25" i="25"/>
  <c r="BL24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L11" i="25"/>
  <c r="BL13" i="25" s="1"/>
  <c r="BL31" i="25"/>
  <c r="BK28" i="25"/>
  <c r="BK27" i="25"/>
  <c r="BK26" i="25"/>
  <c r="BK25" i="25"/>
  <c r="BK24" i="25"/>
  <c r="BK23" i="25"/>
  <c r="BL12" i="25"/>
  <c r="K39" i="67" a="1"/>
  <c r="K42" i="67" a="1"/>
  <c r="K36" i="67" a="1"/>
  <c r="K48" i="67" a="1"/>
  <c r="K7" i="67" a="1"/>
  <c r="K45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L16" i="25"/>
  <c r="E253" i="63"/>
  <c r="H253" i="63"/>
  <c r="I253" i="63"/>
  <c r="J253" i="63"/>
  <c r="K253" i="63" a="1"/>
  <c r="K253" i="63" s="1"/>
  <c r="E254" i="63"/>
  <c r="H254" i="63"/>
  <c r="I254" i="63"/>
  <c r="J254" i="63"/>
  <c r="K254" i="63" a="1"/>
  <c r="K254" i="63" s="1"/>
  <c r="E259" i="63"/>
  <c r="H259" i="63"/>
  <c r="I259" i="63"/>
  <c r="J259" i="63"/>
  <c r="K259" i="63" a="1"/>
  <c r="K259" i="63" s="1"/>
  <c r="E260" i="63"/>
  <c r="H260" i="63"/>
  <c r="I260" i="63"/>
  <c r="J260" i="63"/>
  <c r="K260" i="63" a="1"/>
  <c r="K260" i="63" s="1"/>
  <c r="AI31" i="8"/>
  <c r="AI30" i="8"/>
  <c r="AI29" i="8"/>
  <c r="AI28" i="8"/>
  <c r="AI27" i="8"/>
  <c r="AI26" i="8"/>
  <c r="AI25" i="8"/>
  <c r="AG31" i="8"/>
  <c r="AG30" i="8"/>
  <c r="AG29" i="8"/>
  <c r="AG28" i="8"/>
  <c r="AG27" i="8"/>
  <c r="AG26" i="8"/>
  <c r="AG25" i="8"/>
  <c r="AJ4" i="8"/>
  <c r="AJ34" i="8"/>
  <c r="AJ29" i="8"/>
  <c r="AJ26" i="8"/>
  <c r="AK31" i="8"/>
  <c r="AK30" i="8"/>
  <c r="AK29" i="8"/>
  <c r="AK28" i="8"/>
  <c r="AK27" i="8"/>
  <c r="AK26" i="8"/>
  <c r="AK25" i="8"/>
  <c r="K88" i="67" l="1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254" i="63"/>
  <c r="G254" i="63" s="1" a="1"/>
  <c r="G254" i="63" s="1"/>
  <c r="F253" i="63"/>
  <c r="G253" i="63" s="1" a="1"/>
  <c r="G253" i="63" s="1"/>
  <c r="F259" i="63"/>
  <c r="G259" i="63" s="1" a="1"/>
  <c r="G259" i="63" s="1"/>
  <c r="F260" i="63"/>
  <c r="G260" i="63" s="1" a="1"/>
  <c r="G260" i="63" s="1"/>
  <c r="AJ27" i="8"/>
  <c r="AJ20" i="8"/>
  <c r="AJ28" i="8"/>
  <c r="E257" i="63"/>
  <c r="H257" i="63"/>
  <c r="I257" i="63"/>
  <c r="J257" i="63"/>
  <c r="K257" i="63" a="1"/>
  <c r="K257" i="63" s="1"/>
  <c r="E258" i="63"/>
  <c r="H258" i="63"/>
  <c r="I258" i="63"/>
  <c r="J258" i="63"/>
  <c r="K258" i="63" a="1"/>
  <c r="K258" i="63" s="1"/>
  <c r="BD11" i="25"/>
  <c r="BD13" i="25" s="1"/>
  <c r="BD31" i="25"/>
  <c r="BD12" i="25"/>
  <c r="BE28" i="25"/>
  <c r="BE27" i="25"/>
  <c r="BE26" i="25"/>
  <c r="BE25" i="25"/>
  <c r="BE24" i="25"/>
  <c r="BE23" i="25"/>
  <c r="BD24" i="25" a="1"/>
  <c r="E31" i="67" l="1"/>
  <c r="H31" i="67" s="1"/>
  <c r="J43" i="67" s="1"/>
  <c r="K73" i="67"/>
  <c r="F257" i="63"/>
  <c r="G257" i="63" s="1" a="1"/>
  <c r="G257" i="63" s="1"/>
  <c r="BD16" i="25"/>
  <c r="F258" i="63"/>
  <c r="G258" i="63" s="1" a="1"/>
  <c r="G258" i="63" s="1"/>
  <c r="BD24" i="25"/>
  <c r="F38" i="66"/>
  <c r="J48" i="67" l="1"/>
  <c r="J46" i="67"/>
  <c r="J49" i="67"/>
  <c r="J45" i="67"/>
  <c r="J36" i="67"/>
  <c r="J39" i="67"/>
  <c r="J37" i="67"/>
  <c r="J42" i="67"/>
  <c r="J40" i="67"/>
  <c r="K70" i="67"/>
  <c r="K85" i="67" a="1"/>
  <c r="K85" i="67" s="1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154" i="63"/>
  <c r="H154" i="63"/>
  <c r="I154" i="63"/>
  <c r="J154" i="63"/>
  <c r="K154" i="63" a="1"/>
  <c r="K154" i="63" s="1"/>
  <c r="E155" i="63"/>
  <c r="K155" i="63" a="1"/>
  <c r="K155" i="63" s="1"/>
  <c r="C155" i="63"/>
  <c r="J155" i="63" s="1"/>
  <c r="F23" i="66"/>
  <c r="F33" i="66"/>
  <c r="F32" i="66"/>
  <c r="F154" i="63" l="1"/>
  <c r="G154" i="63" s="1" a="1"/>
  <c r="G154" i="63" s="1"/>
  <c r="F155" i="63"/>
  <c r="G155" i="63" s="1" a="1"/>
  <c r="G155" i="63" s="1"/>
  <c r="I155" i="63"/>
  <c r="H155" i="63"/>
  <c r="F39" i="66" a="1"/>
  <c r="F39" i="66" s="1"/>
  <c r="E181" i="63" l="1"/>
  <c r="K181" i="63" a="1"/>
  <c r="K181" i="63" s="1"/>
  <c r="E182" i="63"/>
  <c r="H182" i="63"/>
  <c r="I182" i="63"/>
  <c r="J182" i="63"/>
  <c r="K182" i="63" a="1"/>
  <c r="K182" i="63" s="1"/>
  <c r="C181" i="63"/>
  <c r="H181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182" i="63" l="1"/>
  <c r="G182" i="63" s="1" a="1"/>
  <c r="G182" i="63" s="1"/>
  <c r="F181" i="63"/>
  <c r="G181" i="63" s="1" a="1"/>
  <c r="G181" i="63" s="1"/>
  <c r="J181" i="63"/>
  <c r="I181" i="63"/>
  <c r="C26" i="65"/>
  <c r="C21" i="65"/>
  <c r="D13" i="65"/>
  <c r="D23" i="65" s="1"/>
  <c r="D19" i="65"/>
  <c r="C14" i="65"/>
  <c r="D12" i="65"/>
  <c r="D22" i="65" s="1"/>
  <c r="BJ25" i="25"/>
  <c r="AL31" i="25"/>
  <c r="AM28" i="25"/>
  <c r="AM27" i="25"/>
  <c r="AM26" i="25"/>
  <c r="AM25" i="25"/>
  <c r="AM24" i="25"/>
  <c r="AM23" i="25"/>
  <c r="AL12" i="25"/>
  <c r="AL11" i="25"/>
  <c r="AL13" i="25" s="1"/>
  <c r="AL25" i="25" a="1"/>
  <c r="C24" i="65" l="1"/>
  <c r="D29" i="65"/>
  <c r="C13" i="65"/>
  <c r="D16" i="65"/>
  <c r="D26" i="65" s="1"/>
  <c r="AL26" i="25"/>
  <c r="AL25" i="25"/>
  <c r="AL16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12" i="63" l="1"/>
  <c r="F3" i="65" l="1"/>
  <c r="E148" i="63"/>
  <c r="H148" i="63"/>
  <c r="I148" i="63"/>
  <c r="J148" i="63"/>
  <c r="K148" i="63" a="1"/>
  <c r="K148" i="63" s="1"/>
  <c r="E149" i="63"/>
  <c r="H149" i="63"/>
  <c r="I149" i="63"/>
  <c r="J149" i="63"/>
  <c r="K149" i="63" a="1"/>
  <c r="K149" i="63" s="1"/>
  <c r="F16" i="65" a="1"/>
  <c r="F11" i="65" a="1"/>
  <c r="F21" i="65" a="1"/>
  <c r="F26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48" i="63"/>
  <c r="G148" i="63" s="1" a="1"/>
  <c r="G148" i="63" s="1"/>
  <c r="F149" i="63"/>
  <c r="G149" i="63" s="1" a="1"/>
  <c r="G149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14" i="63"/>
  <c r="C17" i="63"/>
  <c r="C19" i="63"/>
  <c r="J19" i="63" s="1"/>
  <c r="C26" i="63"/>
  <c r="I26" i="63" s="1"/>
  <c r="C28" i="63"/>
  <c r="C57" i="63"/>
  <c r="C63" i="63"/>
  <c r="H63" i="63" s="1"/>
  <c r="C70" i="63"/>
  <c r="I70" i="63" s="1"/>
  <c r="C73" i="63"/>
  <c r="C103" i="63"/>
  <c r="C107" i="63"/>
  <c r="I107" i="63" s="1"/>
  <c r="C127" i="63"/>
  <c r="J127" i="63" s="1"/>
  <c r="C144" i="63"/>
  <c r="C146" i="63"/>
  <c r="C152" i="63"/>
  <c r="J152" i="63" s="1"/>
  <c r="C157" i="63"/>
  <c r="I157" i="63" s="1"/>
  <c r="C159" i="63"/>
  <c r="C160" i="63"/>
  <c r="C164" i="63"/>
  <c r="J164" i="63" s="1"/>
  <c r="C166" i="63"/>
  <c r="I166" i="63" s="1"/>
  <c r="C170" i="63"/>
  <c r="C175" i="63"/>
  <c r="C176" i="63"/>
  <c r="J176" i="63" s="1"/>
  <c r="C177" i="63"/>
  <c r="C179" i="63"/>
  <c r="C184" i="63"/>
  <c r="C186" i="63"/>
  <c r="J186" i="63" s="1"/>
  <c r="C187" i="63"/>
  <c r="I187" i="63" s="1"/>
  <c r="C189" i="63"/>
  <c r="C191" i="63"/>
  <c r="C196" i="63"/>
  <c r="H196" i="63" s="1"/>
  <c r="C202" i="63"/>
  <c r="C204" i="63"/>
  <c r="C208" i="63"/>
  <c r="C212" i="63"/>
  <c r="I212" i="63" s="1"/>
  <c r="C216" i="63"/>
  <c r="I216" i="63" s="1"/>
  <c r="C226" i="63"/>
  <c r="C228" i="63"/>
  <c r="C230" i="63"/>
  <c r="H230" i="63" s="1"/>
  <c r="C231" i="63"/>
  <c r="H231" i="63" s="1"/>
  <c r="C232" i="63"/>
  <c r="C233" i="63"/>
  <c r="C235" i="63"/>
  <c r="H235" i="63" s="1"/>
  <c r="C238" i="63"/>
  <c r="I238" i="63" s="1"/>
  <c r="C239" i="63"/>
  <c r="C241" i="63"/>
  <c r="C242" i="63"/>
  <c r="J242" i="63" s="1"/>
  <c r="C249" i="63"/>
  <c r="I249" i="63" s="1"/>
  <c r="C251" i="63"/>
  <c r="C252" i="63"/>
  <c r="J252" i="63" s="1"/>
  <c r="C255" i="63"/>
  <c r="J255" i="63" s="1"/>
  <c r="C261" i="63"/>
  <c r="H261" i="63" s="1"/>
  <c r="C263" i="63"/>
  <c r="I263" i="63" s="1"/>
  <c r="C268" i="63"/>
  <c r="I268" i="63" s="1"/>
  <c r="C269" i="63"/>
  <c r="I269" i="63" s="1"/>
  <c r="C271" i="63"/>
  <c r="J271" i="63" s="1"/>
  <c r="AA6" i="5"/>
  <c r="W7" i="5" a="1"/>
  <c r="W7" i="5" s="1"/>
  <c r="AA7" i="5"/>
  <c r="K273" i="63" a="1"/>
  <c r="K273" i="63" s="1"/>
  <c r="J273" i="63"/>
  <c r="I273" i="63"/>
  <c r="H273" i="63"/>
  <c r="E273" i="63"/>
  <c r="K272" i="63" a="1"/>
  <c r="K272" i="63" s="1"/>
  <c r="J272" i="63"/>
  <c r="I272" i="63"/>
  <c r="H272" i="63"/>
  <c r="E272" i="63"/>
  <c r="K271" i="63" a="1"/>
  <c r="K271" i="63" s="1"/>
  <c r="E271" i="63"/>
  <c r="K270" i="63" a="1"/>
  <c r="K270" i="63" s="1"/>
  <c r="J270" i="63"/>
  <c r="I270" i="63"/>
  <c r="H270" i="63"/>
  <c r="E270" i="63"/>
  <c r="K269" i="63" a="1"/>
  <c r="K269" i="63" s="1"/>
  <c r="E269" i="63"/>
  <c r="K268" i="63" a="1"/>
  <c r="K268" i="63" s="1"/>
  <c r="J268" i="63"/>
  <c r="E268" i="63"/>
  <c r="K267" i="63" a="1"/>
  <c r="K267" i="63" s="1"/>
  <c r="J267" i="63"/>
  <c r="I267" i="63"/>
  <c r="H267" i="63"/>
  <c r="F267" i="63"/>
  <c r="E267" i="63"/>
  <c r="K266" i="63" a="1"/>
  <c r="K266" i="63" s="1"/>
  <c r="J266" i="63"/>
  <c r="I266" i="63"/>
  <c r="H266" i="63"/>
  <c r="F266" i="63"/>
  <c r="E266" i="63"/>
  <c r="K265" i="63" a="1"/>
  <c r="K265" i="63" s="1"/>
  <c r="F265" i="63" s="1"/>
  <c r="J265" i="63"/>
  <c r="I265" i="63"/>
  <c r="H265" i="63"/>
  <c r="E265" i="63"/>
  <c r="K264" i="63" a="1"/>
  <c r="K264" i="63" s="1"/>
  <c r="J264" i="63"/>
  <c r="I264" i="63"/>
  <c r="H264" i="63"/>
  <c r="E264" i="63"/>
  <c r="K263" i="63" a="1"/>
  <c r="K263" i="63" s="1"/>
  <c r="E263" i="63"/>
  <c r="K262" i="63" a="1"/>
  <c r="K262" i="63" s="1"/>
  <c r="J262" i="63"/>
  <c r="I262" i="63"/>
  <c r="H262" i="63"/>
  <c r="E262" i="63"/>
  <c r="K261" i="63" a="1"/>
  <c r="K261" i="63" s="1"/>
  <c r="E261" i="63"/>
  <c r="K256" i="63" a="1"/>
  <c r="K256" i="63" s="1"/>
  <c r="J256" i="63"/>
  <c r="I256" i="63"/>
  <c r="H256" i="63"/>
  <c r="E256" i="63"/>
  <c r="K255" i="63" a="1"/>
  <c r="K255" i="63" s="1"/>
  <c r="E255" i="63"/>
  <c r="K252" i="63" a="1"/>
  <c r="K252" i="63" s="1"/>
  <c r="E252" i="63"/>
  <c r="K251" i="63" a="1"/>
  <c r="K251" i="63" s="1"/>
  <c r="I251" i="63"/>
  <c r="E251" i="63"/>
  <c r="J251" i="63"/>
  <c r="K250" i="63" a="1"/>
  <c r="K250" i="63" s="1"/>
  <c r="J250" i="63"/>
  <c r="I250" i="63"/>
  <c r="H250" i="63"/>
  <c r="E250" i="63"/>
  <c r="K249" i="63" a="1"/>
  <c r="K249" i="63" s="1"/>
  <c r="E249" i="63"/>
  <c r="K248" i="63" a="1"/>
  <c r="K248" i="63" s="1"/>
  <c r="J248" i="63"/>
  <c r="I248" i="63"/>
  <c r="H248" i="63"/>
  <c r="E248" i="63"/>
  <c r="K247" i="63" a="1"/>
  <c r="K247" i="63" s="1"/>
  <c r="J247" i="63"/>
  <c r="I247" i="63"/>
  <c r="H247" i="63"/>
  <c r="E247" i="63"/>
  <c r="K246" i="63" a="1"/>
  <c r="K246" i="63" s="1"/>
  <c r="J246" i="63"/>
  <c r="I246" i="63"/>
  <c r="H246" i="63"/>
  <c r="F246" i="63"/>
  <c r="E246" i="63"/>
  <c r="K245" i="63" a="1"/>
  <c r="K245" i="63" s="1"/>
  <c r="F245" i="63" s="1"/>
  <c r="J245" i="63"/>
  <c r="I245" i="63"/>
  <c r="H245" i="63"/>
  <c r="E245" i="63"/>
  <c r="K244" i="63" a="1"/>
  <c r="K244" i="63" s="1"/>
  <c r="J244" i="63"/>
  <c r="I244" i="63"/>
  <c r="H244" i="63"/>
  <c r="F244" i="63"/>
  <c r="E244" i="63"/>
  <c r="K243" i="63" a="1"/>
  <c r="K243" i="63" s="1"/>
  <c r="F243" i="63" s="1"/>
  <c r="J243" i="63"/>
  <c r="I243" i="63"/>
  <c r="H243" i="63"/>
  <c r="E243" i="63"/>
  <c r="K242" i="63" a="1"/>
  <c r="K242" i="63" s="1"/>
  <c r="E242" i="63"/>
  <c r="K241" i="63" a="1"/>
  <c r="K241" i="63" s="1"/>
  <c r="E241" i="63"/>
  <c r="I241" i="63"/>
  <c r="K240" i="63" a="1"/>
  <c r="K240" i="63" s="1"/>
  <c r="J240" i="63"/>
  <c r="I240" i="63"/>
  <c r="H240" i="63"/>
  <c r="E240" i="63"/>
  <c r="K239" i="63" a="1"/>
  <c r="K239" i="63" s="1"/>
  <c r="I239" i="63"/>
  <c r="E239" i="63"/>
  <c r="J239" i="63"/>
  <c r="K238" i="63" a="1"/>
  <c r="K238" i="63" s="1"/>
  <c r="E238" i="63"/>
  <c r="K237" i="63" a="1"/>
  <c r="K237" i="63" s="1"/>
  <c r="J237" i="63"/>
  <c r="I237" i="63"/>
  <c r="H237" i="63"/>
  <c r="E237" i="63"/>
  <c r="K236" i="63" a="1"/>
  <c r="K236" i="63" s="1"/>
  <c r="J236" i="63"/>
  <c r="I236" i="63"/>
  <c r="H236" i="63"/>
  <c r="F236" i="63"/>
  <c r="E236" i="63"/>
  <c r="K235" i="63" a="1"/>
  <c r="K235" i="63" s="1"/>
  <c r="E235" i="63"/>
  <c r="K234" i="63" a="1"/>
  <c r="K234" i="63" s="1"/>
  <c r="J234" i="63"/>
  <c r="I234" i="63"/>
  <c r="H234" i="63"/>
  <c r="E234" i="63"/>
  <c r="K233" i="63" a="1"/>
  <c r="K233" i="63" s="1"/>
  <c r="H233" i="63"/>
  <c r="E233" i="63"/>
  <c r="I233" i="63"/>
  <c r="K232" i="63" a="1"/>
  <c r="K232" i="63" s="1"/>
  <c r="I232" i="63"/>
  <c r="E232" i="63"/>
  <c r="J232" i="63"/>
  <c r="K231" i="63" a="1"/>
  <c r="K231" i="63" s="1"/>
  <c r="E231" i="63"/>
  <c r="K230" i="63" a="1"/>
  <c r="K230" i="63" s="1"/>
  <c r="E230" i="63"/>
  <c r="K229" i="63" a="1"/>
  <c r="K229" i="63" s="1"/>
  <c r="J229" i="63"/>
  <c r="I229" i="63"/>
  <c r="H229" i="63"/>
  <c r="E229" i="63"/>
  <c r="K228" i="63" a="1"/>
  <c r="K228" i="63" s="1"/>
  <c r="H228" i="63"/>
  <c r="E228" i="63"/>
  <c r="I228" i="63"/>
  <c r="K227" i="63" a="1"/>
  <c r="K227" i="63" s="1"/>
  <c r="J227" i="63"/>
  <c r="I227" i="63"/>
  <c r="H227" i="63"/>
  <c r="E227" i="63"/>
  <c r="K226" i="63" a="1"/>
  <c r="K226" i="63" s="1"/>
  <c r="I226" i="63"/>
  <c r="E226" i="63"/>
  <c r="J226" i="63"/>
  <c r="K225" i="63" a="1"/>
  <c r="K225" i="63" s="1"/>
  <c r="J225" i="63"/>
  <c r="I225" i="63"/>
  <c r="H225" i="63"/>
  <c r="E225" i="63"/>
  <c r="K224" i="63" a="1"/>
  <c r="K224" i="63" s="1"/>
  <c r="J224" i="63"/>
  <c r="I224" i="63"/>
  <c r="H224" i="63"/>
  <c r="E224" i="63"/>
  <c r="K223" i="63" a="1"/>
  <c r="K223" i="63" s="1"/>
  <c r="J223" i="63"/>
  <c r="I223" i="63"/>
  <c r="H223" i="63"/>
  <c r="E223" i="63"/>
  <c r="K222" i="63" a="1"/>
  <c r="K222" i="63" s="1"/>
  <c r="J222" i="63"/>
  <c r="I222" i="63"/>
  <c r="H222" i="63"/>
  <c r="E222" i="63"/>
  <c r="K221" i="63" a="1"/>
  <c r="K221" i="63" s="1"/>
  <c r="J221" i="63"/>
  <c r="I221" i="63"/>
  <c r="H221" i="63"/>
  <c r="E221" i="63"/>
  <c r="K220" i="63" a="1"/>
  <c r="K220" i="63" s="1"/>
  <c r="J220" i="63"/>
  <c r="I220" i="63"/>
  <c r="H220" i="63"/>
  <c r="E220" i="63"/>
  <c r="K219" i="63" a="1"/>
  <c r="K219" i="63" s="1"/>
  <c r="J219" i="63"/>
  <c r="I219" i="63"/>
  <c r="H219" i="63"/>
  <c r="E219" i="63"/>
  <c r="K218" i="63" a="1"/>
  <c r="K218" i="63" s="1"/>
  <c r="J218" i="63"/>
  <c r="I218" i="63"/>
  <c r="H218" i="63"/>
  <c r="E218" i="63"/>
  <c r="K217" i="63" a="1"/>
  <c r="K217" i="63" s="1"/>
  <c r="J217" i="63"/>
  <c r="I217" i="63"/>
  <c r="H217" i="63"/>
  <c r="E217" i="63"/>
  <c r="K216" i="63" a="1"/>
  <c r="K216" i="63" s="1"/>
  <c r="E216" i="63"/>
  <c r="K215" i="63" a="1"/>
  <c r="K215" i="63" s="1"/>
  <c r="J215" i="63"/>
  <c r="I215" i="63"/>
  <c r="H215" i="63"/>
  <c r="E215" i="63"/>
  <c r="K214" i="63" a="1"/>
  <c r="K214" i="63" s="1"/>
  <c r="J214" i="63"/>
  <c r="I214" i="63"/>
  <c r="H214" i="63"/>
  <c r="E214" i="63"/>
  <c r="K213" i="63" a="1"/>
  <c r="K213" i="63" s="1"/>
  <c r="J213" i="63"/>
  <c r="I213" i="63"/>
  <c r="H213" i="63"/>
  <c r="E213" i="63"/>
  <c r="K212" i="63" a="1"/>
  <c r="K212" i="63" s="1"/>
  <c r="E212" i="63"/>
  <c r="K211" i="63" a="1"/>
  <c r="K211" i="63" s="1"/>
  <c r="J211" i="63"/>
  <c r="I211" i="63"/>
  <c r="H211" i="63"/>
  <c r="E211" i="63"/>
  <c r="K210" i="63" a="1"/>
  <c r="K210" i="63" s="1"/>
  <c r="J210" i="63"/>
  <c r="I210" i="63"/>
  <c r="H210" i="63"/>
  <c r="E210" i="63"/>
  <c r="K209" i="63" a="1"/>
  <c r="K209" i="63" s="1"/>
  <c r="J209" i="63"/>
  <c r="I209" i="63"/>
  <c r="H209" i="63"/>
  <c r="E209" i="63"/>
  <c r="K208" i="63" a="1"/>
  <c r="K208" i="63" s="1"/>
  <c r="J208" i="63"/>
  <c r="E208" i="63"/>
  <c r="I208" i="63"/>
  <c r="K207" i="63" a="1"/>
  <c r="K207" i="63" s="1"/>
  <c r="J207" i="63"/>
  <c r="I207" i="63"/>
  <c r="H207" i="63"/>
  <c r="E207" i="63"/>
  <c r="K206" i="63" a="1"/>
  <c r="K206" i="63" s="1"/>
  <c r="J206" i="63"/>
  <c r="I206" i="63"/>
  <c r="H206" i="63"/>
  <c r="E206" i="63"/>
  <c r="K205" i="63" a="1"/>
  <c r="K205" i="63" s="1"/>
  <c r="J205" i="63"/>
  <c r="I205" i="63"/>
  <c r="H205" i="63"/>
  <c r="E205" i="63"/>
  <c r="K204" i="63" a="1"/>
  <c r="K204" i="63" s="1"/>
  <c r="H204" i="63"/>
  <c r="E204" i="63"/>
  <c r="J204" i="63"/>
  <c r="K203" i="63" a="1"/>
  <c r="K203" i="63" s="1"/>
  <c r="F202" i="63" s="1"/>
  <c r="G202" i="63" s="1" a="1"/>
  <c r="G202" i="63" s="1"/>
  <c r="J203" i="63"/>
  <c r="I203" i="63"/>
  <c r="H203" i="63"/>
  <c r="E203" i="63"/>
  <c r="K198" i="63" a="1"/>
  <c r="K198" i="63" s="1"/>
  <c r="J198" i="63"/>
  <c r="I198" i="63"/>
  <c r="H198" i="63"/>
  <c r="E198" i="63"/>
  <c r="K197" i="63" a="1"/>
  <c r="K197" i="63" s="1"/>
  <c r="J197" i="63"/>
  <c r="I197" i="63"/>
  <c r="H197" i="63"/>
  <c r="E197" i="63"/>
  <c r="K196" i="63" a="1"/>
  <c r="K196" i="63" s="1"/>
  <c r="E196" i="63"/>
  <c r="K195" i="63" a="1"/>
  <c r="K195" i="63" s="1"/>
  <c r="J195" i="63"/>
  <c r="I195" i="63"/>
  <c r="H195" i="63"/>
  <c r="E195" i="63"/>
  <c r="K194" i="63" a="1"/>
  <c r="K194" i="63" s="1"/>
  <c r="J194" i="63"/>
  <c r="I194" i="63"/>
  <c r="H194" i="63"/>
  <c r="E194" i="63"/>
  <c r="K193" i="63" a="1"/>
  <c r="K193" i="63" s="1"/>
  <c r="J193" i="63"/>
  <c r="I193" i="63"/>
  <c r="H193" i="63"/>
  <c r="E193" i="63"/>
  <c r="K192" i="63" a="1"/>
  <c r="K192" i="63" s="1"/>
  <c r="J192" i="63"/>
  <c r="I192" i="63"/>
  <c r="H192" i="63"/>
  <c r="E192" i="63"/>
  <c r="K191" i="63" a="1"/>
  <c r="K191" i="63" s="1"/>
  <c r="E191" i="63"/>
  <c r="I191" i="63"/>
  <c r="K190" i="63" a="1"/>
  <c r="K190" i="63" s="1"/>
  <c r="J190" i="63"/>
  <c r="I190" i="63"/>
  <c r="H190" i="63"/>
  <c r="E190" i="63"/>
  <c r="K189" i="63" a="1"/>
  <c r="K189" i="63" s="1"/>
  <c r="I189" i="63"/>
  <c r="E189" i="63"/>
  <c r="K188" i="63" a="1"/>
  <c r="K188" i="63" s="1"/>
  <c r="J188" i="63"/>
  <c r="I188" i="63"/>
  <c r="H188" i="63"/>
  <c r="E188" i="63"/>
  <c r="K187" i="63" a="1"/>
  <c r="K187" i="63" s="1"/>
  <c r="E187" i="63"/>
  <c r="K186" i="63" a="1"/>
  <c r="K186" i="63" s="1"/>
  <c r="E186" i="63"/>
  <c r="K185" i="63" a="1"/>
  <c r="K185" i="63" s="1"/>
  <c r="J185" i="63"/>
  <c r="I185" i="63"/>
  <c r="H185" i="63"/>
  <c r="E185" i="63"/>
  <c r="K184" i="63" a="1"/>
  <c r="K184" i="63" s="1"/>
  <c r="E184" i="63"/>
  <c r="I184" i="63"/>
  <c r="K183" i="63" a="1"/>
  <c r="K183" i="63" s="1"/>
  <c r="J183" i="63"/>
  <c r="I183" i="63"/>
  <c r="H183" i="63"/>
  <c r="E183" i="63"/>
  <c r="K180" i="63" a="1"/>
  <c r="K180" i="63" s="1"/>
  <c r="J180" i="63"/>
  <c r="I180" i="63"/>
  <c r="H180" i="63"/>
  <c r="E180" i="63"/>
  <c r="K179" i="63" a="1"/>
  <c r="K179" i="63" s="1"/>
  <c r="J179" i="63"/>
  <c r="I179" i="63"/>
  <c r="E179" i="63"/>
  <c r="H179" i="63"/>
  <c r="K178" i="63" a="1"/>
  <c r="K178" i="63" s="1"/>
  <c r="J178" i="63"/>
  <c r="I178" i="63"/>
  <c r="H178" i="63"/>
  <c r="E178" i="63"/>
  <c r="K177" i="63" a="1"/>
  <c r="K177" i="63" s="1"/>
  <c r="E177" i="63"/>
  <c r="K176" i="63" a="1"/>
  <c r="K176" i="63" s="1"/>
  <c r="E176" i="63"/>
  <c r="K175" i="63" a="1"/>
  <c r="K175" i="63" s="1"/>
  <c r="H175" i="63"/>
  <c r="E175" i="63"/>
  <c r="I175" i="63"/>
  <c r="K174" i="63" a="1"/>
  <c r="K174" i="63" s="1"/>
  <c r="J174" i="63"/>
  <c r="I174" i="63"/>
  <c r="H174" i="63"/>
  <c r="F174" i="63"/>
  <c r="E174" i="63"/>
  <c r="K173" i="63" a="1"/>
  <c r="K173" i="63" s="1"/>
  <c r="J173" i="63"/>
  <c r="I173" i="63"/>
  <c r="H173" i="63"/>
  <c r="E173" i="63"/>
  <c r="K172" i="63" a="1"/>
  <c r="K172" i="63" s="1"/>
  <c r="J172" i="63"/>
  <c r="I172" i="63"/>
  <c r="H172" i="63"/>
  <c r="E172" i="63"/>
  <c r="K171" i="63" a="1"/>
  <c r="K171" i="63" s="1"/>
  <c r="J171" i="63"/>
  <c r="I171" i="63"/>
  <c r="H171" i="63"/>
  <c r="E171" i="63"/>
  <c r="K170" i="63" a="1"/>
  <c r="K170" i="63" s="1"/>
  <c r="J170" i="63"/>
  <c r="I170" i="63"/>
  <c r="E170" i="63"/>
  <c r="H170" i="63"/>
  <c r="K169" i="63" a="1"/>
  <c r="K169" i="63" s="1"/>
  <c r="J169" i="63"/>
  <c r="I169" i="63"/>
  <c r="H169" i="63"/>
  <c r="E169" i="63"/>
  <c r="K168" i="63" a="1"/>
  <c r="K168" i="63" s="1"/>
  <c r="J168" i="63"/>
  <c r="I168" i="63"/>
  <c r="H168" i="63"/>
  <c r="E168" i="63"/>
  <c r="K167" i="63" a="1"/>
  <c r="K167" i="63" s="1"/>
  <c r="J167" i="63"/>
  <c r="I167" i="63"/>
  <c r="H167" i="63"/>
  <c r="E167" i="63"/>
  <c r="K166" i="63" a="1"/>
  <c r="K166" i="63" s="1"/>
  <c r="E166" i="63"/>
  <c r="K165" i="63" a="1"/>
  <c r="K165" i="63" s="1"/>
  <c r="J165" i="63"/>
  <c r="I165" i="63"/>
  <c r="H165" i="63"/>
  <c r="E165" i="63"/>
  <c r="K164" i="63" a="1"/>
  <c r="K164" i="63" s="1"/>
  <c r="E164" i="63"/>
  <c r="K163" i="63" a="1"/>
  <c r="K163" i="63" s="1"/>
  <c r="J163" i="63"/>
  <c r="I163" i="63"/>
  <c r="H163" i="63"/>
  <c r="E163" i="63"/>
  <c r="K162" i="63" a="1"/>
  <c r="K162" i="63" s="1"/>
  <c r="J162" i="63"/>
  <c r="I162" i="63"/>
  <c r="H162" i="63"/>
  <c r="E162" i="63"/>
  <c r="K161" i="63" a="1"/>
  <c r="K161" i="63" s="1"/>
  <c r="J161" i="63"/>
  <c r="I161" i="63"/>
  <c r="H161" i="63"/>
  <c r="E161" i="63"/>
  <c r="K160" i="63" a="1"/>
  <c r="K160" i="63" s="1"/>
  <c r="E160" i="63"/>
  <c r="I160" i="63"/>
  <c r="K159" i="63" a="1"/>
  <c r="K159" i="63" s="1"/>
  <c r="J159" i="63"/>
  <c r="I159" i="63"/>
  <c r="E159" i="63"/>
  <c r="H159" i="63"/>
  <c r="K158" i="63" a="1"/>
  <c r="K158" i="63" s="1"/>
  <c r="J158" i="63"/>
  <c r="I158" i="63"/>
  <c r="H158" i="63"/>
  <c r="E158" i="63"/>
  <c r="K157" i="63" a="1"/>
  <c r="K157" i="63" s="1"/>
  <c r="E157" i="63"/>
  <c r="K156" i="63" a="1"/>
  <c r="K156" i="63" s="1"/>
  <c r="J156" i="63"/>
  <c r="I156" i="63"/>
  <c r="H156" i="63"/>
  <c r="E156" i="63"/>
  <c r="K153" i="63" a="1"/>
  <c r="K153" i="63" s="1"/>
  <c r="J153" i="63"/>
  <c r="I153" i="63"/>
  <c r="H153" i="63"/>
  <c r="E153" i="63"/>
  <c r="K152" i="63" a="1"/>
  <c r="K152" i="63" s="1"/>
  <c r="E152" i="63"/>
  <c r="K151" i="63" a="1"/>
  <c r="K151" i="63" s="1"/>
  <c r="J151" i="63"/>
  <c r="I151" i="63"/>
  <c r="H151" i="63"/>
  <c r="E151" i="63"/>
  <c r="K150" i="63" a="1"/>
  <c r="K150" i="63" s="1"/>
  <c r="J150" i="63"/>
  <c r="I150" i="63"/>
  <c r="H150" i="63"/>
  <c r="E150" i="63"/>
  <c r="K147" i="63" a="1"/>
  <c r="K147" i="63" s="1"/>
  <c r="J147" i="63"/>
  <c r="I147" i="63"/>
  <c r="H147" i="63"/>
  <c r="E147" i="63"/>
  <c r="K146" i="63" a="1"/>
  <c r="K146" i="63" s="1"/>
  <c r="E146" i="63"/>
  <c r="I146" i="63"/>
  <c r="K145" i="63" a="1"/>
  <c r="K145" i="63" s="1"/>
  <c r="J145" i="63"/>
  <c r="I145" i="63"/>
  <c r="H145" i="63"/>
  <c r="E145" i="63"/>
  <c r="K144" i="63" a="1"/>
  <c r="K144" i="63" s="1"/>
  <c r="J144" i="63"/>
  <c r="I144" i="63"/>
  <c r="E144" i="63"/>
  <c r="H144" i="63"/>
  <c r="K143" i="63" a="1"/>
  <c r="K143" i="63" s="1"/>
  <c r="J143" i="63"/>
  <c r="I143" i="63"/>
  <c r="H143" i="63"/>
  <c r="F143" i="63"/>
  <c r="E143" i="63"/>
  <c r="K142" i="63" a="1"/>
  <c r="K142" i="63" s="1"/>
  <c r="F142" i="63" s="1"/>
  <c r="J142" i="63"/>
  <c r="I142" i="63"/>
  <c r="H142" i="63"/>
  <c r="E142" i="63"/>
  <c r="K141" i="63" a="1"/>
  <c r="K141" i="63" s="1"/>
  <c r="J141" i="63"/>
  <c r="I141" i="63"/>
  <c r="H141" i="63"/>
  <c r="F141" i="63"/>
  <c r="E141" i="63"/>
  <c r="K140" i="63" a="1"/>
  <c r="K140" i="63" s="1"/>
  <c r="J140" i="63"/>
  <c r="I140" i="63"/>
  <c r="H140" i="63"/>
  <c r="E140" i="63"/>
  <c r="K139" i="63" a="1"/>
  <c r="K139" i="63" s="1"/>
  <c r="J139" i="63"/>
  <c r="I139" i="63"/>
  <c r="H139" i="63"/>
  <c r="E139" i="63"/>
  <c r="K138" i="63" a="1"/>
  <c r="K138" i="63" s="1"/>
  <c r="J138" i="63"/>
  <c r="I138" i="63"/>
  <c r="H138" i="63"/>
  <c r="E138" i="63"/>
  <c r="K137" i="63" a="1"/>
  <c r="K137" i="63" s="1"/>
  <c r="J137" i="63"/>
  <c r="I137" i="63"/>
  <c r="H137" i="63"/>
  <c r="E137" i="63"/>
  <c r="K136" i="63" a="1"/>
  <c r="K136" i="63" s="1"/>
  <c r="J136" i="63"/>
  <c r="I136" i="63"/>
  <c r="H136" i="63"/>
  <c r="E136" i="63"/>
  <c r="K135" i="63" a="1"/>
  <c r="K135" i="63" s="1"/>
  <c r="J135" i="63"/>
  <c r="I135" i="63"/>
  <c r="H135" i="63"/>
  <c r="E135" i="63"/>
  <c r="K134" i="63" a="1"/>
  <c r="K134" i="63" s="1"/>
  <c r="J134" i="63"/>
  <c r="I134" i="63"/>
  <c r="H134" i="63"/>
  <c r="E134" i="63"/>
  <c r="K133" i="63" a="1"/>
  <c r="K133" i="63" s="1"/>
  <c r="J133" i="63"/>
  <c r="I133" i="63"/>
  <c r="H133" i="63"/>
  <c r="E133" i="63"/>
  <c r="K132" i="63" a="1"/>
  <c r="K132" i="63" s="1"/>
  <c r="J132" i="63"/>
  <c r="I132" i="63"/>
  <c r="H132" i="63"/>
  <c r="E132" i="63"/>
  <c r="K131" i="63" a="1"/>
  <c r="K131" i="63" s="1"/>
  <c r="J131" i="63"/>
  <c r="I131" i="63"/>
  <c r="H131" i="63"/>
  <c r="E131" i="63"/>
  <c r="K130" i="63" a="1"/>
  <c r="K130" i="63" s="1"/>
  <c r="J130" i="63"/>
  <c r="I130" i="63"/>
  <c r="H130" i="63"/>
  <c r="E130" i="63"/>
  <c r="K129" i="63" a="1"/>
  <c r="K129" i="63" s="1"/>
  <c r="J129" i="63"/>
  <c r="I129" i="63"/>
  <c r="H129" i="63"/>
  <c r="E129" i="63"/>
  <c r="K128" i="63" a="1"/>
  <c r="K128" i="63" s="1"/>
  <c r="J128" i="63"/>
  <c r="I128" i="63"/>
  <c r="H128" i="63"/>
  <c r="E128" i="63"/>
  <c r="K127" i="63" a="1"/>
  <c r="K127" i="63" s="1"/>
  <c r="E127" i="63"/>
  <c r="K126" i="63" a="1"/>
  <c r="K126" i="63" s="1"/>
  <c r="J126" i="63"/>
  <c r="I126" i="63"/>
  <c r="H126" i="63"/>
  <c r="E126" i="63"/>
  <c r="K125" i="63" a="1"/>
  <c r="K125" i="63" s="1"/>
  <c r="J125" i="63"/>
  <c r="I125" i="63"/>
  <c r="H125" i="63"/>
  <c r="E125" i="63"/>
  <c r="K124" i="63" a="1"/>
  <c r="K124" i="63" s="1"/>
  <c r="J124" i="63"/>
  <c r="I124" i="63"/>
  <c r="H124" i="63"/>
  <c r="F124" i="63"/>
  <c r="E124" i="63"/>
  <c r="K123" i="63" a="1"/>
  <c r="K123" i="63" s="1"/>
  <c r="J123" i="63"/>
  <c r="I123" i="63"/>
  <c r="H123" i="63"/>
  <c r="E123" i="63"/>
  <c r="K122" i="63" a="1"/>
  <c r="K122" i="63" s="1"/>
  <c r="J122" i="63"/>
  <c r="I122" i="63"/>
  <c r="H122" i="63"/>
  <c r="E122" i="63"/>
  <c r="K121" i="63" a="1"/>
  <c r="K121" i="63" s="1"/>
  <c r="J121" i="63"/>
  <c r="I121" i="63"/>
  <c r="H121" i="63"/>
  <c r="E121" i="63"/>
  <c r="K120" i="63" a="1"/>
  <c r="K120" i="63" s="1"/>
  <c r="J120" i="63"/>
  <c r="I120" i="63"/>
  <c r="H120" i="63"/>
  <c r="E120" i="63"/>
  <c r="K119" i="63" a="1"/>
  <c r="K119" i="63" s="1"/>
  <c r="J119" i="63"/>
  <c r="I119" i="63"/>
  <c r="H119" i="63"/>
  <c r="E119" i="63"/>
  <c r="K118" i="63" a="1"/>
  <c r="K118" i="63" s="1"/>
  <c r="J118" i="63"/>
  <c r="I118" i="63"/>
  <c r="H118" i="63"/>
  <c r="E118" i="63"/>
  <c r="K117" i="63" a="1"/>
  <c r="K117" i="63" s="1"/>
  <c r="J117" i="63"/>
  <c r="I117" i="63"/>
  <c r="H117" i="63"/>
  <c r="E117" i="63"/>
  <c r="K116" i="63" a="1"/>
  <c r="K116" i="63" s="1"/>
  <c r="J116" i="63"/>
  <c r="I116" i="63"/>
  <c r="H116" i="63"/>
  <c r="E116" i="63"/>
  <c r="K115" i="63" a="1"/>
  <c r="K115" i="63" s="1"/>
  <c r="J115" i="63"/>
  <c r="I115" i="63"/>
  <c r="H115" i="63"/>
  <c r="E115" i="63"/>
  <c r="K114" i="63" a="1"/>
  <c r="K114" i="63" s="1"/>
  <c r="J114" i="63"/>
  <c r="I114" i="63"/>
  <c r="H114" i="63"/>
  <c r="E114" i="63"/>
  <c r="K113" i="63" a="1"/>
  <c r="K113" i="63" s="1"/>
  <c r="J113" i="63"/>
  <c r="I113" i="63"/>
  <c r="H113" i="63"/>
  <c r="E113" i="63"/>
  <c r="K112" i="63" a="1"/>
  <c r="K112" i="63" s="1"/>
  <c r="J112" i="63"/>
  <c r="I112" i="63"/>
  <c r="H112" i="63"/>
  <c r="E112" i="63"/>
  <c r="K111" i="63" a="1"/>
  <c r="K111" i="63" s="1"/>
  <c r="J111" i="63"/>
  <c r="I111" i="63"/>
  <c r="H111" i="63"/>
  <c r="E111" i="63"/>
  <c r="K110" i="63" a="1"/>
  <c r="K110" i="63" s="1"/>
  <c r="J110" i="63"/>
  <c r="I110" i="63"/>
  <c r="H110" i="63"/>
  <c r="E110" i="63"/>
  <c r="K109" i="63" a="1"/>
  <c r="K109" i="63" s="1"/>
  <c r="J109" i="63"/>
  <c r="I109" i="63"/>
  <c r="H109" i="63"/>
  <c r="E109" i="63"/>
  <c r="K108" i="63" a="1"/>
  <c r="K108" i="63" s="1"/>
  <c r="J108" i="63"/>
  <c r="I108" i="63"/>
  <c r="H108" i="63"/>
  <c r="E108" i="63"/>
  <c r="K107" i="63" a="1"/>
  <c r="K107" i="63" s="1"/>
  <c r="E107" i="63"/>
  <c r="K106" i="63" a="1"/>
  <c r="K106" i="63" s="1"/>
  <c r="J106" i="63"/>
  <c r="I106" i="63"/>
  <c r="H106" i="63"/>
  <c r="E106" i="63"/>
  <c r="K105" i="63" a="1"/>
  <c r="K105" i="63" s="1"/>
  <c r="J105" i="63"/>
  <c r="I105" i="63"/>
  <c r="H105" i="63"/>
  <c r="E105" i="63"/>
  <c r="K104" i="63" a="1"/>
  <c r="K104" i="63" s="1"/>
  <c r="J104" i="63"/>
  <c r="I104" i="63"/>
  <c r="H104" i="63"/>
  <c r="E104" i="63"/>
  <c r="K103" i="63" a="1"/>
  <c r="K103" i="63" s="1"/>
  <c r="J103" i="63"/>
  <c r="I103" i="63"/>
  <c r="E103" i="63"/>
  <c r="H103" i="63"/>
  <c r="K102" i="63" a="1"/>
  <c r="K102" i="63" s="1"/>
  <c r="J102" i="63"/>
  <c r="I102" i="63"/>
  <c r="H102" i="63"/>
  <c r="E102" i="63"/>
  <c r="K101" i="63" a="1"/>
  <c r="K101" i="63" s="1"/>
  <c r="J101" i="63"/>
  <c r="I101" i="63"/>
  <c r="H101" i="63"/>
  <c r="F101" i="63"/>
  <c r="E101" i="63"/>
  <c r="K100" i="63" a="1"/>
  <c r="K100" i="63" s="1"/>
  <c r="F100" i="63" s="1"/>
  <c r="J100" i="63"/>
  <c r="I100" i="63"/>
  <c r="H100" i="63"/>
  <c r="E100" i="63"/>
  <c r="K71" i="63" a="1"/>
  <c r="K71" i="63" s="1"/>
  <c r="J71" i="63"/>
  <c r="I71" i="63"/>
  <c r="H71" i="63"/>
  <c r="E71" i="63"/>
  <c r="K70" i="63" a="1"/>
  <c r="K70" i="63" s="1"/>
  <c r="E70" i="63"/>
  <c r="K69" i="63" a="1"/>
  <c r="K69" i="63" s="1"/>
  <c r="J69" i="63"/>
  <c r="I69" i="63"/>
  <c r="H69" i="63"/>
  <c r="E69" i="63"/>
  <c r="K68" i="63" a="1"/>
  <c r="K68" i="63" s="1"/>
  <c r="J68" i="63"/>
  <c r="I68" i="63"/>
  <c r="H68" i="63"/>
  <c r="E68" i="63"/>
  <c r="K67" i="63" a="1"/>
  <c r="K67" i="63" s="1"/>
  <c r="J67" i="63"/>
  <c r="I67" i="63"/>
  <c r="H67" i="63"/>
  <c r="E67" i="63"/>
  <c r="K66" i="63" a="1"/>
  <c r="K66" i="63" s="1"/>
  <c r="J66" i="63"/>
  <c r="I66" i="63"/>
  <c r="H66" i="63"/>
  <c r="E66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3" i="63" a="1"/>
  <c r="K63" i="63" s="1"/>
  <c r="E63" i="63"/>
  <c r="K62" i="63" a="1"/>
  <c r="K62" i="63" s="1"/>
  <c r="J62" i="63"/>
  <c r="I62" i="63"/>
  <c r="H62" i="63"/>
  <c r="E62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K59" i="63" a="1"/>
  <c r="K59" i="63" s="1"/>
  <c r="J59" i="63"/>
  <c r="I59" i="63"/>
  <c r="H59" i="63"/>
  <c r="E59" i="63"/>
  <c r="K58" i="63" a="1"/>
  <c r="K58" i="63" s="1"/>
  <c r="J58" i="63"/>
  <c r="I58" i="63"/>
  <c r="H58" i="63"/>
  <c r="E58" i="63"/>
  <c r="K57" i="63" a="1"/>
  <c r="K57" i="63" s="1"/>
  <c r="E57" i="63"/>
  <c r="I57" i="63"/>
  <c r="K56" i="63" a="1"/>
  <c r="K56" i="63" s="1"/>
  <c r="J56" i="63"/>
  <c r="I56" i="63"/>
  <c r="H56" i="63"/>
  <c r="E56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3" i="63" a="1"/>
  <c r="K53" i="63" s="1"/>
  <c r="J53" i="63"/>
  <c r="I53" i="63"/>
  <c r="H53" i="63"/>
  <c r="E53" i="63"/>
  <c r="K52" i="63" a="1"/>
  <c r="K52" i="63" s="1"/>
  <c r="J52" i="63"/>
  <c r="I52" i="63"/>
  <c r="H52" i="63"/>
  <c r="E52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9" i="63" a="1"/>
  <c r="K49" i="63" s="1"/>
  <c r="J49" i="63"/>
  <c r="I49" i="63"/>
  <c r="H49" i="63"/>
  <c r="E49" i="63"/>
  <c r="K48" i="63" a="1"/>
  <c r="K48" i="63" s="1"/>
  <c r="J48" i="63"/>
  <c r="I48" i="63"/>
  <c r="H48" i="63"/>
  <c r="E48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5" i="63" a="1"/>
  <c r="K45" i="63" s="1"/>
  <c r="J45" i="63"/>
  <c r="I45" i="63"/>
  <c r="H45" i="63"/>
  <c r="E45" i="63"/>
  <c r="K44" i="63" a="1"/>
  <c r="K44" i="63" s="1"/>
  <c r="J44" i="63"/>
  <c r="I44" i="63"/>
  <c r="H44" i="63"/>
  <c r="E44" i="63"/>
  <c r="K43" i="63" a="1"/>
  <c r="K43" i="63" s="1"/>
  <c r="J43" i="63"/>
  <c r="I43" i="63"/>
  <c r="H43" i="63"/>
  <c r="F43" i="63"/>
  <c r="E43" i="63"/>
  <c r="K42" i="63" a="1"/>
  <c r="K42" i="63" s="1"/>
  <c r="F42" i="63" s="1"/>
  <c r="J42" i="63"/>
  <c r="I42" i="63"/>
  <c r="H42" i="63"/>
  <c r="E42" i="63"/>
  <c r="K41" i="63" a="1"/>
  <c r="K41" i="63" s="1"/>
  <c r="J41" i="63"/>
  <c r="I41" i="63"/>
  <c r="H41" i="63"/>
  <c r="E41" i="63"/>
  <c r="K40" i="63" a="1"/>
  <c r="K40" i="63" s="1"/>
  <c r="J40" i="63"/>
  <c r="I40" i="63"/>
  <c r="H40" i="63"/>
  <c r="E40" i="63"/>
  <c r="K39" i="63" a="1"/>
  <c r="K39" i="63" s="1"/>
  <c r="J39" i="63"/>
  <c r="I39" i="63"/>
  <c r="H39" i="63"/>
  <c r="E39" i="63"/>
  <c r="K38" i="63" a="1"/>
  <c r="K38" i="63" s="1"/>
  <c r="J38" i="63"/>
  <c r="I38" i="63"/>
  <c r="H38" i="63"/>
  <c r="E38" i="63"/>
  <c r="K37" i="63" a="1"/>
  <c r="K37" i="63" s="1"/>
  <c r="J37" i="63"/>
  <c r="I37" i="63"/>
  <c r="H37" i="63"/>
  <c r="E37" i="63"/>
  <c r="K36" i="63" a="1"/>
  <c r="K36" i="63" s="1"/>
  <c r="J36" i="63"/>
  <c r="I36" i="63"/>
  <c r="H36" i="63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J33" i="63"/>
  <c r="I33" i="63"/>
  <c r="H33" i="63"/>
  <c r="E33" i="63"/>
  <c r="K32" i="63" a="1"/>
  <c r="K32" i="63" s="1"/>
  <c r="J32" i="63"/>
  <c r="I32" i="63"/>
  <c r="H32" i="63"/>
  <c r="E32" i="63"/>
  <c r="K31" i="63" a="1"/>
  <c r="K31" i="63" s="1"/>
  <c r="J31" i="63"/>
  <c r="I31" i="63"/>
  <c r="H31" i="63"/>
  <c r="E31" i="63"/>
  <c r="K30" i="63" a="1"/>
  <c r="K30" i="63" s="1"/>
  <c r="J30" i="63"/>
  <c r="I30" i="63"/>
  <c r="H30" i="63"/>
  <c r="E30" i="63"/>
  <c r="K29" i="63" a="1"/>
  <c r="K29" i="63" s="1"/>
  <c r="J29" i="63"/>
  <c r="I29" i="63"/>
  <c r="H29" i="63"/>
  <c r="E29" i="63"/>
  <c r="K28" i="63" a="1"/>
  <c r="K28" i="63" s="1"/>
  <c r="E28" i="63"/>
  <c r="I28" i="63"/>
  <c r="K27" i="63" a="1"/>
  <c r="K27" i="63" s="1"/>
  <c r="J27" i="63"/>
  <c r="I27" i="63"/>
  <c r="H27" i="63"/>
  <c r="E27" i="63"/>
  <c r="K26" i="63" a="1"/>
  <c r="K26" i="63" s="1"/>
  <c r="E26" i="63"/>
  <c r="K25" i="63" a="1"/>
  <c r="K25" i="63" s="1"/>
  <c r="J25" i="63"/>
  <c r="I25" i="63"/>
  <c r="H25" i="63"/>
  <c r="E25" i="63"/>
  <c r="K24" i="63" a="1"/>
  <c r="K24" i="63" s="1"/>
  <c r="J24" i="63"/>
  <c r="I24" i="63"/>
  <c r="H24" i="63"/>
  <c r="E24" i="63"/>
  <c r="K23" i="63" a="1"/>
  <c r="K23" i="63" s="1"/>
  <c r="J23" i="63"/>
  <c r="I23" i="63"/>
  <c r="H23" i="63"/>
  <c r="F23" i="63"/>
  <c r="E23" i="63"/>
  <c r="K22" i="63" a="1"/>
  <c r="K22" i="63" s="1"/>
  <c r="J22" i="63"/>
  <c r="I22" i="63"/>
  <c r="H22" i="63"/>
  <c r="E22" i="63"/>
  <c r="K21" i="63" a="1"/>
  <c r="K21" i="63" s="1"/>
  <c r="J21" i="63"/>
  <c r="I21" i="63"/>
  <c r="H21" i="63"/>
  <c r="E21" i="63"/>
  <c r="K20" i="63" a="1"/>
  <c r="K20" i="63" s="1"/>
  <c r="J20" i="63"/>
  <c r="I20" i="63"/>
  <c r="H20" i="63"/>
  <c r="E20" i="63"/>
  <c r="K19" i="63" a="1"/>
  <c r="K19" i="63" s="1"/>
  <c r="E19" i="63"/>
  <c r="I19" i="63"/>
  <c r="K18" i="63" a="1"/>
  <c r="K18" i="63" s="1"/>
  <c r="J18" i="63"/>
  <c r="I18" i="63"/>
  <c r="H18" i="63"/>
  <c r="E18" i="63"/>
  <c r="K17" i="63" a="1"/>
  <c r="K17" i="63" s="1"/>
  <c r="I17" i="63"/>
  <c r="E17" i="63"/>
  <c r="H17" i="63"/>
  <c r="K16" i="63" a="1"/>
  <c r="K16" i="63" s="1"/>
  <c r="J16" i="63"/>
  <c r="I16" i="63"/>
  <c r="H16" i="63"/>
  <c r="E16" i="63"/>
  <c r="K15" i="63" a="1"/>
  <c r="K15" i="63" s="1"/>
  <c r="J15" i="63"/>
  <c r="I15" i="63"/>
  <c r="H15" i="63"/>
  <c r="E15" i="63"/>
  <c r="K14" i="63" a="1"/>
  <c r="K14" i="63" s="1"/>
  <c r="E14" i="63"/>
  <c r="I14" i="63"/>
  <c r="K13" i="63" a="1"/>
  <c r="K13" i="63" s="1"/>
  <c r="J13" i="63"/>
  <c r="I13" i="63"/>
  <c r="H13" i="63"/>
  <c r="E13" i="63"/>
  <c r="K12" i="63" a="1"/>
  <c r="K12" i="63" s="1"/>
  <c r="J12" i="63"/>
  <c r="I12" i="63"/>
  <c r="H12" i="63"/>
  <c r="E12" i="63"/>
  <c r="K11" i="63" a="1"/>
  <c r="K11" i="63" s="1"/>
  <c r="J11" i="63"/>
  <c r="I11" i="63"/>
  <c r="H11" i="63"/>
  <c r="E11" i="63"/>
  <c r="K10" i="63" a="1"/>
  <c r="K10" i="63" s="1"/>
  <c r="J10" i="63"/>
  <c r="I10" i="63"/>
  <c r="H10" i="63"/>
  <c r="F10" i="63"/>
  <c r="E10" i="63"/>
  <c r="K9" i="63" a="1"/>
  <c r="K9" i="63" s="1"/>
  <c r="F9" i="63" s="1"/>
  <c r="J9" i="63"/>
  <c r="I9" i="63"/>
  <c r="H9" i="63"/>
  <c r="E9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J202" i="63" l="1"/>
  <c r="H202" i="63"/>
  <c r="I202" i="63"/>
  <c r="I73" i="63"/>
  <c r="J73" i="63"/>
  <c r="H73" i="63"/>
  <c r="G265" i="63" a="1"/>
  <c r="G265" i="63" s="1"/>
  <c r="J263" i="63"/>
  <c r="I63" i="63"/>
  <c r="J235" i="63"/>
  <c r="H212" i="63"/>
  <c r="J230" i="63"/>
  <c r="H107" i="63"/>
  <c r="I196" i="63"/>
  <c r="F175" i="63"/>
  <c r="G175" i="63" s="1" a="1"/>
  <c r="G175" i="63" s="1"/>
  <c r="J107" i="63"/>
  <c r="I152" i="63"/>
  <c r="I164" i="63"/>
  <c r="I176" i="63"/>
  <c r="H186" i="63"/>
  <c r="J212" i="63"/>
  <c r="I230" i="63"/>
  <c r="I235" i="63"/>
  <c r="H242" i="63"/>
  <c r="I255" i="63"/>
  <c r="J269" i="63"/>
  <c r="G243" i="63" a="1"/>
  <c r="G243" i="63" s="1"/>
  <c r="J63" i="63"/>
  <c r="I186" i="63"/>
  <c r="J196" i="63"/>
  <c r="I242" i="63"/>
  <c r="H255" i="63"/>
  <c r="G245" i="63" a="1"/>
  <c r="G245" i="63" s="1"/>
  <c r="I231" i="63"/>
  <c r="H269" i="63"/>
  <c r="G42" i="63" a="1"/>
  <c r="G42" i="63" s="1"/>
  <c r="J26" i="63"/>
  <c r="G142" i="63" a="1"/>
  <c r="G142" i="63" s="1"/>
  <c r="G6" i="63" a="1"/>
  <c r="G6" i="63" s="1"/>
  <c r="G7" i="63" a="1"/>
  <c r="G7" i="63" s="1"/>
  <c r="H70" i="63"/>
  <c r="G141" i="63" a="1"/>
  <c r="G141" i="63" s="1"/>
  <c r="G244" i="63" a="1"/>
  <c r="G244" i="63" s="1"/>
  <c r="G4" i="63" a="1"/>
  <c r="G4" i="63" s="1"/>
  <c r="G23" i="63" a="1"/>
  <c r="G23" i="63" s="1"/>
  <c r="G174" i="63" a="1"/>
  <c r="G174" i="63" s="1"/>
  <c r="G236" i="63" a="1"/>
  <c r="G236" i="63" s="1"/>
  <c r="G246" i="63" a="1"/>
  <c r="G246" i="63" s="1"/>
  <c r="H187" i="63"/>
  <c r="H216" i="63"/>
  <c r="H249" i="63"/>
  <c r="F250" i="63"/>
  <c r="G250" i="63" s="1" a="1"/>
  <c r="G250" i="63" s="1"/>
  <c r="F264" i="63"/>
  <c r="G264" i="63" s="1" a="1"/>
  <c r="G264" i="63" s="1"/>
  <c r="G100" i="63" a="1"/>
  <c r="G100" i="63" s="1"/>
  <c r="H26" i="63"/>
  <c r="J70" i="63"/>
  <c r="J187" i="63"/>
  <c r="J216" i="63"/>
  <c r="I7" i="63"/>
  <c r="J7" i="63"/>
  <c r="J249" i="63"/>
  <c r="G266" i="63" a="1"/>
  <c r="G266" i="63" s="1"/>
  <c r="G9" i="63" a="1"/>
  <c r="G9" i="63" s="1"/>
  <c r="G8" i="63" a="1"/>
  <c r="G8" i="63" s="1"/>
  <c r="G101" i="63" a="1"/>
  <c r="G101" i="63" s="1"/>
  <c r="F273" i="63"/>
  <c r="G273" i="63" s="1" a="1"/>
  <c r="G273" i="63" s="1"/>
  <c r="G124" i="63" a="1"/>
  <c r="G124" i="63" s="1"/>
  <c r="G5" i="63" a="1"/>
  <c r="G5" i="63" s="1"/>
  <c r="G43" i="63" a="1"/>
  <c r="G43" i="63" s="1"/>
  <c r="G143" i="63" a="1"/>
  <c r="G143" i="63" s="1"/>
  <c r="G267" i="63" a="1"/>
  <c r="G267" i="63" s="1"/>
  <c r="G3" i="63" a="1"/>
  <c r="G3" i="63" s="1"/>
  <c r="G10" i="63" a="1"/>
  <c r="G10" i="63" s="1"/>
  <c r="F262" i="63"/>
  <c r="G262" i="63" s="1" a="1"/>
  <c r="G262" i="63" s="1"/>
  <c r="I261" i="63"/>
  <c r="J261" i="63"/>
  <c r="F110" i="63"/>
  <c r="G110" i="63" s="1" a="1"/>
  <c r="G110" i="63" s="1"/>
  <c r="F270" i="63"/>
  <c r="G270" i="63" s="1" a="1"/>
  <c r="G270" i="63" s="1"/>
  <c r="H271" i="63"/>
  <c r="F238" i="63"/>
  <c r="G238" i="63" s="1" a="1"/>
  <c r="G238" i="63" s="1"/>
  <c r="F239" i="63"/>
  <c r="G239" i="63" s="1" a="1"/>
  <c r="G239" i="63" s="1"/>
  <c r="F234" i="63"/>
  <c r="G234" i="63" s="1" a="1"/>
  <c r="G234" i="63" s="1"/>
  <c r="F241" i="63"/>
  <c r="G241" i="63" s="1" a="1"/>
  <c r="G241" i="63" s="1"/>
  <c r="F261" i="63"/>
  <c r="G261" i="63" s="1" a="1"/>
  <c r="G261" i="63" s="1"/>
  <c r="F271" i="63"/>
  <c r="G271" i="63" s="1" a="1"/>
  <c r="G271" i="63" s="1"/>
  <c r="F263" i="63"/>
  <c r="G263" i="63" s="1" a="1"/>
  <c r="G263" i="63" s="1"/>
  <c r="I271" i="63"/>
  <c r="F108" i="63"/>
  <c r="G108" i="63" s="1" a="1"/>
  <c r="G108" i="63" s="1"/>
  <c r="F111" i="63"/>
  <c r="G111" i="63" s="1" a="1"/>
  <c r="G111" i="63" s="1"/>
  <c r="F268" i="63"/>
  <c r="G268" i="63" s="1" a="1"/>
  <c r="G268" i="63" s="1"/>
  <c r="F197" i="63"/>
  <c r="G197" i="63" s="1" a="1"/>
  <c r="G197" i="63" s="1"/>
  <c r="E23" i="64"/>
  <c r="E29" i="64" s="1" a="1"/>
  <c r="E29" i="64" s="1"/>
  <c r="F272" i="63"/>
  <c r="G272" i="63" s="1" a="1"/>
  <c r="G272" i="63" s="1"/>
  <c r="F19" i="63"/>
  <c r="G19" i="63" s="1" a="1"/>
  <c r="G19" i="63" s="1"/>
  <c r="F248" i="63"/>
  <c r="G248" i="63" s="1" a="1"/>
  <c r="G248" i="63" s="1"/>
  <c r="F21" i="63"/>
  <c r="G21" i="63" s="1" a="1"/>
  <c r="G21" i="63" s="1"/>
  <c r="F64" i="63"/>
  <c r="G64" i="63" s="1" a="1"/>
  <c r="G64" i="63" s="1"/>
  <c r="F146" i="63"/>
  <c r="G146" i="63" s="1" a="1"/>
  <c r="G146" i="63" s="1"/>
  <c r="F166" i="63"/>
  <c r="G166" i="63" s="1" a="1"/>
  <c r="G166" i="63" s="1"/>
  <c r="F68" i="63"/>
  <c r="G68" i="63" s="1" a="1"/>
  <c r="G68" i="63" s="1"/>
  <c r="F179" i="63"/>
  <c r="G179" i="63" s="1" a="1"/>
  <c r="G179" i="63" s="1"/>
  <c r="F223" i="63"/>
  <c r="G223" i="63" s="1" a="1"/>
  <c r="G223" i="63" s="1"/>
  <c r="F251" i="63"/>
  <c r="G251" i="63" s="1" a="1"/>
  <c r="G251" i="63" s="1"/>
  <c r="F249" i="63"/>
  <c r="G249" i="63" s="1" a="1"/>
  <c r="G249" i="63" s="1"/>
  <c r="F28" i="63"/>
  <c r="G28" i="63" s="1" a="1"/>
  <c r="G28" i="63" s="1"/>
  <c r="F32" i="63"/>
  <c r="G32" i="63" s="1" a="1"/>
  <c r="G32" i="63" s="1"/>
  <c r="F36" i="63"/>
  <c r="G36" i="63" s="1" a="1"/>
  <c r="G36" i="63" s="1"/>
  <c r="F40" i="63"/>
  <c r="G40" i="63" s="1" a="1"/>
  <c r="G40" i="63" s="1"/>
  <c r="F46" i="63"/>
  <c r="G46" i="63" s="1" a="1"/>
  <c r="G46" i="63" s="1"/>
  <c r="F114" i="63"/>
  <c r="G114" i="63" s="1" a="1"/>
  <c r="G114" i="63" s="1"/>
  <c r="F118" i="63"/>
  <c r="G118" i="63" s="1" a="1"/>
  <c r="G118" i="63" s="1"/>
  <c r="F131" i="63"/>
  <c r="G131" i="63" s="1" a="1"/>
  <c r="G131" i="63" s="1"/>
  <c r="F135" i="63"/>
  <c r="G135" i="63" s="1" a="1"/>
  <c r="G135" i="63" s="1"/>
  <c r="F139" i="63"/>
  <c r="G139" i="63" s="1" a="1"/>
  <c r="G139" i="63" s="1"/>
  <c r="F158" i="63"/>
  <c r="G158" i="63" s="1" a="1"/>
  <c r="G158" i="63" s="1"/>
  <c r="F224" i="63"/>
  <c r="G224" i="63" s="1" a="1"/>
  <c r="G224" i="63" s="1"/>
  <c r="F116" i="63"/>
  <c r="G116" i="63" s="1" a="1"/>
  <c r="G116" i="63" s="1"/>
  <c r="F120" i="63"/>
  <c r="G120" i="63" s="1" a="1"/>
  <c r="G120" i="63" s="1"/>
  <c r="F147" i="63"/>
  <c r="G147" i="63" s="1" a="1"/>
  <c r="G147" i="63" s="1"/>
  <c r="F128" i="63"/>
  <c r="G128" i="63" s="1" a="1"/>
  <c r="G128" i="63" s="1"/>
  <c r="F133" i="63"/>
  <c r="G133" i="63" s="1" a="1"/>
  <c r="G133" i="63" s="1"/>
  <c r="F162" i="63"/>
  <c r="G162" i="63" s="1" a="1"/>
  <c r="G162" i="63" s="1"/>
  <c r="F16" i="63"/>
  <c r="G16" i="63" s="1" a="1"/>
  <c r="G16" i="63" s="1"/>
  <c r="F25" i="63"/>
  <c r="G25" i="63" s="1" a="1"/>
  <c r="G25" i="63" s="1"/>
  <c r="F31" i="63"/>
  <c r="G31" i="63" s="1" a="1"/>
  <c r="G31" i="63" s="1"/>
  <c r="F35" i="63"/>
  <c r="G35" i="63" s="1" a="1"/>
  <c r="G35" i="63" s="1"/>
  <c r="F39" i="63"/>
  <c r="G39" i="63" s="1" a="1"/>
  <c r="G39" i="63" s="1"/>
  <c r="F45" i="63"/>
  <c r="G45" i="63" s="1" a="1"/>
  <c r="G45" i="63" s="1"/>
  <c r="F67" i="63"/>
  <c r="G67" i="63" s="1" a="1"/>
  <c r="G67" i="63" s="1"/>
  <c r="F104" i="63"/>
  <c r="G104" i="63" s="1" a="1"/>
  <c r="G104" i="63" s="1"/>
  <c r="F115" i="63"/>
  <c r="G115" i="63" s="1" a="1"/>
  <c r="G115" i="63" s="1"/>
  <c r="F126" i="63"/>
  <c r="G126" i="63" s="1" a="1"/>
  <c r="G126" i="63" s="1"/>
  <c r="F130" i="63"/>
  <c r="G130" i="63" s="1" a="1"/>
  <c r="G130" i="63" s="1"/>
  <c r="F138" i="63"/>
  <c r="G138" i="63" s="1" a="1"/>
  <c r="G138" i="63" s="1"/>
  <c r="F144" i="63"/>
  <c r="G144" i="63" s="1" a="1"/>
  <c r="G144" i="63" s="1"/>
  <c r="F164" i="63"/>
  <c r="G164" i="63" s="1" a="1"/>
  <c r="G164" i="63" s="1"/>
  <c r="F184" i="63"/>
  <c r="G184" i="63" s="1" a="1"/>
  <c r="G184" i="63" s="1"/>
  <c r="F211" i="63"/>
  <c r="G211" i="63" s="1" a="1"/>
  <c r="G211" i="63" s="1"/>
  <c r="F215" i="63"/>
  <c r="G215" i="63" s="1" a="1"/>
  <c r="G215" i="63" s="1"/>
  <c r="F220" i="63"/>
  <c r="G220" i="63" s="1" a="1"/>
  <c r="G220" i="63" s="1"/>
  <c r="F226" i="63"/>
  <c r="G226" i="63" s="1" a="1"/>
  <c r="G226" i="63" s="1"/>
  <c r="F22" i="63"/>
  <c r="G22" i="63" s="1" a="1"/>
  <c r="G22" i="63" s="1"/>
  <c r="F102" i="63"/>
  <c r="G102" i="63" s="1" a="1"/>
  <c r="G102" i="63" s="1"/>
  <c r="F106" i="63"/>
  <c r="G106" i="63" s="1" a="1"/>
  <c r="G106" i="63" s="1"/>
  <c r="F112" i="63"/>
  <c r="G112" i="63" s="1" a="1"/>
  <c r="G112" i="63" s="1"/>
  <c r="F122" i="63"/>
  <c r="G122" i="63" s="1" a="1"/>
  <c r="G122" i="63" s="1"/>
  <c r="F140" i="63"/>
  <c r="G140" i="63" s="1" a="1"/>
  <c r="G140" i="63" s="1"/>
  <c r="F169" i="63"/>
  <c r="G169" i="63" s="1" a="1"/>
  <c r="G169" i="63" s="1"/>
  <c r="F172" i="63"/>
  <c r="G172" i="63" s="1" a="1"/>
  <c r="G172" i="63" s="1"/>
  <c r="F186" i="63"/>
  <c r="G186" i="63" s="1" a="1"/>
  <c r="G186" i="63" s="1"/>
  <c r="F209" i="63"/>
  <c r="G209" i="63" s="1" a="1"/>
  <c r="G209" i="63" s="1"/>
  <c r="F222" i="63"/>
  <c r="G222" i="63" s="1" a="1"/>
  <c r="G222" i="63" s="1"/>
  <c r="F20" i="63"/>
  <c r="G20" i="63" s="1" a="1"/>
  <c r="G20" i="63" s="1"/>
  <c r="F54" i="63"/>
  <c r="G54" i="63" s="1" a="1"/>
  <c r="G54" i="63" s="1"/>
  <c r="F151" i="63"/>
  <c r="G151" i="63" s="1" a="1"/>
  <c r="G151" i="63" s="1"/>
  <c r="F192" i="63"/>
  <c r="G192" i="63" s="1" a="1"/>
  <c r="G192" i="63" s="1"/>
  <c r="F219" i="63"/>
  <c r="G219" i="63" s="1" a="1"/>
  <c r="G219" i="63" s="1"/>
  <c r="F177" i="63"/>
  <c r="G177" i="63" s="1" a="1"/>
  <c r="G177" i="63" s="1"/>
  <c r="F203" i="63"/>
  <c r="G203" i="63" s="1" a="1"/>
  <c r="G203" i="63" s="1"/>
  <c r="F208" i="63"/>
  <c r="G208" i="63" s="1" a="1"/>
  <c r="G208" i="63" s="1"/>
  <c r="F29" i="63"/>
  <c r="G29" i="63" s="1" a="1"/>
  <c r="G29" i="63" s="1"/>
  <c r="F33" i="63"/>
  <c r="G33" i="63" s="1" a="1"/>
  <c r="G33" i="63" s="1"/>
  <c r="F37" i="63"/>
  <c r="G37" i="63" s="1" a="1"/>
  <c r="G37" i="63" s="1"/>
  <c r="F41" i="63"/>
  <c r="G41" i="63" s="1" a="1"/>
  <c r="G41" i="63" s="1"/>
  <c r="F132" i="63"/>
  <c r="G132" i="63" s="1" a="1"/>
  <c r="G132" i="63" s="1"/>
  <c r="F15" i="63"/>
  <c r="G15" i="63" s="1" a="1"/>
  <c r="G15" i="63" s="1"/>
  <c r="F24" i="63"/>
  <c r="G24" i="63" s="1" a="1"/>
  <c r="G24" i="63" s="1"/>
  <c r="F30" i="63"/>
  <c r="G30" i="63" s="1" a="1"/>
  <c r="G30" i="63" s="1"/>
  <c r="F34" i="63"/>
  <c r="G34" i="63" s="1" a="1"/>
  <c r="G34" i="63" s="1"/>
  <c r="F38" i="63"/>
  <c r="G38" i="63" s="1" a="1"/>
  <c r="G38" i="63" s="1"/>
  <c r="F44" i="63"/>
  <c r="G44" i="63" s="1" a="1"/>
  <c r="G44" i="63" s="1"/>
  <c r="F70" i="63"/>
  <c r="G70" i="63" s="1" a="1"/>
  <c r="G70" i="63" s="1"/>
  <c r="F129" i="63"/>
  <c r="G129" i="63" s="1" a="1"/>
  <c r="G129" i="63" s="1"/>
  <c r="F137" i="63"/>
  <c r="G137" i="63" s="1" a="1"/>
  <c r="G137" i="63" s="1"/>
  <c r="F210" i="63"/>
  <c r="G210" i="63" s="1" a="1"/>
  <c r="G210" i="63" s="1"/>
  <c r="F11" i="63"/>
  <c r="G11" i="63" s="1" a="1"/>
  <c r="G11" i="63" s="1"/>
  <c r="F52" i="63"/>
  <c r="G52" i="63" s="1" a="1"/>
  <c r="G52" i="63" s="1"/>
  <c r="F60" i="63"/>
  <c r="G60" i="63" s="1" a="1"/>
  <c r="G60" i="63" s="1"/>
  <c r="F66" i="63"/>
  <c r="G66" i="63" s="1" a="1"/>
  <c r="G66" i="63" s="1"/>
  <c r="F69" i="63"/>
  <c r="G69" i="63" s="1" a="1"/>
  <c r="G69" i="63" s="1"/>
  <c r="F107" i="63"/>
  <c r="G107" i="63" s="1" a="1"/>
  <c r="G107" i="63" s="1"/>
  <c r="F113" i="63"/>
  <c r="G113" i="63" s="1" a="1"/>
  <c r="G113" i="63" s="1"/>
  <c r="F123" i="63"/>
  <c r="G123" i="63" s="1" a="1"/>
  <c r="G123" i="63" s="1"/>
  <c r="F125" i="63"/>
  <c r="G125" i="63" s="1" a="1"/>
  <c r="G125" i="63" s="1"/>
  <c r="F156" i="63"/>
  <c r="G156" i="63" s="1" a="1"/>
  <c r="G156" i="63" s="1"/>
  <c r="F170" i="63"/>
  <c r="G170" i="63" s="1" a="1"/>
  <c r="G170" i="63" s="1"/>
  <c r="F198" i="63"/>
  <c r="G198" i="63" s="1" a="1"/>
  <c r="G198" i="63" s="1"/>
  <c r="F213" i="63"/>
  <c r="G213" i="63" s="1" a="1"/>
  <c r="G213" i="63" s="1"/>
  <c r="F232" i="63"/>
  <c r="G232" i="63" s="1" a="1"/>
  <c r="G232" i="63" s="1"/>
  <c r="F240" i="63"/>
  <c r="G240" i="63" s="1" a="1"/>
  <c r="G240" i="63" s="1"/>
  <c r="F50" i="63"/>
  <c r="G50" i="63" s="1" a="1"/>
  <c r="G50" i="63" s="1"/>
  <c r="F119" i="63"/>
  <c r="G119" i="63" s="1" a="1"/>
  <c r="G119" i="63" s="1"/>
  <c r="F127" i="63"/>
  <c r="G127" i="63" s="1" a="1"/>
  <c r="G127" i="63" s="1"/>
  <c r="F134" i="63"/>
  <c r="G134" i="63" s="1" a="1"/>
  <c r="G134" i="63" s="1"/>
  <c r="F136" i="63"/>
  <c r="G136" i="63" s="1" a="1"/>
  <c r="G136" i="63" s="1"/>
  <c r="F150" i="63"/>
  <c r="G150" i="63" s="1" a="1"/>
  <c r="G150" i="63" s="1"/>
  <c r="F160" i="63"/>
  <c r="G160" i="63" s="1" a="1"/>
  <c r="G160" i="63" s="1"/>
  <c r="F163" i="63"/>
  <c r="G163" i="63" s="1" a="1"/>
  <c r="G163" i="63" s="1"/>
  <c r="F167" i="63"/>
  <c r="G167" i="63" s="1" a="1"/>
  <c r="G167" i="63" s="1"/>
  <c r="F190" i="63"/>
  <c r="G190" i="63" s="1" a="1"/>
  <c r="G190" i="63" s="1"/>
  <c r="F206" i="63"/>
  <c r="G206" i="63" s="1" a="1"/>
  <c r="G206" i="63" s="1"/>
  <c r="F216" i="63"/>
  <c r="G216" i="63" s="1" a="1"/>
  <c r="G216" i="63" s="1"/>
  <c r="F218" i="63"/>
  <c r="G218" i="63" s="1" a="1"/>
  <c r="G218" i="63" s="1"/>
  <c r="F228" i="63"/>
  <c r="G228" i="63" s="1" a="1"/>
  <c r="G228" i="63" s="1"/>
  <c r="F237" i="63"/>
  <c r="G237" i="63" s="1" a="1"/>
  <c r="G237" i="63" s="1"/>
  <c r="F252" i="63"/>
  <c r="G252" i="63" s="1" a="1"/>
  <c r="G252" i="63" s="1"/>
  <c r="F13" i="63"/>
  <c r="G13" i="63" s="1" a="1"/>
  <c r="G13" i="63" s="1"/>
  <c r="F17" i="63"/>
  <c r="G17" i="63" s="1" a="1"/>
  <c r="G17" i="63" s="1"/>
  <c r="F27" i="63"/>
  <c r="G27" i="63" s="1" a="1"/>
  <c r="G27" i="63" s="1"/>
  <c r="F48" i="63"/>
  <c r="G48" i="63" s="1" a="1"/>
  <c r="G48" i="63" s="1"/>
  <c r="F56" i="63"/>
  <c r="G56" i="63" s="1" a="1"/>
  <c r="G56" i="63" s="1"/>
  <c r="F58" i="63"/>
  <c r="G58" i="63" s="1" a="1"/>
  <c r="G58" i="63" s="1"/>
  <c r="F65" i="63"/>
  <c r="G65" i="63" s="1" a="1"/>
  <c r="G65" i="63" s="1"/>
  <c r="F105" i="63"/>
  <c r="G105" i="63" s="1" a="1"/>
  <c r="G105" i="63" s="1"/>
  <c r="F109" i="63"/>
  <c r="G109" i="63" s="1" a="1"/>
  <c r="G109" i="63" s="1"/>
  <c r="F117" i="63"/>
  <c r="G117" i="63" s="1" a="1"/>
  <c r="G117" i="63" s="1"/>
  <c r="F121" i="63"/>
  <c r="G121" i="63" s="1" a="1"/>
  <c r="G121" i="63" s="1"/>
  <c r="F153" i="63"/>
  <c r="G153" i="63" s="1" a="1"/>
  <c r="G153" i="63" s="1"/>
  <c r="F183" i="63"/>
  <c r="G183" i="63" s="1" a="1"/>
  <c r="G183" i="63" s="1"/>
  <c r="F193" i="63"/>
  <c r="G193" i="63" s="1" a="1"/>
  <c r="G193" i="63" s="1"/>
  <c r="F204" i="63"/>
  <c r="G204" i="63" s="1" a="1"/>
  <c r="G204" i="63" s="1"/>
  <c r="F214" i="63"/>
  <c r="G214" i="63" s="1" a="1"/>
  <c r="G214" i="63" s="1"/>
  <c r="F230" i="63"/>
  <c r="G230" i="63" s="1" a="1"/>
  <c r="G230" i="63" s="1"/>
  <c r="F255" i="63"/>
  <c r="G255" i="63" s="1" a="1"/>
  <c r="G255" i="63" s="1"/>
  <c r="F168" i="63"/>
  <c r="G168" i="63" s="1" a="1"/>
  <c r="G168" i="63" s="1"/>
  <c r="F14" i="63"/>
  <c r="G14" i="63" s="1" a="1"/>
  <c r="G14" i="63" s="1"/>
  <c r="F18" i="63"/>
  <c r="G18" i="63" s="1" a="1"/>
  <c r="G18" i="63" s="1"/>
  <c r="F59" i="63"/>
  <c r="G59" i="63" s="1" a="1"/>
  <c r="G59" i="63" s="1"/>
  <c r="F12" i="63"/>
  <c r="G12" i="63" s="1" a="1"/>
  <c r="G12" i="63" s="1"/>
  <c r="F26" i="63"/>
  <c r="G26" i="63" s="1" a="1"/>
  <c r="G26" i="63" s="1"/>
  <c r="F57" i="63"/>
  <c r="G57" i="63" s="1" a="1"/>
  <c r="G57" i="63" s="1"/>
  <c r="F61" i="63"/>
  <c r="G61" i="63" s="1" a="1"/>
  <c r="G61" i="63" s="1"/>
  <c r="F63" i="63"/>
  <c r="G63" i="63" s="1" a="1"/>
  <c r="G63" i="63" s="1"/>
  <c r="F62" i="63"/>
  <c r="G62" i="63" s="1" a="1"/>
  <c r="G62" i="63" s="1"/>
  <c r="J14" i="63"/>
  <c r="H19" i="63"/>
  <c r="F47" i="63"/>
  <c r="G47" i="63" s="1" a="1"/>
  <c r="G47" i="63" s="1"/>
  <c r="F51" i="63"/>
  <c r="G51" i="63" s="1" a="1"/>
  <c r="G51" i="63" s="1"/>
  <c r="F55" i="63"/>
  <c r="G55" i="63" s="1" a="1"/>
  <c r="G55" i="63" s="1"/>
  <c r="H57" i="63"/>
  <c r="H3" i="63"/>
  <c r="J28" i="63"/>
  <c r="J17" i="63"/>
  <c r="J57" i="63"/>
  <c r="F103" i="63"/>
  <c r="G103" i="63" s="1" a="1"/>
  <c r="G103" i="63" s="1"/>
  <c r="H14" i="63"/>
  <c r="H28" i="63"/>
  <c r="F49" i="63"/>
  <c r="G49" i="63" s="1" a="1"/>
  <c r="G49" i="63" s="1"/>
  <c r="F53" i="63"/>
  <c r="G53" i="63" s="1" a="1"/>
  <c r="G53" i="63" s="1"/>
  <c r="F71" i="63"/>
  <c r="G71" i="63" s="1" a="1"/>
  <c r="G71" i="63" s="1"/>
  <c r="H127" i="63"/>
  <c r="J157" i="63"/>
  <c r="J160" i="63"/>
  <c r="F161" i="63"/>
  <c r="G161" i="63" s="1" a="1"/>
  <c r="G161" i="63" s="1"/>
  <c r="F176" i="63"/>
  <c r="G176" i="63" s="1" a="1"/>
  <c r="G176" i="63" s="1"/>
  <c r="I127" i="63"/>
  <c r="I177" i="63"/>
  <c r="J177" i="63"/>
  <c r="F145" i="63"/>
  <c r="G145" i="63" s="1" a="1"/>
  <c r="G145" i="63" s="1"/>
  <c r="H146" i="63"/>
  <c r="F157" i="63"/>
  <c r="G157" i="63" s="1" a="1"/>
  <c r="G157" i="63" s="1"/>
  <c r="F165" i="63"/>
  <c r="G165" i="63" s="1" a="1"/>
  <c r="G165" i="63" s="1"/>
  <c r="H166" i="63"/>
  <c r="F171" i="63"/>
  <c r="G171" i="63" s="1" a="1"/>
  <c r="G171" i="63" s="1"/>
  <c r="F173" i="63"/>
  <c r="G173" i="63" s="1" a="1"/>
  <c r="G173" i="63" s="1"/>
  <c r="J175" i="63"/>
  <c r="J189" i="63"/>
  <c r="H189" i="63"/>
  <c r="F194" i="63"/>
  <c r="G194" i="63" s="1" a="1"/>
  <c r="G194" i="63" s="1"/>
  <c r="J146" i="63"/>
  <c r="F152" i="63"/>
  <c r="G152" i="63" s="1" a="1"/>
  <c r="G152" i="63" s="1"/>
  <c r="H157" i="63"/>
  <c r="F159" i="63"/>
  <c r="G159" i="63" s="1" a="1"/>
  <c r="G159" i="63" s="1"/>
  <c r="H160" i="63"/>
  <c r="J166" i="63"/>
  <c r="H177" i="63"/>
  <c r="F178" i="63"/>
  <c r="G178" i="63" s="1" a="1"/>
  <c r="G178" i="63" s="1"/>
  <c r="F180" i="63"/>
  <c r="G180" i="63" s="1" a="1"/>
  <c r="G180" i="63" s="1"/>
  <c r="F185" i="63"/>
  <c r="G185" i="63" s="1" a="1"/>
  <c r="G185" i="63" s="1"/>
  <c r="F187" i="63"/>
  <c r="G187" i="63" s="1" a="1"/>
  <c r="G187" i="63" s="1"/>
  <c r="F188" i="63"/>
  <c r="G188" i="63" s="1" a="1"/>
  <c r="G188" i="63" s="1"/>
  <c r="F191" i="63"/>
  <c r="G191" i="63" s="1" a="1"/>
  <c r="G191" i="63" s="1"/>
  <c r="F196" i="63"/>
  <c r="G196" i="63" s="1" a="1"/>
  <c r="G196" i="63" s="1"/>
  <c r="F195" i="63"/>
  <c r="G195" i="63" s="1" a="1"/>
  <c r="G195" i="63" s="1"/>
  <c r="H184" i="63"/>
  <c r="F189" i="63"/>
  <c r="G189" i="63" s="1" a="1"/>
  <c r="G189" i="63" s="1"/>
  <c r="H191" i="63"/>
  <c r="F205" i="63"/>
  <c r="G205" i="63" s="1" a="1"/>
  <c r="G205" i="63" s="1"/>
  <c r="F217" i="63"/>
  <c r="G217" i="63" s="1" a="1"/>
  <c r="G217" i="63" s="1"/>
  <c r="F221" i="63"/>
  <c r="G221" i="63" s="1" a="1"/>
  <c r="G221" i="63" s="1"/>
  <c r="F225" i="63"/>
  <c r="G225" i="63" s="1" a="1"/>
  <c r="G225" i="63" s="1"/>
  <c r="F227" i="63"/>
  <c r="G227" i="63" s="1" a="1"/>
  <c r="G227" i="63" s="1"/>
  <c r="F235" i="63"/>
  <c r="G235" i="63" s="1" a="1"/>
  <c r="G235" i="63" s="1"/>
  <c r="J241" i="63"/>
  <c r="F242" i="63"/>
  <c r="G242" i="63" s="1" a="1"/>
  <c r="G242" i="63" s="1"/>
  <c r="F247" i="63"/>
  <c r="G247" i="63" s="1" a="1"/>
  <c r="G247" i="63" s="1"/>
  <c r="H152" i="63"/>
  <c r="H164" i="63"/>
  <c r="H176" i="63"/>
  <c r="J184" i="63"/>
  <c r="J191" i="63"/>
  <c r="F212" i="63"/>
  <c r="G212" i="63" s="1" a="1"/>
  <c r="G212" i="63" s="1"/>
  <c r="J228" i="63"/>
  <c r="F229" i="63"/>
  <c r="G229" i="63" s="1" a="1"/>
  <c r="G229" i="63" s="1"/>
  <c r="J231" i="63"/>
  <c r="J233" i="63"/>
  <c r="H238" i="63"/>
  <c r="F207" i="63"/>
  <c r="G207" i="63" s="1" a="1"/>
  <c r="G207" i="63" s="1"/>
  <c r="J238" i="63"/>
  <c r="I204" i="63"/>
  <c r="H208" i="63"/>
  <c r="F231" i="63"/>
  <c r="G231" i="63" s="1" a="1"/>
  <c r="G231" i="63" s="1"/>
  <c r="F233" i="63"/>
  <c r="G233" i="63" s="1" a="1"/>
  <c r="G233" i="63" s="1"/>
  <c r="H241" i="63"/>
  <c r="F256" i="63"/>
  <c r="G256" i="63" s="1" a="1"/>
  <c r="G256" i="63" s="1"/>
  <c r="F269" i="63"/>
  <c r="G269" i="63" s="1" a="1"/>
  <c r="G269" i="63" s="1"/>
  <c r="H226" i="63"/>
  <c r="H232" i="63"/>
  <c r="H239" i="63"/>
  <c r="H251" i="63"/>
  <c r="H263" i="63"/>
  <c r="H252" i="63"/>
  <c r="H268" i="63"/>
  <c r="I252" i="63"/>
  <c r="AA17" i="5"/>
  <c r="W17" i="5" a="1"/>
  <c r="W17" i="5" s="1"/>
  <c r="D34" i="25"/>
  <c r="D33" i="25"/>
  <c r="Z3" i="5" l="1"/>
  <c r="Z8" i="5" s="1"/>
  <c r="W6" i="5" a="1"/>
  <c r="W6" i="5" s="1"/>
  <c r="Z7" i="5" l="1"/>
  <c r="Z9" i="5"/>
  <c r="Z6" i="5"/>
  <c r="Z17" i="5"/>
  <c r="F18" i="36"/>
  <c r="C11" i="5" l="1" a="1"/>
  <c r="C11" i="5" s="1"/>
  <c r="AJ6" i="8" s="1"/>
  <c r="AJ7" i="8" s="1"/>
  <c r="D107" i="61"/>
  <c r="D112" i="61" s="1"/>
  <c r="D113" i="61" s="1"/>
  <c r="V33" i="14"/>
  <c r="V37" i="14"/>
  <c r="V32" i="14"/>
  <c r="T32" i="14" a="1"/>
  <c r="T32" i="14" s="1"/>
  <c r="R32" i="14" a="1"/>
  <c r="R32" i="14" s="1"/>
  <c r="P31" i="14" a="1"/>
  <c r="P31" i="14" s="1"/>
  <c r="N31" i="14" a="1"/>
  <c r="N31" i="14" s="1"/>
  <c r="L32" i="14" a="1"/>
  <c r="L32" i="14" s="1"/>
  <c r="L31" i="14" a="1"/>
  <c r="L31" i="14" s="1"/>
  <c r="J32" i="14" a="1"/>
  <c r="J32" i="14" s="1"/>
  <c r="J31" i="14" a="1"/>
  <c r="J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V31" i="14" a="1"/>
  <c r="F29" i="14" a="1"/>
  <c r="D29" i="14" a="1"/>
  <c r="V29" i="14" a="1"/>
  <c r="F30" i="14" a="1"/>
  <c r="V30" i="14" a="1"/>
  <c r="C13" i="5" l="1"/>
  <c r="AX113" i="61"/>
  <c r="AD113" i="61"/>
  <c r="V113" i="61"/>
  <c r="J113" i="61"/>
  <c r="V29" i="14"/>
  <c r="V31" i="14"/>
  <c r="V30" i="14"/>
  <c r="F30" i="14"/>
  <c r="F29" i="14"/>
  <c r="D29" i="14"/>
  <c r="P25" i="25"/>
  <c r="AN24" i="25" a="1"/>
  <c r="AP24" i="25" a="1"/>
  <c r="P24" i="25" a="1"/>
  <c r="AP25" i="25" a="1"/>
  <c r="P24" i="25" l="1"/>
  <c r="AP25" i="25"/>
  <c r="AP24" i="25"/>
  <c r="AN24" i="25"/>
  <c r="N26" i="25" a="1"/>
  <c r="BJ24" i="25" a="1"/>
  <c r="N26" i="25" l="1"/>
  <c r="BJ24" i="25"/>
  <c r="BF24" i="25" a="1"/>
  <c r="BF24" i="25" l="1"/>
  <c r="F54" i="33" a="1"/>
  <c r="F54" i="33" l="1"/>
  <c r="R10" i="8" l="1"/>
  <c r="R11" i="8" s="1"/>
  <c r="L11" i="8"/>
  <c r="T11" i="8" s="1"/>
  <c r="J12" i="8"/>
  <c r="J30" i="8" s="1"/>
  <c r="P11" i="8" l="1"/>
  <c r="X11" i="8"/>
  <c r="N11" i="8"/>
  <c r="AF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P10" i="14" l="1"/>
  <c r="P9" i="14"/>
  <c r="P30" i="14" a="1"/>
  <c r="P29" i="14" a="1"/>
  <c r="P29" i="14" l="1"/>
  <c r="P30" i="14"/>
  <c r="P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N10" i="14"/>
  <c r="N9" i="14"/>
  <c r="N30" i="14" a="1"/>
  <c r="N29" i="14" a="1"/>
  <c r="N29" i="14" l="1"/>
  <c r="N30" i="14"/>
  <c r="T99" i="58"/>
  <c r="T97" i="58"/>
  <c r="T96" i="58"/>
  <c r="R98" i="58"/>
  <c r="R97" i="58"/>
  <c r="P98" i="58"/>
  <c r="P97" i="58"/>
  <c r="N99" i="58"/>
  <c r="N98" i="58"/>
  <c r="N96" i="58"/>
  <c r="L99" i="58"/>
  <c r="L98" i="58"/>
  <c r="L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X25" i="25"/>
  <c r="Y23" i="25"/>
  <c r="Y24" i="25"/>
  <c r="Y25" i="25"/>
  <c r="Y26" i="25"/>
  <c r="Y27" i="25"/>
  <c r="Y28" i="25"/>
  <c r="C36" i="30" l="1"/>
  <c r="D35" i="30"/>
  <c r="X31" i="25"/>
  <c r="X12" i="25"/>
  <c r="X13" i="25"/>
  <c r="D36" i="30" l="1"/>
  <c r="C37" i="30"/>
  <c r="C38" i="30"/>
  <c r="X24" i="25"/>
  <c r="X16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F38" i="38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37" i="34" a="1"/>
  <c r="F24" i="34" a="1"/>
  <c r="F3" i="33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F41" i="3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AX76" i="61" s="1" a="1"/>
  <c r="AX76" i="61" s="1"/>
  <c r="AX99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Z78" i="61" s="1"/>
  <c r="M12" i="61"/>
  <c r="N12" i="61" s="1"/>
  <c r="N76" i="61" s="1" a="1"/>
  <c r="N76" i="61" s="1"/>
  <c r="BE12" i="61"/>
  <c r="BF12" i="61" s="1"/>
  <c r="AS12" i="61"/>
  <c r="AT12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W2" i="61"/>
  <c r="AX2" i="61" s="1"/>
  <c r="BM6" i="61"/>
  <c r="BN6" i="61" s="1"/>
  <c r="BM5" i="61"/>
  <c r="BN5" i="61" s="1"/>
  <c r="BM2" i="61"/>
  <c r="BN2" i="61" s="1"/>
  <c r="BI5" i="61"/>
  <c r="BJ5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S5" i="61"/>
  <c r="AT5" i="61" s="1"/>
  <c r="AS2" i="61"/>
  <c r="AT2" i="61" s="1"/>
  <c r="AO5" i="61"/>
  <c r="AP5" i="61" s="1"/>
  <c r="AO2" i="61"/>
  <c r="AP2" i="61" s="1"/>
  <c r="AK5" i="61"/>
  <c r="AL5" i="61" s="1"/>
  <c r="AK2" i="61"/>
  <c r="AL2" i="61" s="1"/>
  <c r="AG7" i="61"/>
  <c r="AH7" i="61" s="1"/>
  <c r="AG6" i="61"/>
  <c r="AH6" i="61" s="1"/>
  <c r="AG5" i="61"/>
  <c r="AH5" i="61" s="1"/>
  <c r="AG2" i="61"/>
  <c r="AH2" i="61" s="1"/>
  <c r="AC7" i="61"/>
  <c r="AD7" i="61" s="1"/>
  <c r="AC6" i="61"/>
  <c r="AD6" i="61" s="1"/>
  <c r="AC5" i="61"/>
  <c r="AD5" i="61" s="1"/>
  <c r="AC2" i="61"/>
  <c r="AD2" i="61" s="1"/>
  <c r="Y7" i="61"/>
  <c r="Z7" i="61" s="1"/>
  <c r="Y5" i="61"/>
  <c r="Z5" i="61" s="1"/>
  <c r="Y2" i="61"/>
  <c r="Z2" i="61" s="1"/>
  <c r="U7" i="61"/>
  <c r="V7" i="61" s="1"/>
  <c r="U6" i="61"/>
  <c r="V6" i="61" s="1"/>
  <c r="U5" i="61"/>
  <c r="V5" i="61" s="1"/>
  <c r="U2" i="61"/>
  <c r="V2" i="61" s="1"/>
  <c r="Q5" i="61"/>
  <c r="R5" i="61" s="1"/>
  <c r="Q2" i="61"/>
  <c r="R2" i="61" s="1"/>
  <c r="M5" i="61"/>
  <c r="N5" i="61" s="1"/>
  <c r="M2" i="61"/>
  <c r="N2" i="61" s="1"/>
  <c r="I6" i="61"/>
  <c r="J6" i="61" s="1"/>
  <c r="I7" i="61"/>
  <c r="J7" i="61" s="1"/>
  <c r="I5" i="61"/>
  <c r="J5" i="61" s="1"/>
  <c r="I2" i="61"/>
  <c r="J2" i="61" s="1"/>
  <c r="L4" i="61"/>
  <c r="M4" i="61" s="1"/>
  <c r="N4" i="61" s="1"/>
  <c r="C23" i="61"/>
  <c r="D18" i="6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BU2" i="61"/>
  <c r="BJ74" i="61" a="1"/>
  <c r="BN74" i="61" a="1"/>
  <c r="AH79" i="61" l="1"/>
  <c r="J108" i="61"/>
  <c r="AD107" i="61"/>
  <c r="J107" i="61"/>
  <c r="V107" i="61"/>
  <c r="AD108" i="61"/>
  <c r="V108" i="61"/>
  <c r="BN74" i="61"/>
  <c r="BJ74" i="61"/>
  <c r="J78" i="61"/>
  <c r="J101" i="61" s="1"/>
  <c r="AD78" i="61"/>
  <c r="AD101" i="61" s="1"/>
  <c r="V79" i="61"/>
  <c r="V102" i="61" s="1"/>
  <c r="AD79" i="61"/>
  <c r="AD102" i="61" s="1"/>
  <c r="AD77" i="61"/>
  <c r="AD100" i="61" s="1"/>
  <c r="V77" i="61"/>
  <c r="V100" i="61" s="1"/>
  <c r="V78" i="61"/>
  <c r="V101" i="61" s="1"/>
  <c r="AX79" i="61"/>
  <c r="AX102" i="61" s="1"/>
  <c r="J77" i="61"/>
  <c r="J100" i="61" s="1"/>
  <c r="AT78" i="61"/>
  <c r="BF77" i="61"/>
  <c r="J79" i="61"/>
  <c r="J102" i="61" s="1"/>
  <c r="Z79" i="61"/>
  <c r="AT79" i="61"/>
  <c r="BF78" i="61"/>
  <c r="AT77" i="61"/>
  <c r="AX77" i="61"/>
  <c r="AX100" i="61" s="1"/>
  <c r="BF79" i="61"/>
  <c r="BN78" i="61"/>
  <c r="AP77" i="61"/>
  <c r="BN77" i="61"/>
  <c r="N77" i="61"/>
  <c r="Z77" i="61"/>
  <c r="AH77" i="61"/>
  <c r="AH78" i="61"/>
  <c r="BJ77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82" i="61" a="1"/>
  <c r="V82" i="61" s="1"/>
  <c r="V105" i="61" s="1"/>
  <c r="BF82" i="61" a="1"/>
  <c r="BF82" i="61" s="1"/>
  <c r="Z76" i="61" a="1"/>
  <c r="Z76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T76" i="61" a="1"/>
  <c r="AT76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L13" i="61"/>
  <c r="BF13" i="61"/>
  <c r="BA12" i="61"/>
  <c r="BB12" i="61" s="1"/>
  <c r="BQ12" i="61"/>
  <c r="BR12" i="61" s="1"/>
  <c r="Q12" i="61"/>
  <c r="R12" i="61" s="1"/>
  <c r="R80" i="61" s="1" a="1"/>
  <c r="R80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BJ75" i="61" l="1"/>
  <c r="BJ78" i="61"/>
  <c r="BH13" i="61"/>
  <c r="BI13" i="61" s="1"/>
  <c r="BH8" i="61"/>
  <c r="R79" i="61"/>
  <c r="R7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AL78" i="61" s="1"/>
  <c r="BI7" i="61"/>
  <c r="BJ7" i="61" s="1"/>
  <c r="BJ79" i="61" s="1"/>
  <c r="AO7" i="61"/>
  <c r="AP7" i="61" s="1"/>
  <c r="AP79" i="61" s="1"/>
  <c r="AK7" i="61"/>
  <c r="AL7" i="61" s="1"/>
  <c r="D3" i="31"/>
  <c r="BH18" i="61" l="1"/>
  <c r="BJ8" i="61"/>
  <c r="BI8" i="61"/>
  <c r="BI18" i="61" s="1"/>
  <c r="N62" i="61"/>
  <c r="Z74" i="61"/>
  <c r="Z62" i="61"/>
  <c r="AP62" i="61"/>
  <c r="AL79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F30" i="36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0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4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F31" i="25"/>
  <c r="BF12" i="25"/>
  <c r="BF13" i="25"/>
  <c r="BG28" i="25"/>
  <c r="BG27" i="25"/>
  <c r="BG26" i="25"/>
  <c r="BG25" i="25"/>
  <c r="BG24" i="25"/>
  <c r="BG23" i="25"/>
  <c r="BC28" i="25"/>
  <c r="BC27" i="25"/>
  <c r="BC26" i="25"/>
  <c r="BC25" i="25"/>
  <c r="BC24" i="25"/>
  <c r="BC23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F16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E32" i="15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9" i="5"/>
  <c r="AV25" i="25" s="1"/>
  <c r="I20" i="28" a="1"/>
  <c r="I20" i="28" s="1"/>
  <c r="R11" i="14"/>
  <c r="H11" i="14"/>
  <c r="H31" i="14" a="1"/>
  <c r="L10" i="8" l="1"/>
  <c r="AF10" i="8" s="1"/>
  <c r="AR25" i="25"/>
  <c r="H31" i="14"/>
  <c r="P10" i="8"/>
  <c r="AZ6" i="61"/>
  <c r="BA6" i="61" s="1"/>
  <c r="BB6" i="61" s="1"/>
  <c r="BP6" i="61"/>
  <c r="BQ6" i="61" s="1"/>
  <c r="BR6" i="61" s="1"/>
  <c r="H10" i="14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8" i="5"/>
  <c r="R10" i="14"/>
  <c r="F10" i="25"/>
  <c r="H30" i="14" a="1"/>
  <c r="R30" i="14" a="1"/>
  <c r="X10" i="8" l="1"/>
  <c r="T10" i="8"/>
  <c r="N10" i="8"/>
  <c r="AV24" i="25"/>
  <c r="AV10" i="25"/>
  <c r="AV12" i="25" s="1"/>
  <c r="AV11" i="25"/>
  <c r="AV13" i="25" s="1"/>
  <c r="L9" i="8"/>
  <c r="N9" i="8" s="1"/>
  <c r="AR24" i="25"/>
  <c r="F37" i="25"/>
  <c r="F36" i="25"/>
  <c r="R30" i="14"/>
  <c r="H30" i="14"/>
  <c r="BR81" i="61" a="1"/>
  <c r="BR81" i="61" s="1"/>
  <c r="BB81" i="61" a="1"/>
  <c r="BB81" i="61" s="1"/>
  <c r="X27" i="25"/>
  <c r="F43" i="32"/>
  <c r="BP5" i="61"/>
  <c r="AZ5" i="61"/>
  <c r="F42" i="32"/>
  <c r="X26" i="25"/>
  <c r="C40" i="60"/>
  <c r="F32" i="36"/>
  <c r="F31" i="36"/>
  <c r="D40" i="60"/>
  <c r="O41" i="60" a="1"/>
  <c r="O41" i="60" s="1"/>
  <c r="P41" i="60" a="1"/>
  <c r="P41" i="60" s="1"/>
  <c r="R27" i="25"/>
  <c r="B13" i="35"/>
  <c r="C13" i="35" s="1"/>
  <c r="H9" i="14"/>
  <c r="R26" i="25"/>
  <c r="R9" i="14"/>
  <c r="AR10" i="25"/>
  <c r="F12" i="25"/>
  <c r="F11" i="25"/>
  <c r="C3" i="53"/>
  <c r="C8" i="53" s="1"/>
  <c r="C5" i="53"/>
  <c r="C27" i="53"/>
  <c r="C12" i="53"/>
  <c r="AH10" i="8"/>
  <c r="H29" i="14" a="1"/>
  <c r="R29" i="14" a="1"/>
  <c r="AV16" i="25" l="1"/>
  <c r="P9" i="8"/>
  <c r="X9" i="8"/>
  <c r="T9" i="8"/>
  <c r="AF9" i="8"/>
  <c r="F25" i="25"/>
  <c r="F24" i="25"/>
  <c r="F13" i="25"/>
  <c r="H29" i="14"/>
  <c r="R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T11" i="14"/>
  <c r="T10" i="14"/>
  <c r="T9" i="14"/>
  <c r="T30" i="14" a="1"/>
  <c r="T29" i="14" a="1"/>
  <c r="T30" i="14" l="1"/>
  <c r="T29" i="14"/>
  <c r="BR8" i="61"/>
  <c r="BR77" i="61" s="1"/>
  <c r="BQ8" i="61"/>
  <c r="BP18" i="61"/>
  <c r="BB80" i="61" a="1"/>
  <c r="BB80" i="61" s="1"/>
  <c r="BR80" i="61" a="1"/>
  <c r="BR80" i="61" s="1"/>
  <c r="BB8" i="61"/>
  <c r="BA8" i="61"/>
  <c r="AZ18" i="61"/>
  <c r="F3" i="60"/>
  <c r="AB10" i="8"/>
  <c r="AB30" i="8" s="1"/>
  <c r="C15" i="35"/>
  <c r="F26" i="60" a="1"/>
  <c r="BB79" i="61" l="1"/>
  <c r="BB78" i="61"/>
  <c r="BR79" i="61"/>
  <c r="BR78" i="61"/>
  <c r="BB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C52" i="35" s="1"/>
  <c r="F59" i="60" l="1" a="1"/>
  <c r="F59" i="60" s="1"/>
  <c r="B52" i="35"/>
  <c r="B53" i="35" s="1"/>
  <c r="B54" i="35" s="1"/>
  <c r="B55" i="35" s="1"/>
  <c r="C53" i="35"/>
  <c r="C54" i="35" s="1"/>
  <c r="C55" i="35" s="1"/>
  <c r="E55" i="35"/>
  <c r="C43" i="35" l="1"/>
  <c r="C45" i="35" s="1" a="1"/>
  <c r="C45" i="35" s="1"/>
  <c r="C44" i="35"/>
  <c r="C46" i="35" s="1" a="1"/>
  <c r="C46" i="35" s="1"/>
  <c r="P37" i="14"/>
  <c r="P32" i="14"/>
  <c r="P4" i="14"/>
  <c r="P6" i="14" s="1"/>
  <c r="P7" i="14" s="1"/>
  <c r="Q34" i="14"/>
  <c r="Q33" i="14"/>
  <c r="Q32" i="14"/>
  <c r="Q31" i="14"/>
  <c r="Q30" i="14"/>
  <c r="Q29" i="14"/>
  <c r="Q28" i="14"/>
  <c r="G45" i="35" l="1" a="1"/>
  <c r="G45" i="35" s="1"/>
  <c r="G43" i="35" a="1"/>
  <c r="G43" i="35" s="1"/>
  <c r="G52" i="35" s="1" a="1"/>
  <c r="G52" i="35" s="1"/>
  <c r="AH26" i="25"/>
  <c r="AH25" i="25"/>
  <c r="G55" i="35" l="1" a="1"/>
  <c r="G55" i="35" s="1"/>
  <c r="G53" i="35" a="1"/>
  <c r="G53" i="35" s="1"/>
  <c r="G54" i="35" a="1"/>
  <c r="G54" i="35" s="1"/>
  <c r="E3" i="15"/>
  <c r="M29" i="5" l="1"/>
  <c r="L29" i="5"/>
  <c r="K29" i="5" a="1"/>
  <c r="K29" i="5" s="1"/>
  <c r="R25" i="25" l="1"/>
  <c r="AR11" i="25" l="1"/>
  <c r="L59" i="40" l="1"/>
  <c r="L57" i="40"/>
  <c r="C34" i="40"/>
  <c r="C35" i="40"/>
  <c r="C36" i="40"/>
  <c r="C37" i="40"/>
  <c r="C33" i="40"/>
  <c r="C26" i="40"/>
  <c r="C25" i="40"/>
  <c r="Q3" i="9"/>
  <c r="S41" i="9" s="1"/>
  <c r="S40" i="9"/>
  <c r="G3" i="9"/>
  <c r="I40" i="9"/>
  <c r="F3" i="32" l="1"/>
  <c r="I41" i="9" l="1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L16" i="24" a="1"/>
  <c r="J16" i="24" a="1"/>
  <c r="L35" i="24" l="1"/>
  <c r="L19" i="24"/>
  <c r="L22" i="24"/>
  <c r="L25" i="24"/>
  <c r="L28" i="24"/>
  <c r="L31" i="24"/>
  <c r="L34" i="24"/>
  <c r="L18" i="24"/>
  <c r="L21" i="24"/>
  <c r="L24" i="24"/>
  <c r="L27" i="24"/>
  <c r="L30" i="24"/>
  <c r="L33" i="24"/>
  <c r="L17" i="24"/>
  <c r="L20" i="24"/>
  <c r="L23" i="24"/>
  <c r="L26" i="24"/>
  <c r="L29" i="24"/>
  <c r="L32" i="24"/>
  <c r="L16" i="24"/>
  <c r="J35" i="24"/>
  <c r="J19" i="24"/>
  <c r="J22" i="24"/>
  <c r="J25" i="24"/>
  <c r="J28" i="24"/>
  <c r="J31" i="24"/>
  <c r="J34" i="24"/>
  <c r="J18" i="24"/>
  <c r="J21" i="24"/>
  <c r="J24" i="24"/>
  <c r="J27" i="24"/>
  <c r="J30" i="24"/>
  <c r="J33" i="24"/>
  <c r="J17" i="24"/>
  <c r="J20" i="24"/>
  <c r="J23" i="24"/>
  <c r="J26" i="24"/>
  <c r="J29" i="24"/>
  <c r="J32" i="24"/>
  <c r="J16" i="24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L9" i="14"/>
  <c r="H37" i="24" a="1"/>
  <c r="L37" i="24" a="1"/>
  <c r="J37" i="24" a="1"/>
  <c r="L29" i="14" a="1"/>
  <c r="L29" i="14" l="1"/>
  <c r="H58" i="24"/>
  <c r="J61" i="24"/>
  <c r="L56" i="24"/>
  <c r="L40" i="24"/>
  <c r="L43" i="24"/>
  <c r="L46" i="24"/>
  <c r="L49" i="24"/>
  <c r="L52" i="24"/>
  <c r="L55" i="24"/>
  <c r="L39" i="24"/>
  <c r="L42" i="24"/>
  <c r="L45" i="24"/>
  <c r="L48" i="24"/>
  <c r="L51" i="24"/>
  <c r="L54" i="24"/>
  <c r="L38" i="24"/>
  <c r="L41" i="24"/>
  <c r="L44" i="24"/>
  <c r="L47" i="24"/>
  <c r="L50" i="24"/>
  <c r="L53" i="24"/>
  <c r="L37" i="24"/>
  <c r="J56" i="24"/>
  <c r="J40" i="24"/>
  <c r="J43" i="24"/>
  <c r="J46" i="24"/>
  <c r="J49" i="24"/>
  <c r="J52" i="24"/>
  <c r="J55" i="24"/>
  <c r="J39" i="24"/>
  <c r="J42" i="24"/>
  <c r="J45" i="24"/>
  <c r="J48" i="24"/>
  <c r="J51" i="24"/>
  <c r="J54" i="24"/>
  <c r="J38" i="24"/>
  <c r="J41" i="24"/>
  <c r="J44" i="24"/>
  <c r="J47" i="24"/>
  <c r="J50" i="24"/>
  <c r="J53" i="24"/>
  <c r="J37" i="24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8" i="24"/>
  <c r="L61" i="24"/>
  <c r="J60" i="24"/>
  <c r="J58" i="24"/>
  <c r="H60" i="24"/>
  <c r="H61" i="24"/>
  <c r="L59" i="24"/>
  <c r="L60" i="24"/>
  <c r="N12" i="14"/>
  <c r="N33" i="14" s="1"/>
  <c r="P33" i="14"/>
  <c r="L10" i="14"/>
  <c r="J10" i="14"/>
  <c r="Q28" i="25"/>
  <c r="Q27" i="25"/>
  <c r="Q26" i="25"/>
  <c r="Q25" i="25"/>
  <c r="Q24" i="25"/>
  <c r="Q23" i="25"/>
  <c r="V11" i="25"/>
  <c r="BH25" i="25"/>
  <c r="BH24" i="25"/>
  <c r="J30" i="14" a="1"/>
  <c r="L30" i="14" a="1"/>
  <c r="L72" i="24" l="1" a="1"/>
  <c r="L72" i="24" s="1"/>
  <c r="L30" i="14"/>
  <c r="J30" i="14"/>
  <c r="H71" i="24" a="1"/>
  <c r="H71" i="24" s="1"/>
  <c r="L71" i="24" a="1"/>
  <c r="L71" i="24" s="1"/>
  <c r="J72" i="24" a="1"/>
  <c r="J72" i="24" s="1"/>
  <c r="H72" i="24" a="1"/>
  <c r="H72" i="24" s="1"/>
  <c r="J71" i="24" a="1"/>
  <c r="J71" i="24" s="1"/>
  <c r="P19" i="14"/>
  <c r="C11" i="51" l="1"/>
  <c r="C10" i="51"/>
  <c r="C8" i="51"/>
  <c r="C7" i="51"/>
  <c r="AH30" i="8"/>
  <c r="N25" i="25" l="1"/>
  <c r="AB26" i="8" l="1"/>
  <c r="AB28" i="8"/>
  <c r="AB27" i="8"/>
  <c r="AB34" i="8"/>
  <c r="AB20" i="8"/>
  <c r="AB4" i="8"/>
  <c r="AB6" i="8" s="1"/>
  <c r="AB7" i="8" s="1"/>
  <c r="AC31" i="8"/>
  <c r="AC30" i="8"/>
  <c r="AC29" i="8"/>
  <c r="AC28" i="8"/>
  <c r="AC27" i="8"/>
  <c r="AC26" i="8"/>
  <c r="AC25" i="8"/>
  <c r="AD4" i="8"/>
  <c r="AD6" i="8" s="1"/>
  <c r="AD7" i="8" s="1"/>
  <c r="AE25" i="8"/>
  <c r="AD26" i="8"/>
  <c r="AE26" i="8"/>
  <c r="AD27" i="8"/>
  <c r="AE27" i="8"/>
  <c r="AD28" i="8"/>
  <c r="AE28" i="8"/>
  <c r="AE29" i="8"/>
  <c r="AE30" i="8"/>
  <c r="AE31" i="8"/>
  <c r="AD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7" i="25" l="1"/>
  <c r="AH24" i="25"/>
  <c r="AH31" i="25" l="1"/>
  <c r="AH12" i="25"/>
  <c r="AH13" i="25"/>
  <c r="AI28" i="25"/>
  <c r="AI27" i="25"/>
  <c r="AI26" i="25"/>
  <c r="AI25" i="25"/>
  <c r="AI24" i="25"/>
  <c r="AI23" i="25"/>
  <c r="AH16" i="25" l="1"/>
  <c r="I3" i="21"/>
  <c r="I23" i="21"/>
  <c r="AJ31" i="25" l="1"/>
  <c r="AJ12" i="25"/>
  <c r="AJ11" i="25"/>
  <c r="AK28" i="25"/>
  <c r="AK27" i="25"/>
  <c r="AK26" i="25"/>
  <c r="AK25" i="25"/>
  <c r="AK24" i="25"/>
  <c r="AK23" i="25"/>
  <c r="AJ25" i="25" a="1"/>
  <c r="AJ25" i="25" l="1"/>
  <c r="AJ13" i="25"/>
  <c r="AJ26" i="25" s="1"/>
  <c r="AJ16" i="25" l="1"/>
  <c r="J26" i="25"/>
  <c r="J25" i="25"/>
  <c r="J24" i="25"/>
  <c r="BI28" i="25"/>
  <c r="BI27" i="25"/>
  <c r="BI26" i="25"/>
  <c r="BI25" i="25"/>
  <c r="BI24" i="25"/>
  <c r="BI23" i="25"/>
  <c r="AY28" i="25"/>
  <c r="AY27" i="25"/>
  <c r="AY26" i="25"/>
  <c r="AY24" i="25"/>
  <c r="AY23" i="25"/>
  <c r="AQ28" i="25"/>
  <c r="AQ27" i="25"/>
  <c r="AQ26" i="25"/>
  <c r="AQ25" i="25"/>
  <c r="AQ24" i="25"/>
  <c r="AQ23" i="25"/>
  <c r="AO28" i="25"/>
  <c r="AO27" i="25"/>
  <c r="AO26" i="25"/>
  <c r="AO25" i="25"/>
  <c r="AO24" i="25"/>
  <c r="AO23" i="25"/>
  <c r="AG28" i="25"/>
  <c r="AG27" i="25"/>
  <c r="AG26" i="25"/>
  <c r="AG25" i="25"/>
  <c r="AG24" i="25"/>
  <c r="AG23" i="25"/>
  <c r="AE28" i="25"/>
  <c r="AE27" i="25"/>
  <c r="AE26" i="25"/>
  <c r="AE25" i="25"/>
  <c r="AE24" i="25"/>
  <c r="AE23" i="25"/>
  <c r="AC28" i="25"/>
  <c r="AC27" i="25"/>
  <c r="AC26" i="25"/>
  <c r="AC25" i="25"/>
  <c r="AC24" i="25"/>
  <c r="AC23" i="25"/>
  <c r="AA28" i="25"/>
  <c r="AA27" i="25"/>
  <c r="AA26" i="25"/>
  <c r="AA25" i="25"/>
  <c r="AA24" i="25"/>
  <c r="AA23" i="25"/>
  <c r="W28" i="25"/>
  <c r="W27" i="25"/>
  <c r="W26" i="25"/>
  <c r="W25" i="25"/>
  <c r="W24" i="25"/>
  <c r="W23" i="25"/>
  <c r="S28" i="25"/>
  <c r="S27" i="25"/>
  <c r="S26" i="25"/>
  <c r="S25" i="25"/>
  <c r="S24" i="25"/>
  <c r="S23" i="25"/>
  <c r="O28" i="25"/>
  <c r="O27" i="25"/>
  <c r="O26" i="25"/>
  <c r="O25" i="25"/>
  <c r="O24" i="25"/>
  <c r="O23" i="25"/>
  <c r="M28" i="25"/>
  <c r="M27" i="25"/>
  <c r="M26" i="25"/>
  <c r="M25" i="25"/>
  <c r="M24" i="25"/>
  <c r="M23" i="25"/>
  <c r="C28" i="25"/>
  <c r="C27" i="25"/>
  <c r="C26" i="25"/>
  <c r="C25" i="25"/>
  <c r="C24" i="25"/>
  <c r="C23" i="25"/>
  <c r="E28" i="25"/>
  <c r="E27" i="25"/>
  <c r="E26" i="25"/>
  <c r="E25" i="25"/>
  <c r="E24" i="25"/>
  <c r="E23" i="25"/>
  <c r="G28" i="25"/>
  <c r="G27" i="25"/>
  <c r="G26" i="25"/>
  <c r="G25" i="25"/>
  <c r="G24" i="25"/>
  <c r="G23" i="25"/>
  <c r="I28" i="25"/>
  <c r="I27" i="25"/>
  <c r="I26" i="25"/>
  <c r="I25" i="25"/>
  <c r="I24" i="25"/>
  <c r="I23" i="25"/>
  <c r="K27" i="25"/>
  <c r="D31" i="25"/>
  <c r="F31" i="25"/>
  <c r="J31" i="25"/>
  <c r="J13" i="25"/>
  <c r="J12" i="25"/>
  <c r="K28" i="25"/>
  <c r="K26" i="25"/>
  <c r="K25" i="25"/>
  <c r="K24" i="25"/>
  <c r="K23" i="25"/>
  <c r="J16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V4" i="14"/>
  <c r="T4" i="14"/>
  <c r="R4" i="14"/>
  <c r="N4" i="14"/>
  <c r="L4" i="14"/>
  <c r="J4" i="14"/>
  <c r="H4" i="14"/>
  <c r="F4" i="14"/>
  <c r="AH4" i="8"/>
  <c r="AF4" i="8"/>
  <c r="Z4" i="8"/>
  <c r="X4" i="8"/>
  <c r="V4" i="8"/>
  <c r="T4" i="8"/>
  <c r="R4" i="8"/>
  <c r="N4" i="8"/>
  <c r="L4" i="8"/>
  <c r="J4" i="8"/>
  <c r="H4" i="8"/>
  <c r="F4" i="8"/>
  <c r="T3" i="25" l="1"/>
  <c r="T17" i="25" s="1"/>
  <c r="T18" i="25" s="1"/>
  <c r="V3" i="25"/>
  <c r="BB3" i="25"/>
  <c r="X3" i="25"/>
  <c r="AR3" i="25"/>
  <c r="AV3" i="25"/>
  <c r="AV17" i="25" s="1"/>
  <c r="AV18" i="25" s="1"/>
  <c r="E25" i="69"/>
  <c r="E27" i="69" s="1" a="1"/>
  <c r="E27" i="69" s="1"/>
  <c r="E28" i="69" s="1" a="1"/>
  <c r="E28" i="69" s="1"/>
  <c r="AZ3" i="25"/>
  <c r="AZ17" i="25" s="1"/>
  <c r="AZ18" i="25" s="1"/>
  <c r="BF3" i="25"/>
  <c r="BF17" i="25" s="1"/>
  <c r="BF18" i="25" s="1"/>
  <c r="F60" i="68"/>
  <c r="BL3" i="25"/>
  <c r="BL17" i="25" s="1"/>
  <c r="BL18" i="25" s="1"/>
  <c r="BD3" i="25"/>
  <c r="BD17" i="25" s="1"/>
  <c r="BD18" i="25" s="1"/>
  <c r="F37" i="65"/>
  <c r="F39" i="65" s="1" a="1"/>
  <c r="F39" i="65" s="1"/>
  <c r="F40" i="65" s="1" a="1"/>
  <c r="F40" i="65" s="1"/>
  <c r="AL3" i="25"/>
  <c r="AL17" i="25" s="1"/>
  <c r="AL18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7" i="25" s="1"/>
  <c r="AJ18" i="25" s="1"/>
  <c r="X17" i="25" l="1"/>
  <c r="X18" i="25" s="1"/>
  <c r="F6" i="14"/>
  <c r="D6" i="14"/>
  <c r="AH6" i="8"/>
  <c r="AF6" i="8"/>
  <c r="Z6" i="8"/>
  <c r="X6" i="8"/>
  <c r="V6" i="8"/>
  <c r="T6" i="8"/>
  <c r="R6" i="8"/>
  <c r="N6" i="8"/>
  <c r="L6" i="8"/>
  <c r="J6" i="8"/>
  <c r="H6" i="8"/>
  <c r="F6" i="8"/>
  <c r="D6" i="8"/>
  <c r="C32" i="5"/>
  <c r="BD23" i="25" s="1"/>
  <c r="D3" i="58"/>
  <c r="I100" i="58"/>
  <c r="I99" i="58"/>
  <c r="I98" i="58"/>
  <c r="I97" i="58"/>
  <c r="I96" i="58"/>
  <c r="I95" i="58"/>
  <c r="I94" i="58"/>
  <c r="F46" i="65" l="1"/>
  <c r="E35" i="64"/>
  <c r="E36" i="69"/>
  <c r="BF23" i="25"/>
  <c r="BL23" i="25"/>
  <c r="AV23" i="25"/>
  <c r="AZ23" i="25"/>
  <c r="X23" i="25"/>
  <c r="AL23" i="25"/>
  <c r="AJ25" i="8"/>
  <c r="P28" i="14"/>
  <c r="AB25" i="8"/>
  <c r="P25" i="8"/>
  <c r="T23" i="25"/>
  <c r="AJ23" i="25"/>
  <c r="G51" i="35"/>
  <c r="H34" i="40"/>
  <c r="G34" i="40"/>
  <c r="F34" i="40"/>
  <c r="E34" i="40"/>
  <c r="F33" i="40"/>
  <c r="J15" i="40"/>
  <c r="J6" i="40"/>
  <c r="J17" i="40" l="1"/>
  <c r="J7" i="40"/>
  <c r="J8" i="40" s="1"/>
  <c r="J10" i="40" l="1" a="1"/>
  <c r="J10" i="40" s="1"/>
  <c r="F65" i="23"/>
  <c r="F4" i="48" l="1"/>
  <c r="G4" i="48" s="1"/>
  <c r="I4" i="48" s="1"/>
  <c r="K4" i="48" s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L4" i="48" l="1"/>
  <c r="M4" i="48"/>
  <c r="Q100" i="58"/>
  <c r="Q99" i="58"/>
  <c r="Q97" i="58"/>
  <c r="Q96" i="58"/>
  <c r="Q95" i="58"/>
  <c r="Q94" i="58"/>
  <c r="K100" i="58"/>
  <c r="K99" i="58"/>
  <c r="K97" i="58"/>
  <c r="K96" i="58"/>
  <c r="K95" i="58"/>
  <c r="K94" i="58"/>
  <c r="M100" i="58"/>
  <c r="M99" i="58"/>
  <c r="M97" i="58"/>
  <c r="M96" i="58"/>
  <c r="M95" i="58"/>
  <c r="M94" i="58"/>
  <c r="O100" i="58"/>
  <c r="O99" i="58"/>
  <c r="O97" i="58"/>
  <c r="O96" i="58"/>
  <c r="O95" i="58"/>
  <c r="O94" i="58"/>
  <c r="D7" i="58" l="1"/>
  <c r="J82" i="58" s="1"/>
  <c r="N82" i="58" l="1"/>
  <c r="T82" i="58"/>
  <c r="S100" i="58"/>
  <c r="S99" i="58"/>
  <c r="S97" i="58"/>
  <c r="S96" i="58"/>
  <c r="S95" i="58"/>
  <c r="S94" i="58"/>
  <c r="R82" i="58" l="1"/>
  <c r="P82" i="58"/>
  <c r="L82" i="58"/>
  <c r="V2" i="58"/>
  <c r="V3" i="58"/>
  <c r="C11" i="49" l="1"/>
  <c r="I5" i="41" l="1"/>
  <c r="I6" i="41" s="1"/>
  <c r="B9" i="57"/>
  <c r="AN25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B11" i="25"/>
  <c r="BB10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5" i="25"/>
  <c r="H25" i="25"/>
  <c r="L24" i="25"/>
  <c r="H24" i="25"/>
  <c r="L10" i="25"/>
  <c r="H10" i="25"/>
  <c r="U42" i="24"/>
  <c r="T42" i="24"/>
  <c r="V6" i="14"/>
  <c r="T6" i="14"/>
  <c r="R6" i="14"/>
  <c r="N6" i="14"/>
  <c r="L6" i="14"/>
  <c r="J6" i="14"/>
  <c r="H6" i="14"/>
  <c r="U52" i="24"/>
  <c r="T52" i="2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U56" i="24"/>
  <c r="T56" i="24"/>
  <c r="U55" i="24"/>
  <c r="T55" i="24"/>
  <c r="U54" i="24"/>
  <c r="T54" i="24"/>
  <c r="U53" i="24"/>
  <c r="T53" i="24"/>
  <c r="U51" i="24"/>
  <c r="T51" i="24"/>
  <c r="U50" i="24"/>
  <c r="T50" i="24"/>
  <c r="U49" i="24"/>
  <c r="T49" i="24"/>
  <c r="U48" i="24"/>
  <c r="T48" i="24"/>
  <c r="U47" i="24"/>
  <c r="T47" i="24"/>
  <c r="U46" i="24"/>
  <c r="T46" i="24"/>
  <c r="U45" i="24"/>
  <c r="T45" i="24"/>
  <c r="U44" i="24"/>
  <c r="T44" i="24"/>
  <c r="U43" i="24"/>
  <c r="T43" i="24"/>
  <c r="U41" i="24"/>
  <c r="T41" i="24"/>
  <c r="U40" i="24"/>
  <c r="T40" i="24"/>
  <c r="U39" i="24"/>
  <c r="T39" i="24"/>
  <c r="U38" i="24"/>
  <c r="T38" i="24"/>
  <c r="U37" i="24"/>
  <c r="T37" i="24"/>
  <c r="M73" i="24"/>
  <c r="M72" i="24"/>
  <c r="M71" i="24"/>
  <c r="M70" i="24"/>
  <c r="K73" i="24"/>
  <c r="K72" i="24"/>
  <c r="K71" i="24"/>
  <c r="K70" i="24"/>
  <c r="I73" i="24"/>
  <c r="I72" i="24"/>
  <c r="I71" i="24"/>
  <c r="I70" i="24"/>
  <c r="W34" i="14"/>
  <c r="W33" i="14"/>
  <c r="W32" i="14"/>
  <c r="W31" i="14"/>
  <c r="W30" i="14"/>
  <c r="W29" i="14"/>
  <c r="W28" i="1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D28" i="14" s="1"/>
  <c r="L31" i="25" l="1"/>
  <c r="L12" i="25"/>
  <c r="L11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3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6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7" i="25" l="1"/>
  <c r="L18" i="25" s="1"/>
  <c r="L23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AH29" i="8"/>
  <c r="X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F25" i="8" l="1"/>
  <c r="N24" i="3" a="1"/>
  <c r="N24" i="3" s="1"/>
  <c r="J24" i="3" a="1"/>
  <c r="J24" i="3" s="1"/>
  <c r="I14" i="57"/>
  <c r="H15" i="57" s="1"/>
  <c r="B13" i="57"/>
  <c r="A13" i="57"/>
  <c r="P23" i="3" a="1"/>
  <c r="P23" i="3" s="1"/>
  <c r="P31" i="25"/>
  <c r="P13" i="25"/>
  <c r="P12" i="25"/>
  <c r="P16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Z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1" i="25" l="1"/>
  <c r="Z11" i="25"/>
  <c r="Z12" i="25"/>
  <c r="Z25" i="25" a="1"/>
  <c r="Z24" i="25" a="1"/>
  <c r="Z25" i="25" l="1"/>
  <c r="Z24" i="25"/>
  <c r="Z13" i="25"/>
  <c r="Z16" i="25" s="1"/>
  <c r="M33" i="5"/>
  <c r="L33" i="5"/>
  <c r="M32" i="5"/>
  <c r="L32" i="5"/>
  <c r="K32" i="5" a="1"/>
  <c r="K32" i="5" s="1"/>
  <c r="AF29" i="8"/>
  <c r="Z29" i="8"/>
  <c r="L29" i="8"/>
  <c r="AF28" i="8"/>
  <c r="Z28" i="8"/>
  <c r="X28" i="8"/>
  <c r="V28" i="8"/>
  <c r="T28" i="8"/>
  <c r="N28" i="8"/>
  <c r="L28" i="8"/>
  <c r="J28" i="8"/>
  <c r="H28" i="8"/>
  <c r="AF27" i="8"/>
  <c r="Z27" i="8"/>
  <c r="X27" i="8"/>
  <c r="T27" i="8"/>
  <c r="N27" i="8"/>
  <c r="L27" i="8"/>
  <c r="H27" i="8"/>
  <c r="AH26" i="8"/>
  <c r="AF26" i="8"/>
  <c r="X26" i="8"/>
  <c r="V26" i="8"/>
  <c r="T26" i="8"/>
  <c r="R26" i="8"/>
  <c r="N26" i="8"/>
  <c r="L26" i="8"/>
  <c r="J26" i="8"/>
  <c r="H26" i="8"/>
  <c r="BJ31" i="25" l="1"/>
  <c r="BJ13" i="25"/>
  <c r="BJ12" i="25"/>
  <c r="BJ16" i="25" l="1"/>
  <c r="BJ17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AH27" i="8"/>
  <c r="AH34" i="8"/>
  <c r="AH7" i="8"/>
  <c r="C17" i="53"/>
  <c r="C9" i="53" l="1"/>
  <c r="C10" i="53"/>
  <c r="AH20" i="8"/>
  <c r="AH25" i="8" s="1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C26" i="53" s="1"/>
  <c r="M23" i="54" a="1"/>
  <c r="M23" i="54" s="1"/>
  <c r="C21" i="52"/>
  <c r="C22" i="52" s="1"/>
  <c r="C23" i="52" s="1" a="1"/>
  <c r="C23" i="52" s="1"/>
  <c r="C30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H31" i="25" l="1"/>
  <c r="BH13" i="25"/>
  <c r="BH12" i="25"/>
  <c r="BH16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4" i="48" l="1" a="1"/>
  <c r="O24" i="48" s="1"/>
  <c r="O25" i="48" a="1"/>
  <c r="O25" i="48" s="1"/>
  <c r="O26" i="48" a="1"/>
  <c r="O26" i="48" s="1"/>
  <c r="L5" i="49"/>
  <c r="K8" i="49"/>
  <c r="K12" i="49"/>
  <c r="L11" i="49"/>
  <c r="L12" i="49"/>
  <c r="K5" i="49"/>
  <c r="L8" i="49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8" i="49" l="1"/>
  <c r="L20" i="45" a="1"/>
  <c r="L20" i="45" s="1"/>
  <c r="K20" i="45" a="1"/>
  <c r="K20" i="45" s="1"/>
  <c r="O5" i="49"/>
  <c r="O11" i="49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B31" i="25"/>
  <c r="BB12" i="25"/>
  <c r="BB13" i="25"/>
  <c r="AX31" i="25"/>
  <c r="AX12" i="25"/>
  <c r="AX11" i="25"/>
  <c r="F3" i="25"/>
  <c r="D3" i="25"/>
  <c r="D11" i="25"/>
  <c r="D12" i="25"/>
  <c r="M27" i="5"/>
  <c r="L27" i="5"/>
  <c r="K27" i="5" a="1"/>
  <c r="K27" i="5" s="1"/>
  <c r="M26" i="5"/>
  <c r="L30" i="5"/>
  <c r="C14" i="39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4" i="25"/>
  <c r="D24" i="25"/>
  <c r="D25" i="25"/>
  <c r="BB16" i="25"/>
  <c r="BB17" i="25" s="1"/>
  <c r="AX13" i="25"/>
  <c r="AX16" i="25" s="1"/>
  <c r="D13" i="25"/>
  <c r="F29" i="39"/>
  <c r="D23" i="45"/>
  <c r="D13" i="44"/>
  <c r="D27" i="44" s="1"/>
  <c r="C23" i="45"/>
  <c r="C28" i="45" s="1"/>
  <c r="I23" i="43" a="1"/>
  <c r="I23" i="43" s="1"/>
  <c r="D35" i="25" l="1"/>
  <c r="F33" i="25"/>
  <c r="F38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6" i="25"/>
  <c r="F17" i="25" s="1"/>
  <c r="D16" i="25"/>
  <c r="D17" i="25" s="1"/>
  <c r="D14" i="44"/>
  <c r="D28" i="44" s="1"/>
  <c r="Z20" i="8"/>
  <c r="Z34" i="8"/>
  <c r="AA31" i="8"/>
  <c r="AA30" i="8"/>
  <c r="AA29" i="8"/>
  <c r="AA28" i="8"/>
  <c r="AA27" i="8"/>
  <c r="AA26" i="8"/>
  <c r="AA25" i="8"/>
  <c r="Y31" i="8"/>
  <c r="Y30" i="8"/>
  <c r="Y29" i="8"/>
  <c r="Y28" i="8"/>
  <c r="Y27" i="8"/>
  <c r="Y26" i="8"/>
  <c r="Y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P31" i="25"/>
  <c r="AP13" i="25"/>
  <c r="AP12" i="25"/>
  <c r="C18" i="39"/>
  <c r="F30" i="39" s="1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F25" i="45" a="1"/>
  <c r="F20" i="45" a="1"/>
  <c r="F11" i="45" a="1"/>
  <c r="D26" i="25" a="1"/>
  <c r="F26" i="25" l="1"/>
  <c r="D26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P16" i="25"/>
  <c r="AP17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D30" i="44" l="1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1" i="25"/>
  <c r="AN12" i="25"/>
  <c r="AN13" i="25"/>
  <c r="AF12" i="25"/>
  <c r="AF11" i="25"/>
  <c r="AF31" i="25"/>
  <c r="AD31" i="25"/>
  <c r="AD12" i="25"/>
  <c r="AD11" i="25"/>
  <c r="AB31" i="25"/>
  <c r="AB11" i="25"/>
  <c r="AB12" i="25"/>
  <c r="C24" i="35"/>
  <c r="C26" i="35" s="1"/>
  <c r="G25" i="35"/>
  <c r="G5" i="35"/>
  <c r="F37" i="44" l="1"/>
  <c r="AH3" i="25"/>
  <c r="AH17" i="25" s="1"/>
  <c r="AH18" i="25" s="1"/>
  <c r="AH23" i="25" s="1"/>
  <c r="J3" i="25"/>
  <c r="J17" i="25" s="1"/>
  <c r="J18" i="25" s="1"/>
  <c r="J23" i="25" s="1"/>
  <c r="AN16" i="25"/>
  <c r="AN17" i="25" s="1"/>
  <c r="C25" i="41"/>
  <c r="K25" i="41" s="1"/>
  <c r="I31" i="41"/>
  <c r="AD13" i="25"/>
  <c r="AD16" i="25" s="1"/>
  <c r="AB13" i="25"/>
  <c r="AF13" i="25"/>
  <c r="AF16" i="25" s="1"/>
  <c r="B9" i="38"/>
  <c r="D8" i="38"/>
  <c r="C8" i="38"/>
  <c r="V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K34" i="14"/>
  <c r="K33" i="14"/>
  <c r="K32" i="14"/>
  <c r="K31" i="14"/>
  <c r="K30" i="14"/>
  <c r="K29" i="14"/>
  <c r="K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S34" i="14"/>
  <c r="S33" i="14"/>
  <c r="S32" i="14"/>
  <c r="S31" i="14"/>
  <c r="S30" i="14"/>
  <c r="S29" i="14"/>
  <c r="S28" i="14"/>
  <c r="U34" i="14"/>
  <c r="U33" i="14"/>
  <c r="U32" i="14"/>
  <c r="U31" i="14"/>
  <c r="U30" i="14"/>
  <c r="U29" i="14"/>
  <c r="U28" i="14"/>
  <c r="F51" i="34"/>
  <c r="F50" i="34"/>
  <c r="F41" i="33"/>
  <c r="F40" i="33"/>
  <c r="F39" i="33"/>
  <c r="F38" i="33"/>
  <c r="V31" i="25"/>
  <c r="V13" i="25"/>
  <c r="V12" i="25"/>
  <c r="C48" i="5"/>
  <c r="R31" i="25"/>
  <c r="R13" i="25"/>
  <c r="R12" i="25"/>
  <c r="V25" i="25" l="1"/>
  <c r="V24" i="25"/>
  <c r="AD12" i="8"/>
  <c r="AD20" i="8" s="1"/>
  <c r="AD25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F52" i="33" s="1"/>
  <c r="V16" i="25"/>
  <c r="V17" i="25" s="1"/>
  <c r="V18" i="25" s="1"/>
  <c r="V23" i="25" s="1"/>
  <c r="AB16" i="25"/>
  <c r="R16" i="25"/>
  <c r="R17" i="25" s="1"/>
  <c r="R18" i="25" s="1"/>
  <c r="R23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P18" i="50" s="1"/>
  <c r="C15" i="49" a="1"/>
  <c r="C15" i="49" s="1"/>
  <c r="O3" i="49" s="1"/>
  <c r="C13" i="48" a="1"/>
  <c r="C13" i="48" s="1"/>
  <c r="O23" i="48" s="1"/>
  <c r="Z7" i="8"/>
  <c r="Z25" i="8" s="1"/>
  <c r="BB18" i="25"/>
  <c r="BB23" i="25" s="1"/>
  <c r="J20" i="40" a="1"/>
  <c r="J20" i="40" s="1"/>
  <c r="L54" i="40" s="1"/>
  <c r="D18" i="25"/>
  <c r="D23" i="25" s="1"/>
  <c r="C12" i="39" a="1"/>
  <c r="C12" i="39" s="1"/>
  <c r="F28" i="39" s="1"/>
  <c r="F18" i="25"/>
  <c r="F23" i="25" s="1"/>
  <c r="AP18" i="25"/>
  <c r="AP23" i="25" s="1"/>
  <c r="V7" i="14"/>
  <c r="V28" i="14" s="1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AD30" i="8" a="1"/>
  <c r="F57" i="30" a="1"/>
  <c r="F6" i="32" a="1"/>
  <c r="E3" i="64" l="1"/>
  <c r="AD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R31" i="25"/>
  <c r="AR13" i="25"/>
  <c r="AR12" i="25"/>
  <c r="E36" i="64" a="1"/>
  <c r="E6" i="64" a="1"/>
  <c r="E6" i="64" l="1"/>
  <c r="E36" i="64"/>
  <c r="F40" i="32" a="1"/>
  <c r="F40" i="32" s="1"/>
  <c r="K27" i="41"/>
  <c r="K31" i="41"/>
  <c r="AR16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R17" i="25"/>
  <c r="AR18" i="25" s="1"/>
  <c r="AR23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1" i="25"/>
  <c r="N12" i="25"/>
  <c r="N13" i="25"/>
  <c r="N16" i="25" l="1"/>
  <c r="N17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T31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8" i="25"/>
  <c r="N23" i="25" s="1"/>
  <c r="J20" i="8" l="1"/>
  <c r="J34" i="8"/>
  <c r="H11" i="25" l="1"/>
  <c r="H31" i="25"/>
  <c r="D32" i="26"/>
  <c r="D33" i="26" s="1"/>
  <c r="D34" i="26" s="1"/>
  <c r="C32" i="26"/>
  <c r="C33" i="26" s="1"/>
  <c r="C34" i="26" s="1"/>
  <c r="D27" i="26"/>
  <c r="C27" i="26"/>
  <c r="BO2" i="25"/>
  <c r="L3" i="24"/>
  <c r="J3" i="24"/>
  <c r="H76" i="24"/>
  <c r="J76" i="24"/>
  <c r="L76" i="24"/>
  <c r="N2" i="24"/>
  <c r="N76" i="24" s="1"/>
  <c r="F40" i="66" l="1" a="1"/>
  <c r="F40" i="66" s="1"/>
  <c r="F41" i="66" s="1" a="1"/>
  <c r="F41" i="66" s="1"/>
  <c r="F45" i="66" s="1"/>
  <c r="D28" i="26"/>
  <c r="D29" i="26" s="1"/>
  <c r="C28" i="26"/>
  <c r="C29" i="26" s="1"/>
  <c r="H13" i="25"/>
  <c r="H12" i="25"/>
  <c r="F2" i="26" l="1"/>
  <c r="H16" i="25"/>
  <c r="H17" i="25" s="1"/>
  <c r="AT11" i="25"/>
  <c r="AT12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" i="26" a="1"/>
  <c r="F55" i="26" a="1"/>
  <c r="F56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T13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J25" i="8" s="1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F20" i="17" s="1"/>
  <c r="AT16" i="25"/>
  <c r="F47" i="26"/>
  <c r="F48" i="26" s="1"/>
  <c r="F49" i="26" s="1" a="1"/>
  <c r="F49" i="26" s="1"/>
  <c r="F53" i="26" s="1"/>
  <c r="S3" i="9"/>
  <c r="E10" i="18"/>
  <c r="E14" i="18"/>
  <c r="E18" i="18"/>
  <c r="I16" i="21"/>
  <c r="I22" i="21" s="1"/>
  <c r="H18" i="25"/>
  <c r="H23" i="25" s="1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F34" i="8"/>
  <c r="X34" i="8"/>
  <c r="V34" i="8"/>
  <c r="T34" i="8"/>
  <c r="R34" i="8"/>
  <c r="N34" i="8"/>
  <c r="L34" i="8"/>
  <c r="H34" i="8"/>
  <c r="D34" i="8"/>
  <c r="T37" i="14"/>
  <c r="R37" i="14"/>
  <c r="N37" i="14"/>
  <c r="L37" i="14"/>
  <c r="J37" i="14"/>
  <c r="H37" i="14"/>
  <c r="F37" i="14"/>
  <c r="N32" i="14"/>
  <c r="H23" i="22" a="1"/>
  <c r="H31" i="22" a="1"/>
  <c r="H51" i="22" a="1"/>
  <c r="H39" i="22" a="1"/>
  <c r="H35" i="22" a="1"/>
  <c r="H6" i="18" a="1"/>
  <c r="H51" i="18" a="1"/>
  <c r="H43" i="22" a="1"/>
  <c r="H47" i="22" a="1"/>
  <c r="H27" i="22" a="1"/>
  <c r="H51" i="18" l="1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S39" i="9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H57" i="22" s="1"/>
  <c r="T16" i="14"/>
  <c r="R16" i="14"/>
  <c r="T7" i="14"/>
  <c r="T19" i="14"/>
  <c r="J9" i="14"/>
  <c r="R7" i="14"/>
  <c r="L7" i="14"/>
  <c r="J7" i="14"/>
  <c r="L19" i="14"/>
  <c r="H19" i="14"/>
  <c r="F19" i="14"/>
  <c r="C42" i="5"/>
  <c r="X2" i="14"/>
  <c r="AF20" i="8"/>
  <c r="X20" i="8"/>
  <c r="V20" i="8"/>
  <c r="T20" i="8"/>
  <c r="N20" i="8"/>
  <c r="L20" i="8"/>
  <c r="D20" i="8"/>
  <c r="J29" i="14" a="1"/>
  <c r="T31" i="14" a="1"/>
  <c r="R31" i="14" a="1"/>
  <c r="L28" i="14" l="1"/>
  <c r="T28" i="14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R31" i="14"/>
  <c r="T31" i="14"/>
  <c r="J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T3" i="25"/>
  <c r="E26" i="42"/>
  <c r="I13" i="41"/>
  <c r="P3" i="25"/>
  <c r="Z3" i="25"/>
  <c r="BJ18" i="25"/>
  <c r="BJ23" i="25" s="1"/>
  <c r="F37" i="54"/>
  <c r="H41" i="18"/>
  <c r="BH3" i="25"/>
  <c r="F36" i="45"/>
  <c r="F36" i="43"/>
  <c r="AX3" i="25"/>
  <c r="AB3" i="25"/>
  <c r="AD3" i="25"/>
  <c r="AF3" i="25"/>
  <c r="AN18" i="25"/>
  <c r="AN23" i="25" s="1"/>
  <c r="F53" i="34"/>
  <c r="J19" i="14"/>
  <c r="J28" i="14" s="1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F28" i="14" s="1"/>
  <c r="N7" i="14"/>
  <c r="H7" i="14"/>
  <c r="H28" i="14" s="1"/>
  <c r="R19" i="14"/>
  <c r="R28" i="14" s="1"/>
  <c r="N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C35" i="64" a="1"/>
  <c r="D46" i="65" a="1"/>
  <c r="O20" i="48" a="1"/>
  <c r="F11" i="62" a="1"/>
  <c r="E33" i="69" a="1"/>
  <c r="F18" i="39" a="1"/>
  <c r="C52" i="33" a="1"/>
  <c r="E13" i="22" a="1"/>
  <c r="N28" i="14" l="1"/>
  <c r="E33" i="69"/>
  <c r="C44" i="68"/>
  <c r="C49" i="68"/>
  <c r="D46" i="65"/>
  <c r="C35" i="64"/>
  <c r="F13" i="62"/>
  <c r="F11" i="62"/>
  <c r="F12" i="62"/>
  <c r="D20" i="62"/>
  <c r="C16" i="62"/>
  <c r="C24" i="62" s="1"/>
  <c r="C19" i="62"/>
  <c r="D15" i="62"/>
  <c r="D23" i="62" s="1"/>
  <c r="D21" i="62"/>
  <c r="C17" i="62"/>
  <c r="E13" i="22"/>
  <c r="O20" i="48"/>
  <c r="C52" i="33"/>
  <c r="F18" i="39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H50" i="18" s="1"/>
  <c r="AF17" i="25"/>
  <c r="AF18" i="25" s="1"/>
  <c r="AF23" i="25" s="1"/>
  <c r="F38" i="45"/>
  <c r="F39" i="45" s="1" a="1"/>
  <c r="F39" i="45" s="1"/>
  <c r="F45" i="45" s="1"/>
  <c r="P17" i="25"/>
  <c r="P18" i="25" s="1"/>
  <c r="P23" i="25" s="1"/>
  <c r="AT17" i="25"/>
  <c r="AT18" i="25" s="1"/>
  <c r="AT23" i="25" s="1"/>
  <c r="AD17" i="25"/>
  <c r="AD18" i="25" s="1"/>
  <c r="AD23" i="25" s="1"/>
  <c r="BH17" i="25"/>
  <c r="BH18" i="25" s="1"/>
  <c r="BH23" i="25" s="1"/>
  <c r="Z17" i="25"/>
  <c r="Z18" i="25" s="1"/>
  <c r="Z23" i="25" s="1"/>
  <c r="F55" i="34"/>
  <c r="F56" i="34" s="1" a="1"/>
  <c r="F56" i="34" s="1"/>
  <c r="F62" i="34" s="1"/>
  <c r="AB17" i="25"/>
  <c r="AB18" i="25" s="1"/>
  <c r="AB23" i="25" s="1"/>
  <c r="AX17" i="25"/>
  <c r="AX18" i="25" s="1"/>
  <c r="AX23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F15" i="62" a="1"/>
  <c r="C62" i="34" a="1"/>
  <c r="F19" i="62" a="1"/>
  <c r="F3" i="68" l="1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C62" i="34"/>
  <c r="I24" i="21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F7" i="8"/>
  <c r="AF25" i="8" s="1"/>
  <c r="X7" i="8"/>
  <c r="X25" i="8" s="1"/>
  <c r="V7" i="8"/>
  <c r="V25" i="8" s="1"/>
  <c r="T7" i="8"/>
  <c r="T25" i="8" s="1"/>
  <c r="R7" i="8"/>
  <c r="N7" i="8"/>
  <c r="N25" i="8" s="1"/>
  <c r="L7" i="8"/>
  <c r="L25" i="8" s="1"/>
  <c r="H7" i="8"/>
  <c r="T29" i="8"/>
  <c r="AB3" i="5" a="1"/>
  <c r="AB3" i="5" s="1"/>
  <c r="F6" i="68" a="1"/>
  <c r="F23" i="62" a="1"/>
  <c r="E5" i="42" a="1"/>
  <c r="F44" i="68" a="1"/>
  <c r="F3" i="21" a="1"/>
  <c r="F27" i="68" a="1"/>
  <c r="F37" i="68" a="1"/>
  <c r="F32" i="68" a="1"/>
  <c r="AB8" i="5" l="1"/>
  <c r="AB9" i="5"/>
  <c r="AB6" i="5"/>
  <c r="F53" i="68"/>
  <c r="F65" i="68" s="1"/>
  <c r="F52" i="68"/>
  <c r="F54" i="68"/>
  <c r="F44" i="68"/>
  <c r="F6" i="68"/>
  <c r="F37" i="68"/>
  <c r="F27" i="68"/>
  <c r="F32" i="68"/>
  <c r="AB7" i="5"/>
  <c r="AB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F3" i="21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H25" i="8" s="1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D25" i="8" s="1"/>
  <c r="E36" i="42" a="1"/>
  <c r="E6" i="19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F42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S38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S35" i="9" a="1"/>
  <c r="D42" i="62" a="1"/>
  <c r="D42" i="62" l="1"/>
  <c r="E55" i="19"/>
  <c r="S35" i="9"/>
  <c r="O3" i="9" s="1"/>
  <c r="E27" i="42"/>
  <c r="E28" i="42" s="1"/>
  <c r="E29" i="42" s="1" a="1"/>
  <c r="E29" i="42" s="1"/>
  <c r="E35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C35" i="42" a="1"/>
  <c r="C35" i="42" l="1"/>
  <c r="D36" i="23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C24" i="61" a="1"/>
  <c r="C24" i="61" s="1"/>
  <c r="C22" i="61" a="1"/>
  <c r="C22" i="61" s="1"/>
  <c r="C20" i="61" a="1"/>
  <c r="C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C25" i="61" a="1"/>
  <c r="C25" i="61" s="1"/>
  <c r="C21" i="61" a="1"/>
  <c r="C21" i="61" s="1"/>
  <c r="C19" i="61" a="1"/>
  <c r="C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D3" i="61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F34" i="31" a="1"/>
  <c r="F26" i="31" a="1"/>
  <c r="F38" i="31" a="1"/>
  <c r="F19" i="31" a="1"/>
  <c r="F46" i="31" a="1"/>
  <c r="E6" i="15" a="1"/>
  <c r="F42" i="31" a="1"/>
  <c r="F30" i="31" a="1"/>
  <c r="F6" i="31" a="1"/>
  <c r="D4" i="61" l="1"/>
  <c r="BB3" i="61"/>
  <c r="V3" i="61"/>
  <c r="AH3" i="61"/>
  <c r="AD3" i="61"/>
  <c r="AT3" i="61"/>
  <c r="BR3" i="61"/>
  <c r="BF3" i="61"/>
  <c r="E9" i="15"/>
  <c r="E7" i="15"/>
  <c r="E8" i="15"/>
  <c r="E6" i="15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K84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E6" i="51" a="1"/>
  <c r="F8" i="23" a="1"/>
  <c r="R18" i="61" a="1"/>
  <c r="BB18" i="61" a="1"/>
  <c r="H84" i="67" a="1"/>
  <c r="F40" i="23" a="1"/>
  <c r="BF18" i="61" a="1"/>
  <c r="AH18" i="61" a="1"/>
  <c r="AT18" i="61" a="1"/>
  <c r="AT52" i="61" a="1"/>
  <c r="F30" i="23" a="1"/>
  <c r="F5" i="36" a="1"/>
  <c r="AL18" i="61" a="1"/>
  <c r="Z18" i="61" a="1"/>
  <c r="N18" i="61" a="1"/>
  <c r="AP18" i="61" a="1"/>
  <c r="V18" i="61" a="1"/>
  <c r="F25" i="23" a="1"/>
  <c r="BJ18" i="61" a="1"/>
  <c r="J18" i="61" a="1"/>
  <c r="BR18" i="61" a="1"/>
  <c r="F35" i="23" a="1"/>
  <c r="BN18" i="61" a="1"/>
  <c r="AD18" i="61" a="1"/>
  <c r="C14" i="5" l="1"/>
  <c r="H84" i="67"/>
  <c r="AV19" i="61"/>
  <c r="AR58" i="61"/>
  <c r="AR49" i="61"/>
  <c r="AS34" i="61"/>
  <c r="J111" i="61"/>
  <c r="V111" i="61"/>
  <c r="AX78" i="61"/>
  <c r="AX101" i="61" s="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E31" i="15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30" i="61" a="1"/>
  <c r="AT57" i="61" a="1"/>
  <c r="AT37" i="61" a="1"/>
  <c r="V112" i="61" l="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AH76" i="61" a="1"/>
  <c r="AH76" i="61" s="1"/>
  <c r="J76" i="61" a="1"/>
  <c r="J76" i="61" s="1"/>
  <c r="J99" i="61" s="1"/>
  <c r="AP82" i="61" a="1"/>
  <c r="AP82" i="61" s="1"/>
  <c r="BR76" i="61" a="1"/>
  <c r="BR76" i="61" s="1"/>
  <c r="D48" i="61"/>
  <c r="AS44" i="61"/>
  <c r="AR44" i="61"/>
  <c r="Z67" i="61"/>
  <c r="N67" i="61"/>
  <c r="BB67" i="61"/>
  <c r="BF67" i="61"/>
  <c r="AL67" i="61"/>
  <c r="AD76" i="61" a="1"/>
  <c r="AD76" i="61" s="1"/>
  <c r="AD99" i="61" s="1"/>
  <c r="Z81" i="61" a="1"/>
  <c r="Z81" i="61" s="1"/>
  <c r="N82" i="61" a="1"/>
  <c r="N82" i="61" s="1"/>
  <c r="V76" i="61" a="1"/>
  <c r="V76" i="61" s="1"/>
  <c r="V99" i="61" s="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R76" i="61" a="1"/>
  <c r="R76" i="61" s="1"/>
  <c r="AL76" i="61" a="1"/>
  <c r="AL76" i="61" s="1"/>
  <c r="BJ82" i="61" a="1"/>
  <c r="BJ82" i="61" s="1"/>
  <c r="BB76" i="61" a="1"/>
  <c r="BB76" i="61" s="1"/>
  <c r="BF76" i="61" a="1"/>
  <c r="BF76" i="61" s="1"/>
  <c r="E32" i="51"/>
  <c r="F63" i="23" a="1"/>
  <c r="F63" i="23" s="1"/>
  <c r="F29" i="36" a="1"/>
  <c r="F29" i="36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X23" i="8" a="1"/>
  <c r="AH23" i="8" a="1"/>
  <c r="AX21" i="25" a="1"/>
  <c r="P23" i="8" a="1"/>
  <c r="R21" i="25" a="1"/>
  <c r="Z21" i="25" a="1"/>
  <c r="Z23" i="8" a="1"/>
  <c r="F23" i="8" a="1"/>
  <c r="N21" i="25" a="1"/>
  <c r="AL21" i="25" a="1"/>
  <c r="F25" i="14" a="1"/>
  <c r="N25" i="14" a="1"/>
  <c r="AD23" i="8" a="1"/>
  <c r="AF23" i="8" a="1"/>
  <c r="AT42" i="61" a="1"/>
  <c r="D21" i="25" a="1"/>
  <c r="BH21" i="25" a="1"/>
  <c r="AP21" i="25" a="1"/>
  <c r="J23" i="8" a="1"/>
  <c r="AX18" i="61" a="1"/>
  <c r="H21" i="25" a="1"/>
  <c r="L25" i="14" a="1"/>
  <c r="V25" i="14" a="1"/>
  <c r="D25" i="14" a="1"/>
  <c r="BD21" i="25" a="1"/>
  <c r="BB21" i="25" a="1"/>
  <c r="P25" i="14" a="1"/>
  <c r="T25" i="14" a="1"/>
  <c r="AJ21" i="25" a="1"/>
  <c r="AV21" i="25" a="1"/>
  <c r="L21" i="25" a="1"/>
  <c r="AZ21" i="25" a="1"/>
  <c r="F21" i="25" a="1"/>
  <c r="T23" i="8" a="1"/>
  <c r="AH21" i="25" a="1"/>
  <c r="AN21" i="25" a="1"/>
  <c r="D23" i="8" a="1"/>
  <c r="AF21" i="25" a="1"/>
  <c r="AB21" i="25" a="1"/>
  <c r="V21" i="25" a="1"/>
  <c r="D65" i="31" a="1"/>
  <c r="AJ23" i="8" a="1"/>
  <c r="BL21" i="25" a="1"/>
  <c r="C39" i="32" a="1"/>
  <c r="T21" i="25" a="1"/>
  <c r="R25" i="14" a="1"/>
  <c r="BF21" i="25" a="1"/>
  <c r="J21" i="25" a="1"/>
  <c r="N23" i="8" a="1"/>
  <c r="P21" i="25" a="1"/>
  <c r="J25" i="14" a="1"/>
  <c r="BJ21" i="25" a="1"/>
  <c r="X21" i="25" a="1"/>
  <c r="AB23" i="8" a="1"/>
  <c r="H25" i="14" a="1"/>
  <c r="V23" i="8" a="1"/>
  <c r="AD21" i="25" a="1"/>
  <c r="L23" i="8" a="1"/>
  <c r="AR21" i="25" a="1"/>
  <c r="AT21" i="25" a="1"/>
  <c r="H23" i="8" a="1"/>
  <c r="AB21" i="25" l="1"/>
  <c r="AH23" i="8"/>
  <c r="D21" i="25"/>
  <c r="AJ23" i="8"/>
  <c r="AZ21" i="25"/>
  <c r="AD23" i="8"/>
  <c r="AN21" i="25"/>
  <c r="X23" i="8"/>
  <c r="AF21" i="25"/>
  <c r="Z23" i="8"/>
  <c r="AJ21" i="25"/>
  <c r="J23" i="8"/>
  <c r="AD21" i="25"/>
  <c r="F25" i="14"/>
  <c r="L21" i="25"/>
  <c r="AT21" i="25"/>
  <c r="P25" i="14"/>
  <c r="BF21" i="25"/>
  <c r="J25" i="14"/>
  <c r="BB21" i="25"/>
  <c r="AB23" i="8"/>
  <c r="F21" i="25"/>
  <c r="AV21" i="25"/>
  <c r="AF23" i="8"/>
  <c r="AP21" i="25"/>
  <c r="P23" i="8"/>
  <c r="AR21" i="25"/>
  <c r="F23" i="8"/>
  <c r="N21" i="25"/>
  <c r="R21" i="25"/>
  <c r="AH21" i="25"/>
  <c r="V25" i="14"/>
  <c r="X21" i="25"/>
  <c r="H23" i="8"/>
  <c r="H25" i="14"/>
  <c r="T21" i="25"/>
  <c r="BJ21" i="25"/>
  <c r="H21" i="25"/>
  <c r="L25" i="14"/>
  <c r="D25" i="14"/>
  <c r="N23" i="8"/>
  <c r="AX21" i="25"/>
  <c r="J21" i="25"/>
  <c r="T23" i="8"/>
  <c r="T25" i="14"/>
  <c r="V23" i="8"/>
  <c r="AL21" i="25"/>
  <c r="BD21" i="25"/>
  <c r="N25" i="14"/>
  <c r="Z21" i="25"/>
  <c r="L23" i="8"/>
  <c r="V21" i="25"/>
  <c r="BH21" i="25"/>
  <c r="R25" i="14"/>
  <c r="P21" i="25"/>
  <c r="BL21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28" i="36" s="1"/>
  <c r="F52" i="23"/>
  <c r="F53" i="23" s="1"/>
  <c r="F54" i="23" s="1" a="1"/>
  <c r="F54" i="23" s="1"/>
  <c r="F62" i="23" s="1"/>
  <c r="C62" i="23" a="1"/>
  <c r="AP15" i="61" a="1"/>
  <c r="BF15" i="61" a="1"/>
  <c r="AL15" i="61" a="1"/>
  <c r="R15" i="61" a="1"/>
  <c r="Z15" i="61" a="1"/>
  <c r="N15" i="61" a="1"/>
  <c r="C31" i="51" a="1"/>
  <c r="AT47" i="61" a="1"/>
  <c r="BN15" i="61" a="1"/>
  <c r="BJ15" i="61" a="1"/>
  <c r="BR15" i="61" a="1"/>
  <c r="BB15" i="61" a="1"/>
  <c r="AX74" i="61" a="1"/>
  <c r="B28" i="36" a="1"/>
  <c r="V15" i="61" a="1"/>
  <c r="AH15" i="61" a="1"/>
  <c r="J15" i="61" a="1"/>
  <c r="AD15" i="61" a="1"/>
  <c r="AX75" i="61" a="1"/>
  <c r="V91" i="61" l="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L56" i="40" a="1"/>
  <c r="L56" i="40" s="1"/>
  <c r="B28" i="36"/>
  <c r="C62" i="23"/>
  <c r="L51" i="40" a="1"/>
  <c r="AX67" i="61" l="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E27" i="15" a="1"/>
  <c r="AT15" i="61" a="1"/>
  <c r="AX15" i="61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20" i="43" a="1"/>
  <c r="F11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28" i="30" a="1"/>
  <c r="F6" i="44" a="1"/>
  <c r="F15" i="30" a="1"/>
  <c r="F20" i="44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F6" i="38" a="1"/>
  <c r="E9" i="35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D48" i="44" a="1"/>
  <c r="K37" i="41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20" i="54" a="1"/>
  <c r="F6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6" i="29" a="1"/>
  <c r="F22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6" i="28" a="1"/>
  <c r="F22" i="28" a="1"/>
  <c r="F22" i="7" a="1"/>
  <c r="F6" i="7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23" i="3" a="1"/>
  <c r="F6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F58" i="3" l="1" a="1"/>
  <c r="F58" i="3" s="1"/>
  <c r="F57" i="3" a="1"/>
  <c r="F57" i="3" s="1"/>
  <c r="E20" i="57" a="1"/>
  <c r="E20" i="57" s="1"/>
  <c r="I34" i="57"/>
  <c r="H35" i="57" s="1"/>
  <c r="A21" i="57"/>
  <c r="B21" i="57"/>
  <c r="F47" i="3" l="1"/>
  <c r="F48" i="3" s="1"/>
  <c r="F49" i="3" s="1"/>
  <c r="F56" i="3" s="1"/>
  <c r="C21" i="57"/>
  <c r="D21" i="57" s="1"/>
  <c r="E21" i="57" s="1" a="1"/>
  <c r="E21" i="57" s="1"/>
  <c r="I35" i="57"/>
  <c r="H36" i="57" s="1"/>
  <c r="F21" i="57" l="1"/>
  <c r="B22" i="57" s="1"/>
  <c r="I36" i="57"/>
  <c r="H37" i="57" s="1"/>
  <c r="A22" i="57" l="1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l="1"/>
  <c r="D40" i="57" s="1"/>
  <c r="F40" i="57" s="1"/>
  <c r="E40" i="57" a="1"/>
  <c r="E40" i="57" s="1"/>
  <c r="B41" i="57" l="1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R3" i="58" l="1"/>
  <c r="P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R95" i="58"/>
  <c r="J95" i="58"/>
  <c r="P95" i="58"/>
  <c r="L95" i="58"/>
  <c r="T95" i="58"/>
  <c r="N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L97" i="58"/>
  <c r="N97" i="58"/>
  <c r="J97" i="58"/>
  <c r="R96" i="58"/>
  <c r="P96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P99" i="58"/>
  <c r="R99" i="58"/>
  <c r="D73" i="58" l="1"/>
  <c r="T80" i="58" s="1"/>
  <c r="C70" i="58"/>
  <c r="C64" i="58"/>
  <c r="C71" i="58"/>
  <c r="T98" i="58"/>
  <c r="L80" i="58" l="1"/>
  <c r="L77" i="58"/>
  <c r="N79" i="58"/>
  <c r="N77" i="58"/>
  <c r="P77" i="58"/>
  <c r="J79" i="58"/>
  <c r="R80" i="58"/>
  <c r="L78" i="58"/>
  <c r="R78" i="58"/>
  <c r="P80" i="58"/>
  <c r="N80" i="58"/>
  <c r="N78" i="58"/>
  <c r="T78" i="58"/>
  <c r="P78" i="58"/>
  <c r="J77" i="58"/>
  <c r="R77" i="58"/>
  <c r="R79" i="58"/>
  <c r="T79" i="58"/>
  <c r="T77" i="58"/>
  <c r="P79" i="58"/>
  <c r="J80" i="58"/>
  <c r="L79" i="58"/>
  <c r="J78" i="58"/>
  <c r="R83" i="58" l="1"/>
  <c r="R84" i="58" s="1"/>
  <c r="R85" i="58" s="1"/>
  <c r="R94" i="58" s="1"/>
  <c r="P83" i="58"/>
  <c r="P84" i="58" s="1"/>
  <c r="P85" i="58" s="1"/>
  <c r="P94" i="58" s="1"/>
  <c r="L83" i="58"/>
  <c r="L84" i="58" s="1"/>
  <c r="L85" i="58" s="1"/>
  <c r="L94" i="58" s="1"/>
  <c r="T83" i="58"/>
  <c r="T84" i="58" s="1"/>
  <c r="T85" i="58" s="1"/>
  <c r="T94" i="58" s="1"/>
  <c r="J83" i="58"/>
  <c r="J84" i="58" s="1"/>
  <c r="J85" i="58" s="1"/>
  <c r="J94" i="58" s="1"/>
  <c r="P7" i="58" a="1"/>
  <c r="T7" i="58" a="1"/>
  <c r="J7" i="58" a="1"/>
  <c r="R7" i="58" a="1"/>
  <c r="L7" i="58" a="1"/>
  <c r="P7" i="58" l="1"/>
  <c r="R7" i="58"/>
  <c r="N83" i="58"/>
  <c r="N84" i="58" s="1"/>
  <c r="N85" i="58" s="1"/>
  <c r="N94" i="58" s="1"/>
  <c r="J7" i="58"/>
  <c r="L7" i="58"/>
  <c r="T7" i="58"/>
  <c r="J20" i="59" a="1"/>
  <c r="J20" i="59" s="1"/>
  <c r="M20" i="59" s="1" a="1"/>
  <c r="M20" i="59" s="1"/>
  <c r="J13" i="59" a="1"/>
  <c r="J13" i="59" s="1"/>
  <c r="J27" i="59" a="1"/>
  <c r="J27" i="59" s="1"/>
  <c r="N7" i="58" a="1"/>
  <c r="N7" i="58" l="1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P27" i="59" l="1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Q20" i="59" l="1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13" i="59" a="1"/>
  <c r="F20" i="59" a="1"/>
  <c r="F27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J65" i="24"/>
  <c r="J66" i="24" s="1"/>
  <c r="J67" i="24" s="1"/>
  <c r="J70" i="24" s="1"/>
  <c r="L63" i="24"/>
  <c r="L65" i="24"/>
  <c r="L66" i="24" s="1"/>
  <c r="L67" i="24" s="1"/>
  <c r="L70" i="24" s="1"/>
  <c r="H63" i="24"/>
  <c r="I3" i="9"/>
  <c r="I6" i="9" a="1"/>
  <c r="I23" i="9" l="1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I28" i="9" l="1"/>
  <c r="I29" i="9" s="1"/>
  <c r="I30" i="9" s="1"/>
  <c r="I38" i="9" s="1"/>
  <c r="I39" i="9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s="1"/>
  <c r="D58" i="60" a="1"/>
  <c r="D58" i="60" l="1"/>
  <c r="R29" i="8"/>
  <c r="R27" i="8"/>
  <c r="R20" i="8"/>
  <c r="R25" i="8" s="1"/>
  <c r="R28" i="8"/>
  <c r="R23" i="8" a="1"/>
  <c r="R23" i="8" l="1"/>
  <c r="N11" i="63"/>
  <c r="N12" i="63" s="1"/>
  <c r="B25" i="66"/>
  <c r="B24" i="66" s="1"/>
  <c r="F22" i="66" a="1"/>
  <c r="F20" i="66" a="1"/>
  <c r="F19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<sst xmlns="http://schemas.openxmlformats.org/spreadsheetml/2006/main" count="3565" uniqueCount="2177">
  <si>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</si>
  <si>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</si>
  <si>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</si>
  <si>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</si>
  <si>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</si>
  <si>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</si>
  <si>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</si>
  <si>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</si>
  <si>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</si>
  <si>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</si>
  <si>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</si>
  <si>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</si>
  <si>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</si>
  <si>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</si>
  <si>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</si>
  <si>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</si>
  <si>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</si>
  <si>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</si>
  <si>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</si>
  <si>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</si>
  <si>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</si>
  <si>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</si>
  <si>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</si>
  <si>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</si>
  <si>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</si>
  <si>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</si>
  <si>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</si>
  <si>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</si>
  <si>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</si>
  <si>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</si>
  <si>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</si>
  <si>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</si>
  <si>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</si>
  <si>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</si>
  <si>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</si>
  <si>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</si>
  <si>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</si>
  <si>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</si>
  <si>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</si>
  <si>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</si>
  <si>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</si>
  <si>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</si>
  <si>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</si>
  <si>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</si>
  <si>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</si>
  <si>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</si>
  <si>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</si>
  <si>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</si>
  <si>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</si>
  <si>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</si>
  <si>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</si>
  <si>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</si>
  <si>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</si>
  <si>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</si>
  <si>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</si>
  <si>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</si>
  <si>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</si>
  <si>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</si>
  <si>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</si>
  <si>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</si>
  <si>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</si>
  <si>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</si>
  <si>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</si>
  <si>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</si>
  <si>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</si>
  <si>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</si>
  <si>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</si>
  <si>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</si>
  <si>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</si>
  <si>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</si>
  <si>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</si>
  <si>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</si>
  <si>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</si>
  <si>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</si>
  <si>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</si>
  <si>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</si>
  <si>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</si>
  <si>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</si>
  <si>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</si>
  <si>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</si>
  <si>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</si>
  <si>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</si>
  <si>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</si>
  <si>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</si>
  <si>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</si>
  <si>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</si>
  <si>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</si>
  <si>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</si>
  <si>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</si>
  <si>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</si>
  <si>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</si>
  <si>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</si>
  <si>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</si>
  <si>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</si>
  <si>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</si>
  <si>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</si>
  <si>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</si>
  <si>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</si>
  <si>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</si>
  <si>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</si>
  <si>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</si>
  <si>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</si>
  <si>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</si>
  <si>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</si>
  <si>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</si>
  <si>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</si>
  <si>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</si>
  <si>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</si>
  <si>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</si>
  <si>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</si>
  <si>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</si>
  <si>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</si>
  <si>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</si>
  <si>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</si>
  <si>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</si>
  <si>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</si>
  <si>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</si>
  <si>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</si>
  <si>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</si>
  <si>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</si>
  <si>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</si>
  <si>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</si>
  <si>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</si>
  <si>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</si>
  <si>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</si>
  <si>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</si>
  <si>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</si>
  <si>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</si>
  <si>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</si>
  <si>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</si>
  <si>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</si>
  <si>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</si>
  <si>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</si>
  <si>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</si>
  <si>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</si>
  <si>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</si>
  <si>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</si>
  <si>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</si>
  <si>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</si>
  <si>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</si>
  <si>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</si>
  <si>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VE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</si>
  <si>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</si>
  <si>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</si>
  <si>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</si>
  <si>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</si>
  <si>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</si>
  <si>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</si>
  <si>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</si>
  <si>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</si>
  <si>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</si>
  <si>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</si>
  <si>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</si>
  <si>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</si>
  <si>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</si>
  <si>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</si>
  <si>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</si>
  <si>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</si>
  <si>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</si>
  <si>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</si>
  <si>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</si>
  <si>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</si>
  <si>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</si>
  <si>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</si>
  <si>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</si>
  <si>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</si>
  <si>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</si>
  <si>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</si>
  <si>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</si>
  <si>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</si>
  <si>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</si>
  <si>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</si>
  <si>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</si>
  <si>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</si>
  <si>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</si>
  <si>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</si>
  <si>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</si>
  <si>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</si>
  <si>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</si>
  <si>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</si>
  <si>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</si>
  <si>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</si>
  <si>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</si>
  <si>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</si>
  <si>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</si>
  <si>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</si>
  <si>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</si>
  <si>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</si>
  <si>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</si>
  <si>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</si>
  <si>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</si>
  <si>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</si>
  <si>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</si>
  <si>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</si>
  <si>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</si>
  <si>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</si>
  <si>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</si>
  <si>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</si>
  <si>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</si>
  <si>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</si>
  <si>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</si>
  <si>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</si>
  <si>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</si>
  <si>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</si>
  <si>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</si>
  <si>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</si>
  <si>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</si>
  <si>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</si>
  <si>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</si>
  <si>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</si>
  <si>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</si>
  <si>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</si>
  <si>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</si>
  <si>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</si>
  <si>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</si>
  <si>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</si>
  <si>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</si>
  <si>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</si>
  <si>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</si>
  <si>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</si>
  <si>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</si>
  <si>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</si>
  <si>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</si>
  <si>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</si>
  <si>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</si>
  <si>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</si>
  <si>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</si>
  <si>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</si>
  <si>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</si>
  <si>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</si>
  <si>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</si>
  <si>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</si>
  <si>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</si>
  <si>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</si>
  <si>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</si>
  <si>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</si>
  <si>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</si>
  <si>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</si>
  <si>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</si>
  <si>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</si>
  <si>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</si>
  <si>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</si>
  <si>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</si>
  <si>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</si>
  <si>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</si>
  <si>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</si>
  <si>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</si>
  <si>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</si>
  <si>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</si>
  <si>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</si>
  <si>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</si>
  <si>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</si>
  <si>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</si>
  <si>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</si>
  <si>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</si>
  <si>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</si>
  <si>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</si>
  <si>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</si>
  <si>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</si>
  <si>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</si>
  <si>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</si>
  <si>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</si>
  <si>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</si>
  <si>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</si>
  <si>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</si>
  <si>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</si>
  <si>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</si>
  <si>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</si>
  <si>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</si>
  <si>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</si>
  <si>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</si>
  <si>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</si>
  <si>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</si>
  <si>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</si>
  <si>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</si>
  <si>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</si>
  <si>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</si>
  <si>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</si>
  <si>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</si>
  <si>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</si>
  <si>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</si>
  <si>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</si>
  <si>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</si>
  <si>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</si>
  <si>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</si>
  <si>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</si>
  <si>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</si>
  <si>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</si>
  <si>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</si>
  <si>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</si>
  <si>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</si>
  <si>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</si>
  <si>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</si>
  <si>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</si>
  <si>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</si>
  <si>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</si>
  <si>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</si>
  <si>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</si>
  <si>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</si>
  <si>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</si>
  <si>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</si>
  <si>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</si>
  <si>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</si>
  <si>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</si>
  <si>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</si>
  <si>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</si>
  <si>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</si>
  <si>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</si>
  <si>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</si>
  <si>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</si>
  <si>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</si>
  <si>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</si>
  <si>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</si>
  <si>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</si>
  <si>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</si>
  <si>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</si>
  <si>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</si>
  <si>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</si>
  <si>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</si>
  <si>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</si>
  <si>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</si>
  <si>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</si>
  <si>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</si>
  <si>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</si>
  <si>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</si>
  <si>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</si>
  <si>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</si>
  <si>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</si>
  <si>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</si>
  <si>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</si>
  <si>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</si>
  <si>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</si>
  <si>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</si>
  <si>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</si>
  <si>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</si>
  <si>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</si>
  <si>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</si>
  <si>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</si>
  <si>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</si>
  <si>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</si>
  <si>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</si>
  <si>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</si>
  <si>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</si>
  <si>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</si>
  <si>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</si>
  <si>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</si>
  <si>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</si>
  <si>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</si>
  <si>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</si>
  <si>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</si>
  <si>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</si>
  <si>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</si>
  <si>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</si>
  <si>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</si>
  <si>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</si>
  <si>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</si>
  <si>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</si>
  <si>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</si>
  <si>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</si>
  <si>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</si>
  <si>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</si>
  <si>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</si>
  <si>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</si>
  <si>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</si>
  <si>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</si>
  <si>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</si>
  <si>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</si>
  <si>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</si>
  <si>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</si>
  <si>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</si>
  <si>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</si>
  <si>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</si>
  <si>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</si>
  <si>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</si>
  <si>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</si>
  <si>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</si>
  <si>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</si>
  <si>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</si>
  <si>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</si>
  <si>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</si>
  <si>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</si>
  <si>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</si>
  <si>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</si>
  <si>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</si>
  <si>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</si>
  <si>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</si>
  <si>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</si>
  <si>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</si>
  <si>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</si>
  <si>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</si>
  <si>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</si>
  <si>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</si>
  <si>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</si>
  <si>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</si>
  <si>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</si>
  <si>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</si>
  <si>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</si>
  <si>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</si>
  <si>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</si>
  <si>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</si>
  <si>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</si>
  <si>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</si>
  <si>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</si>
  <si>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</si>
  <si>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</si>
  <si>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</si>
  <si>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</si>
  <si>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</si>
  <si>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</si>
  <si>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</si>
  <si>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</si>
  <si>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</si>
  <si>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</si>
  <si>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</si>
  <si>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</si>
  <si>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</si>
  <si>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</si>
  <si>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</si>
  <si>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</si>
  <si>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</si>
  <si>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</si>
  <si>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</si>
  <si>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</si>
  <si>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</si>
  <si>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</si>
  <si>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</si>
  <si>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</si>
  <si>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</si>
  <si>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</si>
  <si>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</si>
  <si>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</si>
  <si>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</si>
  <si>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</si>
  <si>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</si>
  <si>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</si>
  <si>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</si>
  <si>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</si>
  <si>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</si>
  <si>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</si>
  <si>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</si>
  <si>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</si>
  <si>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</si>
  <si>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</si>
  <si>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</si>
  <si>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</si>
  <si>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</si>
  <si>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</si>
  <si>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</si>
  <si>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</si>
  <si>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</si>
  <si>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</si>
  <si>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</si>
  <si>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</si>
  <si>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</si>
  <si>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</si>
  <si>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</si>
  <si>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</si>
  <si>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</si>
  <si>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</si>
  <si>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</si>
  <si>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</si>
  <si>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</si>
  <si>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</si>
  <si>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</si>
  <si>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</si>
  <si>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</si>
  <si>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</si>
  <si>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</si>
  <si>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</si>
  <si>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</si>
  <si>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</si>
  <si>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</si>
  <si>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</si>
  <si>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</si>
  <si>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</si>
  <si>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</si>
  <si>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</si>
  <si>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</si>
  <si>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</si>
  <si>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</si>
  <si>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</si>
  <si>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</si>
  <si>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</si>
  <si>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</si>
  <si>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</si>
  <si>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</si>
  <si>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</si>
  <si>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</si>
  <si>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</si>
  <si>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</si>
  <si>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</si>
  <si>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</si>
  <si>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</si>
  <si>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</si>
  <si>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</si>
  <si>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</si>
  <si>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</si>
  <si>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</si>
  <si>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</si>
  <si>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</si>
  <si>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</si>
  <si>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</si>
  <si>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</si>
  <si>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</si>
  <si>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</si>
  <si>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</si>
  <si>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</si>
  <si>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</si>
  <si>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</si>
  <si>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</si>
  <si>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</si>
  <si>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</si>
  <si>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</si>
  <si>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</si>
  <si>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</si>
  <si>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</si>
  <si>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</si>
  <si>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</si>
  <si>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</si>
  <si>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</si>
  <si>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</si>
  <si>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</si>
  <si>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</si>
  <si>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</si>
  <si>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</si>
  <si>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</si>
  <si>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</si>
  <si>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</si>
  <si>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</si>
  <si>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</si>
  <si>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</si>
  <si>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</si>
  <si>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</si>
  <si>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</si>
  <si>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</si>
  <si>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</si>
  <si>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</si>
  <si>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</si>
  <si>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</si>
  <si>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</si>
  <si>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</si>
  <si>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</si>
  <si>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</si>
  <si>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</si>
  <si>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</si>
  <si>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</si>
  <si>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</si>
  <si>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</si>
  <si>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</si>
  <si>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</si>
  <si>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</si>
  <si>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</si>
  <si>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</si>
  <si>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</si>
  <si>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</si>
  <si>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</si>
  <si>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</si>
  <si>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</si>
  <si>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</si>
  <si>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</si>
  <si>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</si>
  <si>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</si>
  <si>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</si>
  <si>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</si>
  <si>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</si>
  <si>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</si>
  <si>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</si>
  <si>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</si>
  <si>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</si>
  <si>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</si>
  <si>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</si>
  <si>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</si>
  <si>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</si>
  <si>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</si>
  <si>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</si>
  <si>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</si>
  <si>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</si>
  <si>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</si>
  <si>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</si>
  <si>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</si>
  <si>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</si>
  <si>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</si>
  <si>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</si>
  <si>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</si>
  <si>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</si>
  <si>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</si>
  <si>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</si>
  <si>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</si>
  <si>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</si>
  <si>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</si>
  <si>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</si>
  <si>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</si>
  <si>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</si>
  <si>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</si>
  <si>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</si>
  <si>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</si>
  <si>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</si>
  <si>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</si>
  <si>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</si>
  <si>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</si>
  <si>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</si>
  <si>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</si>
  <si>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</si>
  <si>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</si>
  <si>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</si>
  <si>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</si>
  <si>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</si>
  <si>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</si>
  <si>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</si>
  <si>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</si>
  <si>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</si>
  <si>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</si>
  <si>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</si>
  <si>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</si>
  <si>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</si>
  <si>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</si>
  <si>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</si>
  <si>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</si>
  <si>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</si>
  <si>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</si>
  <si>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</si>
  <si>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</si>
  <si>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</si>
  <si>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</si>
  <si>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</si>
  <si>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</si>
  <si>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</si>
  <si>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</si>
  <si>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</si>
  <si>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</si>
  <si>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</si>
  <si>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</si>
  <si>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</si>
  <si>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</si>
  <si>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</si>
  <si>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</si>
  <si>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</si>
  <si>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</si>
  <si>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</si>
  <si>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</si>
  <si>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</si>
  <si>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</si>
  <si>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</si>
  <si>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</si>
  <si>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</si>
  <si>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</si>
  <si>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</si>
  <si>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</si>
  <si>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</si>
  <si>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</si>
  <si>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</si>
  <si>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</si>
  <si>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</si>
  <si>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</si>
  <si>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</si>
  <si>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</si>
  <si>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</si>
  <si>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</si>
  <si>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</si>
  <si>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</si>
  <si>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</si>
  <si>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</si>
  <si>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</si>
  <si>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</si>
  <si>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</si>
  <si>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</si>
  <si>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</si>
  <si>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</si>
  <si>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</si>
  <si>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</si>
  <si>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</si>
  <si>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</si>
  <si>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</si>
  <si>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</si>
  <si>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</si>
  <si>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</si>
  <si>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</si>
  <si>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</si>
  <si>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</si>
  <si>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</si>
  <si>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</si>
  <si>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</si>
  <si>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</si>
  <si>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</si>
  <si>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</si>
  <si>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</si>
  <si>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</si>
  <si>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</si>
  <si>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</si>
  <si>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</si>
  <si>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</si>
  <si>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</si>
  <si>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</si>
  <si>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</si>
  <si>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</si>
  <si>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</si>
  <si>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</si>
  <si>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</si>
  <si>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</si>
  <si>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</si>
  <si>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</si>
  <si>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</si>
  <si>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</si>
  <si>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</si>
  <si>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</si>
  <si>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</si>
  <si>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</si>
  <si>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</si>
  <si>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</si>
  <si>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</si>
  <si>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</si>
  <si>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</si>
  <si>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</si>
  <si>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</si>
  <si>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</si>
  <si>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</si>
  <si>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</si>
  <si>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</si>
  <si>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</si>
  <si>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</si>
  <si>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</si>
  <si>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</si>
  <si>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</si>
  <si>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</si>
  <si>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</si>
  <si>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</si>
  <si>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</si>
  <si>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</si>
  <si>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</si>
  <si>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</si>
  <si>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</si>
  <si>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</si>
  <si>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</si>
  <si>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</si>
  <si>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</si>
  <si>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</si>
  <si>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</si>
  <si>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</si>
  <si>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</si>
  <si>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</si>
  <si>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</si>
  <si>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</si>
  <si>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</si>
  <si>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</si>
  <si>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</si>
  <si>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</si>
  <si>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</si>
  <si>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</si>
  <si>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</si>
  <si>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</si>
  <si>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</si>
  <si>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</si>
  <si>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</si>
  <si>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</si>
  <si>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</si>
  <si>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</si>
  <si>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</si>
  <si>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</si>
  <si>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</si>
  <si>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</si>
  <si>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</si>
  <si>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</si>
  <si>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</si>
  <si>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</si>
  <si>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</si>
  <si>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</si>
  <si>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</si>
  <si>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</si>
  <si>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</si>
  <si>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</si>
  <si>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</si>
  <si>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</si>
  <si>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</si>
  <si>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</si>
  <si>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</si>
  <si>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</si>
  <si>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</si>
  <si>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</si>
  <si>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</si>
  <si>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</si>
  <si>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</si>
  <si>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</si>
  <si>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</si>
  <si>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</si>
  <si>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fill='#663319'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</si>
  <si>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</si>
  <si>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</si>
  <si>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</si>
  <si>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</si>
  <si>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</si>
  <si>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</si>
  <si>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</si>
  <si>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</si>
  <si>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</si>
  <si>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</si>
  <si>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</si>
  <si>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</si>
  <si>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</si>
  <si>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</si>
  <si>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</si>
  <si>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</si>
  <si>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</si>
  <si>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</si>
  <si>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</si>
  <si>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</si>
  <si>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</si>
  <si>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</si>
  <si>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</si>
  <si>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</si>
  <si>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</si>
  <si>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</si>
  <si>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</si>
  <si>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</si>
  <si>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</si>
  <si>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</si>
  <si>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</si>
  <si>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</si>
  <si>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</si>
  <si>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</si>
  <si>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</si>
  <si>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</si>
  <si>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</si>
  <si>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</si>
  <si>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</si>
  <si>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</si>
  <si>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</si>
  <si>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</si>
  <si>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</si>
  <si>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</si>
  <si>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</si>
  <si>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</si>
  <si>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</si>
  <si>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</si>
  <si>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</si>
  <si>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</si>
  <si>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</si>
  <si>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</si>
  <si>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</si>
  <si>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</si>
  <si>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</si>
  <si>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</si>
  <si>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</si>
  <si>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</si>
  <si>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</si>
  <si>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</si>
  <si>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</si>
  <si>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</si>
  <si>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</si>
  <si>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</si>
  <si>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</si>
  <si>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</si>
  <si>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</si>
  <si>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</si>
  <si>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</si>
  <si>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</si>
  <si>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</si>
  <si>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</si>
  <si>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</si>
  <si>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</si>
  <si>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</si>
  <si>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</si>
  <si>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</si>
  <si>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</si>
  <si>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</si>
  <si>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</si>
  <si>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</si>
  <si>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</si>
  <si>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</si>
  <si>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</si>
  <si>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</si>
  <si>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</si>
  <si>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</si>
  <si>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</si>
  <si>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</si>
  <si>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</si>
  <si>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</si>
  <si>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</si>
  <si>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</si>
  <si>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</si>
  <si>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</si>
  <si>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</si>
  <si>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</si>
  <si>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</si>
  <si>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</si>
  <si>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</si>
  <si>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</si>
  <si>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</si>
  <si>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</si>
  <si>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</si>
  <si>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</si>
  <si>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</si>
  <si>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</si>
  <si>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</si>
  <si>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</si>
  <si>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</si>
  <si>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</si>
  <si>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</si>
  <si>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</si>
  <si>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</si>
  <si>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</si>
  <si>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</si>
  <si>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</si>
  <si>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</si>
  <si>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</si>
  <si>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</si>
  <si>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</si>
  <si>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</si>
  <si>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</si>
  <si>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</si>
  <si>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</si>
  <si>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</si>
  <si>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</si>
  <si>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</si>
  <si>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</si>
  <si>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</si>
  <si>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</si>
  <si>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</si>
  <si>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</si>
  <si>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</si>
  <si>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</si>
  <si>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</si>
  <si>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</si>
  <si>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</si>
  <si>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</si>
  <si>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</si>
  <si>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</si>
  <si>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</si>
  <si>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</si>
  <si>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</si>
  <si>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</si>
  <si>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</si>
  <si>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</si>
  <si>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</si>
  <si>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</si>
  <si>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</si>
  <si>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</si>
  <si>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</si>
  <si>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</si>
  <si>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</si>
  <si>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</si>
  <si>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</si>
  <si>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</si>
  <si>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</si>
  <si>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</si>
  <si>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</si>
  <si>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</si>
  <si>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</si>
  <si>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</si>
  <si>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</si>
  <si>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</si>
  <si>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</si>
  <si>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</si>
  <si>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</si>
  <si>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</si>
  <si>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</si>
  <si>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</si>
  <si>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</si>
  <si>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</si>
  <si>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</si>
  <si>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</si>
  <si>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</si>
  <si>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</si>
  <si>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</si>
  <si>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</si>
  <si>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</si>
  <si>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</si>
  <si>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</si>
  <si>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</si>
  <si>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</si>
  <si>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</si>
  <si>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</si>
  <si>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</si>
  <si>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</si>
  <si>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</si>
  <si>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</si>
  <si>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</si>
  <si>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</si>
  <si>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</si>
  <si>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</si>
  <si>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</si>
  <si>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</si>
  <si>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</si>
  <si>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</si>
  <si>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</si>
  <si>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</si>
  <si>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</si>
  <si>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</si>
  <si>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</si>
  <si>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</si>
  <si>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</si>
  <si>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</si>
  <si>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</si>
  <si>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</si>
  <si>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</si>
  <si>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</si>
  <si>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</si>
  <si>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</si>
  <si>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</si>
  <si>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</si>
  <si>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</si>
  <si>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</si>
  <si>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</si>
  <si>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</si>
  <si>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</si>
  <si>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</si>
  <si>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</si>
  <si>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</si>
  <si>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</si>
  <si>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</si>
  <si>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</si>
  <si>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</si>
  <si>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</si>
  <si>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</si>
  <si>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</si>
  <si>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</si>
  <si>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</si>
  <si>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</si>
  <si>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</si>
  <si>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</si>
  <si>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</si>
  <si>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</si>
  <si>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</si>
  <si>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</si>
  <si>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</si>
  <si>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</si>
  <si>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</si>
  <si>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</si>
  <si>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</si>
  <si>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</si>
  <si>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</si>
  <si>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</si>
  <si>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</si>
  <si>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</si>
  <si>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</si>
  <si>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</si>
  <si>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</si>
  <si>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</si>
  <si>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</si>
  <si>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</si>
  <si>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</si>
  <si>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</si>
  <si>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</si>
  <si>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</si>
  <si>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</si>
  <si>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</si>
  <si>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</si>
  <si>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</si>
  <si>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</si>
  <si>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</si>
  <si>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</si>
  <si>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</si>
  <si>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</si>
  <si>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</si>
  <si>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</si>
  <si>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</si>
  <si>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</si>
  <si>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</si>
  <si>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</si>
  <si>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</si>
  <si>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</si>
  <si>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</si>
  <si>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</si>
  <si>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</si>
  <si>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</si>
  <si>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</si>
  <si>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</si>
  <si>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</si>
  <si>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</si>
  <si>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</si>
  <si>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</si>
  <si>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</si>
  <si>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</si>
  <si>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</si>
  <si>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</si>
  <si>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</si>
  <si>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</si>
  <si>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</si>
  <si>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</si>
  <si>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</si>
  <si>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</si>
  <si>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</si>
  <si>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</si>
  <si>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</si>
  <si>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</si>
  <si>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</si>
  <si>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</si>
  <si>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</si>
  <si>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</si>
  <si>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</si>
  <si>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</si>
  <si>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</si>
  <si>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</si>
  <si>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</si>
  <si>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</si>
  <si>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</si>
  <si>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</si>
  <si>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</si>
  <si>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</si>
  <si>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</si>
  <si>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</si>
  <si>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</si>
  <si>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</si>
  <si>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</si>
  <si>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</si>
  <si>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</si>
  <si>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</si>
  <si>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</si>
  <si>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</si>
  <si>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</si>
  <si>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</si>
  <si>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</si>
  <si>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</si>
  <si>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</si>
  <si>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</si>
  <si>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</si>
  <si>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</si>
  <si>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</si>
  <si>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</si>
  <si>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</si>
  <si>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</si>
  <si>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</si>
  <si>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</si>
  <si>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</si>
  <si>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</si>
  <si>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</si>
  <si>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</si>
  <si>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</si>
  <si>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</si>
  <si>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</si>
  <si>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</si>
  <si>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</si>
  <si>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</si>
  <si>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</si>
  <si>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</si>
  <si>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</si>
  <si>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</si>
  <si>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</si>
  <si>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</si>
  <si>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</si>
  <si>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</si>
  <si>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</si>
  <si>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</si>
  <si>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</si>
  <si>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</si>
  <si>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</si>
  <si>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</si>
  <si>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</si>
  <si>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</si>
  <si>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</si>
  <si>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</si>
  <si>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</si>
  <si>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</si>
  <si>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</si>
  <si>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</si>
  <si>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</si>
  <si>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</si>
  <si>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</si>
  <si>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</si>
  <si>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</si>
  <si>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</si>
  <si>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</si>
  <si>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</si>
  <si>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</si>
  <si>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</si>
  <si>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</si>
  <si>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</si>
  <si>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</si>
  <si>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</si>
  <si>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</si>
  <si>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</si>
  <si>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</si>
  <si>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</si>
  <si>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</si>
  <si>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</si>
  <si>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</si>
  <si>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</si>
  <si>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</si>
  <si>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</si>
  <si>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</si>
  <si>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</si>
  <si>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</si>
  <si>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</si>
  <si>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</si>
  <si>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</si>
  <si>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</si>
  <si>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</si>
  <si>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</si>
  <si>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</si>
  <si>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</si>
  <si>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</si>
  <si>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</si>
  <si>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</si>
  <si>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</si>
  <si>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</si>
  <si>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</si>
  <si>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</si>
  <si>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</si>
  <si>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</si>
  <si>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</si>
  <si>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</si>
  <si>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</si>
  <si>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</si>
  <si>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</si>
  <si>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</si>
  <si>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</si>
  <si>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</si>
  <si>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</si>
  <si>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</si>
  <si>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</si>
  <si>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</si>
  <si>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</si>
  <si>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</si>
  <si>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</si>
  <si>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</si>
  <si>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</si>
  <si>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</si>
  <si>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</si>
  <si>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</si>
  <si>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</si>
  <si>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</si>
  <si>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</si>
  <si>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</si>
  <si>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</si>
  <si>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</si>
  <si>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</si>
  <si>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</si>
  <si>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</si>
  <si>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</si>
  <si>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</si>
  <si>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</si>
  <si>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</si>
  <si>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</si>
  <si>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</si>
  <si>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</si>
  <si>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</si>
  <si>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</si>
  <si>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</si>
  <si>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</si>
  <si>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</si>
  <si>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</si>
  <si>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</si>
  <si>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</si>
  <si>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</si>
  <si>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</si>
  <si>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</si>
  <si>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</si>
  <si>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</si>
  <si>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</si>
  <si>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</si>
  <si>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</si>
  <si>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</si>
  <si>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</si>
  <si>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</si>
  <si>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</si>
  <si>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</si>
  <si>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</si>
  <si>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</si>
  <si>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</si>
  <si>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</si>
  <si>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</si>
  <si>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</si>
  <si>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</si>
  <si>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</si>
  <si>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</si>
  <si>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</si>
  <si>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</si>
  <si>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</si>
  <si>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</si>
  <si>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</si>
  <si>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</si>
  <si>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</si>
  <si>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</si>
  <si>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</si>
  <si>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</si>
  <si>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</si>
  <si>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</si>
  <si>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</si>
  <si>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</si>
  <si>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</si>
  <si>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</si>
  <si>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</si>
  <si>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</si>
  <si>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</si>
  <si>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</si>
  <si>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</si>
  <si>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</si>
  <si>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</si>
  <si>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</si>
  <si>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</si>
  <si>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</si>
  <si>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</si>
  <si>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</si>
  <si>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</si>
  <si>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</si>
  <si>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</si>
  <si>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</si>
  <si>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</si>
  <si>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</si>
  <si>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</si>
  <si>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</si>
  <si>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</si>
  <si>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</si>
  <si>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</si>
  <si>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</si>
  <si>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</si>
  <si>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</si>
  <si>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</si>
  <si>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</si>
  <si>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</si>
  <si>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</si>
  <si>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</si>
  <si>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</si>
  <si>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</si>
  <si>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</si>
  <si>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</si>
  <si>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</si>
  <si>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</si>
  <si>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</si>
  <si>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</si>
  <si>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</si>
  <si>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</si>
  <si>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</si>
  <si>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</si>
  <si>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</si>
  <si>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</si>
  <si>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</si>
  <si>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</si>
  <si>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</si>
  <si>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</si>
  <si>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</si>
  <si>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</si>
  <si>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</si>
  <si>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</si>
  <si>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</si>
  <si>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</si>
  <si>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</si>
  <si>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</si>
  <si>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</si>
  <si>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</si>
  <si>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</si>
  <si>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</si>
  <si>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</si>
  <si>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</si>
  <si>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</si>
  <si>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</si>
  <si>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</si>
  <si>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</si>
  <si>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</si>
  <si>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</si>
  <si>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</si>
  <si>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</si>
  <si>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</si>
  <si>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</si>
  <si>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</si>
  <si>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</si>
  <si>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</si>
  <si>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</si>
  <si>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</si>
  <si>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</si>
  <si>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</si>
  <si>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</si>
  <si>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</si>
  <si>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</si>
  <si>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</si>
  <si>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</si>
  <si>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</si>
  <si>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</si>
  <si>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</si>
  <si>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</si>
  <si>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</si>
  <si>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</si>
  <si>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</si>
  <si>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</si>
  <si>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</si>
  <si>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</si>
  <si>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</si>
  <si>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</si>
  <si>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</si>
  <si>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</si>
  <si>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</si>
  <si>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</si>
  <si>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</si>
  <si>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</si>
  <si>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</si>
  <si>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</si>
  <si>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</si>
  <si>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</si>
  <si>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</si>
  <si>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</si>
  <si>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</si>
  <si>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</si>
  <si>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</si>
  <si>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</si>
  <si>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</si>
  <si>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</si>
  <si>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</si>
  <si>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</si>
  <si>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</si>
  <si>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</si>
  <si>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</si>
  <si>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</si>
  <si>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</si>
  <si>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</si>
  <si>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</si>
  <si>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</si>
  <si>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</si>
  <si>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</si>
  <si>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</si>
  <si>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</si>
  <si>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</si>
  <si>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</si>
  <si>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</si>
  <si>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</si>
  <si>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</si>
  <si>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</si>
  <si>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</si>
  <si>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</si>
  <si>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</si>
  <si>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</si>
  <si>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</si>
  <si>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</si>
  <si>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</si>
  <si>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</si>
  <si>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</si>
  <si>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</si>
  <si>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</si>
  <si>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</si>
  <si>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</si>
  <si>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</si>
  <si>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</si>
  <si>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</si>
  <si>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</si>
  <si>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</si>
  <si>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</si>
  <si>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</si>
  <si>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</si>
  <si>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</si>
  <si>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</si>
  <si>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</si>
  <si>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</si>
  <si>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</si>
  <si>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</si>
  <si>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</si>
  <si>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</si>
  <si>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</si>
  <si>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</si>
  <si>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</si>
  <si>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</si>
  <si>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</si>
  <si>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</si>
  <si>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</si>
  <si>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</si>
  <si>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</si>
  <si>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</si>
  <si>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</si>
  <si>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</si>
  <si>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</si>
  <si>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</si>
  <si>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</si>
  <si>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</si>
  <si>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</si>
  <si>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</si>
  <si>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</si>
  <si>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</si>
  <si>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</si>
  <si>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</si>
  <si>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</si>
  <si>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</si>
  <si>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</si>
  <si>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</si>
  <si>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</si>
  <si>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</si>
  <si>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</si>
  <si>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</si>
  <si>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</si>
  <si>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</si>
  <si>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</si>
  <si>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</si>
  <si>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</si>
  <si>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</si>
  <si>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</si>
  <si>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</si>
  <si>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</si>
  <si>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</si>
  <si>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</si>
  <si>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</si>
  <si>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</si>
  <si>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</si>
  <si>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</si>
  <si>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</si>
  <si>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</si>
  <si>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</si>
  <si>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</si>
  <si>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</si>
  <si>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</si>
  <si>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</si>
  <si>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</si>
  <si>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</si>
  <si>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</si>
  <si>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</si>
  <si>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</si>
  <si>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</si>
  <si>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</si>
  <si>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</si>
  <si>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</si>
  <si>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</si>
  <si>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</si>
  <si>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</si>
  <si>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</si>
  <si>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</si>
  <si>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</si>
  <si>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</si>
  <si>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</si>
  <si>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</si>
  <si>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</si>
  <si>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</si>
  <si>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</si>
  <si>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</si>
  <si>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</si>
  <si>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</si>
  <si>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</si>
  <si>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</si>
  <si>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</si>
  <si>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</si>
  <si>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</si>
  <si>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</si>
  <si>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</si>
  <si>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</si>
  <si>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</si>
  <si>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</si>
  <si>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</si>
  <si>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</si>
  <si>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</si>
  <si>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</si>
  <si>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</si>
  <si>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</si>
  <si>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</si>
  <si>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</si>
  <si>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</si>
  <si>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</si>
  <si>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</si>
  <si>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</si>
  <si>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</si>
  <si>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</si>
  <si>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</si>
  <si>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</si>
  <si>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</si>
  <si>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</si>
  <si>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</si>
  <si>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</si>
  <si>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</si>
  <si>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</si>
  <si>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</si>
  <si>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</si>
  <si>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</si>
  <si>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</si>
  <si>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</si>
  <si>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</si>
  <si>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</si>
  <si>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</si>
  <si>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</si>
  <si>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</si>
  <si>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</si>
  <si>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</si>
  <si>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</si>
  <si>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</si>
  <si>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</si>
  <si>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</si>
  <si>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</si>
  <si>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</si>
  <si>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</si>
  <si>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</si>
  <si>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</si>
  <si>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</si>
  <si>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</si>
  <si>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</si>
  <si>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</si>
  <si>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</si>
  <si>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</si>
  <si>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</si>
  <si>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</si>
  <si>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</si>
  <si>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</si>
  <si>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</si>
  <si>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</si>
  <si>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</si>
  <si>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</si>
  <si>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</si>
  <si>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</si>
  <si>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</si>
  <si>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</si>
  <si>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</si>
  <si>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</si>
  <si>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</si>
  <si>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</si>
  <si>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</si>
  <si>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</si>
  <si>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</si>
  <si>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</si>
  <si>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</si>
  <si>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</si>
  <si>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</si>
  <si>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</si>
  <si>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</si>
  <si>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</si>
  <si>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</si>
  <si>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</si>
  <si>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</si>
  <si>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</si>
  <si>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</si>
  <si>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</si>
  <si>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</si>
  <si>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</si>
  <si>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</si>
  <si>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</si>
  <si>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</si>
  <si>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</si>
  <si>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</si>
  <si>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</si>
  <si>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</si>
  <si>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</si>
  <si>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</si>
  <si>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</si>
  <si>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</si>
  <si>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</si>
  <si>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</si>
  <si>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</si>
  <si>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</si>
  <si>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</si>
  <si>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</si>
  <si>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</si>
  <si>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&lt;use href='#a' transform='scale(-1,1)'/&gt;</t>
  </si>
  <si>
    <t>&lt;use href='#a' transform='scale(1,-1)'/&gt;</t>
  </si>
  <si>
    <t>&lt;use href='#a' transform='scale(-1,-1)'/&gt;</t>
  </si>
  <si>
    <t>&lt;use href='#c' transform='rotate(90)'/&gt;</t>
  </si>
  <si>
    <t>&lt;use href='#b' transform='rotate(90)'/&gt;</t>
  </si>
  <si>
    <t>&lt;use href='#a' transform='rotate(90)'/&gt;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</si>
  <si>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</si>
  <si>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</si>
  <si>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</si>
  <si>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</si>
  <si>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</si>
  <si>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</si>
  <si>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</si>
  <si>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</si>
  <si>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</si>
  <si>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</si>
  <si>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</si>
  <si>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</si>
  <si>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</si>
  <si>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</si>
  <si>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</si>
  <si>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</si>
  <si>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</si>
  <si>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</si>
  <si>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</si>
  <si>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</si>
  <si>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</si>
  <si>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</si>
  <si>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</si>
  <si>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</si>
  <si>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</si>
  <si>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</si>
  <si>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</si>
  <si>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</si>
  <si>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</si>
  <si>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</si>
  <si>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</si>
  <si>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</si>
  <si>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</si>
  <si>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</si>
  <si>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</si>
  <si>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</si>
  <si>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</si>
  <si>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</si>
  <si>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</si>
  <si>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</si>
  <si>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</si>
  <si>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</si>
  <si>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</si>
  <si>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</si>
  <si>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</si>
  <si>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</si>
  <si>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</si>
  <si>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</si>
  <si>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</si>
  <si>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</si>
  <si>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</si>
  <si>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</si>
  <si>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</si>
  <si>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</si>
  <si>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</si>
  <si>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</si>
  <si>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</si>
  <si>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</si>
  <si>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</si>
  <si>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</si>
  <si>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&lt;use href='#o' transform='rotate(180)'/&gt;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</si>
  <si>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</si>
  <si>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</si>
  <si>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</si>
  <si>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</si>
  <si>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</si>
  <si>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</si>
  <si>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</si>
  <si>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</si>
  <si>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</si>
  <si>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</si>
  <si>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</si>
  <si>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</si>
  <si>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</si>
  <si>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</si>
  <si>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</si>
  <si>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</si>
  <si>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</si>
  <si>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</si>
  <si>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</si>
  <si>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</si>
  <si>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</si>
  <si>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</si>
  <si>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</si>
  <si>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</si>
  <si>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</si>
  <si>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</si>
  <si>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</si>
  <si>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</si>
  <si>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</si>
  <si>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</si>
  <si>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</si>
  <si>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</si>
  <si>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</si>
  <si>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</si>
  <si>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</si>
  <si>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</si>
  <si>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</si>
  <si>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</si>
  <si>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</si>
  <si>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</si>
  <si>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</si>
  <si>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</si>
  <si>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</si>
  <si>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</si>
  <si>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</si>
  <si>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</si>
  <si>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</si>
  <si>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</si>
  <si>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</si>
  <si>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</si>
  <si>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</si>
  <si>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</si>
  <si>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</si>
  <si>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</si>
  <si>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</si>
  <si>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</si>
  <si>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</si>
  <si>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</si>
  <si>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</si>
  <si>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</si>
  <si>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</si>
  <si>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</si>
  <si>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</si>
  <si>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</si>
  <si>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</si>
  <si>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</si>
  <si>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</si>
  <si>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</si>
  <si>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</si>
  <si>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</si>
  <si>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</si>
  <si>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</si>
  <si>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</si>
  <si>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</si>
  <si>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</si>
  <si>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</si>
  <si>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</si>
  <si>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</si>
  <si>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</si>
  <si>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</si>
  <si>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</si>
  <si>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</si>
  <si>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</si>
  <si>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</si>
  <si>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</si>
  <si>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</si>
  <si>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</si>
  <si>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</si>
  <si>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</si>
  <si>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</si>
  <si>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</si>
  <si>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</si>
  <si>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</si>
  <si>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</si>
  <si>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</si>
  <si>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</si>
  <si>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</si>
  <si>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</si>
  <si>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</si>
  <si>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</si>
  <si>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</si>
  <si>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</si>
  <si>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</si>
  <si>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</si>
  <si>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</si>
  <si>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</si>
  <si>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</si>
  <si>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</si>
  <si>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</si>
  <si>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</si>
  <si>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</si>
  <si>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</si>
  <si>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</si>
  <si>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</si>
  <si>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</si>
  <si>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</si>
  <si>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</si>
  <si>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</si>
  <si>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</si>
  <si>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</si>
  <si>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</si>
  <si>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</si>
  <si>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</si>
  <si>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</si>
  <si>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</si>
  <si>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</si>
  <si>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</si>
  <si>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</si>
  <si>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</si>
  <si>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</si>
  <si>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</si>
  <si>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</si>
  <si>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</si>
  <si>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</si>
  <si>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</si>
  <si>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</si>
  <si>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</si>
  <si>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</si>
  <si>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</si>
  <si>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</si>
  <si>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</si>
  <si>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</si>
  <si>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</si>
  <si>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</si>
  <si>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</si>
  <si>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</si>
  <si>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</si>
  <si>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</si>
  <si>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</si>
  <si>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</si>
  <si>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</si>
  <si>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</si>
  <si>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</si>
  <si>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</si>
  <si>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</si>
  <si>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</si>
  <si>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</si>
  <si>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</si>
  <si>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</si>
  <si>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</si>
  <si>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</si>
  <si>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</si>
  <si>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</si>
  <si>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</si>
  <si>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</si>
  <si>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</si>
  <si>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</si>
  <si>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</si>
  <si>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</si>
  <si>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</si>
  <si>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</si>
  <si>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</si>
  <si>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046A38</t>
  </si>
  <si>
    <t>FF883E</t>
  </si>
  <si>
    <t>169B62</t>
  </si>
  <si>
    <t>034DA3</t>
  </si>
  <si>
    <t>005CE6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</si>
  <si>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</si>
  <si>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</si>
  <si>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</si>
  <si>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</si>
  <si>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</si>
  <si>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</si>
  <si>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</si>
  <si>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</si>
  <si>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</si>
  <si>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</si>
  <si>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</si>
  <si>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</si>
  <si>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</si>
  <si>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</si>
  <si>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</si>
  <si>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</si>
  <si>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</si>
  <si>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</si>
  <si>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</si>
  <si>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</si>
  <si>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</si>
  <si>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</si>
  <si>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</si>
  <si>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</si>
  <si>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</si>
  <si>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</si>
  <si>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</si>
  <si>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</si>
  <si>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</si>
  <si>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</si>
  <si>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</si>
  <si>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</si>
  <si>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</si>
  <si>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</si>
  <si>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</si>
  <si>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</si>
  <si>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</si>
  <si>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</si>
  <si>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</si>
  <si>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</si>
  <si>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</si>
  <si>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</si>
  <si>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</si>
  <si>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</si>
  <si>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</si>
  <si>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</si>
  <si>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</si>
  <si>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</si>
  <si>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</si>
  <si>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</si>
  <si>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</si>
  <si>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</si>
  <si>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</si>
  <si>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</si>
  <si>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</si>
  <si>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</si>
  <si>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</si>
  <si>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</si>
  <si>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</si>
  <si>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</si>
  <si>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</si>
  <si>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</si>
  <si>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</si>
  <si>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</si>
  <si>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</si>
  <si>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</si>
  <si>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</si>
  <si>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</si>
  <si>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</si>
  <si>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</si>
  <si>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</si>
  <si>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</si>
  <si>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</si>
  <si>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</si>
  <si>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</si>
  <si>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</si>
  <si>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</si>
  <si>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</si>
  <si>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</si>
  <si>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</si>
  <si>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</si>
  <si>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</si>
  <si>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</si>
  <si>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</si>
  <si>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</si>
  <si>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</si>
  <si>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</si>
  <si>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</si>
  <si>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</si>
  <si>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</si>
  <si>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</si>
  <si>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</si>
  <si>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</si>
  <si>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</si>
  <si>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</si>
  <si>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</si>
  <si>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</si>
  <si>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</si>
  <si>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</si>
  <si>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</si>
  <si>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 xml:space="preserve"> 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</si>
  <si>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</si>
  <si>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</si>
  <si>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</si>
  <si>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</si>
  <si>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</si>
  <si>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</si>
  <si>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</si>
  <si>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</si>
  <si>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</si>
  <si>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</si>
  <si>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</si>
  <si>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</si>
  <si>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</si>
  <si>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</si>
  <si>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</si>
  <si>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</si>
  <si>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</si>
  <si>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</si>
  <si>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</si>
  <si>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</si>
  <si>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</si>
  <si>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</si>
  <si>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</si>
  <si>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</si>
  <si>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</si>
  <si>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</si>
  <si>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</si>
  <si>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</si>
  <si>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</si>
  <si>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</si>
  <si>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</si>
  <si>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</si>
  <si>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</si>
  <si>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</si>
  <si>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</si>
  <si>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</si>
  <si>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</si>
  <si>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</si>
  <si>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</si>
  <si>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</si>
  <si>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</si>
  <si>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</si>
  <si>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</si>
  <si>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</si>
  <si>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</si>
  <si>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</si>
  <si>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</si>
  <si>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</si>
  <si>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</si>
  <si>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</si>
  <si>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</si>
  <si>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</si>
  <si>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</si>
  <si>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</si>
  <si>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</si>
  <si>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</si>
  <si>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</si>
  <si>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</si>
  <si>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</si>
  <si>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</si>
  <si>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</si>
  <si>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</si>
  <si>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</si>
  <si>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</si>
  <si>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</si>
  <si>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</si>
  <si>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</si>
  <si>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</si>
  <si>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</si>
  <si>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</si>
  <si>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</si>
  <si>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</si>
  <si>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</si>
  <si>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</si>
  <si>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</si>
  <si>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</si>
  <si>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</si>
  <si>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</si>
  <si>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</si>
  <si>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</si>
  <si>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</si>
  <si>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</si>
  <si>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</si>
  <si>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</si>
  <si>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</si>
  <si>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</si>
  <si>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</si>
  <si>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</si>
  <si>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</si>
  <si>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</si>
  <si>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</si>
  <si>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</si>
  <si>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</si>
  <si>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</si>
  <si>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</si>
  <si>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</si>
  <si>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</si>
  <si>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</si>
  <si>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</si>
  <si>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</si>
  <si>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</si>
  <si>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</si>
  <si>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</si>
  <si>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</si>
  <si>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</si>
  <si>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</si>
  <si>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</si>
  <si>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</si>
  <si>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</si>
  <si>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</si>
  <si>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</si>
  <si>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</si>
  <si>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</si>
  <si>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</si>
  <si>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</si>
  <si>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</si>
  <si>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</si>
  <si>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</si>
  <si>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</si>
  <si>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</si>
  <si>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</si>
  <si>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</si>
  <si>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</si>
  <si>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</si>
  <si>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</si>
  <si>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</si>
  <si>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</si>
  <si>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</si>
  <si>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</si>
  <si>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</si>
  <si>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</si>
  <si>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</si>
  <si>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</si>
  <si>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</si>
  <si>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</si>
  <si>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</si>
  <si>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</si>
  <si>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</si>
  <si>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</si>
  <si>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</si>
  <si>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</si>
  <si>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</si>
  <si>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</si>
  <si>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</si>
  <si>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</si>
  <si>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</si>
  <si>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</si>
  <si>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</si>
  <si>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</si>
  <si>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</si>
  <si>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</si>
  <si>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</si>
  <si>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</si>
  <si>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</si>
  <si>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</si>
  <si>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</si>
  <si>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</si>
  <si>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</si>
  <si>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</si>
  <si>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</si>
  <si>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</si>
  <si>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</si>
  <si>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</si>
  <si>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</si>
  <si>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</si>
  <si>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</si>
  <si>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</si>
  <si>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</si>
  <si>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</si>
  <si>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</si>
  <si>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</si>
  <si>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</si>
  <si>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</si>
  <si>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</si>
  <si>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</si>
  <si>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</si>
  <si>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</si>
  <si>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</si>
  <si>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</si>
  <si>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</si>
  <si>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</si>
  <si>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</si>
  <si>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</si>
  <si>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</si>
  <si>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</si>
  <si>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</si>
  <si>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</si>
  <si>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</si>
  <si>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</si>
  <si>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</si>
  <si>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</si>
  <si>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</si>
  <si>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</si>
  <si>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</si>
  <si>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</si>
  <si>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</si>
  <si>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</si>
  <si>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</si>
  <si>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</si>
  <si>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</si>
  <si>
    <t>C0C0C0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</si>
</sst>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78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eetMetadata" Target="metadata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2"/>
          <c:min val="-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5"/>
        <c:minorUnit val="1"/>
      </c:valAx>
      <c:valAx>
        <c:axId val="1859196671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812800</xdr:colOff>
      <xdr:row>15</xdr:row>
      <xdr:rowOff>0</xdr:rowOff>
    </xdr:from>
    <xdr:to>
      <xdr:col>17</xdr:col>
      <xdr:colOff>406400</xdr:colOff>
      <xdr:row>34</xdr:row>
      <xdr:rowOff>114300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22</xdr:row>
      <xdr:rowOff>101600</xdr:rowOff>
    </xdr:from>
    <xdr:to>
      <xdr:col>1</xdr:col>
      <xdr:colOff>774700</xdr:colOff>
      <xdr:row>24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48</xdr:row>
      <xdr:rowOff>0</xdr:rowOff>
    </xdr:from>
    <xdr:to>
      <xdr:col>8</xdr:col>
      <xdr:colOff>723900</xdr:colOff>
      <xdr:row>50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2</xdr:row>
      <xdr:rowOff>50800</xdr:rowOff>
    </xdr:from>
    <xdr:to>
      <xdr:col>15</xdr:col>
      <xdr:colOff>50800</xdr:colOff>
      <xdr:row>4</xdr:row>
      <xdr:rowOff>152400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10782300" y="469900"/>
          <a:ext cx="2476500" cy="5080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BU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73" x14ac:dyDescent="0.2">
      <c r="F1" s="57"/>
    </row>
    <row r="2" spans="2:73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798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1621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1628</v>
      </c>
      <c r="AW2" t="str">
        <f xml:space="preserve"> AV2</f>
        <v>DZD</v>
      </c>
      <c r="AX2" t="str">
        <f xml:space="preserve"> AW2</f>
        <v>DZD</v>
      </c>
      <c r="AZ2" t="s">
        <v>1974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1719</v>
      </c>
      <c r="BM2" t="str">
        <f xml:space="preserve"> BL2</f>
        <v>PAB</v>
      </c>
      <c r="BN2" t="str">
        <f xml:space="preserve"> BM2</f>
        <v>PAB</v>
      </c>
      <c r="BP2" t="s">
        <v>141</v>
      </c>
      <c r="BQ2" t="str">
        <f xml:space="preserve"> BP2</f>
        <v>VE</v>
      </c>
      <c r="BR2" t="str">
        <f xml:space="preserve"> BQ2</f>
        <v>VE</v>
      </c>
      <c r="BU2" t="e">
        <f xml:space="preserve"> NA()</f>
        <v>#N/A</v>
      </c>
    </row>
    <row r="3" spans="2:73" x14ac:dyDescent="0.2">
      <c r="C3" s="58" t="s">
        <v>2101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</row>
    <row r="4" spans="2:73" x14ac:dyDescent="0.2">
      <c r="C4" s="58" t="s">
        <v>2102</v>
      </c>
      <c r="D4" s="1">
        <f xml:space="preserve"> SQRT(Star_5_2.AreaMultiplier_Default * BasicBBoxArea)</f>
        <v>101.76157196112551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</row>
    <row r="5" spans="2:73" x14ac:dyDescent="0.2">
      <c r="C5" s="1"/>
      <c r="D5" s="1"/>
      <c r="F5" s="58" t="s">
        <v>143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</row>
    <row r="6" spans="2:73" x14ac:dyDescent="0.2">
      <c r="C6" s="1"/>
      <c r="D6" s="1"/>
      <c r="F6" s="58" t="s">
        <v>150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</row>
    <row r="7" spans="2:73" x14ac:dyDescent="0.2">
      <c r="C7" s="1"/>
      <c r="D7" s="1"/>
      <c r="F7" s="58" t="s">
        <v>142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17" xml:space="preserve"> IF(ISNUMBER(X7), X7, "·")</f>
        <v>·</v>
      </c>
      <c r="Z7" t="str">
        <f t="shared" si="17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</row>
    <row r="8" spans="2:73" x14ac:dyDescent="0.2">
      <c r="C8" s="1"/>
      <c r="D8" s="1"/>
      <c r="F8" s="58" t="s">
        <v>1785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</row>
    <row r="9" spans="2:73" x14ac:dyDescent="0.2">
      <c r="F9" s="58" t="s">
        <v>124</v>
      </c>
      <c r="I9" s="6"/>
      <c r="J9" s="6" t="s">
        <v>727</v>
      </c>
      <c r="M9" s="6"/>
      <c r="N9" s="6" t="s">
        <v>1714</v>
      </c>
      <c r="Q9" s="6"/>
      <c r="R9" s="6" t="s">
        <v>1476</v>
      </c>
      <c r="U9" s="6"/>
      <c r="V9" s="6" t="s">
        <v>786</v>
      </c>
      <c r="Y9" s="6"/>
      <c r="Z9" s="6" t="s">
        <v>787</v>
      </c>
      <c r="AC9" s="6"/>
      <c r="AD9" s="6" t="s">
        <v>788</v>
      </c>
      <c r="AG9" s="6"/>
      <c r="AH9" s="6" t="s">
        <v>789</v>
      </c>
      <c r="AK9" s="6"/>
      <c r="AL9" s="6" t="s">
        <v>1622</v>
      </c>
      <c r="AO9" s="6"/>
      <c r="AP9" s="6" t="s">
        <v>791</v>
      </c>
      <c r="AS9" s="6"/>
      <c r="AT9" s="6" t="s">
        <v>792</v>
      </c>
      <c r="AW9" s="6"/>
      <c r="AX9" s="6" t="s">
        <v>1629</v>
      </c>
      <c r="BA9" s="6"/>
      <c r="BB9" s="6" t="s">
        <v>727</v>
      </c>
      <c r="BE9" s="36"/>
      <c r="BF9" s="36" t="s">
        <v>1066</v>
      </c>
      <c r="BI9" s="6"/>
      <c r="BJ9" s="6" t="s">
        <v>1838</v>
      </c>
      <c r="BM9" s="6"/>
      <c r="BN9" s="6" t="s">
        <v>1709</v>
      </c>
      <c r="BQ9" s="6"/>
      <c r="BR9" s="6" t="s">
        <v>718</v>
      </c>
      <c r="BS9" s="6"/>
      <c r="BT9" s="6"/>
    </row>
    <row r="10" spans="2:73" x14ac:dyDescent="0.2">
      <c r="F10" s="58" t="s">
        <v>151</v>
      </c>
      <c r="I10" s="6"/>
      <c r="J10" s="6" t="s">
        <v>2103</v>
      </c>
      <c r="M10" s="6"/>
      <c r="N10" s="6" t="s">
        <v>2103</v>
      </c>
      <c r="Q10" s="6"/>
      <c r="R10" s="6" t="s">
        <v>2103</v>
      </c>
      <c r="U10" s="6"/>
      <c r="V10" s="6" t="s">
        <v>790</v>
      </c>
      <c r="Y10" s="6"/>
      <c r="Z10" s="6" t="s">
        <v>2103</v>
      </c>
      <c r="AC10" s="6"/>
      <c r="AD10" s="6" t="s">
        <v>2103</v>
      </c>
      <c r="AG10" s="6"/>
      <c r="AH10" s="6" t="s">
        <v>2103</v>
      </c>
      <c r="AK10" s="6"/>
      <c r="AL10" s="6" t="s">
        <v>1623</v>
      </c>
      <c r="AO10" s="6"/>
      <c r="AP10" s="6" t="s">
        <v>2103</v>
      </c>
      <c r="AS10" s="6"/>
      <c r="AT10" s="6"/>
      <c r="AW10" s="6"/>
      <c r="AX10" s="6" t="s">
        <v>2103</v>
      </c>
      <c r="BA10" s="6"/>
      <c r="BB10" s="6" t="s">
        <v>723</v>
      </c>
      <c r="BE10" s="36"/>
      <c r="BF10" s="36" t="s">
        <v>1067</v>
      </c>
      <c r="BI10" s="6"/>
      <c r="BJ10" s="6" t="s">
        <v>2103</v>
      </c>
      <c r="BM10" s="6"/>
      <c r="BN10" s="6"/>
      <c r="BQ10" s="6"/>
      <c r="BR10" s="6" t="s">
        <v>722</v>
      </c>
      <c r="BS10" s="6"/>
      <c r="BT10" s="6"/>
    </row>
    <row r="11" spans="2:73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729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1539</v>
      </c>
      <c r="AW11" s="6"/>
      <c r="AX11" s="6" t="s">
        <v>1630</v>
      </c>
      <c r="BA11" s="6"/>
      <c r="BB11" s="6" t="s">
        <v>727</v>
      </c>
      <c r="BI11" s="6"/>
      <c r="BJ11" s="6" t="s">
        <v>785</v>
      </c>
      <c r="BM11" s="6"/>
      <c r="BN11" s="6" t="s">
        <v>1710</v>
      </c>
      <c r="BQ11" s="6"/>
      <c r="BR11" s="6" t="s">
        <v>793</v>
      </c>
      <c r="BS11" s="6"/>
      <c r="BT11" s="6"/>
    </row>
    <row r="12" spans="2:73" x14ac:dyDescent="0.2">
      <c r="B12" t="b">
        <v>1</v>
      </c>
      <c r="F12" s="58" t="s">
        <v>1695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57"/>
    </row>
    <row r="13" spans="2:73" s="36" customFormat="1" x14ac:dyDescent="0.2">
      <c r="F13" s="58" t="s">
        <v>1542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18" xml:space="preserve"> IF(ISNUMBER(H13), H13, "·")</f>
        <v>4</v>
      </c>
      <c r="J13">
        <f t="shared" si="18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19" xml:space="preserve"> IF(ISNUMBER(L13), L13, "·")</f>
        <v>4</v>
      </c>
      <c r="N13">
        <f t="shared" si="19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0" xml:space="preserve"> IF(ISNUMBER(P13), P13, "·")</f>
        <v>5</v>
      </c>
      <c r="R13">
        <f t="shared" si="20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1" xml:space="preserve"> IF(ISNUMBER(T13), T13, "·")</f>
        <v>4</v>
      </c>
      <c r="V13">
        <f t="shared" si="21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2" xml:space="preserve"> IF(ISNUMBER(X13), X13, "·")</f>
        <v>5</v>
      </c>
      <c r="Z13">
        <f t="shared" si="22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3" xml:space="preserve"> IF(ISNUMBER(AB13), AB13, "·")</f>
        <v>4</v>
      </c>
      <c r="AD13">
        <f t="shared" si="23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24" xml:space="preserve"> IF(ISNUMBER(AF13), AF13, "·")</f>
        <v>4</v>
      </c>
      <c r="AH13">
        <f t="shared" si="24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25" xml:space="preserve"> IF(ISNUMBER(AJ13), AJ13, "·")</f>
        <v>5</v>
      </c>
      <c r="AL13">
        <f t="shared" si="25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26" xml:space="preserve"> IF(ISNUMBER(AN13), AN13, "·")</f>
        <v>4</v>
      </c>
      <c r="AP13">
        <f t="shared" si="26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27" xml:space="preserve"> IF(ISNUMBER(AR13), AR13, "·")</f>
        <v>5</v>
      </c>
      <c r="AT13">
        <f t="shared" si="27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28" xml:space="preserve"> IF(ISNUMBER(AV13), AV13, "·")</f>
        <v>5</v>
      </c>
      <c r="AX13">
        <f t="shared" si="28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29" xml:space="preserve"> IF(ISNUMBER(AZ13), AZ13, "·")</f>
        <v>4</v>
      </c>
      <c r="BB13">
        <f t="shared" si="29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0" xml:space="preserve"> IF(ISNUMBER(BD13), BD13, "·")</f>
        <v>4</v>
      </c>
      <c r="BF13">
        <f t="shared" si="30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1" xml:space="preserve"> IF(ISNUMBER(BH13), BH13, "·")</f>
        <v>4</v>
      </c>
      <c r="BJ13">
        <f t="shared" si="31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2" xml:space="preserve"> IF(ISNUMBER(BL13), BL13, "·")</f>
        <v>5</v>
      </c>
      <c r="BN13">
        <f t="shared" si="32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3" xml:space="preserve"> IF(ISNUMBER(BP13), BP13, "·")</f>
        <v>4</v>
      </c>
      <c r="BR13">
        <f t="shared" si="33"/>
        <v>4</v>
      </c>
    </row>
    <row r="14" spans="2:73" x14ac:dyDescent="0.2">
      <c r="D14" s="1"/>
      <c r="F14" s="59"/>
      <c r="G14" s="5"/>
    </row>
    <row r="15" spans="2:73" x14ac:dyDescent="0.2">
      <c r="J15" cm="1">
        <f t="array" ref="J15" xml:space="preserve"> SVG_length(J$73:J$84)</f>
        <v>342</v>
      </c>
      <c r="N15" cm="1">
        <f t="array" ref="N15" xml:space="preserve"> SVG_length(N$73:N$84)</f>
        <v>303</v>
      </c>
      <c r="R15" cm="1">
        <f t="array" ref="R15" xml:space="preserve"> SVG_length(R$73:R$84)</f>
        <v>365</v>
      </c>
      <c r="V15" cm="1">
        <f t="array" ref="V15" xml:space="preserve"> SVG_length(V$73:V$84)</f>
        <v>391</v>
      </c>
      <c r="Z15" cm="1">
        <f t="array" ref="Z15" xml:space="preserve"> SVG_length(Z$73:Z$84)</f>
        <v>253</v>
      </c>
      <c r="AD15" cm="1">
        <f t="array" ref="AD15" xml:space="preserve"> SVG_length(AD$73:AD$84)</f>
        <v>383</v>
      </c>
      <c r="AH15" cm="1">
        <f t="array" ref="AH15" xml:space="preserve"> SVG_length(AH$73:AH$84)</f>
        <v>355</v>
      </c>
      <c r="AL15" cm="1">
        <f t="array" ref="AL15" xml:space="preserve"> SVG_length(AL$73:AL$84)</f>
        <v>361</v>
      </c>
      <c r="AP15" cm="1">
        <f t="array" ref="AP15" xml:space="preserve"> SVG_length(AP$73:AP$84)</f>
        <v>310</v>
      </c>
      <c r="AT15" cm="1">
        <f t="array" ref="AT15" xml:space="preserve"> SVG_length(AT$73:AT$84)</f>
        <v>500</v>
      </c>
      <c r="AX15" cm="1">
        <f t="array" ref="AX15" xml:space="preserve"> SVG_length(AX$73:AX$84)</f>
        <v>383</v>
      </c>
      <c r="BB15" cm="1">
        <f t="array" ref="BB15" xml:space="preserve"> SVG_length(BB$73:BB$84)</f>
        <v>391</v>
      </c>
      <c r="BF15" cm="1">
        <f t="array" ref="BF15" xml:space="preserve"> SVG_length(BF$73:BF$84)</f>
        <v>358</v>
      </c>
      <c r="BJ15" cm="1">
        <f t="array" ref="BJ15" xml:space="preserve"> SVG_length(BJ$73:BJ$84)</f>
        <v>326</v>
      </c>
      <c r="BN15" cm="1">
        <f t="array" ref="BN15" xml:space="preserve"> SVG_length(BN$73:BN$84)</f>
        <v>266</v>
      </c>
      <c r="BR15" cm="1">
        <f t="array" ref="BR15" xml:space="preserve"> SVG_length(BR$73:BR$84)</f>
        <v>420</v>
      </c>
    </row>
    <row r="16" spans="2:73" ht="17" thickBot="1" x14ac:dyDescent="0.25">
      <c r="B16" s="2" t="s">
        <v>123</v>
      </c>
      <c r="C16" s="2" t="s">
        <v>16</v>
      </c>
      <c r="D16" s="2" t="s">
        <v>17</v>
      </c>
    </row>
    <row r="17" spans="2:70" x14ac:dyDescent="0.2">
      <c r="B17" s="41"/>
      <c r="C17" s="41"/>
      <c r="D17" s="41"/>
    </row>
    <row r="18" spans="2:70" x14ac:dyDescent="0.2">
      <c r="B18" t="s">
        <v>1786</v>
      </c>
      <c r="C18" s="1">
        <f xml:space="preserve"> 0</f>
        <v>0</v>
      </c>
      <c r="D18" s="1">
        <f xml:space="preserve"> 1</f>
        <v>1</v>
      </c>
      <c r="H18">
        <f t="shared" ref="H18:H27" si="3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35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3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37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3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39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40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41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4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4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44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45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46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47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4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49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50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51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5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5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54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55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5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57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5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59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61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6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6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65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</row>
    <row r="19" spans="2:70" x14ac:dyDescent="0.2">
      <c r="B19" t="s">
        <v>1786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34"/>
        <v>-2.2450999999999999</v>
      </c>
      <c r="I19">
        <f t="shared" si="35"/>
        <v>-3.0901999999999998</v>
      </c>
      <c r="J19" t="str">
        <v>l-2.2451 6.9098</v>
      </c>
      <c r="L19">
        <f t="shared" si="36"/>
        <v>-1.5716000000000001</v>
      </c>
      <c r="M19">
        <f t="shared" si="37"/>
        <v>-2.1631</v>
      </c>
      <c r="N19" t="str">
        <v>l-1.5716 4.8369</v>
      </c>
      <c r="P19">
        <f t="shared" si="38"/>
        <v>-1.1225700000000001</v>
      </c>
      <c r="Q19">
        <f t="shared" si="39"/>
        <v>-1.54508</v>
      </c>
      <c r="R19" t="str">
        <v>l-1.1226 3.4549</v>
      </c>
      <c r="T19">
        <f t="shared" si="40"/>
        <v>-2.7416</v>
      </c>
      <c r="U19">
        <f t="shared" si="41"/>
        <v>2.6596000000000002</v>
      </c>
      <c r="V19" t="str">
        <v>l7.1579 1.2454</v>
      </c>
      <c r="X19">
        <f t="shared" si="42"/>
        <v>-0.22450999999999999</v>
      </c>
      <c r="Y19">
        <f t="shared" si="43"/>
        <v>-0.30902000000000002</v>
      </c>
      <c r="Z19" t="str">
        <v>l-.2245 .691</v>
      </c>
      <c r="AB19">
        <f t="shared" si="44"/>
        <v>0.81799999999999995</v>
      </c>
      <c r="AC19">
        <f t="shared" si="45"/>
        <v>-3.7309999999999999</v>
      </c>
      <c r="AD19" t="str">
        <v>L.818 -3.731</v>
      </c>
      <c r="AF19">
        <f t="shared" si="46"/>
        <v>-3.0901999999999998</v>
      </c>
      <c r="AG19">
        <f t="shared" si="47"/>
        <v>2.2450999999999999</v>
      </c>
      <c r="AH19" t="str">
        <v>l6.9098 2.2451</v>
      </c>
      <c r="AJ19">
        <f t="shared" si="48"/>
        <v>-0.89805999999999997</v>
      </c>
      <c r="AK19">
        <f t="shared" si="49"/>
        <v>-1.23607</v>
      </c>
      <c r="AL19" t="str">
        <v>l-.8981 2.7639</v>
      </c>
      <c r="AN19">
        <f t="shared" si="50"/>
        <v>-4.0171999999999999</v>
      </c>
      <c r="AO19">
        <f t="shared" si="51"/>
        <v>2.9186999999999999</v>
      </c>
      <c r="AP19" t="str">
        <v>l8.9828 2.9187</v>
      </c>
      <c r="AR19">
        <f t="shared" si="52"/>
        <v>-0.22450999999999999</v>
      </c>
      <c r="AS19">
        <f t="shared" si="53"/>
        <v>-0.30902000000000002</v>
      </c>
      <c r="AT19" t="str">
        <v>l-.2245 .691</v>
      </c>
      <c r="AV19">
        <f t="shared" si="54"/>
        <v>1.8541000000000001</v>
      </c>
      <c r="AW19">
        <f t="shared" si="55"/>
        <v>-1.3470800000000001</v>
      </c>
      <c r="AX19" t="str">
        <v>L1.8541 -1.3471</v>
      </c>
      <c r="AZ19">
        <f t="shared" si="56"/>
        <v>-6.0618999999999996</v>
      </c>
      <c r="BA19">
        <f t="shared" si="57"/>
        <v>-8.3435000000000006</v>
      </c>
      <c r="BB19" t="str">
        <v>L-6.0619 -8.3435</v>
      </c>
      <c r="BD19">
        <f t="shared" si="58"/>
        <v>-2.2450999999999999</v>
      </c>
      <c r="BE19">
        <f t="shared" si="59"/>
        <v>-3.0901999999999998</v>
      </c>
      <c r="BF19" t="str">
        <v>l-2.2451 6.9098</v>
      </c>
      <c r="BH19">
        <f t="shared" si="60"/>
        <v>-1.5716000000000001</v>
      </c>
      <c r="BI19">
        <f t="shared" si="61"/>
        <v>-2.1631</v>
      </c>
      <c r="BJ19" t="str">
        <v>l-1.5716 4.8369</v>
      </c>
      <c r="BL19">
        <f t="shared" si="62"/>
        <v>-0.22450999999999999</v>
      </c>
      <c r="BM19">
        <f t="shared" si="63"/>
        <v>-0.30902000000000002</v>
      </c>
      <c r="BN19" t="str">
        <v>l-.2245 .691</v>
      </c>
      <c r="BP19">
        <f t="shared" si="64"/>
        <v>-6.0618999999999996</v>
      </c>
      <c r="BQ19">
        <f t="shared" si="65"/>
        <v>-8.3435000000000006</v>
      </c>
      <c r="BR19" t="str">
        <v>L-6.0619 -8.3435</v>
      </c>
    </row>
    <row r="20" spans="2:70" x14ac:dyDescent="0.2">
      <c r="B20" t="s">
        <v>1786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34"/>
        <v>-9.5106000000000002</v>
      </c>
      <c r="I20">
        <f t="shared" si="35"/>
        <v>-3.0901999999999998</v>
      </c>
      <c r="J20" t="str">
        <v>H-9.5106</v>
      </c>
      <c r="L20">
        <f t="shared" si="36"/>
        <v>-6.6574</v>
      </c>
      <c r="M20">
        <f t="shared" si="37"/>
        <v>-2.1631</v>
      </c>
      <c r="N20" t="str">
        <v>H-6.6574</v>
      </c>
      <c r="P20">
        <f t="shared" si="38"/>
        <v>-4.75528</v>
      </c>
      <c r="Q20">
        <f t="shared" si="39"/>
        <v>-1.54508</v>
      </c>
      <c r="R20" t="str">
        <v>H-4.7553</v>
      </c>
      <c r="T20">
        <f t="shared" si="40"/>
        <v>-1.7141</v>
      </c>
      <c r="U20">
        <f t="shared" si="41"/>
        <v>9.8520000000000003</v>
      </c>
      <c r="V20" t="str">
        <v>L-1.7141 9.852</v>
      </c>
      <c r="X20">
        <f t="shared" si="42"/>
        <v>-0.95106000000000002</v>
      </c>
      <c r="Y20">
        <f t="shared" si="43"/>
        <v>-0.30902000000000002</v>
      </c>
      <c r="Z20" t="str">
        <v>H-.9511</v>
      </c>
      <c r="AB20">
        <f t="shared" si="44"/>
        <v>-4.0088999999999997</v>
      </c>
      <c r="AC20">
        <f t="shared" si="45"/>
        <v>-9.1613000000000007</v>
      </c>
      <c r="AD20" t="str">
        <v>L-4.0089 -9.1613</v>
      </c>
      <c r="AF20">
        <f t="shared" si="46"/>
        <v>-3.0901999999999998</v>
      </c>
      <c r="AG20">
        <f t="shared" si="47"/>
        <v>9.5106000000000002</v>
      </c>
      <c r="AH20" t="str">
        <v>V9.5106</v>
      </c>
      <c r="AJ20">
        <f t="shared" si="48"/>
        <v>-3.80423</v>
      </c>
      <c r="AK20">
        <f t="shared" si="49"/>
        <v>-1.23607</v>
      </c>
      <c r="AL20" t="str">
        <v>H-3.8042</v>
      </c>
      <c r="AN20">
        <f t="shared" si="50"/>
        <v>-4.0171999999999999</v>
      </c>
      <c r="AO20">
        <f t="shared" si="51"/>
        <v>12.3637</v>
      </c>
      <c r="AP20" t="str">
        <v>v9.445</v>
      </c>
      <c r="AR20">
        <f t="shared" si="52"/>
        <v>-0.95106000000000002</v>
      </c>
      <c r="AS20">
        <f t="shared" si="53"/>
        <v>-0.30902000000000002</v>
      </c>
      <c r="AT20" t="str">
        <v>H-.9511</v>
      </c>
      <c r="AV20">
        <f t="shared" si="54"/>
        <v>1.8541000000000001</v>
      </c>
      <c r="AW20">
        <f t="shared" si="55"/>
        <v>-5.70634</v>
      </c>
      <c r="AX20" t="str">
        <v>V-5.7063</v>
      </c>
      <c r="AZ20">
        <f t="shared" si="56"/>
        <v>-25.6785</v>
      </c>
      <c r="BA20">
        <f t="shared" si="57"/>
        <v>-8.3435000000000006</v>
      </c>
      <c r="BB20" t="str">
        <v>H-25.6785</v>
      </c>
      <c r="BD20">
        <f t="shared" si="58"/>
        <v>-9.5106000000000002</v>
      </c>
      <c r="BE20">
        <f t="shared" si="59"/>
        <v>-3.0901999999999998</v>
      </c>
      <c r="BF20" t="str">
        <v>H-9.5106</v>
      </c>
      <c r="BH20">
        <f t="shared" si="60"/>
        <v>-6.6574</v>
      </c>
      <c r="BI20">
        <f t="shared" si="61"/>
        <v>-2.1631</v>
      </c>
      <c r="BJ20" t="str">
        <v>H-6.6574</v>
      </c>
      <c r="BL20">
        <f t="shared" si="62"/>
        <v>-0.95106000000000002</v>
      </c>
      <c r="BM20">
        <f t="shared" si="63"/>
        <v>-0.30902000000000002</v>
      </c>
      <c r="BN20" t="str">
        <v>H-.9511</v>
      </c>
      <c r="BP20">
        <f t="shared" si="64"/>
        <v>-25.6785</v>
      </c>
      <c r="BQ20">
        <f t="shared" si="65"/>
        <v>-8.3435000000000006</v>
      </c>
      <c r="BR20" t="str">
        <v>H-25.6785</v>
      </c>
    </row>
    <row r="21" spans="2:70" x14ac:dyDescent="0.2">
      <c r="B21" t="s">
        <v>1786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34"/>
        <v>-3.6326999999999998</v>
      </c>
      <c r="I21">
        <f t="shared" si="35"/>
        <v>1.1802999999999999</v>
      </c>
      <c r="J21" t="str">
        <v>l5.8779 4.2705</v>
      </c>
      <c r="L21">
        <f t="shared" si="36"/>
        <v>-2.5428999999999999</v>
      </c>
      <c r="M21">
        <f t="shared" si="37"/>
        <v>0.82620000000000005</v>
      </c>
      <c r="N21" t="str">
        <v>L-2.5429 .8262</v>
      </c>
      <c r="P21">
        <f t="shared" si="38"/>
        <v>-1.81636</v>
      </c>
      <c r="Q21">
        <f t="shared" si="39"/>
        <v>0.59016999999999997</v>
      </c>
      <c r="R21" t="str">
        <v>L-1.8164 .5902</v>
      </c>
      <c r="T21">
        <f t="shared" si="40"/>
        <v>1.6821999999999999</v>
      </c>
      <c r="U21">
        <f t="shared" si="41"/>
        <v>3.4293</v>
      </c>
      <c r="V21" t="str">
        <v>L1.6822 3.4293</v>
      </c>
      <c r="X21">
        <f t="shared" si="42"/>
        <v>-0.36326999999999998</v>
      </c>
      <c r="Y21">
        <f t="shared" si="43"/>
        <v>0.11803</v>
      </c>
      <c r="Z21" t="str">
        <v>l.5878 .427</v>
      </c>
      <c r="AB21">
        <f t="shared" si="44"/>
        <v>-3.2955999999999999</v>
      </c>
      <c r="AC21">
        <f t="shared" si="45"/>
        <v>-1.9309000000000001</v>
      </c>
      <c r="AD21" t="str">
        <v>l.7133 7.2304</v>
      </c>
      <c r="AF21">
        <f t="shared" si="46"/>
        <v>1.1802999999999999</v>
      </c>
      <c r="AG21">
        <f t="shared" si="47"/>
        <v>3.6326999999999998</v>
      </c>
      <c r="AH21" t="str">
        <v>L1.1803 3.6327</v>
      </c>
      <c r="AJ21">
        <f t="shared" si="48"/>
        <v>-1.45309</v>
      </c>
      <c r="AK21">
        <f t="shared" si="49"/>
        <v>0.47214</v>
      </c>
      <c r="AL21" t="str">
        <v>L-1.4531 .4721</v>
      </c>
      <c r="AN21">
        <f t="shared" si="50"/>
        <v>1.5344</v>
      </c>
      <c r="AO21">
        <f t="shared" si="51"/>
        <v>4.7225000000000001</v>
      </c>
      <c r="AP21" t="str">
        <v>L1.5344 4.7225</v>
      </c>
      <c r="AR21">
        <f t="shared" si="52"/>
        <v>-0.36326999999999998</v>
      </c>
      <c r="AS21">
        <f t="shared" si="53"/>
        <v>0.11803</v>
      </c>
      <c r="AT21" t="str">
        <v>l.5878 .427</v>
      </c>
      <c r="AV21">
        <f t="shared" si="54"/>
        <v>-0.70820000000000005</v>
      </c>
      <c r="AW21">
        <f t="shared" si="55"/>
        <v>-2.17963</v>
      </c>
      <c r="AX21" t="str">
        <v>L-.7082 -2.1796</v>
      </c>
      <c r="AZ21">
        <f t="shared" si="56"/>
        <v>-9.8082999999999991</v>
      </c>
      <c r="BA21">
        <f t="shared" si="57"/>
        <v>3.1869000000000001</v>
      </c>
      <c r="BB21" t="str">
        <v>L-9.8083 3.1869</v>
      </c>
      <c r="BD21">
        <f t="shared" si="58"/>
        <v>-3.6326999999999998</v>
      </c>
      <c r="BE21">
        <f t="shared" si="59"/>
        <v>1.1802999999999999</v>
      </c>
      <c r="BF21" t="str">
        <v>l5.8779 4.2705</v>
      </c>
      <c r="BH21">
        <f t="shared" si="60"/>
        <v>-2.5428999999999999</v>
      </c>
      <c r="BI21">
        <f t="shared" si="61"/>
        <v>0.82620000000000005</v>
      </c>
      <c r="BJ21" t="str">
        <v>L-2.5429 .8262</v>
      </c>
      <c r="BL21">
        <f t="shared" si="62"/>
        <v>-0.36326999999999998</v>
      </c>
      <c r="BM21">
        <f t="shared" si="63"/>
        <v>0.11803</v>
      </c>
      <c r="BN21" t="str">
        <v>l.5878 .427</v>
      </c>
      <c r="BP21">
        <f t="shared" si="64"/>
        <v>-9.8082999999999991</v>
      </c>
      <c r="BQ21">
        <f t="shared" si="65"/>
        <v>3.1869000000000001</v>
      </c>
      <c r="BR21" t="str">
        <v>L-9.8083 3.1869</v>
      </c>
    </row>
    <row r="22" spans="2:70" x14ac:dyDescent="0.2">
      <c r="B22" t="s">
        <v>1786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34"/>
        <v>-5.8779000000000003</v>
      </c>
      <c r="I22">
        <f t="shared" si="35"/>
        <v>8.0901999999999994</v>
      </c>
      <c r="J22" t="str">
        <v>L-5.8779 8.0902</v>
      </c>
      <c r="L22">
        <f t="shared" si="36"/>
        <v>-4.1144999999999996</v>
      </c>
      <c r="M22">
        <f t="shared" si="37"/>
        <v>5.6631</v>
      </c>
      <c r="N22" t="str">
        <v>L-4.1145 5.6631</v>
      </c>
      <c r="P22">
        <f t="shared" si="38"/>
        <v>-2.93893</v>
      </c>
      <c r="Q22">
        <f t="shared" si="39"/>
        <v>4.0450799999999996</v>
      </c>
      <c r="R22" t="str">
        <v>L-2.9389 4.0451</v>
      </c>
      <c r="T22">
        <f t="shared" si="40"/>
        <v>8.8400999999999996</v>
      </c>
      <c r="U22">
        <f t="shared" si="41"/>
        <v>4.6746999999999996</v>
      </c>
      <c r="V22" t="str">
        <v>L8.8401 4.6747</v>
      </c>
      <c r="X22">
        <f t="shared" si="42"/>
        <v>-0.58779000000000003</v>
      </c>
      <c r="Y22">
        <f t="shared" si="43"/>
        <v>0.80901999999999996</v>
      </c>
      <c r="Z22" t="str">
        <v>L-.5878 .809</v>
      </c>
      <c r="AB22">
        <f t="shared" si="44"/>
        <v>-9.9517000000000007</v>
      </c>
      <c r="AC22">
        <f t="shared" si="45"/>
        <v>0.98170000000000002</v>
      </c>
      <c r="AD22" t="str">
        <v>L-9.9517 .9817</v>
      </c>
      <c r="AF22">
        <f t="shared" si="46"/>
        <v>8.0901999999999994</v>
      </c>
      <c r="AG22">
        <f t="shared" si="47"/>
        <v>5.8779000000000003</v>
      </c>
      <c r="AH22" t="str">
        <v>L8.0902 5.8779</v>
      </c>
      <c r="AJ22">
        <f t="shared" si="48"/>
        <v>-2.35114</v>
      </c>
      <c r="AK22">
        <f t="shared" si="49"/>
        <v>3.2360699999999998</v>
      </c>
      <c r="AL22" t="str">
        <v>l-.898 2.764</v>
      </c>
      <c r="AN22">
        <f t="shared" si="50"/>
        <v>10.517200000000001</v>
      </c>
      <c r="AO22">
        <f t="shared" si="51"/>
        <v>7.6412000000000004</v>
      </c>
      <c r="AP22" t="str">
        <v>l8.9828 2.9187</v>
      </c>
      <c r="AR22">
        <f t="shared" si="52"/>
        <v>-0.58779000000000003</v>
      </c>
      <c r="AS22">
        <f t="shared" si="53"/>
        <v>0.80901999999999996</v>
      </c>
      <c r="AT22" t="str">
        <v>L-.5878 .809</v>
      </c>
      <c r="AV22">
        <f t="shared" si="54"/>
        <v>-4.8540999999999999</v>
      </c>
      <c r="AW22">
        <f t="shared" si="55"/>
        <v>-3.52671</v>
      </c>
      <c r="AX22" t="str">
        <v>L-4.8541 -3.5267</v>
      </c>
      <c r="AZ22">
        <f t="shared" si="56"/>
        <v>-15.870200000000001</v>
      </c>
      <c r="BA22">
        <f t="shared" si="57"/>
        <v>21.843499999999999</v>
      </c>
      <c r="BB22" t="str">
        <v>l-6.0619 18.6566</v>
      </c>
      <c r="BD22">
        <f t="shared" si="58"/>
        <v>-5.8779000000000003</v>
      </c>
      <c r="BE22">
        <f t="shared" si="59"/>
        <v>8.0901999999999994</v>
      </c>
      <c r="BF22" t="str">
        <v>L-5.8779 8.0902</v>
      </c>
      <c r="BH22">
        <f t="shared" si="60"/>
        <v>-4.1144999999999996</v>
      </c>
      <c r="BI22">
        <f t="shared" si="61"/>
        <v>5.6631</v>
      </c>
      <c r="BJ22" t="str">
        <v>L-4.1145 5.6631</v>
      </c>
      <c r="BL22">
        <f t="shared" si="62"/>
        <v>-0.58779000000000003</v>
      </c>
      <c r="BM22">
        <f t="shared" si="63"/>
        <v>0.80901999999999996</v>
      </c>
      <c r="BN22" t="str">
        <v>L-.5878 .809</v>
      </c>
      <c r="BP22">
        <f t="shared" si="64"/>
        <v>-15.870200000000001</v>
      </c>
      <c r="BQ22">
        <f t="shared" si="65"/>
        <v>21.843499999999999</v>
      </c>
      <c r="BR22" t="str">
        <v>l-6.0619 18.6566</v>
      </c>
    </row>
    <row r="23" spans="2:70" x14ac:dyDescent="0.2">
      <c r="B23" t="s">
        <v>1786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34"/>
        <v>0</v>
      </c>
      <c r="I23">
        <f t="shared" si="35"/>
        <v>3.8197000000000001</v>
      </c>
      <c r="J23" t="str">
        <v>L0 3.8197</v>
      </c>
      <c r="L23">
        <f t="shared" si="36"/>
        <v>0</v>
      </c>
      <c r="M23">
        <f t="shared" si="37"/>
        <v>2.6738</v>
      </c>
      <c r="N23" t="str">
        <v>L0 2.6738</v>
      </c>
      <c r="P23">
        <f t="shared" si="38"/>
        <v>0</v>
      </c>
      <c r="Q23">
        <f t="shared" si="39"/>
        <v>1.9098299999999999</v>
      </c>
      <c r="R23" t="str">
        <v>L0 1.9098</v>
      </c>
      <c r="T23">
        <f t="shared" si="40"/>
        <v>3.7812999999999999</v>
      </c>
      <c r="U23">
        <f t="shared" si="41"/>
        <v>-0.54020000000000001</v>
      </c>
      <c r="V23" t="str">
        <v>L3.7813 -.5402</v>
      </c>
      <c r="X23">
        <f t="shared" si="42"/>
        <v>0</v>
      </c>
      <c r="Y23">
        <f t="shared" si="43"/>
        <v>0.38196999999999998</v>
      </c>
      <c r="Z23" t="str">
        <v>L0 .382</v>
      </c>
      <c r="AB23">
        <f t="shared" si="44"/>
        <v>-2.8548</v>
      </c>
      <c r="AC23">
        <f t="shared" si="45"/>
        <v>2.5375999999999999</v>
      </c>
      <c r="AD23" t="str">
        <v>l7.0969 1.5559</v>
      </c>
      <c r="AF23">
        <f t="shared" si="46"/>
        <v>3.8197000000000001</v>
      </c>
      <c r="AG23">
        <f t="shared" si="47"/>
        <v>0</v>
      </c>
      <c r="AH23" t="str">
        <v>L3.8197 0</v>
      </c>
      <c r="AJ23">
        <f t="shared" si="48"/>
        <v>0</v>
      </c>
      <c r="AK23">
        <f t="shared" si="49"/>
        <v>1.52786</v>
      </c>
      <c r="AL23" t="str">
        <v>L0 1.5279</v>
      </c>
      <c r="AN23">
        <f t="shared" si="50"/>
        <v>4.9656000000000002</v>
      </c>
      <c r="AO23">
        <f t="shared" si="51"/>
        <v>0</v>
      </c>
      <c r="AP23" t="str">
        <v>L4.9656 0</v>
      </c>
      <c r="AR23">
        <f t="shared" si="52"/>
        <v>0</v>
      </c>
      <c r="AS23">
        <f t="shared" si="53"/>
        <v>0.38196999999999998</v>
      </c>
      <c r="AT23" t="str">
        <v>L0 .382</v>
      </c>
      <c r="AV23">
        <f t="shared" si="54"/>
        <v>-2.2917999999999998</v>
      </c>
      <c r="AW23">
        <f t="shared" si="55"/>
        <v>0</v>
      </c>
      <c r="AX23" t="str">
        <v>L-2.2918 0</v>
      </c>
      <c r="AZ23">
        <f t="shared" si="56"/>
        <v>0</v>
      </c>
      <c r="BA23">
        <f t="shared" si="57"/>
        <v>10.3131</v>
      </c>
      <c r="BB23" t="str">
        <v>L0 10.3131</v>
      </c>
      <c r="BD23">
        <f t="shared" si="58"/>
        <v>0</v>
      </c>
      <c r="BE23">
        <f t="shared" si="59"/>
        <v>3.8197000000000001</v>
      </c>
      <c r="BF23" t="str">
        <v>L0 3.8197</v>
      </c>
      <c r="BH23">
        <f t="shared" si="60"/>
        <v>0</v>
      </c>
      <c r="BI23">
        <f t="shared" si="61"/>
        <v>2.6738</v>
      </c>
      <c r="BJ23" t="str">
        <v>L0 2.6738</v>
      </c>
      <c r="BL23">
        <f t="shared" si="62"/>
        <v>0</v>
      </c>
      <c r="BM23">
        <f t="shared" si="63"/>
        <v>0.38196999999999998</v>
      </c>
      <c r="BN23" t="str">
        <v>L0 .382</v>
      </c>
      <c r="BP23">
        <f t="shared" si="64"/>
        <v>0</v>
      </c>
      <c r="BQ23">
        <f t="shared" si="65"/>
        <v>10.3131</v>
      </c>
      <c r="BR23" t="str">
        <v>L0 10.3131</v>
      </c>
    </row>
    <row r="24" spans="2:70" x14ac:dyDescent="0.2">
      <c r="B24" t="s">
        <v>1786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34"/>
        <v>5.8779000000000003</v>
      </c>
      <c r="I24">
        <f t="shared" si="35"/>
        <v>8.0901999999999994</v>
      </c>
      <c r="J24" t="str">
        <v>L5.8779 8.0902</v>
      </c>
      <c r="L24">
        <f t="shared" si="36"/>
        <v>4.1144999999999996</v>
      </c>
      <c r="M24">
        <f t="shared" si="37"/>
        <v>5.6631</v>
      </c>
      <c r="N24" t="str">
        <v>L4.1145 5.6631</v>
      </c>
      <c r="P24">
        <f t="shared" si="38"/>
        <v>2.93893</v>
      </c>
      <c r="Q24">
        <f t="shared" si="39"/>
        <v>4.0450799999999996</v>
      </c>
      <c r="R24" t="str">
        <v>L2.9389 4.0451</v>
      </c>
      <c r="T24">
        <f t="shared" si="40"/>
        <v>7.1776</v>
      </c>
      <c r="U24">
        <f t="shared" si="41"/>
        <v>-6.9629000000000003</v>
      </c>
      <c r="V24" t="str">
        <v>L7.1776 -6.9629</v>
      </c>
      <c r="X24">
        <f t="shared" si="42"/>
        <v>0.58779000000000003</v>
      </c>
      <c r="Y24">
        <f t="shared" si="43"/>
        <v>0.80901999999999996</v>
      </c>
      <c r="Z24" t="str">
        <v>L.5878 .809</v>
      </c>
      <c r="AB24">
        <f t="shared" si="44"/>
        <v>-2.1415999999999999</v>
      </c>
      <c r="AC24">
        <f t="shared" si="45"/>
        <v>9.7680000000000007</v>
      </c>
      <c r="AD24" t="str">
        <v>l.7132 7.2304</v>
      </c>
      <c r="AF24">
        <f t="shared" si="46"/>
        <v>8.0901999999999994</v>
      </c>
      <c r="AG24">
        <f t="shared" si="47"/>
        <v>-5.8779000000000003</v>
      </c>
      <c r="AH24" t="str">
        <v>L8.0902 -5.8779</v>
      </c>
      <c r="AJ24">
        <f t="shared" si="48"/>
        <v>2.35114</v>
      </c>
      <c r="AK24">
        <f t="shared" si="49"/>
        <v>3.2360699999999998</v>
      </c>
      <c r="AL24" t="str">
        <v>L2.3511 3.2361</v>
      </c>
      <c r="AN24">
        <f t="shared" si="50"/>
        <v>10.517200000000001</v>
      </c>
      <c r="AO24">
        <f t="shared" si="51"/>
        <v>-7.6412000000000004</v>
      </c>
      <c r="AP24" t="str">
        <v>l5.5516 -7.6412</v>
      </c>
      <c r="AR24">
        <f t="shared" si="52"/>
        <v>0.58779000000000003</v>
      </c>
      <c r="AS24">
        <f t="shared" si="53"/>
        <v>0.80901999999999996</v>
      </c>
      <c r="AT24" t="str">
        <v>L.5878 .809</v>
      </c>
      <c r="AV24">
        <f t="shared" si="54"/>
        <v>-4.8540999999999999</v>
      </c>
      <c r="AW24">
        <f t="shared" si="55"/>
        <v>3.52671</v>
      </c>
      <c r="AX24" t="str">
        <v>L-4.8541 3.5267</v>
      </c>
      <c r="AZ24">
        <f t="shared" si="56"/>
        <v>15.870200000000001</v>
      </c>
      <c r="BA24">
        <f t="shared" si="57"/>
        <v>21.843499999999999</v>
      </c>
      <c r="BB24" t="str">
        <v>L15.8702 21.8435</v>
      </c>
      <c r="BD24">
        <f t="shared" si="58"/>
        <v>5.8779000000000003</v>
      </c>
      <c r="BE24">
        <f t="shared" si="59"/>
        <v>8.0901999999999994</v>
      </c>
      <c r="BF24" t="str">
        <v>L5.8779 8.0902</v>
      </c>
      <c r="BH24">
        <f t="shared" si="60"/>
        <v>4.1144999999999996</v>
      </c>
      <c r="BI24">
        <f t="shared" si="61"/>
        <v>5.6631</v>
      </c>
      <c r="BJ24" t="str">
        <v>L4.1145 5.6631</v>
      </c>
      <c r="BL24">
        <f t="shared" si="62"/>
        <v>0.58779000000000003</v>
      </c>
      <c r="BM24">
        <f t="shared" si="63"/>
        <v>0.80901999999999996</v>
      </c>
      <c r="BN24" t="str">
        <v>L.5878 .809</v>
      </c>
      <c r="BP24">
        <f t="shared" si="64"/>
        <v>15.870200000000001</v>
      </c>
      <c r="BQ24">
        <f t="shared" si="65"/>
        <v>21.843499999999999</v>
      </c>
      <c r="BR24" t="str">
        <v>L15.8702 21.8435</v>
      </c>
    </row>
    <row r="25" spans="2:70" x14ac:dyDescent="0.2">
      <c r="B25" t="s">
        <v>1786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34"/>
        <v>3.6326999999999998</v>
      </c>
      <c r="I25">
        <f t="shared" si="35"/>
        <v>1.1802999999999999</v>
      </c>
      <c r="J25" t="str">
        <v>L3.6327 1.1803</v>
      </c>
      <c r="L25">
        <f t="shared" si="36"/>
        <v>2.5428999999999999</v>
      </c>
      <c r="M25">
        <f t="shared" si="37"/>
        <v>0.82620000000000005</v>
      </c>
      <c r="N25" t="str">
        <v>L2.5429 .8262</v>
      </c>
      <c r="P25">
        <f t="shared" si="38"/>
        <v>1.81636</v>
      </c>
      <c r="Q25">
        <f t="shared" si="39"/>
        <v>0.59016999999999997</v>
      </c>
      <c r="R25" t="str">
        <v>L1.8164 .5902</v>
      </c>
      <c r="T25">
        <f t="shared" si="40"/>
        <v>0.65469999999999995</v>
      </c>
      <c r="U25">
        <f t="shared" si="41"/>
        <v>-3.7631000000000001</v>
      </c>
      <c r="V25" t="str">
        <v>L.6547 -3.7631</v>
      </c>
      <c r="X25">
        <f t="shared" si="42"/>
        <v>0.36326999999999998</v>
      </c>
      <c r="Y25">
        <f t="shared" si="43"/>
        <v>0.11803</v>
      </c>
      <c r="Z25" t="str">
        <v>L.3633 .118</v>
      </c>
      <c r="AB25">
        <f t="shared" si="44"/>
        <v>1.5311999999999999</v>
      </c>
      <c r="AC25">
        <f t="shared" si="45"/>
        <v>3.4992999999999999</v>
      </c>
      <c r="AD25" t="str">
        <v>L1.5312 3.4993</v>
      </c>
      <c r="AF25">
        <f t="shared" si="46"/>
        <v>1.1802999999999999</v>
      </c>
      <c r="AG25">
        <f t="shared" si="47"/>
        <v>-3.6326999999999998</v>
      </c>
      <c r="AH25" t="str">
        <v>L1.1803 -3.6327</v>
      </c>
      <c r="AJ25">
        <f t="shared" si="48"/>
        <v>1.45309</v>
      </c>
      <c r="AK25">
        <f t="shared" si="49"/>
        <v>0.47214</v>
      </c>
      <c r="AL25" t="str">
        <v>L1.4531 .4721</v>
      </c>
      <c r="AN25">
        <f t="shared" si="50"/>
        <v>1.5344</v>
      </c>
      <c r="AO25">
        <f t="shared" si="51"/>
        <v>-4.7225000000000001</v>
      </c>
      <c r="AP25" t="str">
        <v>L1.5344 -4.7225</v>
      </c>
      <c r="AR25">
        <f t="shared" si="52"/>
        <v>0.36326999999999998</v>
      </c>
      <c r="AS25">
        <f t="shared" si="53"/>
        <v>0.11803</v>
      </c>
      <c r="AT25" t="str">
        <v>L.3633 .118</v>
      </c>
      <c r="AV25">
        <f t="shared" si="54"/>
        <v>-0.70820000000000005</v>
      </c>
      <c r="AW25">
        <f t="shared" si="55"/>
        <v>2.17963</v>
      </c>
      <c r="AX25" t="str">
        <v>L-.7082 2.1796</v>
      </c>
      <c r="AZ25">
        <f t="shared" si="56"/>
        <v>9.8082999999999991</v>
      </c>
      <c r="BA25">
        <f t="shared" si="57"/>
        <v>3.1869000000000001</v>
      </c>
      <c r="BB25" t="str">
        <v>L9.8083 3.1869</v>
      </c>
      <c r="BD25">
        <f t="shared" si="58"/>
        <v>3.6326999999999998</v>
      </c>
      <c r="BE25">
        <f t="shared" si="59"/>
        <v>1.1802999999999999</v>
      </c>
      <c r="BF25" t="str">
        <v>L3.6327 1.1803</v>
      </c>
      <c r="BH25">
        <f t="shared" si="60"/>
        <v>2.5428999999999999</v>
      </c>
      <c r="BI25">
        <f t="shared" si="61"/>
        <v>0.82620000000000005</v>
      </c>
      <c r="BJ25" t="str">
        <v>L2.5429 .8262</v>
      </c>
      <c r="BL25">
        <f t="shared" si="62"/>
        <v>0.36326999999999998</v>
      </c>
      <c r="BM25">
        <f t="shared" si="63"/>
        <v>0.11803</v>
      </c>
      <c r="BN25" t="str">
        <v>L.3633 .118</v>
      </c>
      <c r="BP25">
        <f t="shared" si="64"/>
        <v>9.8082999999999991</v>
      </c>
      <c r="BQ25">
        <f t="shared" si="65"/>
        <v>3.1869000000000001</v>
      </c>
      <c r="BR25" t="str">
        <v>L9.8083 3.1869</v>
      </c>
    </row>
    <row r="26" spans="2:70" x14ac:dyDescent="0.2">
      <c r="B26" t="s">
        <v>1786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34"/>
        <v>9.5106000000000002</v>
      </c>
      <c r="I26">
        <f t="shared" si="35"/>
        <v>-3.0901999999999998</v>
      </c>
      <c r="J26" t="str">
        <v>L9.5106 -3.0902</v>
      </c>
      <c r="L26">
        <f t="shared" si="36"/>
        <v>6.6574</v>
      </c>
      <c r="M26">
        <f t="shared" si="37"/>
        <v>-2.1631</v>
      </c>
      <c r="N26" t="str">
        <v>L6.6574 -2.1631</v>
      </c>
      <c r="P26">
        <f t="shared" si="38"/>
        <v>4.75528</v>
      </c>
      <c r="Q26">
        <f t="shared" si="39"/>
        <v>-1.54508</v>
      </c>
      <c r="R26" t="str">
        <v>L4.7553 -1.5451</v>
      </c>
      <c r="T26">
        <f t="shared" si="40"/>
        <v>-4.4040999999999997</v>
      </c>
      <c r="U26">
        <f t="shared" si="41"/>
        <v>-8.9779999999999998</v>
      </c>
      <c r="V26" t="str">
        <v>L-4.4041 -8.978</v>
      </c>
      <c r="X26">
        <f t="shared" si="42"/>
        <v>0.95106000000000002</v>
      </c>
      <c r="Y26">
        <f t="shared" si="43"/>
        <v>-0.30902000000000002</v>
      </c>
      <c r="Z26" t="str">
        <v>L.9511 -.309</v>
      </c>
      <c r="AB26">
        <f t="shared" si="44"/>
        <v>8.6280999999999999</v>
      </c>
      <c r="AC26">
        <f t="shared" si="45"/>
        <v>5.0552999999999999</v>
      </c>
      <c r="AD26" t="str">
        <v>l7.0969 1.556</v>
      </c>
      <c r="AF26">
        <f t="shared" si="46"/>
        <v>-3.0901999999999998</v>
      </c>
      <c r="AG26">
        <f t="shared" si="47"/>
        <v>-9.5106000000000002</v>
      </c>
      <c r="AH26" t="str">
        <v>L-3.0902 -9.5106</v>
      </c>
      <c r="AJ26">
        <f t="shared" si="48"/>
        <v>3.80423</v>
      </c>
      <c r="AK26">
        <f t="shared" si="49"/>
        <v>-1.23607</v>
      </c>
      <c r="AL26" t="str">
        <v>L3.8042 -1.2361</v>
      </c>
      <c r="AN26">
        <f t="shared" si="50"/>
        <v>-4.0171999999999999</v>
      </c>
      <c r="AO26">
        <f t="shared" si="51"/>
        <v>-12.3637</v>
      </c>
      <c r="AP26" t="str">
        <v>l-5.5516 -7.6412</v>
      </c>
      <c r="AR26">
        <f t="shared" si="52"/>
        <v>0.95106000000000002</v>
      </c>
      <c r="AS26">
        <f t="shared" si="53"/>
        <v>-0.30902000000000002</v>
      </c>
      <c r="AT26" t="str">
        <v>L.9511 -.309</v>
      </c>
      <c r="AV26">
        <f t="shared" si="54"/>
        <v>1.8541000000000001</v>
      </c>
      <c r="AW26">
        <f t="shared" si="55"/>
        <v>5.70634</v>
      </c>
      <c r="AX26" t="str">
        <v>L1.8541 5.7063</v>
      </c>
      <c r="AZ26">
        <f t="shared" si="56"/>
        <v>25.6785</v>
      </c>
      <c r="BA26">
        <f t="shared" si="57"/>
        <v>-8.3435000000000006</v>
      </c>
      <c r="BB26" t="str">
        <v>L25.6785 -8.3435</v>
      </c>
      <c r="BD26">
        <f t="shared" si="58"/>
        <v>9.5106000000000002</v>
      </c>
      <c r="BE26">
        <f t="shared" si="59"/>
        <v>-3.0901999999999998</v>
      </c>
      <c r="BF26" t="str">
        <v>L9.5106 -3.0902</v>
      </c>
      <c r="BH26">
        <f t="shared" si="60"/>
        <v>6.6574</v>
      </c>
      <c r="BI26">
        <f t="shared" si="61"/>
        <v>-2.1631</v>
      </c>
      <c r="BJ26" t="str">
        <v>L6.6574 -2.1631</v>
      </c>
      <c r="BL26">
        <f t="shared" si="62"/>
        <v>0.95106000000000002</v>
      </c>
      <c r="BM26">
        <f t="shared" si="63"/>
        <v>-0.30902000000000002</v>
      </c>
      <c r="BN26" t="str">
        <v>L.9511 -.309</v>
      </c>
      <c r="BP26">
        <f t="shared" si="64"/>
        <v>25.6785</v>
      </c>
      <c r="BQ26">
        <f t="shared" si="65"/>
        <v>-8.3435000000000006</v>
      </c>
      <c r="BR26" t="str">
        <v>L25.6785 -8.3435</v>
      </c>
    </row>
    <row r="27" spans="2:70" x14ac:dyDescent="0.2">
      <c r="B27" t="s">
        <v>1786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34"/>
        <v>2.2450999999999999</v>
      </c>
      <c r="I27">
        <f t="shared" si="35"/>
        <v>-3.0901999999999998</v>
      </c>
      <c r="J27" t="str">
        <v>H2.2451Z</v>
      </c>
      <c r="L27">
        <f t="shared" si="36"/>
        <v>1.5716000000000001</v>
      </c>
      <c r="M27">
        <f t="shared" si="37"/>
        <v>-2.1631</v>
      </c>
      <c r="N27" t="str">
        <v>H1.5716Z</v>
      </c>
      <c r="P27">
        <f t="shared" si="38"/>
        <v>1.1225700000000001</v>
      </c>
      <c r="Q27">
        <f t="shared" si="39"/>
        <v>-1.54508</v>
      </c>
      <c r="R27" t="str">
        <v>H1.1226Z</v>
      </c>
      <c r="T27">
        <f t="shared" si="40"/>
        <v>-3.3765999999999998</v>
      </c>
      <c r="U27">
        <f t="shared" si="41"/>
        <v>-1.7856000000000001</v>
      </c>
      <c r="V27" t="str">
        <v>l1.0275 7.1924Z</v>
      </c>
      <c r="X27">
        <f t="shared" si="42"/>
        <v>0.22450999999999999</v>
      </c>
      <c r="Y27">
        <f t="shared" si="43"/>
        <v>-0.30902000000000002</v>
      </c>
      <c r="Z27" t="str">
        <v>H.2245Z</v>
      </c>
      <c r="AB27">
        <f t="shared" si="44"/>
        <v>3.8012000000000001</v>
      </c>
      <c r="AC27">
        <f t="shared" si="45"/>
        <v>-0.375</v>
      </c>
      <c r="AD27" t="str">
        <v>L3.8012 -.375Z</v>
      </c>
      <c r="AF27">
        <f t="shared" si="46"/>
        <v>-3.0901999999999998</v>
      </c>
      <c r="AG27">
        <f t="shared" si="47"/>
        <v>-2.2450999999999999</v>
      </c>
      <c r="AH27" t="str">
        <v>v7.2655Z</v>
      </c>
      <c r="AJ27">
        <f t="shared" si="48"/>
        <v>0.89805999999999997</v>
      </c>
      <c r="AK27">
        <f t="shared" si="49"/>
        <v>-1.23607</v>
      </c>
      <c r="AL27" t="str">
        <v>H.8981Z</v>
      </c>
      <c r="AN27">
        <f t="shared" si="50"/>
        <v>-4.0171999999999999</v>
      </c>
      <c r="AO27">
        <f t="shared" si="51"/>
        <v>-2.9186999999999999</v>
      </c>
      <c r="AP27" t="str">
        <v>v9.445Z</v>
      </c>
      <c r="AR27">
        <f t="shared" si="52"/>
        <v>0.22450999999999999</v>
      </c>
      <c r="AS27">
        <f t="shared" si="53"/>
        <v>-0.30902000000000002</v>
      </c>
      <c r="AT27" t="str">
        <v>H.2245Z</v>
      </c>
      <c r="AV27">
        <f t="shared" si="54"/>
        <v>1.8541000000000001</v>
      </c>
      <c r="AW27">
        <f t="shared" si="55"/>
        <v>1.3470800000000001</v>
      </c>
      <c r="AX27" t="str">
        <v>V1.3471Z</v>
      </c>
      <c r="AZ27">
        <f t="shared" si="56"/>
        <v>6.0618999999999996</v>
      </c>
      <c r="BA27">
        <f t="shared" si="57"/>
        <v>-8.3435000000000006</v>
      </c>
      <c r="BB27" t="str">
        <v>H6.0619Z</v>
      </c>
      <c r="BD27">
        <f t="shared" si="58"/>
        <v>2.2450999999999999</v>
      </c>
      <c r="BE27">
        <f t="shared" si="59"/>
        <v>-3.0901999999999998</v>
      </c>
      <c r="BF27" t="str">
        <v>H2.2451Z</v>
      </c>
      <c r="BH27">
        <f t="shared" si="60"/>
        <v>1.5716000000000001</v>
      </c>
      <c r="BI27">
        <f t="shared" si="61"/>
        <v>-2.1631</v>
      </c>
      <c r="BJ27" t="str">
        <v>H1.5716Z</v>
      </c>
      <c r="BL27">
        <f t="shared" si="62"/>
        <v>0.22450999999999999</v>
      </c>
      <c r="BM27">
        <f t="shared" si="63"/>
        <v>-0.30902000000000002</v>
      </c>
      <c r="BN27" t="str">
        <v>H.2245Z</v>
      </c>
      <c r="BP27">
        <f t="shared" si="64"/>
        <v>6.0618999999999996</v>
      </c>
      <c r="BQ27">
        <f t="shared" si="65"/>
        <v>-8.3435000000000006</v>
      </c>
      <c r="BR27" t="str">
        <v>H6.0619Z</v>
      </c>
    </row>
    <row r="28" spans="2:70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</row>
    <row r="30" spans="2:70" x14ac:dyDescent="0.2">
      <c r="B30" t="s">
        <v>144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6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67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70" x14ac:dyDescent="0.2">
      <c r="B31" t="s">
        <v>144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66"/>
        <v>0.25147000000000003</v>
      </c>
      <c r="AS31">
        <f t="shared" si="67"/>
        <v>8.1710000000000005E-2</v>
      </c>
      <c r="AT31" t="str">
        <v>L.2515 .0817</v>
      </c>
    </row>
    <row r="32" spans="2:70" x14ac:dyDescent="0.2">
      <c r="B32" t="s">
        <v>144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66"/>
        <v>0.15542</v>
      </c>
      <c r="AS32">
        <f t="shared" si="67"/>
        <v>-0.21390999999999999</v>
      </c>
      <c r="AT32" t="str">
        <v>L.1554 -.2139</v>
      </c>
    </row>
    <row r="33" spans="2:46" x14ac:dyDescent="0.2">
      <c r="B33" t="s">
        <v>144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66"/>
        <v>-0.15542</v>
      </c>
      <c r="AS33">
        <f t="shared" si="67"/>
        <v>-0.21390999999999999</v>
      </c>
      <c r="AT33" t="str">
        <v>H-.1554</v>
      </c>
    </row>
    <row r="34" spans="2:46" x14ac:dyDescent="0.2">
      <c r="B34" t="s">
        <v>144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66"/>
        <v>-0.25147000000000003</v>
      </c>
      <c r="AS34">
        <f t="shared" si="67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149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69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149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68"/>
        <v>-0.12451</v>
      </c>
      <c r="AS38">
        <f t="shared" si="69"/>
        <v>-0.30902000000000002</v>
      </c>
      <c r="AT38" t="str">
        <v>L-.1245 -.309</v>
      </c>
    </row>
    <row r="39" spans="2:46" x14ac:dyDescent="0.2">
      <c r="B39" t="s">
        <v>149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68"/>
        <v>0.12451</v>
      </c>
      <c r="AS39">
        <f t="shared" si="69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145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70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71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145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70"/>
        <v>-0.33237</v>
      </c>
      <c r="AS43">
        <f t="shared" si="71"/>
        <v>2.2929999999999999E-2</v>
      </c>
      <c r="AT43" t="str">
        <v>l.326 .2368</v>
      </c>
    </row>
    <row r="44" spans="2:46" x14ac:dyDescent="0.2">
      <c r="B44" t="s">
        <v>145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70"/>
        <v>-0.25541999999999998</v>
      </c>
      <c r="AS44">
        <f t="shared" si="71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146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72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73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146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72"/>
        <v>0.25541999999999998</v>
      </c>
      <c r="AS48">
        <f t="shared" si="73"/>
        <v>-0.21390999999999999</v>
      </c>
      <c r="AT48" t="str">
        <v>H.2554</v>
      </c>
    </row>
    <row r="49" spans="2:70" x14ac:dyDescent="0.2">
      <c r="B49" t="s">
        <v>146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72"/>
        <v>0.33237</v>
      </c>
      <c r="AS49">
        <f t="shared" si="73"/>
        <v>2.2929999999999999E-2</v>
      </c>
      <c r="AT49" t="str">
        <v>l.077 .2368Z</v>
      </c>
    </row>
    <row r="50" spans="2:70" x14ac:dyDescent="0.2">
      <c r="C50" s="1"/>
      <c r="D50" s="1"/>
    </row>
    <row r="51" spans="2:70" x14ac:dyDescent="0.2">
      <c r="C51" s="1"/>
      <c r="D51" s="1"/>
    </row>
    <row r="52" spans="2:70" x14ac:dyDescent="0.2">
      <c r="B52" t="s">
        <v>147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74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75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70" x14ac:dyDescent="0.2">
      <c r="B53" t="s">
        <v>147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74"/>
        <v>-8.09E-2</v>
      </c>
      <c r="AS53">
        <f t="shared" si="75"/>
        <v>0.32318999999999998</v>
      </c>
      <c r="AT53" t="str">
        <v>l.326 -.2368</v>
      </c>
    </row>
    <row r="54" spans="2:70" x14ac:dyDescent="0.2">
      <c r="B54" t="s">
        <v>147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74"/>
        <v>-0.28237000000000001</v>
      </c>
      <c r="AS54">
        <f t="shared" si="75"/>
        <v>0.17680999999999999</v>
      </c>
      <c r="AT54" t="str">
        <v>L-.2824 .1768Z</v>
      </c>
    </row>
    <row r="55" spans="2:70" x14ac:dyDescent="0.2">
      <c r="C55" s="1"/>
      <c r="D55" s="1"/>
    </row>
    <row r="56" spans="2:70" x14ac:dyDescent="0.2">
      <c r="C56" s="1"/>
      <c r="D56" s="1"/>
    </row>
    <row r="57" spans="2:70" x14ac:dyDescent="0.2">
      <c r="B57" t="s">
        <v>148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76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77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70" x14ac:dyDescent="0.2">
      <c r="B58" t="s">
        <v>148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76"/>
        <v>0.28237000000000001</v>
      </c>
      <c r="AS58">
        <f t="shared" si="77"/>
        <v>0.17680999999999999</v>
      </c>
      <c r="AT58" t="str">
        <v>L.2824 .1768</v>
      </c>
    </row>
    <row r="59" spans="2:70" x14ac:dyDescent="0.2">
      <c r="B59" t="s">
        <v>148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76"/>
        <v>8.09E-2</v>
      </c>
      <c r="AS59">
        <f t="shared" si="77"/>
        <v>0.32318999999999998</v>
      </c>
      <c r="AT59" t="str">
        <v>L.0809 .3232Z</v>
      </c>
    </row>
    <row r="62" spans="2:70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</row>
    <row r="63" spans="2:70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</row>
    <row r="64" spans="2:70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</row>
    <row r="65" spans="5:73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</row>
    <row r="66" spans="5:73" x14ac:dyDescent="0.2">
      <c r="J66">
        <f xml:space="preserve"> SQRT(_xlfn.SINGLE(Star_5_2.AreaMultiplier) * BasicBBoxArea * _xlfn.SINGLE(Star_5_2.Aspect))</f>
        <v>123.04877312589313</v>
      </c>
    </row>
    <row r="67" spans="5:73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</row>
    <row r="68" spans="5:73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123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80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80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102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80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101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99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80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80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104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79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104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104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74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74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104</v>
      </c>
    </row>
    <row r="69" spans="5:73" x14ac:dyDescent="0.2">
      <c r="F69" s="58" t="s">
        <v>80</v>
      </c>
      <c r="J69">
        <f xml:space="preserve"> _xlfn.SINGLE(Star_5_2.Height) / _xlfn.SINGLE(Star_5_2.Aspect)</f>
        <v>116.98038000000001</v>
      </c>
      <c r="N69">
        <f xml:space="preserve"> _xlfn.SINGLE(Star_5_2.Height) / _xlfn.SINGLE(Star_5_2.Aspect)</f>
        <v>80</v>
      </c>
      <c r="R69">
        <f xml:space="preserve"> _xlfn.SINGLE(Star_5_2.Height) / _xlfn.SINGLE(Star_5_2.Aspect)</f>
        <v>80</v>
      </c>
      <c r="V69">
        <f xml:space="preserve"> _xlfn.SINGLE(Star_5_2.Height) / _xlfn.SINGLE(Star_5_2.Aspect)</f>
        <v>102.49177831912301</v>
      </c>
      <c r="Z69">
        <f xml:space="preserve"> _xlfn.SINGLE(Star_5_2.Height) / _xlfn.SINGLE(Star_5_2.Aspect)</f>
        <v>80</v>
      </c>
      <c r="AD69">
        <f xml:space="preserve"> _xlfn.SINGLE(Star_5_2.Height) / _xlfn.SINGLE(Star_5_2.Aspect)</f>
        <v>102.89943693693694</v>
      </c>
      <c r="AH69">
        <f xml:space="preserve"> _xlfn.SINGLE(Star_5_2.Height) / _xlfn.SINGLE(Star_5_2.Aspect)</f>
        <v>104.09437890353921</v>
      </c>
      <c r="AL69">
        <f xml:space="preserve"> _xlfn.SINGLE(Star_5_2.Height) / _xlfn.SINGLE(Star_5_2.Aspect)</f>
        <v>80</v>
      </c>
      <c r="AP69">
        <f xml:space="preserve"> _xlfn.SINGLE(Star_5_2.Height) / _xlfn.SINGLE(Star_5_2.Aspect)</f>
        <v>80</v>
      </c>
      <c r="AT69">
        <f xml:space="preserve"> _xlfn.SINGLE(Star_5_2.Height) / _xlfn.SINGLE(Star_5_2.Aspect)</f>
        <v>98.910240000000002</v>
      </c>
      <c r="AX69">
        <f xml:space="preserve"> _xlfn.SINGLE(Star_5_2.Height) / _xlfn.SINGLE(Star_5_2.Aspect)</f>
        <v>69.174459738713182</v>
      </c>
      <c r="BB69">
        <f xml:space="preserve"> _xlfn.SINGLE(Star_5_2.Height) / _xlfn.SINGLE(Star_5_2.Aspect)</f>
        <v>98.909777777777791</v>
      </c>
      <c r="BF69">
        <f xml:space="preserve"> _xlfn.SINGLE(Star_5_2.Height) / _xlfn.SINGLE(Star_5_2.Aspect)</f>
        <v>98.910240000000002</v>
      </c>
      <c r="BJ69">
        <f xml:space="preserve"> _xlfn.SINGLE(Star_5_2.Height) / _xlfn.SINGLE(Star_5_2.Aspect)</f>
        <v>74</v>
      </c>
      <c r="BN69">
        <f xml:space="preserve"> _xlfn.SINGLE(Star_5_2.Height) / _xlfn.SINGLE(Star_5_2.Aspect)</f>
        <v>74</v>
      </c>
      <c r="BR69">
        <f xml:space="preserve"> _xlfn.SINGLE(Star_5_2.Height) / _xlfn.SINGLE(Star_5_2.Aspect)</f>
        <v>98.909777777777791</v>
      </c>
    </row>
    <row r="72" spans="5:73" ht="17" thickBot="1" x14ac:dyDescent="0.25">
      <c r="F72" s="7" t="s">
        <v>95</v>
      </c>
    </row>
    <row r="73" spans="5:73" x14ac:dyDescent="0.2">
      <c r="E73" t="s">
        <v>1764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width='116.98038' height='123'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width='80' height='80'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width='80' height='80'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width='102.49178' height='102'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width='80' height='80'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width='102.89944' height='101'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width='104.09438' height='99'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width='80' height='80'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width='80' height='80'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width='98.91024' height='104'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width='69.17446' height='79'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width='98.90978' height='104'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width='98.91024' height='104'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width='74' height='74'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width='74' height='74'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width='98.90978' height='104' viewBox='-25.6785 -27 51.357 54'  id='%thisID%' xmlns='http://www.w3.org/2000/svg'&gt;</v>
      </c>
      <c r="BS73" s="8"/>
      <c r="BT73" s="8"/>
      <c r="BU73" s="9"/>
    </row>
    <row r="74" spans="5:73" x14ac:dyDescent="0.2">
      <c r="E74" t="s">
        <v>1765</v>
      </c>
      <c r="G74" s="14" t="str">
        <f t="shared" ref="G74:G84" si="78" xml:space="preserve"> ""</f>
        <v/>
      </c>
      <c r="H74" s="5"/>
      <c r="I74" s="5"/>
      <c r="J74" s="5"/>
      <c r="K74" s="5" t="str">
        <f t="shared" ref="K74:K84" si="79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80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81" xml:space="preserve"> ""</f>
        <v/>
      </c>
      <c r="T74" s="5"/>
      <c r="U74" s="5"/>
      <c r="V74" s="5"/>
      <c r="W74" s="5" t="str">
        <f t="shared" ref="W74:W84" si="82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83" xml:space="preserve"> ""</f>
        <v/>
      </c>
      <c r="AB74" s="5"/>
      <c r="AC74" s="5"/>
      <c r="AD74" s="5"/>
      <c r="AE74" s="5" t="str">
        <f t="shared" ref="AE74:AE84" si="84" xml:space="preserve"> ""</f>
        <v/>
      </c>
      <c r="AF74" s="5"/>
      <c r="AG74" s="5"/>
      <c r="AH74" s="5"/>
      <c r="AI74" s="5" t="str">
        <f t="shared" ref="AI74:AI84" si="85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86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87" xml:space="preserve"> ""</f>
        <v/>
      </c>
      <c r="AR74" s="5"/>
      <c r="AS74" s="5"/>
      <c r="AT74" s="5"/>
      <c r="AU74" s="5" t="str">
        <f t="shared" ref="AU74:AU84" si="88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89" xml:space="preserve"> ""</f>
        <v/>
      </c>
      <c r="BD74" s="5"/>
      <c r="BE74" s="5"/>
      <c r="BF74" s="5"/>
      <c r="BG74" s="5" t="str">
        <f t="shared" ref="BG74:BG84" si="90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91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92" xml:space="preserve"> ""</f>
        <v/>
      </c>
      <c r="BP74" s="5"/>
      <c r="BQ74" s="5"/>
      <c r="BR74" s="5"/>
      <c r="BS74" s="5"/>
      <c r="BT74" s="5"/>
      <c r="BU74" s="10"/>
    </row>
    <row r="75" spans="5:73" x14ac:dyDescent="0.2">
      <c r="E75" t="s">
        <v>1766</v>
      </c>
      <c r="G75" s="14" t="str">
        <f t="shared" si="78"/>
        <v/>
      </c>
      <c r="H75" s="5"/>
      <c r="I75" s="5"/>
      <c r="J75" s="5"/>
      <c r="K75" s="5" t="str">
        <f t="shared" si="79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80"/>
        <v/>
      </c>
      <c r="P75" s="5"/>
      <c r="Q75" s="5"/>
      <c r="R75" s="5"/>
      <c r="S75" s="5" t="str">
        <f t="shared" si="81"/>
        <v/>
      </c>
      <c r="T75" s="5"/>
      <c r="U75" s="5"/>
      <c r="V75" s="5"/>
      <c r="W75" s="5" t="str">
        <f t="shared" si="82"/>
        <v/>
      </c>
      <c r="X75" s="5"/>
      <c r="Y75" s="5"/>
      <c r="Z75" s="5"/>
      <c r="AA75" s="5" t="str">
        <f t="shared" si="83"/>
        <v/>
      </c>
      <c r="AB75" s="5"/>
      <c r="AC75" s="5"/>
      <c r="AD75" s="5"/>
      <c r="AE75" s="5" t="str">
        <f t="shared" si="84"/>
        <v/>
      </c>
      <c r="AF75" s="5"/>
      <c r="AG75" s="5"/>
      <c r="AH75" s="5"/>
      <c r="AI75" s="5" t="str">
        <f t="shared" si="85"/>
        <v/>
      </c>
      <c r="AJ75" s="5"/>
      <c r="AK75" s="5"/>
      <c r="AL75" s="5"/>
      <c r="AM75" s="5" t="str">
        <f t="shared" si="86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87"/>
        <v/>
      </c>
      <c r="AR75" s="5"/>
      <c r="AS75" s="5"/>
      <c r="AT75" s="5"/>
      <c r="AU75" s="5" t="str">
        <f t="shared" si="88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89"/>
        <v/>
      </c>
      <c r="BD75" s="5"/>
      <c r="BE75" s="5"/>
      <c r="BF75" s="5"/>
      <c r="BG75" s="5" t="str">
        <f t="shared" si="90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91"/>
        <v/>
      </c>
      <c r="BL75" s="5"/>
      <c r="BM75" s="5"/>
      <c r="BN75" s="5"/>
      <c r="BO75" s="5" t="str">
        <f t="shared" si="92"/>
        <v/>
      </c>
      <c r="BP75" s="5"/>
      <c r="BQ75" s="5"/>
      <c r="BR75" s="5"/>
      <c r="BS75" s="5"/>
      <c r="BT75" s="5"/>
      <c r="BU75" s="10"/>
    </row>
    <row r="76" spans="5:73" x14ac:dyDescent="0.2">
      <c r="E76" t="s">
        <v>1767</v>
      </c>
      <c r="G76" s="14" t="str">
        <f t="shared" si="78"/>
        <v/>
      </c>
      <c r="H76" s="5"/>
      <c r="I76" s="5"/>
      <c r="J76" s="5" t="str" cm="1">
        <f t="array" ref="J76" xml:space="preserve"> IF(_xlfn.SINGLE(Star_5_2.MultipleStars), "&lt;defs&gt;&lt;path id='s' d='" &amp; _xlfn.TEXTJOIN(" ", TRUE, IF("Path"=Star_5_2.Part,J$17:J$59,"")) &amp; "'/&gt;&lt;/defs&gt;", "")</f>
        <v>&lt;defs&gt;&lt;path id='s' d='M0 -10 l-2.2451 6.9098 H-9.5106 l5.8779 4.2705 L-5.8779 8.0902 L0 3.8197 L5.8779 8.0902 L3.6327 1.1803 L9.5106 -3.0902 H2.2451Z'/&gt;&lt;/defs&gt;</v>
      </c>
      <c r="K76" s="5" t="str">
        <f t="shared" si="79"/>
        <v/>
      </c>
      <c r="L76" s="5"/>
      <c r="M76" s="5"/>
      <c r="N76" s="5" t="str" cm="1">
        <f t="array" ref="N76" xml:space="preserve"> IF(_xlfn.SINGLE(Star_5_2.MultipleStars), "&lt;defs&gt;&lt;path id='s' d='" &amp; _xlfn.TEXTJOIN(" ", TRUE, IF("Path"=Star_5_2.Part,N$17:N$59,"")) &amp; "'/&gt;&lt;/defs&gt;", "")</f>
        <v/>
      </c>
      <c r="O76" s="5" t="str">
        <f t="shared" si="80"/>
        <v/>
      </c>
      <c r="P76" s="5"/>
      <c r="Q76" s="5"/>
      <c r="R76" s="5" t="str" cm="1">
        <f t="array" ref="R76" xml:space="preserve"> IF(_xlfn.SINGLE(Star_5_2.MultipleStars), "&lt;defs&gt;&lt;path id='s' d='" &amp; _xlfn.TEXTJOIN(" ", TRUE, IF("Path"=Star_5_2.Part,R$17:R$59,"")) &amp; "'/&gt;&lt;/defs&gt;", "")</f>
        <v>&lt;defs&gt;&lt;path id='s' d='M0 -5 l-1.1226 3.4549 H-4.7553 L-1.8164 .5902 L-2.9389 4.0451 L0 1.9098 L2.9389 4.0451 L1.8164 .5902 L4.7553 -1.5451 H1.1226Z'/&gt;&lt;/defs&gt;</v>
      </c>
      <c r="S76" s="5" t="str">
        <f t="shared" si="81"/>
        <v/>
      </c>
      <c r="T76" s="5"/>
      <c r="U76" s="5"/>
      <c r="V76" s="5" t="str" cm="1">
        <f t="array" ref="V76" xml:space="preserve"> IF(_xlfn.SINGLE(Star_5_2.MultipleStars), "&lt;defs&gt;&lt;path id='s' d='" &amp; _xlfn.TEXTJOIN(" ", TRUE, IF("Path"=Star_5_2.Part,V$17:V$59,"")) &amp; "'/&gt;&lt;/defs&gt;", "")</f>
        <v>&lt;defs&gt;&lt;path id='s' d='M-9.8995 1.4142 l7.1579 1.2454 L-1.7141 9.852 L1.6822 3.4293 L8.8401 4.6747 L3.7813 -.5402 L7.1776 -6.9629 L.6547 -3.7631 L-4.4041 -8.978 l1.0275 7.1924Z'/&gt;&lt;/defs&gt;</v>
      </c>
      <c r="W76" s="5" t="str">
        <f t="shared" si="82"/>
        <v/>
      </c>
      <c r="X76" s="5"/>
      <c r="Y76" s="5"/>
      <c r="Z76" s="5" t="str" cm="1">
        <f t="array" ref="Z76" xml:space="preserve"> IF(_xlfn.SINGLE(Star_5_2.MultipleStars), "&lt;defs&gt;&lt;path id='s' d='" &amp; _xlfn.TEXTJOIN(" ", TRUE, IF("Path"=Star_5_2.Part,Z$17:Z$59,"")) &amp; "'/&gt;&lt;/defs&gt;", "")</f>
        <v/>
      </c>
      <c r="AA76" s="5" t="str">
        <f t="shared" si="83"/>
        <v/>
      </c>
      <c r="AB76" s="5"/>
      <c r="AC76" s="5"/>
      <c r="AD76" s="5" t="str" cm="1">
        <f t="array" ref="AD76" xml:space="preserve"> IF(_xlfn.SINGLE(Star_5_2.MultipleStars), "&lt;defs&gt;&lt;path id='s' d='" &amp; _xlfn.TEXTJOIN(" ", TRUE, IF("Path"=Star_5_2.Part,AD$17:AD$59,"")) &amp; "'/&gt;&lt;/defs&gt;", "")</f>
        <v>&lt;defs&gt;&lt;path id='s' d='M7.4741 -6.6436 L.818 -3.731 L-4.0089 -9.1613 l.7133 7.2304 L-9.9517 .9817 l7.0969 1.5559 l.7132 7.2304 L1.5312 3.4993 l7.0969 1.556 L3.8012 -.375Z'/&gt;&lt;/defs&gt;</v>
      </c>
      <c r="AE76" s="5" t="str">
        <f t="shared" si="84"/>
        <v/>
      </c>
      <c r="AF76" s="5"/>
      <c r="AG76" s="5"/>
      <c r="AH76" s="5" t="str" cm="1">
        <f t="array" ref="AH76" xml:space="preserve"> IF(_xlfn.SINGLE(Star_5_2.MultipleStars), "&lt;defs&gt;&lt;path id='s' d='" &amp; _xlfn.TEXTJOIN(" ", TRUE, IF("Path"=Star_5_2.Part,AH$17:AH$59,"")) &amp; "'/&gt;&lt;/defs&gt;", "")</f>
        <v>&lt;defs&gt;&lt;path id='s' d='M-10 0 l6.9098 2.2451 V9.5106 L1.1803 3.6327 L8.0902 5.8779 L3.8197 0 L8.0902 -5.8779 L1.1803 -3.6327 L-3.0902 -9.5106 v7.2655Z'/&gt;&lt;/defs&gt;</v>
      </c>
      <c r="AI76" s="5" t="str">
        <f t="shared" si="85"/>
        <v/>
      </c>
      <c r="AJ76" s="5"/>
      <c r="AK76" s="5"/>
      <c r="AL76" s="5" t="str" cm="1">
        <f t="array" ref="AL76" xml:space="preserve"> IF(_xlfn.SINGLE(Star_5_2.MultipleStars), "&lt;defs&gt;&lt;path id='s' d='" &amp; _xlfn.TEXTJOIN(" ", TRUE, IF("Path"=Star_5_2.Part,AL$17:AL$59,"")) &amp; "'/&gt;&lt;/defs&gt;", "")</f>
        <v>&lt;defs&gt;&lt;path id='s' d='M0 -4 l-.8981 2.7639 H-3.8042 L-1.4531 .4721 l-.898 2.764 L0 1.5279 L2.3511 3.2361 L1.4531 .4721 L3.8042 -1.2361 H.8981Z'/&gt;&lt;/defs&gt;</v>
      </c>
      <c r="AM76" s="5" t="str">
        <f t="shared" si="86"/>
        <v/>
      </c>
      <c r="AN76" s="5"/>
      <c r="AO76" s="5"/>
      <c r="AP76" s="5" t="str" cm="1">
        <f t="array" ref="AP76" xml:space="preserve"> IF(_xlfn.SINGLE(Star_5_2.MultipleStars), "&lt;defs&gt;&lt;path id='s' d='" &amp; _xlfn.TEXTJOIN(" ", TRUE, IF("Path"=Star_5_2.Part,AP$17:AP$59,"")) &amp; "'/&gt;&lt;/defs&gt;", "")</f>
        <v/>
      </c>
      <c r="AQ76" s="5" t="str">
        <f t="shared" si="87"/>
        <v/>
      </c>
      <c r="AR76" s="5"/>
      <c r="AS76" s="5"/>
      <c r="AT76" s="5" t="str" cm="1">
        <f t="array" ref="AT76" xml:space="preserve"> IF(_xlfn.SINGLE(Star_5_2.MultipleStars), "&lt;defs&gt;&lt;path id='s' d='" &amp; _xlfn.TEXTJOIN(" ", TRUE, IF("Path"=Star_5_2.Part,AT$17:AT$59,"")) &amp; "'/&gt;&lt;/defs&gt;", "")</f>
        <v/>
      </c>
      <c r="AU76" s="5" t="str">
        <f t="shared" si="88"/>
        <v/>
      </c>
      <c r="AV76" s="5"/>
      <c r="AW76" s="5"/>
      <c r="AX76" s="5" t="str" cm="1">
        <f t="array" ref="AX76" xml:space="preserve"> IF(_xlfn.SINGLE(Star_5_2.MultipleStars), "&lt;defs&gt;&lt;path id='s'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id='s' d='" &amp; _xlfn.TEXTJOIN(" ", TRUE, IF("Path"=Star_5_2.Part,BB$17:BB$59,"")) &amp; "'/&gt;&lt;/defs&gt;", "")</f>
        <v>&lt;defs&gt;&lt;path id='s' d='M0 -27 L-6.0619 -8.3435 H-25.6785 L-9.8083 3.1869 l-6.0619 18.6566 L0 10.3131 L15.8702 21.8435 L9.8083 3.1869 L25.6785 -8.3435 H6.0619Z'/&gt;&lt;/defs&gt;</v>
      </c>
      <c r="BC76" s="5" t="str">
        <f t="shared" si="89"/>
        <v/>
      </c>
      <c r="BD76" s="5"/>
      <c r="BE76" s="5"/>
      <c r="BF76" s="5" t="str" cm="1">
        <f t="array" ref="BF76" xml:space="preserve"> IF(_xlfn.SINGLE(Star_5_2.MultipleStars), "&lt;defs&gt;&lt;path id='s' d='" &amp; _xlfn.TEXTJOIN(" ", TRUE, IF("Path"=Star_5_2.Part,BF$17:BF$59,"")) &amp; "'/&gt;&lt;/defs&gt;", "")</f>
        <v>&lt;defs&gt;&lt;path id='s' d='M0 -10 l-2.2451 6.9098 H-9.5106 l5.8779 4.2705 L-5.8779 8.0902 L0 3.8197 L5.8779 8.0902 L3.6327 1.1803 L9.5106 -3.0902 H2.2451Z'/&gt;&lt;/defs&gt;</v>
      </c>
      <c r="BG76" s="5" t="str">
        <f t="shared" si="90"/>
        <v/>
      </c>
      <c r="BH76" s="5"/>
      <c r="BI76" s="5"/>
      <c r="BJ76" s="5" t="str" cm="1">
        <f t="array" ref="BJ76" xml:space="preserve"> IF(_xlfn.SINGLE(Star_5_2.MultipleStars), "&lt;defs&gt;&lt;path id='s' d='" &amp; _xlfn.TEXTJOIN(" ", TRUE, IF("Path"=Star_5_2.Part,BJ$17:BJ$59,"")) &amp; "'/&gt;&lt;/defs&gt;", "")</f>
        <v/>
      </c>
      <c r="BK76" s="5" t="str">
        <f t="shared" si="91"/>
        <v/>
      </c>
      <c r="BL76" s="5"/>
      <c r="BM76" s="5"/>
      <c r="BN76" s="5" t="str" cm="1">
        <f t="array" ref="BN76" xml:space="preserve"> IF(_xlfn.SINGLE(Star_5_2.MultipleStars), "&lt;defs&gt;&lt;path id='s' d='" &amp; _xlfn.TEXTJOIN(" ", TRUE, IF("Path"=Star_5_2.Part,BN$17:BN$59,"")) &amp; "'/&gt;&lt;/defs&gt;", "")</f>
        <v/>
      </c>
      <c r="BO76" s="5" t="str">
        <f t="shared" si="92"/>
        <v/>
      </c>
      <c r="BP76" s="5"/>
      <c r="BQ76" s="5"/>
      <c r="BR76" s="5" t="str" cm="1">
        <f t="array" ref="BR76" xml:space="preserve"> IF(_xlfn.SINGLE(Star_5_2.MultipleStars), "&lt;defs&gt;&lt;path id='s' d='" &amp; _xlfn.TEXTJOIN(" ", TRUE, IF("Path"=Star_5_2.Part,BR$17:BR$59,"")) &amp; "'/&gt;&lt;/defs&gt;", "")</f>
        <v>&lt;defs&gt;&lt;path id='s' d='M0 -27 L-6.0619 -8.3435 H-25.6785 L-9.8083 3.1869 l-6.0619 18.6566 L0 10.3131 L15.8702 21.8435 L9.8083 3.1869 L25.6785 -8.3435 H6.0619Z'/&gt;&lt;/defs&gt;</v>
      </c>
      <c r="BS76" s="5"/>
      <c r="BT76" s="5"/>
      <c r="BU76" s="10"/>
    </row>
    <row r="77" spans="5:73" x14ac:dyDescent="0.2">
      <c r="E77" t="s">
        <v>1779</v>
      </c>
      <c r="G77" s="14" t="str">
        <f t="shared" si="78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K77" s="5" t="str">
        <f t="shared" si="79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80"/>
        <v/>
      </c>
      <c r="P77" s="5"/>
      <c r="Q77" s="5"/>
      <c r="R77" s="67"/>
      <c r="S77" s="5" t="str">
        <f t="shared" si="81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fill='#DE2910'/&gt;</v>
      </c>
      <c r="W77" s="5" t="str">
        <f t="shared" si="82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83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fill='#01411C'/&gt;</v>
      </c>
      <c r="AE77" s="5" t="str">
        <f t="shared" si="84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fill='#E30A17'/&gt;</v>
      </c>
      <c r="AI77" s="5" t="str">
        <f t="shared" si="85"/>
        <v/>
      </c>
      <c r="AJ77" s="5"/>
      <c r="AK77" s="5"/>
      <c r="AL77" s="67"/>
      <c r="AM77" s="5" t="str">
        <f t="shared" si="86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87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88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BC77" s="5" t="str">
        <f t="shared" si="89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fill='#1D6233'/&gt;</v>
      </c>
      <c r="BG77" s="5" t="str">
        <f t="shared" si="90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91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92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fill='#EF3340'/&gt;</v>
      </c>
      <c r="BS77" s="5"/>
      <c r="BT77" s="5"/>
      <c r="BU77" s="10"/>
    </row>
    <row r="78" spans="5:73" x14ac:dyDescent="0.2">
      <c r="E78" t="s">
        <v>1780</v>
      </c>
      <c r="G78" s="14" t="str">
        <f t="shared" si="78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transform='scale(0.6)'/&gt;</v>
      </c>
      <c r="K78" s="5" t="str">
        <f t="shared" si="79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80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fill='#FFF'/&gt;</v>
      </c>
      <c r="S78" s="5" t="str">
        <f t="shared" si="81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fill='#FFDE00' transform='scale(0.7)'/&gt;</v>
      </c>
      <c r="W78" s="5" t="str">
        <f t="shared" si="82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83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E78" s="5" t="str">
        <f t="shared" si="84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I78" s="5" t="str">
        <f t="shared" si="85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fill='#FCDD09'/&gt;</v>
      </c>
      <c r="AM78" s="5" t="str">
        <f t="shared" si="86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87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88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fill='#FFD100' transform='scale(0.7)'/&gt;</v>
      </c>
      <c r="BC78" s="5" t="str">
        <f t="shared" si="89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fill='#FDEF42' transform='scale(0.7)'/&gt;</v>
      </c>
      <c r="BG78" s="5" t="str">
        <f t="shared" si="90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91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92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fill='#003DA5' transform='scale(0.7)'/&gt;</v>
      </c>
      <c r="BS78" s="5"/>
      <c r="BT78" s="5"/>
      <c r="BU78" s="10"/>
    </row>
    <row r="79" spans="5:73" x14ac:dyDescent="0.2">
      <c r="E79" t="s">
        <v>1781</v>
      </c>
      <c r="G79" s="14" t="str">
        <f t="shared" si="78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79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80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fill='#C8102E' transform='scale(0.6)'/&gt;</v>
      </c>
      <c r="S79" s="5" t="str">
        <f t="shared" si="81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82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83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84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85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fill='#0F47AF' transform='scale(0.5)'/&gt;</v>
      </c>
      <c r="AM79" s="5" t="str">
        <f t="shared" si="86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87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88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fill='black' transform='scale(0.37)'/&gt;</v>
      </c>
      <c r="BC79" s="5" t="str">
        <f t="shared" si="89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90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91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92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fill='#FCE300' transform='scale(0.37)'/&gt;</v>
      </c>
      <c r="BS79" s="5"/>
      <c r="BT79" s="5"/>
      <c r="BU79" s="10"/>
    </row>
    <row r="80" spans="5:73" x14ac:dyDescent="0.2">
      <c r="E80" t="s">
        <v>1782</v>
      </c>
      <c r="G80" s="14" t="str">
        <f t="shared" si="78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79"/>
        <v/>
      </c>
      <c r="L80" s="5"/>
      <c r="M80" s="5"/>
      <c r="N80" s="67"/>
      <c r="O80" s="5" t="str">
        <f t="shared" si="80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81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82"/>
        <v/>
      </c>
      <c r="X80" s="5"/>
      <c r="Y80" s="5"/>
      <c r="Z80" s="67"/>
      <c r="AA80" s="5" t="str">
        <f t="shared" si="83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84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85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86"/>
        <v/>
      </c>
      <c r="AN80" s="5"/>
      <c r="AO80" s="5"/>
      <c r="AP80" s="67"/>
      <c r="AQ80" s="5" t="str">
        <f t="shared" si="87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88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89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90"/>
        <v/>
      </c>
      <c r="BH80" s="5"/>
      <c r="BI80" s="5"/>
      <c r="BJ80" s="67"/>
      <c r="BK80" s="5" t="str">
        <f t="shared" si="91"/>
        <v/>
      </c>
      <c r="BL80" s="5"/>
      <c r="BM80" s="5"/>
      <c r="BN80" s="67"/>
      <c r="BO80" s="5" t="str">
        <f t="shared" si="92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10"/>
    </row>
    <row r="81" spans="3:73" x14ac:dyDescent="0.2">
      <c r="E81" t="s">
        <v>1783</v>
      </c>
      <c r="G81" s="14" t="str">
        <f t="shared" si="78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79"/>
        <v/>
      </c>
      <c r="L81" s="5"/>
      <c r="M81" s="5"/>
      <c r="N81" s="67"/>
      <c r="O81" s="5" t="str">
        <f t="shared" si="80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81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82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83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84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85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86"/>
        <v/>
      </c>
      <c r="AN81" s="5"/>
      <c r="AO81" s="5"/>
      <c r="AP81" s="67"/>
      <c r="AQ81" s="5" t="str">
        <f t="shared" si="87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88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89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90"/>
        <v/>
      </c>
      <c r="BH81" s="5"/>
      <c r="BI81" s="5"/>
      <c r="BJ81" s="67"/>
      <c r="BK81" s="5" t="str">
        <f t="shared" si="91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92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10"/>
    </row>
    <row r="82" spans="3:73" x14ac:dyDescent="0.2">
      <c r="E82" t="s">
        <v>1784</v>
      </c>
      <c r="G82" s="14" t="str">
        <f t="shared" si="78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79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80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81"/>
        <v/>
      </c>
      <c r="T82" s="5"/>
      <c r="U82" s="5"/>
      <c r="V82" s="5" t="str" cm="1">
        <f t="array" ref="V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IF("Path"=Star_5_2.Part,V$17:V$59,"")) &amp; "'/&gt;", "")</f>
        <v/>
      </c>
      <c r="W82" s="5" t="str">
        <f t="shared" si="82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83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84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85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86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87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88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89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90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91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92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10"/>
    </row>
    <row r="83" spans="3:73" x14ac:dyDescent="0.2">
      <c r="E83" t="s">
        <v>1787</v>
      </c>
      <c r="G83" s="14" t="str">
        <f t="shared" si="78"/>
        <v/>
      </c>
      <c r="H83" s="5"/>
      <c r="I83" s="5"/>
      <c r="J83" s="5"/>
      <c r="K83" s="5" t="str">
        <f t="shared" si="79"/>
        <v/>
      </c>
      <c r="L83" s="5"/>
      <c r="M83" s="5"/>
      <c r="N83" s="5"/>
      <c r="O83" s="5" t="str">
        <f t="shared" si="80"/>
        <v/>
      </c>
      <c r="P83" s="5"/>
      <c r="Q83" s="5"/>
      <c r="R83" s="5"/>
      <c r="S83" s="5" t="str">
        <f t="shared" si="81"/>
        <v/>
      </c>
      <c r="T83" s="5"/>
      <c r="U83" s="5"/>
      <c r="V83" s="5"/>
      <c r="W83" s="5" t="str">
        <f t="shared" si="82"/>
        <v/>
      </c>
      <c r="X83" s="5"/>
      <c r="Y83" s="5"/>
      <c r="Z83" s="5"/>
      <c r="AA83" s="5" t="str">
        <f t="shared" si="83"/>
        <v/>
      </c>
      <c r="AB83" s="5"/>
      <c r="AC83" s="5"/>
      <c r="AD83" s="5"/>
      <c r="AE83" s="5" t="str">
        <f t="shared" si="84"/>
        <v/>
      </c>
      <c r="AF83" s="5"/>
      <c r="AG83" s="5"/>
      <c r="AH83" s="5"/>
      <c r="AI83" s="5" t="str">
        <f t="shared" si="85"/>
        <v/>
      </c>
      <c r="AJ83" s="5"/>
      <c r="AK83" s="5"/>
      <c r="AL83" s="5"/>
      <c r="AM83" s="5" t="str">
        <f t="shared" si="86"/>
        <v/>
      </c>
      <c r="AN83" s="5"/>
      <c r="AO83" s="5"/>
      <c r="AP83" s="5"/>
      <c r="AQ83" s="5" t="str">
        <f t="shared" si="87"/>
        <v/>
      </c>
      <c r="AR83" s="5"/>
      <c r="AS83" s="5"/>
      <c r="AT83" s="5"/>
      <c r="AU83" s="5" t="str">
        <f t="shared" si="88"/>
        <v/>
      </c>
      <c r="AV83" s="5"/>
      <c r="AW83" s="5"/>
      <c r="AX83" s="5"/>
      <c r="AY83" s="5"/>
      <c r="AZ83" s="5"/>
      <c r="BA83" s="5"/>
      <c r="BB83" s="5"/>
      <c r="BC83" s="5" t="str">
        <f t="shared" si="89"/>
        <v/>
      </c>
      <c r="BD83" s="5"/>
      <c r="BE83" s="5"/>
      <c r="BF83" s="5"/>
      <c r="BG83" s="5" t="str">
        <f t="shared" si="90"/>
        <v/>
      </c>
      <c r="BH83" s="5"/>
      <c r="BI83" s="5"/>
      <c r="BJ83" s="5"/>
      <c r="BK83" s="5" t="str">
        <f t="shared" si="91"/>
        <v/>
      </c>
      <c r="BL83" s="5"/>
      <c r="BM83" s="5"/>
      <c r="BN83" s="5"/>
      <c r="BO83" s="5" t="str">
        <f t="shared" si="92"/>
        <v/>
      </c>
      <c r="BP83" s="5"/>
      <c r="BQ83" s="5"/>
      <c r="BR83" s="5"/>
      <c r="BS83" s="5"/>
      <c r="BT83" s="5"/>
      <c r="BU83" s="10"/>
    </row>
    <row r="84" spans="3:73" x14ac:dyDescent="0.2">
      <c r="G84" s="16" t="str">
        <f t="shared" si="78"/>
        <v/>
      </c>
      <c r="H84" s="11"/>
      <c r="I84" s="11"/>
      <c r="J84" s="11" t="s">
        <v>15</v>
      </c>
      <c r="K84" s="11" t="str">
        <f t="shared" si="79"/>
        <v/>
      </c>
      <c r="L84" s="11"/>
      <c r="M84" s="11"/>
      <c r="N84" s="11" t="s">
        <v>15</v>
      </c>
      <c r="O84" s="11" t="str">
        <f t="shared" si="80"/>
        <v/>
      </c>
      <c r="P84" s="11"/>
      <c r="Q84" s="11"/>
      <c r="R84" s="11" t="s">
        <v>15</v>
      </c>
      <c r="S84" s="11" t="str">
        <f t="shared" si="81"/>
        <v/>
      </c>
      <c r="T84" s="11"/>
      <c r="U84" s="11"/>
      <c r="V84" s="11" t="s">
        <v>15</v>
      </c>
      <c r="W84" s="11" t="str">
        <f t="shared" si="82"/>
        <v/>
      </c>
      <c r="X84" s="11"/>
      <c r="Y84" s="11"/>
      <c r="Z84" s="11" t="s">
        <v>15</v>
      </c>
      <c r="AA84" s="11" t="str">
        <f t="shared" si="83"/>
        <v/>
      </c>
      <c r="AB84" s="11"/>
      <c r="AC84" s="11"/>
      <c r="AD84" s="11" t="s">
        <v>15</v>
      </c>
      <c r="AE84" s="11" t="str">
        <f t="shared" si="84"/>
        <v/>
      </c>
      <c r="AF84" s="11"/>
      <c r="AG84" s="11"/>
      <c r="AH84" s="11" t="s">
        <v>15</v>
      </c>
      <c r="AI84" s="11" t="str">
        <f t="shared" si="85"/>
        <v/>
      </c>
      <c r="AJ84" s="11"/>
      <c r="AK84" s="11"/>
      <c r="AL84" s="11" t="s">
        <v>15</v>
      </c>
      <c r="AM84" s="11" t="str">
        <f t="shared" si="86"/>
        <v/>
      </c>
      <c r="AN84" s="11"/>
      <c r="AO84" s="11"/>
      <c r="AP84" s="11" t="s">
        <v>15</v>
      </c>
      <c r="AQ84" s="11" t="str">
        <f t="shared" si="87"/>
        <v/>
      </c>
      <c r="AR84" s="11"/>
      <c r="AS84" s="11"/>
      <c r="AT84" s="11" t="s">
        <v>15</v>
      </c>
      <c r="AU84" s="11" t="str">
        <f t="shared" si="88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89"/>
        <v/>
      </c>
      <c r="BD84" s="11"/>
      <c r="BE84" s="11"/>
      <c r="BF84" s="11" t="s">
        <v>15</v>
      </c>
      <c r="BG84" s="11" t="str">
        <f t="shared" si="90"/>
        <v/>
      </c>
      <c r="BH84" s="11"/>
      <c r="BI84" s="11"/>
      <c r="BJ84" s="11" t="s">
        <v>15</v>
      </c>
      <c r="BK84" s="11" t="str">
        <f t="shared" si="91"/>
        <v/>
      </c>
      <c r="BL84" s="11"/>
      <c r="BM84" s="11"/>
      <c r="BN84" s="11" t="s">
        <v>15</v>
      </c>
      <c r="BO84" s="11" t="str">
        <f t="shared" si="92"/>
        <v/>
      </c>
      <c r="BP84" s="11"/>
      <c r="BQ84" s="11"/>
      <c r="BR84" s="11" t="s">
        <v>15</v>
      </c>
      <c r="BS84" s="11"/>
      <c r="BT84" s="11"/>
      <c r="BU84" s="12"/>
    </row>
    <row r="90" spans="3:73" x14ac:dyDescent="0.2">
      <c r="E90" t="s">
        <v>1820</v>
      </c>
      <c r="J90">
        <f xml:space="preserve"> VALUE(TEXT( 13 * Star_5_2.OuterPoints_Default * SQRT(Star_5_2.Aspect), SVG.NumberFormatHeight))</f>
        <v>1357</v>
      </c>
      <c r="V90">
        <f xml:space="preserve"> VALUE(TEXT( 13 * Star_5_2.OuterPoints_Default * SQRT(Star_5_2.Aspect), SVG.NumberFormatHeight))</f>
        <v>1320</v>
      </c>
      <c r="AD90">
        <f xml:space="preserve"> VALUE(TEXT( 13 * Star_5_2.OuterPoints_Default * SQRT(Star_5_2.Aspect), SVG.NumberFormatHeight))</f>
        <v>1311</v>
      </c>
      <c r="AX90">
        <f xml:space="preserve"> VALUE(TEXT( 13 * Star_5_2.OuterPoints_Default * SQRT(Star_5_2.Aspect), SVG.NumberFormatHeight))</f>
        <v>1414</v>
      </c>
    </row>
    <row r="91" spans="3:73" x14ac:dyDescent="0.2">
      <c r="E91" t="s">
        <v>1819</v>
      </c>
      <c r="J91">
        <f xml:space="preserve"> ROUND(J$90 / _xlfn.SINGLE(Star_5_2.Aspect), svgSizeDecimalPlaces)</f>
        <v>1290.58842</v>
      </c>
      <c r="V91">
        <f xml:space="preserve"> ROUND(V$90 / _xlfn.SINGLE(Star_5_2.Aspect), svgSizeDecimalPlaces)</f>
        <v>1326.36419</v>
      </c>
      <c r="AD91">
        <f xml:space="preserve"> ROUND(AD$90 / _xlfn.SINGLE(Star_5_2.Aspect), svgSizeDecimalPlaces)</f>
        <v>1335.65507</v>
      </c>
      <c r="AX91">
        <f xml:space="preserve"> ROUND(AX$90 / _xlfn.SINGLE(Star_5_2.Aspect), svgSizeDecimalPlaces)</f>
        <v>1238.13527</v>
      </c>
    </row>
    <row r="94" spans="3:73" x14ac:dyDescent="0.2">
      <c r="E94" t="s">
        <v>1821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width='1290.58842' height='1357'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width='1326.36419' height='1320'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width='1335.65507' height='1311'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width='1238.13527' height='1414' viewBox='-6 -6.85224 12 13.70448'  id='%thisID%' xmlns='http://www.w3.org/2000/svg'&gt;</v>
      </c>
    </row>
    <row r="95" spans="3:73" x14ac:dyDescent="0.2">
      <c r="C95" t="s">
        <v>1834</v>
      </c>
      <c r="E95" t="s">
        <v>1823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73" x14ac:dyDescent="0.2">
      <c r="C96" t="s">
        <v>1833</v>
      </c>
      <c r="D96">
        <v>0.44</v>
      </c>
      <c r="E96" t="s">
        <v>1825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1822</v>
      </c>
      <c r="J97" s="70" t="str">
        <f t="shared" ref="J97:J106" si="93" xml:space="preserve"> IF(ISTEXT(J74), J74, "")</f>
        <v/>
      </c>
      <c r="V97" s="70" t="str">
        <f t="shared" ref="V97:V106" si="94" xml:space="preserve"> IF(ISTEXT(V74), V74, "")</f>
        <v/>
      </c>
      <c r="AD97" s="70" t="str">
        <f t="shared" ref="AD97:AD106" si="95" xml:space="preserve"> IF(ISTEXT(AD74), AD74, "")</f>
        <v/>
      </c>
      <c r="AX97" s="70" t="str">
        <f t="shared" ref="AX97:AX106" si="96" xml:space="preserve"> IF(ISTEXT(AX74), AX74, "")</f>
        <v>&lt;path fill='#006633' d='M6 6.85224H-6V-6.85224H6Z'/&gt;</v>
      </c>
    </row>
    <row r="98" spans="3:50" x14ac:dyDescent="0.2">
      <c r="E98" t="s">
        <v>1822</v>
      </c>
      <c r="J98" s="70" t="str">
        <f t="shared" si="93"/>
        <v/>
      </c>
      <c r="V98" s="70" t="str">
        <f t="shared" si="94"/>
        <v/>
      </c>
      <c r="AD98" s="70" t="str">
        <f t="shared" si="95"/>
        <v/>
      </c>
      <c r="AX98" s="70" t="str">
        <f t="shared" si="96"/>
        <v>&lt;path fill='#FFF' d='M4.8541 5.70634H-4.8541V-5.70634H4.8541Z'/&gt;</v>
      </c>
    </row>
    <row r="99" spans="3:50" x14ac:dyDescent="0.2">
      <c r="E99" t="s">
        <v>1822</v>
      </c>
      <c r="J99" s="70" t="str">
        <f t="shared" si="93"/>
        <v>&lt;defs&gt;&lt;path id='s' d='M0 -10 l-2.2451 6.9098 H-9.5106 l5.8779 4.2705 L-5.8779 8.0902 L0 3.8197 L5.8779 8.0902 L3.6327 1.1803 L9.5106 -3.0902 H2.2451Z'/&gt;&lt;/defs&gt;</v>
      </c>
      <c r="V99" s="70" t="str">
        <f t="shared" si="94"/>
        <v>&lt;defs&gt;&lt;path id='s' d='M-9.8995 1.4142 l7.1579 1.2454 L-1.7141 9.852 L1.6822 3.4293 L8.8401 4.6747 L3.7813 -.5402 L7.1776 -6.9629 L.6547 -3.7631 L-4.4041 -8.978 l1.0275 7.1924Z'/&gt;&lt;/defs&gt;</v>
      </c>
      <c r="AD99" s="70" t="str">
        <f t="shared" si="95"/>
        <v>&lt;defs&gt;&lt;path id='s' d='M7.4741 -6.6436 L.818 -3.731 L-4.0089 -9.1613 l.7133 7.2304 L-9.9517 .9817 l7.0969 1.5559 l.7132 7.2304 L1.5312 3.4993 l7.0969 1.556 L3.8012 -.375Z'/&gt;&lt;/defs&gt;</v>
      </c>
      <c r="AX99" s="70" t="str">
        <f t="shared" si="96"/>
        <v/>
      </c>
    </row>
    <row r="100" spans="3:50" x14ac:dyDescent="0.2">
      <c r="E100" t="s">
        <v>1822</v>
      </c>
      <c r="J100" s="70" t="str">
        <f t="shared" si="93"/>
        <v>&lt;use href='#s' fill='black'/&gt;</v>
      </c>
      <c r="V100" s="70" t="str">
        <f t="shared" si="94"/>
        <v>&lt;use href='#s' fill='#DE2910'/&gt;</v>
      </c>
      <c r="AD100" s="70" t="str">
        <f t="shared" si="95"/>
        <v>&lt;use href='#s' fill='#01411C'/&gt;</v>
      </c>
      <c r="AX100" s="70" t="str">
        <f t="shared" si="96"/>
        <v/>
      </c>
    </row>
    <row r="101" spans="3:50" x14ac:dyDescent="0.2">
      <c r="E101" t="s">
        <v>1822</v>
      </c>
      <c r="J101" s="70" t="str">
        <f t="shared" si="93"/>
        <v>&lt;use href='#s' fill='#FFF' transform='scale(0.6)'/&gt;</v>
      </c>
      <c r="V101" s="70" t="str">
        <f t="shared" si="94"/>
        <v>&lt;use href='#s' fill='#FFDE00' transform='scale(0.7)'/&gt;</v>
      </c>
      <c r="AD101" s="70" t="str">
        <f t="shared" si="95"/>
        <v>&lt;use href='#s' fill='#FFF' transform='scale(0.7)'/&gt;</v>
      </c>
      <c r="AX101" s="70" t="str">
        <f t="shared" si="96"/>
        <v/>
      </c>
    </row>
    <row r="102" spans="3:50" x14ac:dyDescent="0.2">
      <c r="E102" t="s">
        <v>1822</v>
      </c>
      <c r="J102" s="70" t="str">
        <f t="shared" si="93"/>
        <v/>
      </c>
      <c r="V102" s="70" t="str">
        <f t="shared" si="94"/>
        <v/>
      </c>
      <c r="AD102" s="70" t="str">
        <f t="shared" si="95"/>
        <v/>
      </c>
      <c r="AX102" s="70" t="str">
        <f t="shared" si="96"/>
        <v/>
      </c>
    </row>
    <row r="103" spans="3:50" x14ac:dyDescent="0.2">
      <c r="E103" t="s">
        <v>1822</v>
      </c>
      <c r="J103" s="70" t="str">
        <f t="shared" si="93"/>
        <v/>
      </c>
      <c r="V103" s="70" t="str">
        <f t="shared" si="94"/>
        <v/>
      </c>
      <c r="AD103" s="70" t="str">
        <f t="shared" si="95"/>
        <v/>
      </c>
      <c r="AX103" s="70" t="str">
        <f t="shared" si="96"/>
        <v/>
      </c>
    </row>
    <row r="104" spans="3:50" x14ac:dyDescent="0.2">
      <c r="E104" t="s">
        <v>1822</v>
      </c>
      <c r="J104" s="70" t="str">
        <f t="shared" si="93"/>
        <v/>
      </c>
      <c r="V104" s="70" t="str">
        <f t="shared" si="94"/>
        <v/>
      </c>
      <c r="AD104" s="70" t="str">
        <f t="shared" si="95"/>
        <v/>
      </c>
      <c r="AX104" s="70" t="str">
        <f t="shared" si="96"/>
        <v/>
      </c>
    </row>
    <row r="105" spans="3:50" x14ac:dyDescent="0.2">
      <c r="E105" t="s">
        <v>1822</v>
      </c>
      <c r="J105" s="70" t="str">
        <f t="shared" si="93"/>
        <v/>
      </c>
      <c r="V105" s="70" t="str">
        <f t="shared" si="94"/>
        <v/>
      </c>
      <c r="AD105" s="70" t="str">
        <f t="shared" si="95"/>
        <v/>
      </c>
      <c r="AX105" s="70" t="str">
        <f t="shared" si="96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1822</v>
      </c>
      <c r="J106" s="70" t="str">
        <f t="shared" si="93"/>
        <v/>
      </c>
      <c r="V106" s="70" t="str">
        <f t="shared" si="94"/>
        <v/>
      </c>
      <c r="AD106" s="70" t="str">
        <f t="shared" si="95"/>
        <v/>
      </c>
      <c r="AX106" s="70" t="str">
        <f t="shared" si="96"/>
        <v/>
      </c>
    </row>
    <row r="107" spans="3:50" x14ac:dyDescent="0.2">
      <c r="C107" t="s">
        <v>1824</v>
      </c>
      <c r="D107">
        <f xml:space="preserve"> D$96 / 2</f>
        <v>0.22</v>
      </c>
      <c r="E107" t="s">
        <v>1826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1827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97" xml:space="preserve"> C$107</f>
        <v>opacity='60%' stroke='#00AACC'</v>
      </c>
      <c r="D109">
        <f t="shared" si="97"/>
        <v>0.22</v>
      </c>
      <c r="E109" t="s">
        <v>1828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97"/>
        <v>opacity='60%' stroke='#00AACC'</v>
      </c>
      <c r="D110">
        <f t="shared" si="97"/>
        <v>0.22</v>
      </c>
      <c r="E110" t="s">
        <v>1829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1832</v>
      </c>
      <c r="D111">
        <f xml:space="preserve"> D$107</f>
        <v>0.22</v>
      </c>
      <c r="E111" t="s">
        <v>1831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1830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2103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font-size='0.2063'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font-size='0.209'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font-size='0.2072'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font-size='0.13569'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L36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38" x14ac:dyDescent="0.2">
      <c r="B2" s="4" t="s">
        <v>91</v>
      </c>
      <c r="D2" t="s">
        <v>7</v>
      </c>
      <c r="F2" t="s">
        <v>132</v>
      </c>
      <c r="H2" t="s">
        <v>97</v>
      </c>
      <c r="J2" t="s">
        <v>395</v>
      </c>
      <c r="L2" t="s">
        <v>99</v>
      </c>
      <c r="N2" t="s">
        <v>98</v>
      </c>
      <c r="P2" t="s">
        <v>1647</v>
      </c>
      <c r="R2" t="s">
        <v>100</v>
      </c>
      <c r="T2" t="s">
        <v>101</v>
      </c>
      <c r="V2" t="s">
        <v>103</v>
      </c>
      <c r="X2" t="s">
        <v>105</v>
      </c>
      <c r="Z2" t="s">
        <v>716</v>
      </c>
      <c r="AB2" t="s">
        <v>1680</v>
      </c>
      <c r="AD2" t="s">
        <v>174</v>
      </c>
      <c r="AF2" t="s">
        <v>106</v>
      </c>
      <c r="AH2" t="s">
        <v>996</v>
      </c>
      <c r="AJ2" t="s">
        <v>2053</v>
      </c>
    </row>
    <row r="4" spans="2:38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$D4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>
        <f xml:space="preserve"> $D4</f>
        <v>1</v>
      </c>
      <c r="AL4" s="28"/>
    </row>
    <row r="5" spans="2:38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</row>
    <row r="6" spans="2:38" x14ac:dyDescent="0.2">
      <c r="B6" s="4" t="s">
        <v>89</v>
      </c>
      <c r="D6">
        <f xml:space="preserve"> VALUE(TEXT(SQRT(_xlfn.SINGLE(Circles.AreaMultiplier) * BasicBBoxArea * _xlfn.SINGLE(Circles.Aspect)), SVG.NumberFormatHeight))</f>
        <v>80</v>
      </c>
      <c r="F6">
        <f xml:space="preserve"> VALUE(TEXT(SQRT(_xlfn.SINGLE(Circles.AreaMultiplier) * BasicBBoxArea * _xlfn.SINGLE(Circles.Aspect)), SVG.NumberFormatHeight))</f>
        <v>80</v>
      </c>
      <c r="H6">
        <f xml:space="preserve"> VALUE(TEXT(SQRT(_xlfn.SINGLE(Circles.AreaMultiplier) * BasicBBoxArea * _xlfn.SINGLE(Circles.Aspect)), SVG.NumberFormatHeight))</f>
        <v>80</v>
      </c>
      <c r="J6">
        <f xml:space="preserve"> VALUE(TEXT(SQRT(_xlfn.SINGLE(Circles.AreaMultiplier) * BasicBBoxArea * _xlfn.SINGLE(Circles.Aspect)), SVG.NumberFormatHeight))</f>
        <v>80</v>
      </c>
      <c r="L6">
        <f xml:space="preserve"> VALUE(TEXT(SQRT(_xlfn.SINGLE(Circles.AreaMultiplier) * BasicBBoxArea * _xlfn.SINGLE(Circles.Aspect)), SVG.NumberFormatHeight))</f>
        <v>80</v>
      </c>
      <c r="N6">
        <f xml:space="preserve"> VALUE(TEXT(SQRT(_xlfn.SINGLE(Circles.AreaMultiplier) * BasicBBoxArea * _xlfn.SINGLE(Circles.Aspect)), SVG.NumberFormatHeight))</f>
        <v>80</v>
      </c>
      <c r="P6">
        <f xml:space="preserve"> VALUE(TEXT(SQRT(_xlfn.SINGLE(Circles.AreaMultiplier) * BasicBBoxArea * _xlfn.SINGLE(Circles.Aspect)), SVG.NumberFormatHeight))</f>
        <v>80</v>
      </c>
      <c r="R6">
        <f xml:space="preserve"> VALUE(TEXT(SQRT(_xlfn.SINGLE(Circles.AreaMultiplier) * BasicBBoxArea * _xlfn.SINGLE(Circles.Aspect)), SVG.NumberFormatHeight))</f>
        <v>80</v>
      </c>
      <c r="T6">
        <f xml:space="preserve"> VALUE(TEXT(SQRT(_xlfn.SINGLE(Circles.AreaMultiplier) * BasicBBoxArea * _xlfn.SINGLE(Circles.Aspect)), SVG.NumberFormatHeight))</f>
        <v>80</v>
      </c>
      <c r="V6">
        <f xml:space="preserve"> VALUE(TEXT(SQRT(_xlfn.SINGLE(Circles.AreaMultiplier) * BasicBBoxArea * _xlfn.SINGLE(Circles.Aspect)), SVG.NumberFormatHeight))</f>
        <v>80</v>
      </c>
      <c r="X6">
        <f xml:space="preserve"> VALUE(TEXT(SQRT(_xlfn.SINGLE(Circles.AreaMultiplier) * BasicBBoxArea * _xlfn.SINGLE(Circles.Aspect)), SVG.NumberFormatHeight))</f>
        <v>80</v>
      </c>
      <c r="Z6">
        <f xml:space="preserve"> VALUE(TEXT(SQRT(_xlfn.SINGLE(Circles.AreaMultiplier) * BasicBBoxArea * _xlfn.SINGLE(Circles.Aspect)), SVG.NumberFormatHeight))</f>
        <v>80</v>
      </c>
      <c r="AB6">
        <f xml:space="preserve"> VALUE(TEXT(SQRT(_xlfn.SINGLE(Circles.AreaMultiplier) * BasicBBoxArea * _xlfn.SINGLE(Circles.Aspect)), SVG.NumberFormatHeight))</f>
        <v>80</v>
      </c>
      <c r="AD6">
        <f xml:space="preserve"> VALUE(TEXT(SQRT(_xlfn.SINGLE(Circles.AreaMultiplier) * BasicBBoxArea * _xlfn.SINGLE(Circles.Aspect)), SVG.NumberFormatHeight))</f>
        <v>80</v>
      </c>
      <c r="AF6">
        <f xml:space="preserve"> VALUE(TEXT(SQRT(_xlfn.SINGLE(Circles.AreaMultiplier) * BasicBBoxArea * _xlfn.SINGLE(Circles.Aspect)), SVG.NumberFormatHeight))</f>
        <v>80</v>
      </c>
      <c r="AH6">
        <f xml:space="preserve"> VALUE(TEXT(SQRT(_xlfn.SINGLE(Circles.AreaMultiplier) * BasicBBoxArea * _xlfn.SINGLE(Circles.Aspect)), SVG.NumberFormatHeight))</f>
        <v>80</v>
      </c>
      <c r="AJ6">
        <f xml:space="preserve"> VALUE(TEXT(SQRT(_xlfn.SINGLE(Circles.AreaMultiplier) * BasicBBoxArea * _xlfn.SINGLE(Circles.Aspect)), SVG.NumberFormatHeight))</f>
        <v>80</v>
      </c>
    </row>
    <row r="7" spans="2:38" x14ac:dyDescent="0.2">
      <c r="B7" s="4" t="s">
        <v>90</v>
      </c>
      <c r="D7">
        <f xml:space="preserve"> _xlfn.SINGLE(Circles.Height) / _xlfn.SINGLE(Circles.Aspect)</f>
        <v>80</v>
      </c>
      <c r="F7">
        <f xml:space="preserve"> _xlfn.SINGLE(Circles.Height) / _xlfn.SINGLE(Circles.Aspect)</f>
        <v>80</v>
      </c>
      <c r="H7">
        <f xml:space="preserve"> _xlfn.SINGLE(Circles.Height) / _xlfn.SINGLE(Circles.Aspect)</f>
        <v>80</v>
      </c>
      <c r="J7">
        <f xml:space="preserve"> _xlfn.SINGLE(Circles.Height) / _xlfn.SINGLE(Circles.Aspect)</f>
        <v>80</v>
      </c>
      <c r="L7">
        <f xml:space="preserve"> _xlfn.SINGLE(Circles.Height) / _xlfn.SINGLE(Circles.Aspect)</f>
        <v>80</v>
      </c>
      <c r="N7">
        <f xml:space="preserve"> _xlfn.SINGLE(Circles.Height) / _xlfn.SINGLE(Circles.Aspect)</f>
        <v>80</v>
      </c>
      <c r="P7">
        <f xml:space="preserve"> _xlfn.SINGLE(Circles.Height) / _xlfn.SINGLE(Circles.Aspect)</f>
        <v>80</v>
      </c>
      <c r="R7">
        <f xml:space="preserve"> _xlfn.SINGLE(Circles.Height) / _xlfn.SINGLE(Circles.Aspect)</f>
        <v>80</v>
      </c>
      <c r="T7">
        <f xml:space="preserve"> _xlfn.SINGLE(Circles.Height) / _xlfn.SINGLE(Circles.Aspect)</f>
        <v>80</v>
      </c>
      <c r="V7">
        <f xml:space="preserve"> _xlfn.SINGLE(Circles.Height) / _xlfn.SINGLE(Circles.Aspect)</f>
        <v>80</v>
      </c>
      <c r="X7">
        <f xml:space="preserve"> _xlfn.SINGLE(Circles.Height) / _xlfn.SINGLE(Circles.Aspect)</f>
        <v>80</v>
      </c>
      <c r="Z7">
        <f xml:space="preserve"> _xlfn.SINGLE(Circles.Height) / _xlfn.SINGLE(Circles.Aspect)</f>
        <v>80</v>
      </c>
      <c r="AB7">
        <f xml:space="preserve"> _xlfn.SINGLE(Circles.Height) / _xlfn.SINGLE(Circles.Aspect)</f>
        <v>80</v>
      </c>
      <c r="AD7">
        <f xml:space="preserve"> _xlfn.SINGLE(Circles.Height) / _xlfn.SINGLE(Circles.Aspect)</f>
        <v>80</v>
      </c>
      <c r="AF7">
        <f xml:space="preserve"> _xlfn.SINGLE(Circles.Height) / _xlfn.SINGLE(Circles.Aspect)</f>
        <v>80</v>
      </c>
      <c r="AH7">
        <f xml:space="preserve"> _xlfn.SINGLE(Circles.Height) / _xlfn.SINGLE(Circles.Aspect)</f>
        <v>80</v>
      </c>
      <c r="AJ7">
        <f xml:space="preserve"> _xlfn.SINGLE(Circles.Height) / _xlfn.SINGLE(Circles.Aspect)</f>
        <v>80</v>
      </c>
    </row>
    <row r="9" spans="2:38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xml:space="preserve"> $L9</f>
        <v>27</v>
      </c>
      <c r="Z9">
        <v>5</v>
      </c>
      <c r="AB9">
        <v>5</v>
      </c>
      <c r="AD9">
        <v>1</v>
      </c>
      <c r="AF9">
        <f xml:space="preserve"> $L9</f>
        <v>27</v>
      </c>
      <c r="AH9">
        <v>6</v>
      </c>
      <c r="AJ9">
        <v>10</v>
      </c>
    </row>
    <row r="10" spans="2:38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0" xml:space="preserve"> $L10</f>
        <v>19</v>
      </c>
      <c r="P10">
        <f t="shared" si="0"/>
        <v>19</v>
      </c>
      <c r="R10">
        <f xml:space="preserve"> _xlfn.SINGLE(Circles.SVG_Radius_3) - 1</f>
        <v>3</v>
      </c>
      <c r="T10">
        <f t="shared" ref="T10:T11" si="1" xml:space="preserve"> $L10</f>
        <v>19</v>
      </c>
      <c r="V10">
        <v>2</v>
      </c>
      <c r="X10">
        <f t="shared" ref="X10:X11" si="2" xml:space="preserve"> $L10</f>
        <v>19</v>
      </c>
      <c r="AB10">
        <f xml:space="preserve"> _xlfn.SINGLE(Circles.SVG_Radius_3) * 0.8</f>
        <v>4</v>
      </c>
      <c r="AF10">
        <f t="shared" ref="AF10:AF11" si="3" xml:space="preserve"> $L10</f>
        <v>19</v>
      </c>
      <c r="AH10">
        <f xml:space="preserve"> _xlfn.SINGLE(Circles.SVG_Radius_3) - 1</f>
        <v>5</v>
      </c>
      <c r="AJ10">
        <f xml:space="preserve"> _xlfn.SINGLE(Circles.SVG_Radius_3) - 3</f>
        <v>7</v>
      </c>
    </row>
    <row r="11" spans="2:38" x14ac:dyDescent="0.2">
      <c r="B11" s="4" t="s">
        <v>113</v>
      </c>
      <c r="L11">
        <f xml:space="preserve"> Thirds_I</f>
        <v>10</v>
      </c>
      <c r="N11">
        <f t="shared" si="0"/>
        <v>10</v>
      </c>
      <c r="P11">
        <f t="shared" si="0"/>
        <v>10</v>
      </c>
      <c r="R11">
        <f xml:space="preserve"> _xlfn.SINGLE(Circles.SVG_Radius_2) - 1</f>
        <v>2</v>
      </c>
      <c r="T11">
        <f t="shared" si="1"/>
        <v>10</v>
      </c>
      <c r="X11">
        <f t="shared" si="2"/>
        <v>10</v>
      </c>
      <c r="AF11">
        <f t="shared" si="3"/>
        <v>10</v>
      </c>
      <c r="AJ11">
        <f xml:space="preserve"> _xlfn.SINGLE(Circles.SVG_Radius_2) - 2</f>
        <v>5</v>
      </c>
    </row>
    <row r="12" spans="2:38" x14ac:dyDescent="0.2">
      <c r="B12" s="4" t="s">
        <v>114</v>
      </c>
      <c r="J12">
        <f xml:space="preserve"> _xlfn.SINGLE(Circles.SVG_Radius_3) * 5 / 6</f>
        <v>5</v>
      </c>
      <c r="AB12">
        <v>1</v>
      </c>
      <c r="AD12">
        <f xml:space="preserve"> _xlfn.SINGLE(Circles.SVG_Radius_3) * SqrtHalf</f>
        <v>0.70710678118654757</v>
      </c>
    </row>
    <row r="14" spans="2:38" x14ac:dyDescent="0.2">
      <c r="B14" s="4" t="s">
        <v>108</v>
      </c>
      <c r="D14" t="s">
        <v>718</v>
      </c>
      <c r="F14" t="s">
        <v>721</v>
      </c>
      <c r="H14" t="s">
        <v>720</v>
      </c>
      <c r="J14" t="s">
        <v>727</v>
      </c>
      <c r="L14" t="s">
        <v>724</v>
      </c>
      <c r="N14" t="s">
        <v>725</v>
      </c>
      <c r="P14" t="s">
        <v>727</v>
      </c>
      <c r="R14" t="s">
        <v>729</v>
      </c>
      <c r="T14" t="s">
        <v>729</v>
      </c>
      <c r="V14" t="s">
        <v>721</v>
      </c>
      <c r="X14" t="s">
        <v>735</v>
      </c>
      <c r="Z14" t="s">
        <v>736</v>
      </c>
      <c r="AB14" t="s">
        <v>1681</v>
      </c>
      <c r="AD14" t="s">
        <v>726</v>
      </c>
      <c r="AF14" t="s">
        <v>727</v>
      </c>
      <c r="AH14" t="s">
        <v>995</v>
      </c>
      <c r="AJ14" t="s">
        <v>2054</v>
      </c>
    </row>
    <row r="15" spans="2:38" x14ac:dyDescent="0.2">
      <c r="B15" s="4" t="s">
        <v>109</v>
      </c>
      <c r="D15" t="str">
        <f xml:space="preserve"> "fill='#FFF'"</f>
        <v>fill='#FFF'</v>
      </c>
      <c r="H15" t="s">
        <v>719</v>
      </c>
      <c r="L15" t="s">
        <v>723</v>
      </c>
      <c r="N15" t="s">
        <v>2103</v>
      </c>
      <c r="P15" t="s">
        <v>1648</v>
      </c>
      <c r="R15" t="s">
        <v>731</v>
      </c>
      <c r="T15" t="s">
        <v>2103</v>
      </c>
      <c r="V15" t="s">
        <v>733</v>
      </c>
      <c r="X15" t="s">
        <v>727</v>
      </c>
      <c r="AB15" t="s">
        <v>1683</v>
      </c>
      <c r="AF15" t="s">
        <v>2103</v>
      </c>
      <c r="AH15" t="s">
        <v>2103</v>
      </c>
      <c r="AJ15" t="s">
        <v>2103</v>
      </c>
    </row>
    <row r="16" spans="2:38" x14ac:dyDescent="0.2">
      <c r="B16" s="4" t="s">
        <v>110</v>
      </c>
      <c r="L16" t="s">
        <v>722</v>
      </c>
      <c r="N16" t="s">
        <v>728</v>
      </c>
      <c r="P16" t="s">
        <v>1649</v>
      </c>
      <c r="R16" t="s">
        <v>732</v>
      </c>
      <c r="T16" t="str">
        <f xml:space="preserve"> _xlfn.SINGLE(Circles.SVG_Painting_3)</f>
        <v>fill='#C8102E'</v>
      </c>
      <c r="X16" t="s">
        <v>2103</v>
      </c>
      <c r="AF16" t="s">
        <v>738</v>
      </c>
      <c r="AJ16" t="s">
        <v>2055</v>
      </c>
    </row>
    <row r="17" spans="2:38" x14ac:dyDescent="0.2">
      <c r="B17" s="4" t="s">
        <v>107</v>
      </c>
      <c r="F17" t="s">
        <v>2103</v>
      </c>
      <c r="J17" t="s">
        <v>721</v>
      </c>
      <c r="Z17" t="s">
        <v>737</v>
      </c>
      <c r="AB17" t="s">
        <v>1682</v>
      </c>
      <c r="AD17" t="s">
        <v>2103</v>
      </c>
    </row>
    <row r="20" spans="2:38" x14ac:dyDescent="0.2">
      <c r="B20" s="4" t="s">
        <v>152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MAX(_xlfn.SINGLE(Circles.SVG_Radius_0), _xlfn.SINGLE(Circles.SVG_Radius_1), _xlfn.SINGLE(Circles.SVG_Radius_2), _xlfn.SINGLE(Circles.SVG_Radius_3))</f>
        <v>27</v>
      </c>
      <c r="Z20">
        <f xml:space="preserve"> MAX(_xlfn.SINGLE(Circles.SVG_Radius_0), _xlfn.SINGLE(Circles.SVG_Radius_1), _xlfn.SINGLE(Circles.SVG_Radius_2), _xlfn.SINGLE(Circles.SVG_Radius_3))</f>
        <v>5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1</v>
      </c>
      <c r="AF20">
        <f xml:space="preserve"> MAX(_xlfn.SINGLE(Circles.SVG_Radius_0), _xlfn.SINGLE(Circles.SVG_Radius_1), _xlfn.SINGLE(Circles.SVG_Radius_2), _xlfn.SINGLE(Circles.SVG_Radius_3))</f>
        <v>27</v>
      </c>
      <c r="AH20">
        <f xml:space="preserve"> MAX(_xlfn.SINGLE(Circles.SVG_Radius_0), _xlfn.SINGLE(Circles.SVG_Radius_1), _xlfn.SINGLE(Circles.SVG_Radius_2), _xlfn.SINGLE(Circles.SVG_Radius_3))</f>
        <v>6</v>
      </c>
      <c r="AJ20">
        <f xml:space="preserve"> MAX(_xlfn.SINGLE(Circles.SVG_Radius_0), _xlfn.SINGLE(Circles.SVG_Radius_1), _xlfn.SINGLE(Circles.SVG_Radius_2), _xlfn.SINGLE(Circles.SVG_Radius_3))</f>
        <v>10</v>
      </c>
    </row>
    <row r="23" spans="2:38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183</v>
      </c>
      <c r="Z23" cm="1">
        <f t="array" ref="Z23" xml:space="preserve"> SVG_length(Z$25:Z$31)</f>
        <v>194</v>
      </c>
      <c r="AB23" cm="1">
        <f t="array" ref="AB23" xml:space="preserve"> SVG_length(AB$25:AB$31)</f>
        <v>231</v>
      </c>
      <c r="AD23" cm="1">
        <f t="array" ref="AD23" xml:space="preserve"> SVG_length(AD$25:AD$31)</f>
        <v>196</v>
      </c>
      <c r="AF23" cm="1">
        <f t="array" ref="AF23" xml:space="preserve"> SVG_length(AF$25:AF$31)</f>
        <v>183</v>
      </c>
      <c r="AH23" cm="1">
        <f t="array" ref="AH23" xml:space="preserve"> SVG_length(AH$25:AH$31)</f>
        <v>238</v>
      </c>
      <c r="AJ23" cm="1">
        <f t="array" ref="AJ23" xml:space="preserve"> SVG_length(AJ$25:AJ$31)</f>
        <v>196</v>
      </c>
    </row>
    <row r="24" spans="2:38" ht="17" thickBot="1" x14ac:dyDescent="0.25">
      <c r="B24" s="7" t="s">
        <v>94</v>
      </c>
    </row>
    <row r="25" spans="2:38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viewBox='-27 -27 54 54'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viewBox='-5 -5 10 10'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viewBox='-1 -1 2 2'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viewBox='-27 -27 54 54'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viewBox='-6 -6 12 12'  id='%thisID%' xmlns='http://www.w3.org/2000/svg'&gt;</v>
      </c>
      <c r="AI25" s="20" t="str">
        <f xml:space="preserve"> ""</f>
        <v/>
      </c>
      <c r="A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width='80' height='80' viewBox='-10 -10 20 20'  id='%thisID%' xmlns='http://www.w3.org/2000/svg'&gt;</v>
      </c>
      <c r="AK25" s="20" t="str">
        <f t="shared" ref="AK25" si="4" xml:space="preserve"> ""</f>
        <v/>
      </c>
      <c r="AL25" s="21"/>
    </row>
    <row r="26" spans="2:38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K31" si="5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5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5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5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5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5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5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5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5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5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Y26" s="23" t="str">
        <f t="shared" si="5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A26" s="23" t="str">
        <f t="shared" si="5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C26" s="23" t="str">
        <f t="shared" si="5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E26" s="23" t="str">
        <f t="shared" si="5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G26" s="23" t="str">
        <f t="shared" si="5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fill='#005073' r='6'/&gt;</v>
      </c>
      <c r="AI26" s="23" t="str">
        <f t="shared" si="5"/>
        <v/>
      </c>
      <c r="A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K26" s="23" t="str">
        <f t="shared" si="5"/>
        <v/>
      </c>
      <c r="AL26" s="24"/>
    </row>
    <row r="27" spans="2:38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5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5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5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5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5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5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5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5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5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5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fill='black' r='19'/&gt;</v>
      </c>
      <c r="Y27" s="23" t="str">
        <f t="shared" si="5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A27" s="23" t="str">
        <f t="shared" si="5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C27" s="23" t="str">
        <f t="shared" si="5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E27" s="23" t="str">
        <f t="shared" si="5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G27" s="23" t="str">
        <f t="shared" si="5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r='5'/&gt;</v>
      </c>
      <c r="AI27" s="23" t="str">
        <f t="shared" si="5"/>
        <v/>
      </c>
      <c r="AJ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K27" s="23" t="str">
        <f t="shared" si="5"/>
        <v/>
      </c>
      <c r="AL27" s="24"/>
    </row>
    <row r="28" spans="2:38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5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5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5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5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5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5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5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5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5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5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Y28" s="23" t="str">
        <f t="shared" si="5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A28" s="23" t="str">
        <f t="shared" si="5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5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E28" s="23" t="str">
        <f t="shared" si="5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G28" s="23" t="str">
        <f t="shared" si="5"/>
        <v/>
      </c>
      <c r="AH28" s="23"/>
      <c r="AI28" s="23" t="str">
        <f t="shared" si="5"/>
        <v/>
      </c>
      <c r="AJ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K28" s="23" t="str">
        <f t="shared" si="5"/>
        <v/>
      </c>
      <c r="AL28" s="24"/>
    </row>
    <row r="29" spans="2:38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5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5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5"/>
        <v/>
      </c>
      <c r="J29" s="34"/>
      <c r="K29" s="23" t="str">
        <f t="shared" si="5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5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5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5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5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5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5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5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5"/>
        <v/>
      </c>
      <c r="AB29" s="34"/>
      <c r="AC29" s="23" t="str">
        <f t="shared" si="5"/>
        <v/>
      </c>
      <c r="AD29" s="34"/>
      <c r="AE29" s="23" t="str">
        <f t="shared" si="5"/>
        <v/>
      </c>
      <c r="A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G29" s="23" t="str">
        <f t="shared" si="5"/>
        <v/>
      </c>
      <c r="A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I29" s="23" t="str">
        <f t="shared" si="5"/>
        <v/>
      </c>
      <c r="AJ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K29" s="23" t="str">
        <f t="shared" si="5"/>
        <v/>
      </c>
      <c r="AL29" s="24"/>
    </row>
    <row r="30" spans="2:38" x14ac:dyDescent="0.2">
      <c r="C30" s="22"/>
      <c r="D30" s="23"/>
      <c r="E30" s="23" t="str">
        <f t="shared" si="5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5"/>
        <v/>
      </c>
      <c r="H30" s="23"/>
      <c r="I30" s="23" t="str">
        <f t="shared" si="5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5"/>
        <v/>
      </c>
      <c r="L30" s="23"/>
      <c r="M30" s="23" t="str">
        <f t="shared" si="5"/>
        <v/>
      </c>
      <c r="N30" s="23"/>
      <c r="O30" s="23" t="str">
        <f t="shared" si="5"/>
        <v/>
      </c>
      <c r="P30" s="23"/>
      <c r="Q30" s="23" t="str">
        <f t="shared" si="5"/>
        <v/>
      </c>
      <c r="R30" s="23"/>
      <c r="S30" s="23" t="str">
        <f t="shared" si="5"/>
        <v/>
      </c>
      <c r="T30" s="23"/>
      <c r="U30" s="23" t="str">
        <f t="shared" si="5"/>
        <v/>
      </c>
      <c r="V30" s="23"/>
      <c r="W30" s="23" t="str">
        <f t="shared" si="5"/>
        <v/>
      </c>
      <c r="X30" s="23"/>
      <c r="Y30" s="23" t="str">
        <f t="shared" si="5"/>
        <v/>
      </c>
      <c r="Z30" s="32" t="str">
        <f xml:space="preserve"> "&lt;path " &amp; _xlfn.SINGLE(Circles.SVG_Painting_0) &amp; " d='M4 1H1V4H-1V1H-4V-1h3V-4H1v3H4Z'/&gt;"</f>
        <v>&lt;path fill='#D3AE45' d='M4 1H1V4H-1V1H-4V-1h3V-4H1v3H4Z'/&gt;</v>
      </c>
      <c r="AA30" s="23" t="str">
        <f t="shared" si="5"/>
        <v/>
      </c>
      <c r="AB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C30" s="23" t="str">
        <f t="shared" si="5"/>
        <v/>
      </c>
      <c r="AD30" s="32" t="str" cm="1">
        <f t="array" ref="AD30" xml:space="preserve"> svgPathRect(DecimalPlaces, _xlfn.SINGLE(Circles.SVG_Painting_0), _xlfn.SINGLE(Circles.SVG_Radius_0), _xlfn.SINGLE(Circles.SVG_Radius_0))</f>
        <v>&lt;path fill='#FFF' d='M.70711 .70711V-.70711H-.70711V.70711Z'/&gt;</v>
      </c>
      <c r="AE30" s="23" t="str">
        <f t="shared" si="5"/>
        <v/>
      </c>
      <c r="AF30" s="23"/>
      <c r="AG30" s="23" t="str">
        <f t="shared" si="5"/>
        <v/>
      </c>
      <c r="AH30" s="32" t="str">
        <f xml:space="preserve"> "&lt;rect " &amp; _xlfn.SINGLE(Circles.SVG_Painting_3) &amp; " x='" &amp; (-0.2*_xlfn.SINGLE(Circles.SVG_Radius_3)) &amp; "' y='" &amp; (-0.7*_xlfn.SINGLE(Circles.SVG_Radius_3)) &amp; "' width='" &amp; (0.4*_xlfn.SINGLE(Circles.SVG_Radius_3)) &amp; "' height='" &amp; (1.4*_xlfn.SINGLE(Circles.SVG_Radius_3)) &amp; "' rx='" &amp; (0.075 * _xlfn.SINGLE(Circles.SVG_Radius_3)) &amp; "'/&gt;"</f>
        <v>&lt;rect fill='#005073' x='-1.2' y='-4.2' width='2.4' height='8.4' rx='0.45'/&gt;</v>
      </c>
      <c r="AI30" s="23" t="str">
        <f t="shared" si="5"/>
        <v/>
      </c>
      <c r="AJ30" s="23"/>
      <c r="AK30" s="23" t="str">
        <f t="shared" si="5"/>
        <v/>
      </c>
      <c r="AL30" s="24"/>
    </row>
    <row r="31" spans="2:38" x14ac:dyDescent="0.2">
      <c r="C31" s="25"/>
      <c r="D31" s="26" t="s">
        <v>15</v>
      </c>
      <c r="E31" s="26" t="str">
        <f t="shared" si="5"/>
        <v/>
      </c>
      <c r="F31" s="26" t="s">
        <v>15</v>
      </c>
      <c r="G31" s="26" t="str">
        <f t="shared" si="5"/>
        <v/>
      </c>
      <c r="H31" s="26" t="s">
        <v>15</v>
      </c>
      <c r="I31" s="26" t="str">
        <f t="shared" si="5"/>
        <v/>
      </c>
      <c r="J31" s="26" t="s">
        <v>15</v>
      </c>
      <c r="K31" s="26" t="str">
        <f t="shared" si="5"/>
        <v/>
      </c>
      <c r="L31" s="26" t="s">
        <v>15</v>
      </c>
      <c r="M31" s="26" t="str">
        <f t="shared" si="5"/>
        <v/>
      </c>
      <c r="N31" s="26" t="s">
        <v>15</v>
      </c>
      <c r="O31" s="26" t="str">
        <f t="shared" si="5"/>
        <v/>
      </c>
      <c r="P31" s="26" t="s">
        <v>15</v>
      </c>
      <c r="Q31" s="26" t="str">
        <f t="shared" si="5"/>
        <v/>
      </c>
      <c r="R31" s="26" t="s">
        <v>15</v>
      </c>
      <c r="S31" s="26" t="str">
        <f t="shared" si="5"/>
        <v/>
      </c>
      <c r="T31" s="26" t="s">
        <v>15</v>
      </c>
      <c r="U31" s="26" t="str">
        <f t="shared" si="5"/>
        <v/>
      </c>
      <c r="V31" s="26" t="s">
        <v>15</v>
      </c>
      <c r="W31" s="26" t="str">
        <f t="shared" si="5"/>
        <v/>
      </c>
      <c r="X31" s="26" t="s">
        <v>15</v>
      </c>
      <c r="Y31" s="26" t="str">
        <f t="shared" si="5"/>
        <v/>
      </c>
      <c r="Z31" s="26" t="s">
        <v>15</v>
      </c>
      <c r="AA31" s="26" t="str">
        <f t="shared" si="5"/>
        <v/>
      </c>
      <c r="AB31" s="26" t="s">
        <v>15</v>
      </c>
      <c r="AC31" s="26" t="str">
        <f t="shared" si="5"/>
        <v/>
      </c>
      <c r="AD31" s="26" t="s">
        <v>15</v>
      </c>
      <c r="AE31" s="26" t="str">
        <f t="shared" si="5"/>
        <v/>
      </c>
      <c r="AF31" s="26" t="s">
        <v>15</v>
      </c>
      <c r="AG31" s="26" t="str">
        <f t="shared" si="5"/>
        <v/>
      </c>
      <c r="AH31" s="26" t="s">
        <v>15</v>
      </c>
      <c r="AI31" s="26" t="str">
        <f t="shared" si="5"/>
        <v/>
      </c>
      <c r="AJ31" s="26" t="s">
        <v>15</v>
      </c>
      <c r="AK31" s="26" t="str">
        <f t="shared" si="5"/>
        <v/>
      </c>
      <c r="AL31" s="27"/>
    </row>
    <row r="34" spans="3:36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EE</v>
      </c>
      <c r="Z34" t="str">
        <f xml:space="preserve"> _xlfn.SINGLE(Circles.ID)</f>
        <v>ME</v>
      </c>
      <c r="AB34" t="str">
        <f xml:space="preserve"> _xlfn.SINGLE(Circles.ID)</f>
        <v>MDL</v>
      </c>
      <c r="AD34" t="str">
        <f xml:space="preserve"> _xlfn.SINGLE(Circles.ID)</f>
        <v>_ADB</v>
      </c>
      <c r="AF34" t="str">
        <f xml:space="preserve"> _xlfn.SINGLE(Circles.ID)</f>
        <v>_AfDB</v>
      </c>
      <c r="AH34" t="str">
        <f xml:space="preserve"> _xlfn.SINGLE(Circles.ID)</f>
        <v>_IADB</v>
      </c>
      <c r="AJ34" t="str">
        <f xml:space="preserve"> _xlfn.SINGLE(Circles.ID)</f>
        <v>_CDB</v>
      </c>
    </row>
    <row r="35" spans="3:36" x14ac:dyDescent="0.2">
      <c r="C35" s="6"/>
    </row>
    <row r="36" spans="3:36" x14ac:dyDescent="0.2">
      <c r="C36" s="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X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24" x14ac:dyDescent="0.2">
      <c r="B2" s="4" t="s">
        <v>153</v>
      </c>
      <c r="D2" t="s">
        <v>204</v>
      </c>
      <c r="F2" t="s">
        <v>163</v>
      </c>
      <c r="H2" t="s">
        <v>164</v>
      </c>
      <c r="J2" t="s">
        <v>165</v>
      </c>
      <c r="L2" t="s">
        <v>166</v>
      </c>
      <c r="N2" t="s">
        <v>168</v>
      </c>
      <c r="P2" t="s">
        <v>102</v>
      </c>
      <c r="R2" t="s">
        <v>170</v>
      </c>
      <c r="T2" t="s">
        <v>171</v>
      </c>
      <c r="V2" t="s">
        <v>561</v>
      </c>
      <c r="X2" t="e">
        <f xml:space="preserve"> NA()</f>
        <v>#N/A</v>
      </c>
    </row>
    <row r="4" spans="2:24" x14ac:dyDescent="0.2">
      <c r="B4" s="4" t="s">
        <v>154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$D4</f>
        <v>0.85</v>
      </c>
    </row>
    <row r="5" spans="2:24" x14ac:dyDescent="0.2">
      <c r="B5" s="4" t="s">
        <v>155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</row>
    <row r="6" spans="2:24" x14ac:dyDescent="0.2">
      <c r="B6" s="4" t="s">
        <v>156</v>
      </c>
      <c r="D6">
        <f xml:space="preserve"> VALUE(TEXT(SQRT(_xlfn.SINGLE(Squares.AreaMultiplier) * BasicBBoxArea * _xlfn.SINGLE(Squares.Aspect)), SVG.NumberFormatHeight))</f>
        <v>74</v>
      </c>
      <c r="F6">
        <f xml:space="preserve"> VALUE(TEXT(SQRT(_xlfn.SINGLE(Squares.AreaMultiplier) * BasicBBoxArea * _xlfn.SINGLE(Squares.Aspect)), SVG.NumberFormatHeight))</f>
        <v>74</v>
      </c>
      <c r="H6">
        <f xml:space="preserve"> VALUE(TEXT(SQRT(_xlfn.SINGLE(Squares.AreaMultiplier) * BasicBBoxArea * _xlfn.SINGLE(Squares.Aspect)), SVG.NumberFormatHeight))</f>
        <v>74</v>
      </c>
      <c r="J6">
        <f xml:space="preserve"> VALUE(TEXT(SQRT(_xlfn.SINGLE(Squares.AreaMultiplier) * BasicBBoxArea * _xlfn.SINGLE(Squares.Aspect)), SVG.NumberFormatHeight))</f>
        <v>74</v>
      </c>
      <c r="L6">
        <f xml:space="preserve"> VALUE(TEXT(SQRT(_xlfn.SINGLE(Squares.AreaMultiplier) * BasicBBoxArea * _xlfn.SINGLE(Squares.Aspect)), SVG.NumberFormatHeight))</f>
        <v>74</v>
      </c>
      <c r="N6">
        <f xml:space="preserve"> VALUE(TEXT(SQRT(_xlfn.SINGLE(Squares.AreaMultiplier) * BasicBBoxArea * _xlfn.SINGLE(Squares.Aspect)), SVG.NumberFormatHeight))</f>
        <v>74</v>
      </c>
      <c r="P6">
        <f xml:space="preserve"> VALUE(TEXT(SQRT(_xlfn.SINGLE(Squares.AreaMultiplier) * BasicBBoxArea * _xlfn.SINGLE(Squares.Aspect)), SVG.NumberFormatHeight))</f>
        <v>74</v>
      </c>
      <c r="R6">
        <f xml:space="preserve"> VALUE(TEXT(SQRT(_xlfn.SINGLE(Squares.AreaMultiplier) * BasicBBoxArea * _xlfn.SINGLE(Squares.Aspect)), SVG.NumberFormatHeight))</f>
        <v>74</v>
      </c>
      <c r="T6">
        <f xml:space="preserve"> VALUE(TEXT(SQRT(_xlfn.SINGLE(Squares.AreaMultiplier) * BasicBBoxArea * _xlfn.SINGLE(Squares.Aspect)), SVG.NumberFormatHeight))</f>
        <v>74</v>
      </c>
      <c r="V6">
        <f xml:space="preserve"> VALUE(TEXT(SQRT(_xlfn.SINGLE(Squares.AreaMultiplier) * BasicBBoxArea * _xlfn.SINGLE(Squares.Aspect)), SVG.NumberFormatHeight))</f>
        <v>74</v>
      </c>
    </row>
    <row r="7" spans="2:24" x14ac:dyDescent="0.2">
      <c r="B7" s="4" t="s">
        <v>157</v>
      </c>
      <c r="D7">
        <f xml:space="preserve"> _xlfn.SINGLE(Squares.Height) / _xlfn.SINGLE(Squares.Aspect)</f>
        <v>74</v>
      </c>
      <c r="F7">
        <f xml:space="preserve"> _xlfn.SINGLE(Squares.Height) / _xlfn.SINGLE(Squares.Aspect)</f>
        <v>74</v>
      </c>
      <c r="H7">
        <f xml:space="preserve"> _xlfn.SINGLE(Squares.Height) / _xlfn.SINGLE(Squares.Aspect)</f>
        <v>74</v>
      </c>
      <c r="J7">
        <f xml:space="preserve"> _xlfn.SINGLE(Squares.Height) / _xlfn.SINGLE(Squares.Aspect)</f>
        <v>74</v>
      </c>
      <c r="L7">
        <f xml:space="preserve"> _xlfn.SINGLE(Squares.Height) / _xlfn.SINGLE(Squares.Aspect)</f>
        <v>74</v>
      </c>
      <c r="N7">
        <f xml:space="preserve"> _xlfn.SINGLE(Squares.Height) / _xlfn.SINGLE(Squares.Aspect)</f>
        <v>74</v>
      </c>
      <c r="P7">
        <f xml:space="preserve"> _xlfn.SINGLE(Squares.Height) / _xlfn.SINGLE(Squares.Aspect)</f>
        <v>74</v>
      </c>
      <c r="R7">
        <f xml:space="preserve"> _xlfn.SINGLE(Squares.Height) / _xlfn.SINGLE(Squares.Aspect)</f>
        <v>74</v>
      </c>
      <c r="T7">
        <f xml:space="preserve"> _xlfn.SINGLE(Squares.Height) / _xlfn.SINGLE(Squares.Aspect)</f>
        <v>74</v>
      </c>
      <c r="V7">
        <f xml:space="preserve"> _xlfn.SINGLE(Squares.Height) / _xlfn.SINGLE(Squares.Aspect)</f>
        <v>74</v>
      </c>
    </row>
    <row r="9" spans="2:24" x14ac:dyDescent="0.2">
      <c r="B9" s="4" t="s">
        <v>175</v>
      </c>
      <c r="D9">
        <v>3</v>
      </c>
      <c r="F9">
        <v>3</v>
      </c>
      <c r="H9">
        <f xml:space="preserve"> Thirds_O</f>
        <v>27</v>
      </c>
      <c r="J9">
        <f xml:space="preserve"> $F9</f>
        <v>3</v>
      </c>
      <c r="L9">
        <f xml:space="preserve"> $F9</f>
        <v>3</v>
      </c>
      <c r="N9">
        <f xml:space="preserve"> $F9 * 3</f>
        <v>9</v>
      </c>
      <c r="P9">
        <f xml:space="preserve"> $F9 * 3</f>
        <v>9</v>
      </c>
      <c r="R9">
        <f xml:space="preserve"> Thirds_O</f>
        <v>27</v>
      </c>
      <c r="T9">
        <f xml:space="preserve"> $H9</f>
        <v>27</v>
      </c>
      <c r="V9">
        <v>50</v>
      </c>
    </row>
    <row r="10" spans="2:24" x14ac:dyDescent="0.2">
      <c r="B10" s="4" t="s">
        <v>176</v>
      </c>
      <c r="F10">
        <v>2</v>
      </c>
      <c r="H10">
        <f xml:space="preserve"> Thirds_M</f>
        <v>19</v>
      </c>
      <c r="J10">
        <f xml:space="preserve"> $F10</f>
        <v>2</v>
      </c>
      <c r="L10">
        <f xml:space="preserve"> $F10</f>
        <v>2</v>
      </c>
      <c r="N10">
        <f xml:space="preserve"> $F10 * 3</f>
        <v>6</v>
      </c>
      <c r="P10">
        <f xml:space="preserve"> $F10 * 3</f>
        <v>6</v>
      </c>
      <c r="R10">
        <f xml:space="preserve"> Thirds_M</f>
        <v>19</v>
      </c>
      <c r="T10">
        <f t="shared" ref="T10:T11" si="0" xml:space="preserve"> $H10</f>
        <v>19</v>
      </c>
      <c r="V10">
        <v>36</v>
      </c>
    </row>
    <row r="11" spans="2:24" x14ac:dyDescent="0.2">
      <c r="B11" s="4" t="s">
        <v>177</v>
      </c>
      <c r="H11">
        <f xml:space="preserve"> Thirds_I</f>
        <v>10</v>
      </c>
      <c r="R11">
        <f xml:space="preserve"> Thirds_I</f>
        <v>10</v>
      </c>
      <c r="T11">
        <f t="shared" si="0"/>
        <v>10</v>
      </c>
    </row>
    <row r="12" spans="2:24" x14ac:dyDescent="0.2">
      <c r="B12" s="4" t="s">
        <v>178</v>
      </c>
      <c r="D12">
        <v>2</v>
      </c>
      <c r="N12">
        <f xml:space="preserve"> _xlfn.SINGLE(Squares.SVG_Half_2) - 1</f>
        <v>5</v>
      </c>
      <c r="P12">
        <f xml:space="preserve"> _xlfn.SINGLE(Squares.SVG_Half_2) - 2</f>
        <v>4</v>
      </c>
      <c r="V12">
        <v>21</v>
      </c>
    </row>
    <row r="14" spans="2:24" x14ac:dyDescent="0.2">
      <c r="B14" s="4" t="s">
        <v>158</v>
      </c>
      <c r="D14" s="6" t="s">
        <v>1072</v>
      </c>
      <c r="F14" t="s">
        <v>739</v>
      </c>
      <c r="H14" t="s">
        <v>740</v>
      </c>
      <c r="J14" t="s">
        <v>741</v>
      </c>
      <c r="L14" t="s">
        <v>1065</v>
      </c>
      <c r="N14" t="s">
        <v>718</v>
      </c>
      <c r="P14" t="s">
        <v>730</v>
      </c>
      <c r="R14" t="s">
        <v>746</v>
      </c>
      <c r="T14" t="s">
        <v>2165</v>
      </c>
      <c r="V14" t="s">
        <v>729</v>
      </c>
    </row>
    <row r="15" spans="2:24" x14ac:dyDescent="0.2">
      <c r="B15" s="4" t="s">
        <v>159</v>
      </c>
      <c r="F15" t="s">
        <v>2103</v>
      </c>
      <c r="H15" t="s">
        <v>2103</v>
      </c>
      <c r="J15" t="s">
        <v>742</v>
      </c>
      <c r="L15" t="s">
        <v>1976</v>
      </c>
      <c r="N15" t="s">
        <v>2103</v>
      </c>
      <c r="P15" t="s">
        <v>2103</v>
      </c>
      <c r="R15" t="s">
        <v>2103</v>
      </c>
      <c r="T15" t="s">
        <v>2166</v>
      </c>
      <c r="V15" t="s">
        <v>744</v>
      </c>
    </row>
    <row r="16" spans="2:24" x14ac:dyDescent="0.2">
      <c r="B16" s="4" t="s">
        <v>160</v>
      </c>
      <c r="H16" t="s">
        <v>745</v>
      </c>
      <c r="R16" t="str">
        <f xml:space="preserve"> _xlfn.SINGLE(Squares.SVG_Painting_3)</f>
        <v>fill='#005EB8'</v>
      </c>
      <c r="T16" t="str">
        <f xml:space="preserve"> _xlfn.SINGLE(Squares.SVG_Painting_3)</f>
        <v>fill='#AD1519'</v>
      </c>
    </row>
    <row r="17" spans="2:24" x14ac:dyDescent="0.2">
      <c r="B17" s="4" t="s">
        <v>161</v>
      </c>
      <c r="D17" t="s">
        <v>2103</v>
      </c>
      <c r="N17" t="s">
        <v>724</v>
      </c>
      <c r="P17" t="s">
        <v>1699</v>
      </c>
      <c r="V17" t="s">
        <v>2103</v>
      </c>
    </row>
    <row r="19" spans="2:24" x14ac:dyDescent="0.2">
      <c r="B19" s="4" t="s">
        <v>179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3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9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27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MAX(_xlfn.SINGLE(Squares.SVG_Half_0), _xlfn.SINGLE(Squares.SVG_Half_1), _xlfn.SINGLE(Squares.SVG_Half_2), _xlfn.SINGLE(Squares.SVG_Half_3))</f>
        <v>50</v>
      </c>
    </row>
    <row r="21" spans="2:24" s="30" customFormat="1" x14ac:dyDescent="0.2"/>
    <row r="22" spans="2:24" s="30" customFormat="1" x14ac:dyDescent="0.2"/>
    <row r="23" spans="2:24" s="30" customFormat="1" x14ac:dyDescent="0.2"/>
    <row r="25" spans="2:24" x14ac:dyDescent="0.2">
      <c r="D25" cm="1">
        <f t="array" ref="D25" xml:space="preserve"> SVG_length(D$28:D$34)</f>
        <v>171</v>
      </c>
      <c r="F25" cm="1">
        <f t="array" ref="F25" xml:space="preserve"> SVG_length(F$28:F$34)</f>
        <v>177</v>
      </c>
      <c r="H25" cm="1">
        <f t="array" ref="H25" xml:space="preserve"> SVG_length(H$28:H$34)</f>
        <v>240</v>
      </c>
      <c r="J25" cm="1">
        <f t="array" ref="J25" xml:space="preserve"> SVG_length(J$28:J$34)</f>
        <v>184</v>
      </c>
      <c r="L25" cm="1">
        <f t="array" ref="L25" xml:space="preserve"> SVG_length(L$28:L$34)</f>
        <v>181</v>
      </c>
      <c r="N25" cm="1">
        <f t="array" ref="N25" xml:space="preserve"> SVG_length(N$28:N$34)</f>
        <v>228</v>
      </c>
      <c r="P25" cm="1">
        <f t="array" ref="P25" xml:space="preserve"> SVG_length(P$28:P$34)</f>
        <v>213</v>
      </c>
      <c r="R25" cm="1">
        <f t="array" ref="R25" xml:space="preserve"> SVG_length(R$28:R$34)</f>
        <v>240</v>
      </c>
      <c r="T25" cm="1">
        <f t="array" ref="T25" xml:space="preserve"> SVG_length(T$28:T$34)</f>
        <v>243</v>
      </c>
      <c r="V25" cm="1">
        <f t="array" ref="V25" xml:space="preserve"> SVG_length(V$28:V$34)</f>
        <v>228</v>
      </c>
    </row>
    <row r="27" spans="2:24" ht="17" thickBot="1" x14ac:dyDescent="0.25">
      <c r="B27" s="7" t="s">
        <v>162</v>
      </c>
    </row>
    <row r="28" spans="2:24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width='74' height='74'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width='74' height='74'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width='74' height='74'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width='74' height='74' viewBox='-3 -3 6 6'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width='74' height='74'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width='74' height='74' viewBox='-9 -9 18 18'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width='74' height='74'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width='74' height='74' viewBox='-27 -27 54 54'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width='74' height='74'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width='74' height='74' viewBox='-50 -50 100 100'  id='%thisID%' xmlns='http://www.w3.org/2000/svg'&gt;</v>
      </c>
      <c r="W28" s="20" t="str">
        <f xml:space="preserve"> ""</f>
        <v/>
      </c>
      <c r="X28" s="21"/>
    </row>
    <row r="29" spans="2:24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W34" si="1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1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1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K29" s="23" t="str">
        <f t="shared" si="1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M29" s="23" t="str">
        <f t="shared" si="1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O29" s="23" t="str">
        <f t="shared" si="1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Q29" s="23" t="str">
        <f t="shared" si="1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S29" s="23" t="str">
        <f t="shared" si="1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U29" s="23" t="str">
        <f t="shared" si="1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W29" s="23" t="str">
        <f t="shared" si="1"/>
        <v/>
      </c>
      <c r="X29" s="24"/>
    </row>
    <row r="30" spans="2:24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1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1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1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K30" s="23" t="str">
        <f t="shared" si="1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M30" s="23" t="str">
        <f t="shared" si="1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O30" s="23" t="str">
        <f t="shared" si="1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1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S30" s="23" t="str">
        <f t="shared" si="1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U30" s="23" t="str">
        <f t="shared" si="1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W30" s="23" t="str">
        <f t="shared" si="1"/>
        <v/>
      </c>
      <c r="X30" s="24"/>
    </row>
    <row r="31" spans="2:24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1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1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1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K31" s="23" t="str">
        <f t="shared" si="1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1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1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1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S31" s="23" t="str">
        <f t="shared" si="1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U31" s="23" t="str">
        <f t="shared" si="1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W31" s="23" t="str">
        <f t="shared" si="1"/>
        <v/>
      </c>
      <c r="X31" s="24"/>
    </row>
    <row r="32" spans="2:24" x14ac:dyDescent="0.2">
      <c r="C32" s="22"/>
      <c r="D32" s="34" t="str">
        <f xml:space="preserve"> ""</f>
        <v/>
      </c>
      <c r="E32" s="23" t="str">
        <f t="shared" si="1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1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1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1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1"/>
        <v/>
      </c>
      <c r="N32" s="34" t="str">
        <f xml:space="preserve"> ""</f>
        <v/>
      </c>
      <c r="O32" s="23" t="str">
        <f t="shared" si="1"/>
        <v/>
      </c>
      <c r="P32" s="34" t="str">
        <f xml:space="preserve"> ""</f>
        <v/>
      </c>
      <c r="Q32" s="23" t="str">
        <f t="shared" si="1"/>
        <v/>
      </c>
      <c r="R32" s="23" t="str" cm="1">
        <f t="array" ref="R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S32" s="23" t="str">
        <f t="shared" si="1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1"/>
        <v/>
      </c>
      <c r="V32" s="34" t="str">
        <f xml:space="preserve"> ""</f>
        <v/>
      </c>
      <c r="W32" s="23" t="str">
        <f t="shared" si="1"/>
        <v/>
      </c>
      <c r="X32" s="24"/>
    </row>
    <row r="33" spans="3:24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1"/>
        <v/>
      </c>
      <c r="F33" s="23"/>
      <c r="G33" s="23" t="str">
        <f t="shared" si="1"/>
        <v/>
      </c>
      <c r="H33" s="23"/>
      <c r="I33" s="23" t="str">
        <f t="shared" si="1"/>
        <v/>
      </c>
      <c r="J33" s="23"/>
      <c r="K33" s="23" t="str">
        <f t="shared" si="1"/>
        <v/>
      </c>
      <c r="L33" s="23"/>
      <c r="M33" s="23" t="str">
        <f t="shared" si="1"/>
        <v/>
      </c>
      <c r="N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O33" s="23" t="str">
        <f t="shared" si="1"/>
        <v/>
      </c>
      <c r="P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Q33" s="23" t="str">
        <f t="shared" si="1"/>
        <v/>
      </c>
      <c r="R33" s="23"/>
      <c r="S33" s="23" t="str">
        <f t="shared" si="1"/>
        <v/>
      </c>
      <c r="T33" s="23"/>
      <c r="U33" s="23" t="str">
        <f t="shared" si="1"/>
        <v/>
      </c>
      <c r="V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W33" s="23" t="str">
        <f t="shared" si="1"/>
        <v/>
      </c>
      <c r="X33" s="24"/>
    </row>
    <row r="34" spans="3:24" x14ac:dyDescent="0.2">
      <c r="C34" s="25"/>
      <c r="D34" s="26" t="s">
        <v>15</v>
      </c>
      <c r="E34" s="26" t="str">
        <f t="shared" si="1"/>
        <v/>
      </c>
      <c r="F34" s="26" t="s">
        <v>15</v>
      </c>
      <c r="G34" s="26" t="str">
        <f t="shared" si="1"/>
        <v/>
      </c>
      <c r="H34" s="26" t="s">
        <v>15</v>
      </c>
      <c r="I34" s="26" t="str">
        <f t="shared" si="1"/>
        <v/>
      </c>
      <c r="J34" s="26" t="s">
        <v>15</v>
      </c>
      <c r="K34" s="26" t="str">
        <f t="shared" si="1"/>
        <v/>
      </c>
      <c r="L34" s="26" t="s">
        <v>15</v>
      </c>
      <c r="M34" s="26" t="str">
        <f t="shared" si="1"/>
        <v/>
      </c>
      <c r="N34" s="26" t="s">
        <v>15</v>
      </c>
      <c r="O34" s="26" t="str">
        <f t="shared" si="1"/>
        <v/>
      </c>
      <c r="P34" s="26" t="s">
        <v>15</v>
      </c>
      <c r="Q34" s="26" t="str">
        <f t="shared" si="1"/>
        <v/>
      </c>
      <c r="R34" s="26" t="s">
        <v>15</v>
      </c>
      <c r="S34" s="26" t="str">
        <f t="shared" si="1"/>
        <v/>
      </c>
      <c r="T34" s="26" t="s">
        <v>15</v>
      </c>
      <c r="U34" s="26" t="str">
        <f t="shared" si="1"/>
        <v/>
      </c>
      <c r="V34" s="26" t="s">
        <v>15</v>
      </c>
      <c r="W34" s="26" t="str">
        <f t="shared" si="1"/>
        <v/>
      </c>
      <c r="X34" s="27"/>
    </row>
    <row r="37" spans="3:24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LKR</v>
      </c>
      <c r="L37" t="str">
        <f xml:space="preserve"> _xlfn.SINGLE(Squares.ID)</f>
        <v>UAH</v>
      </c>
      <c r="N37" t="str">
        <f xml:space="preserve"> _xlfn.SINGLE(Squares.ID)</f>
        <v>LBP</v>
      </c>
      <c r="P37" t="str">
        <f xml:space="preserve"> _xlfn.SINGLE(Squares.ID)</f>
        <v>ARS</v>
      </c>
      <c r="R37" t="str">
        <f xml:space="preserve"> _xlfn.SINGLE(Squares.ID)</f>
        <v>SV</v>
      </c>
      <c r="T37" t="str">
        <f xml:space="preserve"> _xlfn.SINGLE(Squares.ID)</f>
        <v>ES</v>
      </c>
      <c r="V37" t="str">
        <f xml:space="preserve"> _xlfn.SINGLE(Squares.ID)</f>
        <v>BZD</v>
      </c>
    </row>
    <row r="38" spans="3:24" x14ac:dyDescent="0.2">
      <c r="C38" s="6"/>
    </row>
    <row r="39" spans="3:24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V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2" x14ac:dyDescent="0.2">
      <c r="H1" s="5"/>
      <c r="I1" s="5"/>
    </row>
    <row r="2" spans="2:22" x14ac:dyDescent="0.2">
      <c r="C2" s="4" t="s">
        <v>1549</v>
      </c>
      <c r="D2">
        <v>10</v>
      </c>
      <c r="H2" s="4" t="s">
        <v>1548</v>
      </c>
      <c r="I2" s="5"/>
      <c r="J2" t="s">
        <v>1543</v>
      </c>
      <c r="L2" t="s">
        <v>126</v>
      </c>
      <c r="N2" t="s">
        <v>677</v>
      </c>
      <c r="P2" t="s">
        <v>128</v>
      </c>
      <c r="R2" t="s">
        <v>1544</v>
      </c>
      <c r="T2" t="s">
        <v>658</v>
      </c>
      <c r="V2" t="e">
        <f xml:space="preserve"> NA()</f>
        <v>#N/A</v>
      </c>
    </row>
    <row r="3" spans="2:22" x14ac:dyDescent="0.2">
      <c r="C3" s="4" t="s">
        <v>1547</v>
      </c>
      <c r="D3">
        <f xml:space="preserve"> EquilateralCross.Size2 * 2.5</f>
        <v>25</v>
      </c>
      <c r="H3" s="4" t="s">
        <v>1550</v>
      </c>
      <c r="I3" s="5"/>
      <c r="J3">
        <v>5</v>
      </c>
      <c r="L3">
        <v>5</v>
      </c>
      <c r="N3">
        <v>5</v>
      </c>
      <c r="P3">
        <f xml:space="preserve"> GCD(EquilateralCross.Size1, EquilateralCross.Size2, EquilateralCross.SizeGap3)</f>
        <v>1</v>
      </c>
      <c r="R3">
        <f xml:space="preserve"> GCD(EquilateralCross.Size1, EquilateralCross.Size2, EquilateralCross.SizeGap3)</f>
        <v>1</v>
      </c>
      <c r="T3">
        <v>1</v>
      </c>
      <c r="V3" t="e">
        <f xml:space="preserve"> NA()</f>
        <v>#N/A</v>
      </c>
    </row>
    <row r="4" spans="2:22" x14ac:dyDescent="0.2">
      <c r="C4" s="4" t="s">
        <v>1551</v>
      </c>
      <c r="D4" cm="1">
        <f t="array" ref="D4" xml:space="preserve"> EquilateralCross.Size2 / 2.5</f>
        <v>4</v>
      </c>
      <c r="H4" s="5"/>
      <c r="I4" s="5"/>
    </row>
    <row r="5" spans="2:22" x14ac:dyDescent="0.2">
      <c r="C5" s="4" t="s">
        <v>1552</v>
      </c>
      <c r="D5">
        <f xml:space="preserve"> 1 + EquilateralCross.SizeGap3</f>
        <v>5</v>
      </c>
      <c r="H5" s="5"/>
      <c r="I5" s="5"/>
    </row>
    <row r="6" spans="2:22" x14ac:dyDescent="0.2">
      <c r="H6" s="5"/>
      <c r="I6" s="5"/>
    </row>
    <row r="7" spans="2:22" x14ac:dyDescent="0.2">
      <c r="C7" s="4" t="s">
        <v>1565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215</v>
      </c>
      <c r="L7" cm="1">
        <f t="array" ref="L7" xml:space="preserve"> SVG_length(L$94:L$100)</f>
        <v>222</v>
      </c>
      <c r="N7" cm="1">
        <f t="array" ref="N7" xml:space="preserve"> SVG_length(N$94:N$100)</f>
        <v>219</v>
      </c>
      <c r="P7" cm="1">
        <f t="array" ref="P7" xml:space="preserve"> SVG_length(P$94:P$100)</f>
        <v>304</v>
      </c>
      <c r="R7" cm="1">
        <f t="array" ref="R7" xml:space="preserve"> SVG_length(R$94:R$100)</f>
        <v>304</v>
      </c>
      <c r="T7" cm="1">
        <f t="array" ref="T7" xml:space="preserve"> SVG_length(T$94:T$100)</f>
        <v>240</v>
      </c>
    </row>
    <row r="8" spans="2:22" x14ac:dyDescent="0.2">
      <c r="H8" s="5"/>
      <c r="I8" s="5"/>
    </row>
    <row r="9" spans="2:22" x14ac:dyDescent="0.2">
      <c r="H9" s="5"/>
      <c r="I9" s="5"/>
    </row>
    <row r="10" spans="2:22" ht="17" thickBot="1" x14ac:dyDescent="0.25">
      <c r="B10" s="3" t="s">
        <v>1553</v>
      </c>
      <c r="C10" s="3" t="s">
        <v>1554</v>
      </c>
      <c r="D10" s="3" t="s">
        <v>1555</v>
      </c>
      <c r="E10" s="5"/>
      <c r="F10" s="5"/>
      <c r="G10" s="5"/>
    </row>
    <row r="11" spans="2:22" x14ac:dyDescent="0.2">
      <c r="B11" t="s">
        <v>1570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2" x14ac:dyDescent="0.2">
      <c r="B12" t="s">
        <v>1570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2" x14ac:dyDescent="0.2">
      <c r="B13" t="s">
        <v>1570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2" x14ac:dyDescent="0.2">
      <c r="B14" t="s">
        <v>1570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2" x14ac:dyDescent="0.2">
      <c r="B15" t="s">
        <v>1570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2" x14ac:dyDescent="0.2">
      <c r="B16" t="s">
        <v>1570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1570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1570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1570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1570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1570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1570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1571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1571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1571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1571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1571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1571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1571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1571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1571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1571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1571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1571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1572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1572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1572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1572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1572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1572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1572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1572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1572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1572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1572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1572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1573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1573</v>
      </c>
      <c r="C51">
        <f t="shared" si="0"/>
        <v>20</v>
      </c>
      <c r="D51">
        <f t="shared" si="0"/>
        <v>5</v>
      </c>
    </row>
    <row r="52" spans="2:4" x14ac:dyDescent="0.2">
      <c r="B52" t="s">
        <v>1573</v>
      </c>
      <c r="C52">
        <f t="shared" si="0"/>
        <v>20</v>
      </c>
      <c r="D52">
        <f t="shared" si="0"/>
        <v>-5</v>
      </c>
    </row>
    <row r="53" spans="2:4" x14ac:dyDescent="0.2">
      <c r="B53" t="s">
        <v>1573</v>
      </c>
      <c r="C53">
        <f t="shared" si="0"/>
        <v>5</v>
      </c>
      <c r="D53">
        <f t="shared" si="0"/>
        <v>-5</v>
      </c>
    </row>
    <row r="54" spans="2:4" x14ac:dyDescent="0.2">
      <c r="B54" t="s">
        <v>1573</v>
      </c>
      <c r="C54">
        <f t="shared" si="0"/>
        <v>5</v>
      </c>
      <c r="D54">
        <f t="shared" si="0"/>
        <v>-20</v>
      </c>
    </row>
    <row r="55" spans="2:4" x14ac:dyDescent="0.2">
      <c r="B55" t="s">
        <v>1573</v>
      </c>
      <c r="C55">
        <f t="shared" si="0"/>
        <v>-5</v>
      </c>
      <c r="D55">
        <f t="shared" si="0"/>
        <v>-20</v>
      </c>
    </row>
    <row r="56" spans="2:4" x14ac:dyDescent="0.2">
      <c r="B56" t="s">
        <v>1573</v>
      </c>
      <c r="C56">
        <f t="shared" si="0"/>
        <v>-5</v>
      </c>
      <c r="D56">
        <f t="shared" si="0"/>
        <v>-5</v>
      </c>
    </row>
    <row r="57" spans="2:4" x14ac:dyDescent="0.2">
      <c r="B57" t="s">
        <v>1573</v>
      </c>
      <c r="C57">
        <f t="shared" si="0"/>
        <v>-20</v>
      </c>
      <c r="D57">
        <f t="shared" si="0"/>
        <v>-5</v>
      </c>
    </row>
    <row r="58" spans="2:4" x14ac:dyDescent="0.2">
      <c r="B58" t="s">
        <v>1573</v>
      </c>
      <c r="C58">
        <f t="shared" si="0"/>
        <v>-20</v>
      </c>
      <c r="D58">
        <f t="shared" si="0"/>
        <v>5</v>
      </c>
    </row>
    <row r="59" spans="2:4" x14ac:dyDescent="0.2">
      <c r="B59" t="s">
        <v>1573</v>
      </c>
      <c r="C59">
        <f t="shared" si="0"/>
        <v>-5</v>
      </c>
      <c r="D59">
        <f t="shared" si="0"/>
        <v>5</v>
      </c>
    </row>
    <row r="60" spans="2:4" x14ac:dyDescent="0.2">
      <c r="B60" t="s">
        <v>1573</v>
      </c>
      <c r="C60">
        <f t="shared" si="0"/>
        <v>-5</v>
      </c>
      <c r="D60">
        <f t="shared" si="0"/>
        <v>20</v>
      </c>
    </row>
    <row r="61" spans="2:4" x14ac:dyDescent="0.2">
      <c r="B61" t="s">
        <v>1573</v>
      </c>
      <c r="C61">
        <f t="shared" si="0"/>
        <v>5</v>
      </c>
      <c r="D61">
        <f t="shared" si="0"/>
        <v>20</v>
      </c>
    </row>
    <row r="63" spans="2:4" x14ac:dyDescent="0.2">
      <c r="B63" t="s">
        <v>1578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1578</v>
      </c>
      <c r="C64">
        <f t="shared" ref="C64:D64" si="1" xml:space="preserve"> AVERAGE(C38, C25)</f>
        <v>19</v>
      </c>
      <c r="D64">
        <f t="shared" si="1"/>
        <v>4</v>
      </c>
    </row>
    <row r="65" spans="2:20" x14ac:dyDescent="0.2">
      <c r="B65" t="s">
        <v>1578</v>
      </c>
      <c r="C65">
        <f t="shared" ref="C65:D65" si="2" xml:space="preserve"> AVERAGE(C39, C26)</f>
        <v>19</v>
      </c>
      <c r="D65">
        <f t="shared" si="2"/>
        <v>-4</v>
      </c>
    </row>
    <row r="66" spans="2:20" x14ac:dyDescent="0.2">
      <c r="B66" t="s">
        <v>1578</v>
      </c>
      <c r="C66">
        <f t="shared" ref="C66:D66" si="3" xml:space="preserve"> AVERAGE(C40, C27)</f>
        <v>4</v>
      </c>
      <c r="D66">
        <f t="shared" si="3"/>
        <v>-4</v>
      </c>
    </row>
    <row r="67" spans="2:20" x14ac:dyDescent="0.2">
      <c r="B67" t="s">
        <v>1578</v>
      </c>
      <c r="C67">
        <f t="shared" ref="C67:D67" si="4" xml:space="preserve"> AVERAGE(C41, C28)</f>
        <v>4</v>
      </c>
      <c r="D67">
        <f t="shared" si="4"/>
        <v>-19</v>
      </c>
    </row>
    <row r="68" spans="2:20" x14ac:dyDescent="0.2">
      <c r="B68" t="s">
        <v>1578</v>
      </c>
      <c r="C68">
        <f t="shared" ref="C68:D68" si="5" xml:space="preserve"> AVERAGE(C42, C29)</f>
        <v>-4</v>
      </c>
      <c r="D68">
        <f t="shared" si="5"/>
        <v>-19</v>
      </c>
    </row>
    <row r="69" spans="2:20" x14ac:dyDescent="0.2">
      <c r="B69" t="s">
        <v>1578</v>
      </c>
      <c r="C69">
        <f t="shared" ref="C69:D69" si="6" xml:space="preserve"> AVERAGE(C43, C30)</f>
        <v>-4</v>
      </c>
      <c r="D69">
        <f t="shared" si="6"/>
        <v>-4</v>
      </c>
    </row>
    <row r="70" spans="2:20" x14ac:dyDescent="0.2">
      <c r="B70" t="s">
        <v>1578</v>
      </c>
      <c r="C70">
        <f t="shared" ref="C70:D70" si="7" xml:space="preserve"> AVERAGE(C44, C31)</f>
        <v>-19</v>
      </c>
      <c r="D70">
        <f t="shared" si="7"/>
        <v>-4</v>
      </c>
    </row>
    <row r="71" spans="2:20" x14ac:dyDescent="0.2">
      <c r="B71" t="s">
        <v>1578</v>
      </c>
      <c r="C71">
        <f t="shared" ref="C71:D71" si="8" xml:space="preserve"> AVERAGE(C45, C32)</f>
        <v>-19</v>
      </c>
      <c r="D71">
        <f t="shared" si="8"/>
        <v>4</v>
      </c>
    </row>
    <row r="72" spans="2:20" x14ac:dyDescent="0.2">
      <c r="B72" t="s">
        <v>1578</v>
      </c>
      <c r="C72">
        <f t="shared" ref="C72:D72" si="9" xml:space="preserve"> AVERAGE(C46, C33)</f>
        <v>-4</v>
      </c>
      <c r="D72">
        <f t="shared" si="9"/>
        <v>4</v>
      </c>
    </row>
    <row r="73" spans="2:20" x14ac:dyDescent="0.2">
      <c r="B73" t="s">
        <v>1578</v>
      </c>
      <c r="C73">
        <f t="shared" ref="C73:D73" si="10" xml:space="preserve"> AVERAGE(C47, C34)</f>
        <v>-4</v>
      </c>
      <c r="D73">
        <f t="shared" si="10"/>
        <v>19</v>
      </c>
    </row>
    <row r="74" spans="2:20" x14ac:dyDescent="0.2">
      <c r="B74" t="s">
        <v>1578</v>
      </c>
      <c r="C74">
        <f t="shared" ref="C74:D74" si="11" xml:space="preserve"> AVERAGE(C48, C35)</f>
        <v>4</v>
      </c>
      <c r="D74">
        <f t="shared" si="11"/>
        <v>19</v>
      </c>
    </row>
    <row r="77" spans="2:20" x14ac:dyDescent="0.2">
      <c r="H77" s="4" t="s">
        <v>1556</v>
      </c>
      <c r="I77" s="5"/>
      <c r="J77">
        <f xml:space="preserve"> MAX(EquilateralCross.RawX) / _xlfn.SINGLE(EquilateralCross.Divisor)</f>
        <v>5</v>
      </c>
      <c r="L77">
        <f xml:space="preserve"> MAX(EquilateralCross.RawX) / _xlfn.SINGLE(EquilateralCross.Divisor)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25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</row>
    <row r="78" spans="2:20" x14ac:dyDescent="0.2">
      <c r="H78" s="4" t="s">
        <v>1557</v>
      </c>
      <c r="I78" s="5"/>
      <c r="J78">
        <f xml:space="preserve"> MAX(EquilateralCross.RawY) / _xlfn.SINGLE(EquilateralCross.Divisor)</f>
        <v>5</v>
      </c>
      <c r="L78">
        <f xml:space="preserve"> MAX(EquilateralCross.RawY) / _xlfn.SINGLE(EquilateralCross.Divisor)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25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</row>
    <row r="79" spans="2:20" x14ac:dyDescent="0.2">
      <c r="H79" s="4" t="s">
        <v>1558</v>
      </c>
      <c r="I79" s="5"/>
      <c r="J79">
        <f xml:space="preserve">  MIN(EquilateralCross.RawX) / _xlfn.SINGLE(EquilateralCross.Divisor)</f>
        <v>-5</v>
      </c>
      <c r="L79">
        <f xml:space="preserve">  MIN(EquilateralCross.RawX) / _xlfn.SINGLE(EquilateralCross.Divisor)</f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-25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</row>
    <row r="80" spans="2:20" x14ac:dyDescent="0.2">
      <c r="H80" s="4" t="s">
        <v>1559</v>
      </c>
      <c r="I80" s="5"/>
      <c r="J80">
        <f xml:space="preserve">  MIN(EquilateralCross.RawY) / _xlfn.SINGLE(EquilateralCross.Divisor)</f>
        <v>-5</v>
      </c>
      <c r="L80">
        <f xml:space="preserve">  MIN(EquilateralCross.RawY) / _xlfn.SINGLE(EquilateralCross.Divisor)</f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-25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</row>
    <row r="82" spans="6:22" x14ac:dyDescent="0.2">
      <c r="H82" s="4" t="s">
        <v>1560</v>
      </c>
      <c r="I82" s="5"/>
      <c r="J82" s="28">
        <f xml:space="preserve"> CEILING(EquilateralCross.AreaMultiplier_Possible, 1/4)</f>
        <v>1.25</v>
      </c>
      <c r="L82" s="28">
        <f xml:space="preserve"> $J82</f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</row>
    <row r="83" spans="6:22" x14ac:dyDescent="0.2">
      <c r="H83" s="4" t="s">
        <v>1561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xml:space="preserve">  MAX(_xlfn.SINGLE(EquilateralCross.MaxY), - _xlfn.SINGLE(EquilateralCross.MinY))   /   MAX(_xlfn.SINGLE(EquilateralCross.MaxX), - _xlfn.SINGLE(EquilateralCross.MinX))</f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</row>
    <row r="84" spans="6:22" x14ac:dyDescent="0.2">
      <c r="H84" s="4" t="s">
        <v>1562</v>
      </c>
      <c r="I84" s="5"/>
      <c r="J84">
        <f xml:space="preserve"> VALUE(TEXT(SQRT(_xlfn.SINGLE(EquilateralCross.AreaMultiplier) * BasicBBoxArea * _xlfn.SINGLE(EquilateralCross.Aspect)), SVG.NumberFormatHeight))</f>
        <v>89</v>
      </c>
      <c r="L84">
        <f xml:space="preserve"> VALUE(TEXT(SQRT(_xlfn.SINGLE(EquilateralCross.AreaMultiplier) * BasicBBoxArea * _xlfn.SINGLE(EquilateralCross.Aspect)), SVG.NumberFormatHeight))</f>
        <v>89</v>
      </c>
      <c r="N84">
        <f xml:space="preserve"> VALUE(TEXT(SQRT(_xlfn.SINGLE(EquilateralCross.AreaMultiplier) * BasicBBoxArea * _xlfn.SINGLE(EquilateralCross.Aspect)), SVG.NumberFormatHeight))</f>
        <v>89</v>
      </c>
      <c r="P84">
        <f xml:space="preserve"> VALUE(TEXT(SQRT(_xlfn.SINGLE(EquilateralCross.AreaMultiplier) * BasicBBoxArea * _xlfn.SINGLE(EquilateralCross.Aspect)), SVG.NumberFormatHeight))</f>
        <v>89</v>
      </c>
      <c r="R84">
        <f xml:space="preserve"> VALUE(TEXT(SQRT(_xlfn.SINGLE(EquilateralCross.AreaMultiplier) * BasicBBoxArea * _xlfn.SINGLE(EquilateralCross.Aspect)), SVG.NumberFormatHeight))</f>
        <v>89</v>
      </c>
      <c r="T84">
        <f xml:space="preserve"> VALUE(TEXT(SQRT(_xlfn.SINGLE(EquilateralCross.AreaMultiplier) * BasicBBoxArea * _xlfn.SINGLE(EquilateralCross.Aspect)), SVG.NumberFormatHeight))</f>
        <v>89</v>
      </c>
    </row>
    <row r="85" spans="6:22" x14ac:dyDescent="0.2">
      <c r="H85" s="4" t="s">
        <v>1563</v>
      </c>
      <c r="I85" s="5"/>
      <c r="J85">
        <f xml:space="preserve"> _xlfn.SINGLE(EquilateralCross.Height) / _xlfn.SINGLE(EquilateralCross.Aspect)</f>
        <v>89</v>
      </c>
      <c r="L85">
        <f xml:space="preserve"> _xlfn.SINGLE(EquilateralCross.Height) / _xlfn.SINGLE(EquilateralCross.Aspect)</f>
        <v>89</v>
      </c>
      <c r="N85">
        <f xml:space="preserve"> _xlfn.SINGLE(EquilateralCross.Height) / _xlfn.SINGLE(EquilateralCross.Aspect)</f>
        <v>89</v>
      </c>
      <c r="P85">
        <f xml:space="preserve"> _xlfn.SINGLE(EquilateralCross.Height) / _xlfn.SINGLE(EquilateralCross.Aspect)</f>
        <v>89</v>
      </c>
      <c r="R85">
        <f xml:space="preserve"> _xlfn.SINGLE(EquilateralCross.Height) / _xlfn.SINGLE(EquilateralCross.Aspect)</f>
        <v>89</v>
      </c>
      <c r="T85">
        <f xml:space="preserve"> _xlfn.SINGLE(EquilateralCross.Height) / _xlfn.SINGLE(EquilateralCross.Aspect)</f>
        <v>89</v>
      </c>
    </row>
    <row r="87" spans="6:22" x14ac:dyDescent="0.2">
      <c r="H87" s="4" t="s">
        <v>1574</v>
      </c>
      <c r="I87" s="5"/>
      <c r="J87" t="s">
        <v>739</v>
      </c>
      <c r="L87" s="6" t="s">
        <v>759</v>
      </c>
      <c r="N87" s="6" t="s">
        <v>1511</v>
      </c>
      <c r="P87" t="s">
        <v>796</v>
      </c>
      <c r="R87" t="s">
        <v>1546</v>
      </c>
      <c r="T87" s="6" t="s">
        <v>1490</v>
      </c>
    </row>
    <row r="88" spans="6:22" x14ac:dyDescent="0.2">
      <c r="H88" s="4" t="s">
        <v>1575</v>
      </c>
      <c r="I88" s="5"/>
      <c r="N88" s="6"/>
      <c r="P88" t="s">
        <v>2104</v>
      </c>
      <c r="R88" t="s">
        <v>2104</v>
      </c>
      <c r="T88" s="6"/>
    </row>
    <row r="89" spans="6:22" x14ac:dyDescent="0.2">
      <c r="H89" s="4" t="s">
        <v>1576</v>
      </c>
      <c r="I89" s="5"/>
      <c r="P89" t="s">
        <v>795</v>
      </c>
      <c r="R89" t="s">
        <v>1545</v>
      </c>
      <c r="T89" s="6"/>
    </row>
    <row r="90" spans="6:22" x14ac:dyDescent="0.2">
      <c r="H90" s="4" t="s">
        <v>1577</v>
      </c>
      <c r="I90" s="5"/>
      <c r="J90" t="s">
        <v>2103</v>
      </c>
      <c r="L90" s="6" t="s">
        <v>723</v>
      </c>
      <c r="N90" s="6" t="s">
        <v>2103</v>
      </c>
      <c r="T90" s="6"/>
    </row>
    <row r="91" spans="6:22" x14ac:dyDescent="0.2">
      <c r="H91" s="4" t="s">
        <v>1579</v>
      </c>
      <c r="I91" s="5"/>
      <c r="L91" s="6"/>
      <c r="N91" s="6"/>
      <c r="T91" s="6" t="s">
        <v>2103</v>
      </c>
    </row>
    <row r="93" spans="6:22" ht="17" thickBot="1" x14ac:dyDescent="0.25">
      <c r="H93" s="7" t="s">
        <v>1564</v>
      </c>
      <c r="I93" s="5"/>
    </row>
    <row r="94" spans="6:22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width='89' height='89'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width='89' height='89'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width='89' height='89'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width='89' height='89' viewBox='-25 -25 50 50'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width='89' height='89'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width='89' height='89' viewBox='-25 -25 50 50'  id='%thisID%' xmlns='http://www.w3.org/2000/svg'&gt;</v>
      </c>
      <c r="U94" s="8"/>
      <c r="V94" s="9"/>
    </row>
    <row r="95" spans="6:22" x14ac:dyDescent="0.2">
      <c r="F95" t="s">
        <v>1796</v>
      </c>
      <c r="H95" s="5"/>
      <c r="I95" s="61" t="str">
        <f t="shared" ref="I95:I100" si="12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S100" si="13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M95" s="5" t="str">
        <f t="shared" si="13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O95" s="5" t="str">
        <f t="shared" si="13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Q95" s="5" t="str">
        <f t="shared" si="13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S95" s="5" t="str">
        <f t="shared" si="13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U95" s="5"/>
      <c r="V95" s="10"/>
    </row>
    <row r="96" spans="6:22" x14ac:dyDescent="0.2">
      <c r="F96" t="s">
        <v>1797</v>
      </c>
      <c r="H96" s="5"/>
      <c r="I96" s="61" t="str">
        <f t="shared" si="12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3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3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3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Q96" s="5" t="str">
        <f t="shared" si="13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3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U96" s="5"/>
      <c r="V96" s="10"/>
    </row>
    <row r="97" spans="6:22" x14ac:dyDescent="0.2">
      <c r="F97" t="s">
        <v>1795</v>
      </c>
      <c r="H97" s="5"/>
      <c r="I97" s="61" t="str">
        <f t="shared" si="12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3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M97" s="5" t="str">
        <f t="shared" si="13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O97" s="5" t="str">
        <f t="shared" si="13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Q97" s="5" t="str">
        <f t="shared" si="13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3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/>
      <c r="V97" s="10"/>
    </row>
    <row r="98" spans="6:22" x14ac:dyDescent="0.2">
      <c r="F98" t="s">
        <v>1798</v>
      </c>
      <c r="H98" s="5"/>
      <c r="I98" s="61" t="str">
        <f t="shared" si="12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U98" s="5"/>
      <c r="V98" s="10"/>
    </row>
    <row r="99" spans="6:22" x14ac:dyDescent="0.2">
      <c r="F99" t="s">
        <v>1799</v>
      </c>
      <c r="H99" s="5"/>
      <c r="I99" s="61" t="str">
        <f t="shared" si="12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3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 t="str">
        <f t="shared" si="13"/>
        <v/>
      </c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3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Q99" s="5" t="str">
        <f t="shared" si="13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S99" s="5" t="str">
        <f t="shared" si="13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U99" s="5"/>
      <c r="V99" s="10"/>
    </row>
    <row r="100" spans="6:22" x14ac:dyDescent="0.2">
      <c r="H100" s="5"/>
      <c r="I100" s="62" t="str">
        <f t="shared" si="12"/>
        <v/>
      </c>
      <c r="J100" s="17" t="s">
        <v>15</v>
      </c>
      <c r="K100" s="11" t="str">
        <f t="shared" si="13"/>
        <v/>
      </c>
      <c r="L100" s="17" t="s">
        <v>15</v>
      </c>
      <c r="M100" s="11" t="str">
        <f t="shared" si="13"/>
        <v/>
      </c>
      <c r="N100" s="17" t="s">
        <v>15</v>
      </c>
      <c r="O100" s="11" t="str">
        <f t="shared" si="13"/>
        <v/>
      </c>
      <c r="P100" s="17" t="s">
        <v>15</v>
      </c>
      <c r="Q100" s="11" t="str">
        <f t="shared" si="13"/>
        <v/>
      </c>
      <c r="R100" s="17" t="s">
        <v>15</v>
      </c>
      <c r="S100" s="11" t="str">
        <f t="shared" si="13"/>
        <v/>
      </c>
      <c r="T100" s="17" t="s">
        <v>15</v>
      </c>
      <c r="U100" s="11"/>
      <c r="V100" s="12"/>
    </row>
    <row r="101" spans="6:22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U76"/>
  <sheetViews>
    <sheetView workbookViewId="0">
      <selection activeCell="B2" sqref="B2"/>
    </sheetView>
  </sheetViews>
  <sheetFormatPr baseColWidth="10" defaultRowHeight="16" x14ac:dyDescent="0.2"/>
  <sheetData>
    <row r="2" spans="1:21" x14ac:dyDescent="0.2">
      <c r="F2" s="4" t="s">
        <v>342</v>
      </c>
      <c r="G2" s="5"/>
      <c r="H2" t="s">
        <v>358</v>
      </c>
      <c r="J2" t="s">
        <v>359</v>
      </c>
      <c r="L2" t="s">
        <v>360</v>
      </c>
      <c r="N2" t="e">
        <f xml:space="preserve"> NA()</f>
        <v>#N/A</v>
      </c>
    </row>
    <row r="3" spans="1:21" x14ac:dyDescent="0.2">
      <c r="F3" s="4" t="s">
        <v>343</v>
      </c>
      <c r="H3" s="28">
        <v>0.95</v>
      </c>
      <c r="J3" s="28">
        <f xml:space="preserve"> $H3</f>
        <v>0.95</v>
      </c>
      <c r="L3" s="28">
        <f xml:space="preserve"> $H3</f>
        <v>0.95</v>
      </c>
    </row>
    <row r="4" spans="1:21" x14ac:dyDescent="0.2">
      <c r="C4" s="1"/>
      <c r="D4" s="1"/>
    </row>
    <row r="5" spans="1:21" x14ac:dyDescent="0.2">
      <c r="F5" s="4" t="s">
        <v>344</v>
      </c>
      <c r="H5" s="6" t="s">
        <v>1074</v>
      </c>
      <c r="J5" s="6" t="s">
        <v>748</v>
      </c>
      <c r="L5" s="6" t="s">
        <v>749</v>
      </c>
    </row>
    <row r="6" spans="1:21" x14ac:dyDescent="0.2">
      <c r="F6" s="4" t="s">
        <v>345</v>
      </c>
      <c r="H6" s="6" t="s">
        <v>1073</v>
      </c>
      <c r="J6" s="6" t="s">
        <v>1837</v>
      </c>
      <c r="L6" s="6" t="s">
        <v>750</v>
      </c>
    </row>
    <row r="7" spans="1:21" x14ac:dyDescent="0.2">
      <c r="F7" s="5"/>
      <c r="G7" s="5"/>
      <c r="H7" s="6"/>
    </row>
    <row r="8" spans="1:21" x14ac:dyDescent="0.2">
      <c r="A8" s="1">
        <v>1</v>
      </c>
      <c r="C8" s="4" t="s">
        <v>1690</v>
      </c>
      <c r="D8" s="1">
        <v>1</v>
      </c>
      <c r="F8" s="1"/>
      <c r="G8" s="5"/>
      <c r="H8" s="6"/>
    </row>
    <row r="9" spans="1:21" x14ac:dyDescent="0.2">
      <c r="A9" s="1">
        <v>3</v>
      </c>
      <c r="C9" s="4" t="s">
        <v>1685</v>
      </c>
      <c r="D9" s="1">
        <v>2</v>
      </c>
      <c r="F9" s="1"/>
      <c r="G9" s="5"/>
      <c r="H9" s="6"/>
    </row>
    <row r="10" spans="1:21" x14ac:dyDescent="0.2">
      <c r="A10" s="1">
        <v>8</v>
      </c>
      <c r="C10" s="4" t="s">
        <v>1687</v>
      </c>
      <c r="D10" s="1">
        <v>5</v>
      </c>
      <c r="F10" s="1"/>
      <c r="G10" s="5"/>
      <c r="H10" s="6"/>
    </row>
    <row r="11" spans="1:21" x14ac:dyDescent="0.2">
      <c r="A11" s="1">
        <v>1</v>
      </c>
      <c r="C11" s="4" t="s">
        <v>1686</v>
      </c>
      <c r="D11" s="1">
        <v>1</v>
      </c>
      <c r="F11" s="1"/>
      <c r="G11" s="5"/>
      <c r="H11" s="6"/>
    </row>
    <row r="12" spans="1:21" x14ac:dyDescent="0.2">
      <c r="A12" s="1">
        <v>7</v>
      </c>
      <c r="C12" s="4" t="s">
        <v>1688</v>
      </c>
      <c r="D12" s="1">
        <v>5</v>
      </c>
      <c r="F12" s="1"/>
      <c r="G12" s="5"/>
      <c r="H12" s="6"/>
    </row>
    <row r="13" spans="1:21" x14ac:dyDescent="0.2">
      <c r="A13" s="1">
        <v>11</v>
      </c>
      <c r="C13" s="4" t="s">
        <v>1689</v>
      </c>
      <c r="D13" s="1">
        <v>7</v>
      </c>
      <c r="F13" s="1"/>
      <c r="G13" s="5"/>
      <c r="H13" s="6"/>
    </row>
    <row r="14" spans="1:21" x14ac:dyDescent="0.2">
      <c r="D14" s="1"/>
      <c r="F14" s="5"/>
      <c r="G14" s="5"/>
      <c r="H14" s="6"/>
    </row>
    <row r="15" spans="1:21" ht="17" thickBot="1" x14ac:dyDescent="0.25">
      <c r="B15" s="2" t="s">
        <v>346</v>
      </c>
      <c r="C15" s="2" t="s">
        <v>347</v>
      </c>
      <c r="D15" s="2" t="s">
        <v>348</v>
      </c>
    </row>
    <row r="16" spans="1:21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array" ref="L16:L35" xml:space="preserve"> svgpath($C$16:$C$35, $D$16:$D$35, DecimalPlaces)</f>
        <v>M2 7</v>
      </c>
      <c r="T16" s="1">
        <v>2</v>
      </c>
      <c r="U16" s="1">
        <v>10</v>
      </c>
    </row>
    <row r="17" spans="2:21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v>V5</v>
      </c>
      <c r="T17" s="1">
        <v>2</v>
      </c>
      <c r="U17" s="1">
        <v>6</v>
      </c>
    </row>
    <row r="18" spans="2:21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v>H5</v>
      </c>
      <c r="T18" s="1">
        <v>8</v>
      </c>
      <c r="U18" s="1">
        <v>6</v>
      </c>
    </row>
    <row r="19" spans="2:21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v>V1</v>
      </c>
      <c r="T19" s="1">
        <v>8</v>
      </c>
      <c r="U19" s="1">
        <v>2</v>
      </c>
    </row>
    <row r="20" spans="2:21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v>H2</v>
      </c>
      <c r="T20" s="1">
        <v>2</v>
      </c>
      <c r="U20" s="1">
        <v>2</v>
      </c>
    </row>
    <row r="21" spans="2:21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v>V-1</v>
      </c>
      <c r="T21" s="1">
        <v>2</v>
      </c>
      <c r="U21" s="1">
        <v>-2</v>
      </c>
    </row>
    <row r="22" spans="2:21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v>H5</v>
      </c>
      <c r="T22" s="1">
        <v>8</v>
      </c>
      <c r="U22" s="1">
        <v>-2</v>
      </c>
    </row>
    <row r="23" spans="2:21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v>V-5</v>
      </c>
      <c r="T23" s="1">
        <v>8</v>
      </c>
      <c r="U23" s="1">
        <v>-6</v>
      </c>
    </row>
    <row r="24" spans="2:21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v>H2</v>
      </c>
      <c r="T24" s="1">
        <v>2</v>
      </c>
      <c r="U24" s="1">
        <v>-6</v>
      </c>
    </row>
    <row r="25" spans="2:21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v>V-7</v>
      </c>
      <c r="T25" s="1">
        <v>2</v>
      </c>
      <c r="U25" s="1">
        <v>-10</v>
      </c>
    </row>
    <row r="26" spans="2:21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v>H-2</v>
      </c>
      <c r="T26">
        <v>-2</v>
      </c>
      <c r="U26">
        <v>-10</v>
      </c>
    </row>
    <row r="27" spans="2:21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v>v2</v>
      </c>
      <c r="T27">
        <v>-2</v>
      </c>
      <c r="U27">
        <v>-6</v>
      </c>
    </row>
    <row r="28" spans="2:21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v>H-5</v>
      </c>
      <c r="T28">
        <v>-8</v>
      </c>
      <c r="U28">
        <v>-6</v>
      </c>
    </row>
    <row r="29" spans="2:21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v>v4</v>
      </c>
      <c r="T29">
        <v>-8</v>
      </c>
      <c r="U29">
        <v>-2</v>
      </c>
    </row>
    <row r="30" spans="2:21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v>h3</v>
      </c>
      <c r="T30">
        <v>-2</v>
      </c>
      <c r="U30">
        <v>-2</v>
      </c>
    </row>
    <row r="31" spans="2:21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v>V1</v>
      </c>
      <c r="T31">
        <v>-2</v>
      </c>
      <c r="U31">
        <v>2</v>
      </c>
    </row>
    <row r="32" spans="2:21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v>H-5</v>
      </c>
      <c r="T32">
        <v>-8</v>
      </c>
      <c r="U32">
        <v>2</v>
      </c>
    </row>
    <row r="33" spans="2:21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v>V5</v>
      </c>
      <c r="T33">
        <v>-8</v>
      </c>
      <c r="U33">
        <v>6</v>
      </c>
    </row>
    <row r="34" spans="2:21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v>h3</v>
      </c>
      <c r="T34">
        <v>-2</v>
      </c>
      <c r="U34">
        <v>6</v>
      </c>
    </row>
    <row r="35" spans="2:21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v>V7Z</v>
      </c>
      <c r="T35">
        <v>-2</v>
      </c>
      <c r="U35">
        <v>10</v>
      </c>
    </row>
    <row r="36" spans="2:21" x14ac:dyDescent="0.2">
      <c r="C36" s="1"/>
      <c r="D36" s="1"/>
      <c r="T36" s="1"/>
      <c r="U36" s="1"/>
    </row>
    <row r="37" spans="2:21" x14ac:dyDescent="0.2">
      <c r="B37" t="s">
        <v>24</v>
      </c>
      <c r="C37" s="1">
        <f t="shared" ref="C37:C56" si="0" xml:space="preserve"> (ABS(C16) - Slavic.RawGap) * SIGN(C16)</f>
        <v>1</v>
      </c>
      <c r="D37" s="1">
        <f t="shared" ref="D37:D56" si="1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array" ref="L37:L56" xml:space="preserve"> svgpath($C$37:$C$56, $D$37:$D$56, DecimalPlaces)</f>
        <v>M1 6</v>
      </c>
      <c r="T37" s="1">
        <f xml:space="preserve"> (ABS(T16) - 1) * SIGN(T16)</f>
        <v>1</v>
      </c>
      <c r="U37" s="1">
        <f xml:space="preserve"> (ABS(U16) + IF(ABS(U16)&gt;5, - 1, 1)) * SIGN(U16)</f>
        <v>9</v>
      </c>
    </row>
    <row r="38" spans="2:21" x14ac:dyDescent="0.2">
      <c r="B38" t="s">
        <v>24</v>
      </c>
      <c r="C38" s="1">
        <f t="shared" si="0"/>
        <v>1</v>
      </c>
      <c r="D38" s="1">
        <f t="shared" si="1"/>
        <v>4</v>
      </c>
      <c r="H38" t="str">
        <v>V4</v>
      </c>
      <c r="J38" t="str">
        <v>V4</v>
      </c>
      <c r="L38" t="str">
        <v>V4</v>
      </c>
      <c r="T38" s="1">
        <f t="shared" ref="T38:T56" si="2" xml:space="preserve"> (ABS(T17) - 1) * SIGN(T17)</f>
        <v>1</v>
      </c>
      <c r="U38" s="1">
        <f t="shared" ref="U38:U56" si="3" xml:space="preserve"> (ABS(U17) + IF(ABS(U17)&gt;5, - 1, 1)) * SIGN(U17)</f>
        <v>5</v>
      </c>
    </row>
    <row r="39" spans="2:21" x14ac:dyDescent="0.2">
      <c r="B39" t="s">
        <v>24</v>
      </c>
      <c r="C39" s="1">
        <f t="shared" si="0"/>
        <v>4</v>
      </c>
      <c r="D39" s="1">
        <f t="shared" si="1"/>
        <v>4</v>
      </c>
      <c r="H39" t="str">
        <v>H4</v>
      </c>
      <c r="J39" t="str">
        <v>H4</v>
      </c>
      <c r="L39" t="str">
        <v>H4</v>
      </c>
      <c r="T39" s="1">
        <f t="shared" si="2"/>
        <v>7</v>
      </c>
      <c r="U39" s="1">
        <f t="shared" si="3"/>
        <v>5</v>
      </c>
    </row>
    <row r="40" spans="2:21" x14ac:dyDescent="0.2">
      <c r="B40" t="s">
        <v>24</v>
      </c>
      <c r="C40" s="1">
        <f t="shared" si="0"/>
        <v>4</v>
      </c>
      <c r="D40" s="1">
        <f t="shared" si="1"/>
        <v>2</v>
      </c>
      <c r="H40" t="str">
        <v>V2</v>
      </c>
      <c r="J40" t="str">
        <v>V2</v>
      </c>
      <c r="L40" t="str">
        <v>V2</v>
      </c>
      <c r="T40" s="1">
        <f t="shared" si="2"/>
        <v>7</v>
      </c>
      <c r="U40" s="1">
        <f t="shared" si="3"/>
        <v>3</v>
      </c>
    </row>
    <row r="41" spans="2:21" x14ac:dyDescent="0.2">
      <c r="B41" t="s">
        <v>24</v>
      </c>
      <c r="C41" s="1">
        <f t="shared" si="0"/>
        <v>1</v>
      </c>
      <c r="D41" s="1">
        <f t="shared" si="1"/>
        <v>2</v>
      </c>
      <c r="H41" t="str">
        <v>H1</v>
      </c>
      <c r="J41" t="str">
        <v>H1</v>
      </c>
      <c r="L41" t="str">
        <v>H1</v>
      </c>
      <c r="T41" s="1">
        <f t="shared" si="2"/>
        <v>1</v>
      </c>
      <c r="U41" s="1">
        <f t="shared" si="3"/>
        <v>3</v>
      </c>
    </row>
    <row r="42" spans="2:21" x14ac:dyDescent="0.2">
      <c r="B42" t="s">
        <v>24</v>
      </c>
      <c r="C42" s="1">
        <f t="shared" si="0"/>
        <v>1</v>
      </c>
      <c r="D42" s="1">
        <f t="shared" si="1"/>
        <v>-2</v>
      </c>
      <c r="H42" t="str">
        <v>V-2</v>
      </c>
      <c r="J42" t="str">
        <v>V-2</v>
      </c>
      <c r="L42" t="str">
        <v>V-2</v>
      </c>
      <c r="T42" s="1">
        <f t="shared" si="2"/>
        <v>1</v>
      </c>
      <c r="U42" s="1">
        <f t="shared" si="3"/>
        <v>-3</v>
      </c>
    </row>
    <row r="43" spans="2:21" x14ac:dyDescent="0.2">
      <c r="B43" t="s">
        <v>24</v>
      </c>
      <c r="C43" s="1">
        <f t="shared" si="0"/>
        <v>4</v>
      </c>
      <c r="D43" s="1">
        <f t="shared" si="1"/>
        <v>-2</v>
      </c>
      <c r="H43" t="str">
        <v>H4</v>
      </c>
      <c r="J43" t="str">
        <v>H4</v>
      </c>
      <c r="L43" t="str">
        <v>H4</v>
      </c>
      <c r="T43" s="1">
        <f t="shared" si="2"/>
        <v>7</v>
      </c>
      <c r="U43" s="1">
        <f t="shared" si="3"/>
        <v>-3</v>
      </c>
    </row>
    <row r="44" spans="2:21" x14ac:dyDescent="0.2">
      <c r="B44" t="s">
        <v>24</v>
      </c>
      <c r="C44" s="1">
        <f t="shared" si="0"/>
        <v>4</v>
      </c>
      <c r="D44" s="1">
        <f t="shared" si="1"/>
        <v>-4</v>
      </c>
      <c r="H44" t="str">
        <v>V-4</v>
      </c>
      <c r="J44" t="str">
        <v>V-4</v>
      </c>
      <c r="L44" t="str">
        <v>V-4</v>
      </c>
      <c r="T44" s="1">
        <f t="shared" si="2"/>
        <v>7</v>
      </c>
      <c r="U44" s="1">
        <f t="shared" si="3"/>
        <v>-5</v>
      </c>
    </row>
    <row r="45" spans="2:21" x14ac:dyDescent="0.2">
      <c r="B45" t="s">
        <v>24</v>
      </c>
      <c r="C45" s="1">
        <f t="shared" si="0"/>
        <v>1</v>
      </c>
      <c r="D45" s="1">
        <f t="shared" si="1"/>
        <v>-4</v>
      </c>
      <c r="H45" t="str">
        <v>H1</v>
      </c>
      <c r="J45" t="str">
        <v>H1</v>
      </c>
      <c r="L45" t="str">
        <v>H1</v>
      </c>
      <c r="T45" s="1">
        <f t="shared" si="2"/>
        <v>1</v>
      </c>
      <c r="U45" s="1">
        <f t="shared" si="3"/>
        <v>-5</v>
      </c>
    </row>
    <row r="46" spans="2:21" x14ac:dyDescent="0.2">
      <c r="B46" t="s">
        <v>24</v>
      </c>
      <c r="C46" s="1">
        <f t="shared" si="0"/>
        <v>1</v>
      </c>
      <c r="D46" s="1">
        <f t="shared" si="1"/>
        <v>-6</v>
      </c>
      <c r="H46" t="str">
        <v>V-6</v>
      </c>
      <c r="J46" t="str">
        <v>V-6</v>
      </c>
      <c r="L46" t="str">
        <v>V-6</v>
      </c>
      <c r="T46" s="1">
        <f t="shared" si="2"/>
        <v>1</v>
      </c>
      <c r="U46" s="1">
        <f t="shared" si="3"/>
        <v>-9</v>
      </c>
    </row>
    <row r="47" spans="2:21" x14ac:dyDescent="0.2">
      <c r="B47" t="s">
        <v>24</v>
      </c>
      <c r="C47" s="1">
        <f t="shared" si="0"/>
        <v>-1</v>
      </c>
      <c r="D47" s="1">
        <f t="shared" si="1"/>
        <v>-6</v>
      </c>
      <c r="H47" t="str">
        <v>H-1</v>
      </c>
      <c r="J47" t="str">
        <v>H-1</v>
      </c>
      <c r="L47" t="str">
        <v>H-1</v>
      </c>
      <c r="T47" s="1">
        <f t="shared" si="2"/>
        <v>-1</v>
      </c>
      <c r="U47" s="1">
        <f t="shared" si="3"/>
        <v>-9</v>
      </c>
    </row>
    <row r="48" spans="2:21" x14ac:dyDescent="0.2">
      <c r="B48" t="s">
        <v>24</v>
      </c>
      <c r="C48" s="1">
        <f t="shared" si="0"/>
        <v>-1</v>
      </c>
      <c r="D48" s="1">
        <f t="shared" si="1"/>
        <v>-4</v>
      </c>
      <c r="H48" t="str">
        <v>v2</v>
      </c>
      <c r="J48" t="str">
        <v>v2</v>
      </c>
      <c r="L48" t="str">
        <v>v2</v>
      </c>
      <c r="T48" s="1">
        <f t="shared" si="2"/>
        <v>-1</v>
      </c>
      <c r="U48" s="1">
        <f t="shared" si="3"/>
        <v>-5</v>
      </c>
    </row>
    <row r="49" spans="2:21" x14ac:dyDescent="0.2">
      <c r="B49" t="s">
        <v>24</v>
      </c>
      <c r="C49" s="1">
        <f t="shared" si="0"/>
        <v>-4</v>
      </c>
      <c r="D49" s="1">
        <f t="shared" si="1"/>
        <v>-4</v>
      </c>
      <c r="H49" t="str">
        <v>H-4</v>
      </c>
      <c r="J49" t="str">
        <v>H-4</v>
      </c>
      <c r="L49" t="str">
        <v>H-4</v>
      </c>
      <c r="T49" s="1">
        <f t="shared" si="2"/>
        <v>-7</v>
      </c>
      <c r="U49" s="1">
        <f t="shared" si="3"/>
        <v>-5</v>
      </c>
    </row>
    <row r="50" spans="2:21" x14ac:dyDescent="0.2">
      <c r="B50" t="s">
        <v>24</v>
      </c>
      <c r="C50" s="1">
        <f t="shared" si="0"/>
        <v>-4</v>
      </c>
      <c r="D50" s="1">
        <f t="shared" si="1"/>
        <v>-2</v>
      </c>
      <c r="H50" t="str">
        <v>v2</v>
      </c>
      <c r="J50" t="str">
        <v>v2</v>
      </c>
      <c r="L50" t="str">
        <v>v2</v>
      </c>
      <c r="T50" s="1">
        <f t="shared" si="2"/>
        <v>-7</v>
      </c>
      <c r="U50" s="1">
        <f t="shared" si="3"/>
        <v>-3</v>
      </c>
    </row>
    <row r="51" spans="2:21" x14ac:dyDescent="0.2">
      <c r="B51" t="s">
        <v>24</v>
      </c>
      <c r="C51" s="1">
        <f t="shared" si="0"/>
        <v>-1</v>
      </c>
      <c r="D51" s="1">
        <f t="shared" si="1"/>
        <v>-2</v>
      </c>
      <c r="H51" t="str">
        <v>h3</v>
      </c>
      <c r="J51" t="str">
        <v>h3</v>
      </c>
      <c r="L51" t="str">
        <v>h3</v>
      </c>
      <c r="T51" s="1">
        <f t="shared" si="2"/>
        <v>-1</v>
      </c>
      <c r="U51" s="1">
        <f t="shared" si="3"/>
        <v>-3</v>
      </c>
    </row>
    <row r="52" spans="2:21" x14ac:dyDescent="0.2">
      <c r="B52" t="s">
        <v>24</v>
      </c>
      <c r="C52" s="1">
        <f t="shared" si="0"/>
        <v>-1</v>
      </c>
      <c r="D52" s="1">
        <f t="shared" si="1"/>
        <v>2</v>
      </c>
      <c r="H52" t="str">
        <v>V2</v>
      </c>
      <c r="J52" t="str">
        <v>V2</v>
      </c>
      <c r="L52" t="str">
        <v>V2</v>
      </c>
      <c r="T52" s="1">
        <f t="shared" si="2"/>
        <v>-1</v>
      </c>
      <c r="U52" s="1">
        <f t="shared" si="3"/>
        <v>3</v>
      </c>
    </row>
    <row r="53" spans="2:21" x14ac:dyDescent="0.2">
      <c r="B53" t="s">
        <v>24</v>
      </c>
      <c r="C53" s="1">
        <f t="shared" si="0"/>
        <v>-4</v>
      </c>
      <c r="D53" s="1">
        <f t="shared" si="1"/>
        <v>2</v>
      </c>
      <c r="H53" t="str">
        <v>H-4</v>
      </c>
      <c r="J53" t="str">
        <v>H-4</v>
      </c>
      <c r="L53" t="str">
        <v>H-4</v>
      </c>
      <c r="T53" s="1">
        <f t="shared" si="2"/>
        <v>-7</v>
      </c>
      <c r="U53" s="1">
        <f t="shared" si="3"/>
        <v>3</v>
      </c>
    </row>
    <row r="54" spans="2:21" x14ac:dyDescent="0.2">
      <c r="B54" t="s">
        <v>24</v>
      </c>
      <c r="C54" s="1">
        <f t="shared" si="0"/>
        <v>-4</v>
      </c>
      <c r="D54" s="1">
        <f t="shared" si="1"/>
        <v>4</v>
      </c>
      <c r="H54" t="str">
        <v>V4</v>
      </c>
      <c r="J54" t="str">
        <v>V4</v>
      </c>
      <c r="L54" t="str">
        <v>V4</v>
      </c>
      <c r="T54" s="1">
        <f t="shared" si="2"/>
        <v>-7</v>
      </c>
      <c r="U54" s="1">
        <f t="shared" si="3"/>
        <v>5</v>
      </c>
    </row>
    <row r="55" spans="2:21" x14ac:dyDescent="0.2">
      <c r="B55" t="s">
        <v>24</v>
      </c>
      <c r="C55" s="1">
        <f t="shared" si="0"/>
        <v>-1</v>
      </c>
      <c r="D55" s="1">
        <f t="shared" si="1"/>
        <v>4</v>
      </c>
      <c r="H55" t="str">
        <v>h3</v>
      </c>
      <c r="J55" t="str">
        <v>h3</v>
      </c>
      <c r="L55" t="str">
        <v>h3</v>
      </c>
      <c r="T55" s="1">
        <f t="shared" si="2"/>
        <v>-1</v>
      </c>
      <c r="U55" s="1">
        <f t="shared" si="3"/>
        <v>5</v>
      </c>
    </row>
    <row r="56" spans="2:21" x14ac:dyDescent="0.2">
      <c r="B56" t="s">
        <v>24</v>
      </c>
      <c r="C56" s="1">
        <f t="shared" si="0"/>
        <v>-1</v>
      </c>
      <c r="D56" s="1">
        <f t="shared" si="1"/>
        <v>6</v>
      </c>
      <c r="H56" t="str">
        <v>V6Z</v>
      </c>
      <c r="J56" t="str">
        <v>V6Z</v>
      </c>
      <c r="L56" t="str">
        <v>V6Z</v>
      </c>
      <c r="T56" s="1">
        <f t="shared" si="2"/>
        <v>-1</v>
      </c>
      <c r="U56" s="1">
        <f t="shared" si="3"/>
        <v>9</v>
      </c>
    </row>
    <row r="57" spans="2:21" x14ac:dyDescent="0.2">
      <c r="C57" s="1"/>
    </row>
    <row r="58" spans="2:21" x14ac:dyDescent="0.2">
      <c r="C58" s="1"/>
      <c r="F58" s="4" t="s">
        <v>349</v>
      </c>
      <c r="G58" s="5"/>
      <c r="H58">
        <f xml:space="preserve"> MIN(Slavic.RawX)</f>
        <v>-5</v>
      </c>
      <c r="J58">
        <f xml:space="preserve"> MIN(Slavic.RawX)</f>
        <v>-5</v>
      </c>
      <c r="L58">
        <f xml:space="preserve"> MIN(Slavic.RawX)</f>
        <v>-5</v>
      </c>
    </row>
    <row r="59" spans="2:21" x14ac:dyDescent="0.2">
      <c r="C59" s="1"/>
      <c r="F59" s="4" t="s">
        <v>350</v>
      </c>
      <c r="G59" s="5"/>
      <c r="H59">
        <f xml:space="preserve"> MAX(Slavic.RawX)</f>
        <v>5</v>
      </c>
      <c r="J59">
        <f xml:space="preserve"> MAX(Slavic.RawX)</f>
        <v>5</v>
      </c>
      <c r="L59">
        <f xml:space="preserve"> MAX(Slavic.RawX)</f>
        <v>5</v>
      </c>
    </row>
    <row r="60" spans="2:21" x14ac:dyDescent="0.2">
      <c r="C60" s="1"/>
      <c r="F60" s="4" t="s">
        <v>351</v>
      </c>
      <c r="G60" s="5"/>
      <c r="H60">
        <f xml:space="preserve"> MIN(Slavic.RawY)</f>
        <v>-7</v>
      </c>
      <c r="J60">
        <f xml:space="preserve"> MIN(Slavic.RawY)</f>
        <v>-7</v>
      </c>
      <c r="L60">
        <f xml:space="preserve"> MIN(Slavic.RawY)</f>
        <v>-7</v>
      </c>
    </row>
    <row r="61" spans="2:21" x14ac:dyDescent="0.2">
      <c r="F61" s="4" t="s">
        <v>352</v>
      </c>
      <c r="G61" s="5"/>
      <c r="H61">
        <f xml:space="preserve"> MAX(Slavic.RawY)</f>
        <v>7</v>
      </c>
      <c r="J61">
        <f xml:space="preserve"> MAX(Slavic.RawY)</f>
        <v>7</v>
      </c>
      <c r="L61">
        <f xml:space="preserve"> MAX(Slavic.RawY)</f>
        <v>7</v>
      </c>
    </row>
    <row r="63" spans="2:21" x14ac:dyDescent="0.2">
      <c r="F63" s="4" t="s">
        <v>357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MAX(_xlfn.SINGLE(Slavic.MaxY), - _xlfn.SINGLE(Slavic.MinY)) / MAX(_xlfn.SINGLE(Slavic.MaxX), - _xlfn.SINGLE(Slavic.MinX))</f>
        <v>1.4</v>
      </c>
    </row>
    <row r="65" spans="6:14" x14ac:dyDescent="0.2">
      <c r="F65" s="4" t="s">
        <v>353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xml:space="preserve">  MAX(_xlfn.SINGLE(Slavic.MaxY), - _xlfn.SINGLE(Slavic.MinY))   /   MAX(_xlfn.SINGLE(Slavic.MaxX), - _xlfn.SINGLE(Slavic.MinX))</f>
        <v>1.4</v>
      </c>
    </row>
    <row r="66" spans="6:14" x14ac:dyDescent="0.2">
      <c r="F66" s="4" t="s">
        <v>354</v>
      </c>
      <c r="H66">
        <f xml:space="preserve"> VALUE(TEXT(SQRT(_xlfn.SINGLE(Slavic.AreaMultiplier) * BasicBBoxArea * _xlfn.SINGLE(Slavic.Aspect)), SVG.NumberFormatHeight))</f>
        <v>92</v>
      </c>
      <c r="J66">
        <f xml:space="preserve"> VALUE(TEXT(SQRT(_xlfn.SINGLE(Slavic.AreaMultiplier) * BasicBBoxArea * _xlfn.SINGLE(Slavic.Aspect)), SVG.NumberFormatHeight))</f>
        <v>92</v>
      </c>
      <c r="L66">
        <f xml:space="preserve"> VALUE(TEXT(SQRT(_xlfn.SINGLE(Slavic.AreaMultiplier) * BasicBBoxArea * _xlfn.SINGLE(Slavic.Aspect)), SVG.NumberFormatHeight))</f>
        <v>92</v>
      </c>
    </row>
    <row r="67" spans="6:14" x14ac:dyDescent="0.2">
      <c r="F67" s="4" t="s">
        <v>355</v>
      </c>
      <c r="H67">
        <f xml:space="preserve"> _xlfn.SINGLE(Slavic.Height) / _xlfn.SINGLE(Slavic.Aspect)</f>
        <v>65.714285714285722</v>
      </c>
      <c r="J67">
        <f xml:space="preserve"> _xlfn.SINGLE(Slavic.Height) / _xlfn.SINGLE(Slavic.Aspect)</f>
        <v>65.714285714285722</v>
      </c>
      <c r="L67">
        <f xml:space="preserve"> _xlfn.SINGLE(Slavic.Height) / _xlfn.SINGLE(Slavic.Aspect)</f>
        <v>65.714285714285722</v>
      </c>
    </row>
    <row r="69" spans="6:14" x14ac:dyDescent="0.2">
      <c r="F69" s="4" t="s">
        <v>356</v>
      </c>
    </row>
    <row r="70" spans="6:14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width='65.71429' height='92'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width='65.71429' height='92' viewBox='-5 -7 10 14'  id='%thisID%' xmlns='http://www.w3.org/2000/svg'&gt;</v>
      </c>
      <c r="K70" s="8" t="str">
        <f t="shared" ref="K70:K73" si="4"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width='65.71429' height='92' viewBox='-5 -7 10 14'  id='%thisID%' xmlns='http://www.w3.org/2000/svg'&gt;</v>
      </c>
      <c r="M70" s="8" t="str">
        <f t="shared" ref="M70:M73" si="5" xml:space="preserve"> ""</f>
        <v/>
      </c>
      <c r="N70" s="9"/>
    </row>
    <row r="71" spans="6:14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I73" si="6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4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fill='#006A44' d='M2 7 V5 H5 V1 H2 V-1 H5 V-5 H2 V-7 H-2 v2 H-5 v4 h3 V1 H-5 V5 h3 V7Z'/&gt;</v>
      </c>
      <c r="M71" s="5" t="str">
        <f t="shared" si="5"/>
        <v/>
      </c>
      <c r="N71" s="10"/>
    </row>
    <row r="72" spans="6:14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6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4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fill='#FDB913' d='M1 6 V4 H4 V2 H1 V-2 H4 V-4 H1 V-6 H-1 v2 H-4 v2 h3 V2 H-4 V4 h3 V6Z'/&gt;</v>
      </c>
      <c r="M72" s="5" t="str">
        <f t="shared" si="5"/>
        <v/>
      </c>
      <c r="N72" s="10"/>
    </row>
    <row r="73" spans="6:14" x14ac:dyDescent="0.2">
      <c r="G73" s="16"/>
      <c r="H73" s="17" t="s">
        <v>15</v>
      </c>
      <c r="I73" s="11" t="str">
        <f t="shared" si="6"/>
        <v/>
      </c>
      <c r="J73" s="17" t="s">
        <v>15</v>
      </c>
      <c r="K73" s="11" t="str">
        <f t="shared" si="4"/>
        <v/>
      </c>
      <c r="L73" s="17" t="s">
        <v>15</v>
      </c>
      <c r="M73" s="11" t="str">
        <f t="shared" si="5"/>
        <v/>
      </c>
      <c r="N73" s="12"/>
    </row>
    <row r="76" spans="6:14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LT</v>
      </c>
      <c r="N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5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569</v>
      </c>
      <c r="C4">
        <f xml:space="preserve"> MAX(EC.RadiusX)</f>
        <v>378</v>
      </c>
      <c r="F4" s="4" t="s">
        <v>575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570</v>
      </c>
      <c r="C5">
        <f xml:space="preserve"> MAX(EC.RadiusY)</f>
        <v>513</v>
      </c>
      <c r="F5" s="4" t="s">
        <v>571</v>
      </c>
      <c r="G5" s="28">
        <f xml:space="preserve"> MODE(Circles.AreaMultiplier)</f>
        <v>1</v>
      </c>
    </row>
    <row r="6" spans="1:7" x14ac:dyDescent="0.2">
      <c r="B6" s="4" t="s">
        <v>566</v>
      </c>
      <c r="C6">
        <f xml:space="preserve"> - EC.MaxX</f>
        <v>-378</v>
      </c>
      <c r="F6" s="4" t="s">
        <v>572</v>
      </c>
      <c r="G6">
        <f xml:space="preserve"> MAX(EC.MaxY, - EC.MinY) / MAX(EC.MaxX, - EC.MinX)</f>
        <v>1.3571428571428572</v>
      </c>
    </row>
    <row r="7" spans="1:7" x14ac:dyDescent="0.2">
      <c r="B7" s="4" t="s">
        <v>567</v>
      </c>
      <c r="C7">
        <f xml:space="preserve"> - EC.MaxY</f>
        <v>-513</v>
      </c>
      <c r="F7" s="4" t="s">
        <v>573</v>
      </c>
      <c r="G7">
        <f xml:space="preserve"> VALUE(TEXT(SQRT(EC.AreaMultiplier * BasicBBoxArea * EC.Aspect), SVG.NumberFormatHeight))</f>
        <v>93</v>
      </c>
    </row>
    <row r="8" spans="1:7" x14ac:dyDescent="0.2">
      <c r="F8" s="4" t="s">
        <v>574</v>
      </c>
      <c r="G8" cm="1">
        <f t="array" ref="G8" xml:space="preserve"> EC.Height / EC.Aspect</f>
        <v>68.526315789473685</v>
      </c>
    </row>
    <row r="9" spans="1:7" x14ac:dyDescent="0.2">
      <c r="E9" cm="1">
        <f t="array" ref="E9" xml:space="preserve"> SVG_length(EC.svg)</f>
        <v>251</v>
      </c>
    </row>
    <row r="11" spans="1:7" ht="17" thickBot="1" x14ac:dyDescent="0.25">
      <c r="B11" s="3" t="s">
        <v>562</v>
      </c>
      <c r="C11" s="3" t="s">
        <v>563</v>
      </c>
      <c r="E11" s="3" t="s">
        <v>565</v>
      </c>
      <c r="G11" s="40" t="s">
        <v>568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width='68.52632' height='93'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718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735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723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257</v>
      </c>
      <c r="C24">
        <f xml:space="preserve"> MAX(VND.RadiusX)</f>
        <v>36</v>
      </c>
      <c r="F24" s="4" t="s">
        <v>251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259</v>
      </c>
      <c r="C25">
        <f xml:space="preserve"> MAX(VND.RadiusY)</f>
        <v>25</v>
      </c>
      <c r="F25" s="4" t="s">
        <v>252</v>
      </c>
      <c r="G25" s="28">
        <f xml:space="preserve"> MODE(Circles.AreaMultiplier)</f>
        <v>1</v>
      </c>
    </row>
    <row r="26" spans="2:7" x14ac:dyDescent="0.2">
      <c r="B26" s="4" t="s">
        <v>256</v>
      </c>
      <c r="C26">
        <f xml:space="preserve"> - VND.MaxX</f>
        <v>-36</v>
      </c>
      <c r="F26" s="4" t="s">
        <v>253</v>
      </c>
      <c r="G26">
        <f xml:space="preserve"> MAX(VND.MaxY, - VND.MinY)  /  MAX(VND.MaxX, - VND.MinX)</f>
        <v>0.69444444444444442</v>
      </c>
    </row>
    <row r="27" spans="2:7" x14ac:dyDescent="0.2">
      <c r="B27" s="4" t="s">
        <v>258</v>
      </c>
      <c r="C27">
        <f xml:space="preserve"> - VND.MaxY</f>
        <v>-25</v>
      </c>
      <c r="F27" s="4" t="s">
        <v>254</v>
      </c>
      <c r="G27">
        <f xml:space="preserve"> VALUE(TEXT(SQRT(VND.AreaMultiplier * BasicBBoxArea * VND.Aspect), SVG.NumberFormatHeight))</f>
        <v>66.7</v>
      </c>
    </row>
    <row r="28" spans="2:7" x14ac:dyDescent="0.2">
      <c r="F28" s="4" t="s">
        <v>255</v>
      </c>
      <c r="G28">
        <f xml:space="preserve"> VND.Height / VND.Aspect</f>
        <v>96.048000000000002</v>
      </c>
    </row>
    <row r="31" spans="2:7" ht="17" thickBot="1" x14ac:dyDescent="0.25">
      <c r="B31" s="3" t="s">
        <v>577</v>
      </c>
      <c r="C31" s="3" t="s">
        <v>578</v>
      </c>
      <c r="E31" s="3" t="s">
        <v>261</v>
      </c>
      <c r="G31" s="40" t="s">
        <v>260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width='96.048' height='66.7'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751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752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633</v>
      </c>
      <c r="C43">
        <f xml:space="preserve"> MAX(IT.RadiusX)</f>
        <v>82</v>
      </c>
      <c r="F43" s="4" t="s">
        <v>626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635</v>
      </c>
      <c r="C44">
        <f xml:space="preserve"> MAX(IT.RadiusY)</f>
        <v>68</v>
      </c>
      <c r="F44" s="4" t="s">
        <v>628</v>
      </c>
      <c r="G44" s="28">
        <f xml:space="preserve"> MODE(Circles.AreaMultiplier)</f>
        <v>1</v>
      </c>
    </row>
    <row r="45" spans="2:7" x14ac:dyDescent="0.2">
      <c r="B45" s="4" t="s">
        <v>632</v>
      </c>
      <c r="C45" cm="1">
        <f t="array" ref="C45" xml:space="preserve"> - IT.MaxX</f>
        <v>-82</v>
      </c>
      <c r="F45" s="4" t="s">
        <v>629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634</v>
      </c>
      <c r="C46" cm="1">
        <f t="array" ref="C46" xml:space="preserve"> - IT.MaxY</f>
        <v>-68</v>
      </c>
      <c r="F46" s="4" t="s">
        <v>630</v>
      </c>
      <c r="G46" cm="1">
        <f t="array" ref="G46" xml:space="preserve"> VALUE(TEXT(SQRT(IT.AreaMultiplier * BasicBBoxArea * IT.Aspect), SVG.NumberFormatHeight))</f>
        <v>73</v>
      </c>
    </row>
    <row r="47" spans="2:7" x14ac:dyDescent="0.2">
      <c r="F47" s="4" t="s">
        <v>631</v>
      </c>
      <c r="G47" cm="1">
        <f t="array" ref="G47" xml:space="preserve"> IT.Height / IT.Aspect</f>
        <v>88.029411764705884</v>
      </c>
    </row>
    <row r="48" spans="2:7" x14ac:dyDescent="0.2">
      <c r="B48" s="4" t="s">
        <v>1703</v>
      </c>
      <c r="C48">
        <f xml:space="preserve"> 2 / 15</f>
        <v>0.13333333333333333</v>
      </c>
    </row>
    <row r="50" spans="2:7" ht="17" thickBot="1" x14ac:dyDescent="0.25">
      <c r="B50" s="3" t="s">
        <v>1700</v>
      </c>
      <c r="C50" s="3" t="s">
        <v>1701</v>
      </c>
      <c r="E50" s="3" t="s">
        <v>1702</v>
      </c>
      <c r="G50" s="40" t="s">
        <v>627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width='88.02941' height='73'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782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fill='#008C45'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781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783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fill='#CD212A'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O48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67" x14ac:dyDescent="0.2">
      <c r="B2" s="4" t="s">
        <v>362</v>
      </c>
      <c r="C2" s="5"/>
      <c r="D2" s="5" t="s">
        <v>406</v>
      </c>
      <c r="E2" s="5"/>
      <c r="F2" s="5" t="s">
        <v>800</v>
      </c>
      <c r="G2" s="5"/>
      <c r="H2" t="s">
        <v>394</v>
      </c>
      <c r="I2" s="5"/>
      <c r="J2" s="5" t="s">
        <v>1618</v>
      </c>
      <c r="K2" s="5"/>
      <c r="L2" t="s">
        <v>883</v>
      </c>
      <c r="M2" s="5"/>
      <c r="N2" t="s">
        <v>2170</v>
      </c>
      <c r="P2" t="s">
        <v>167</v>
      </c>
      <c r="R2" t="s">
        <v>493</v>
      </c>
      <c r="T2" t="s">
        <v>2167</v>
      </c>
      <c r="V2" t="s">
        <v>529</v>
      </c>
      <c r="X2" t="s">
        <v>1788</v>
      </c>
      <c r="Z2" t="s">
        <v>169</v>
      </c>
      <c r="AB2" t="s">
        <v>579</v>
      </c>
      <c r="AD2" t="s">
        <v>580</v>
      </c>
      <c r="AF2" t="s">
        <v>581</v>
      </c>
      <c r="AH2" t="s">
        <v>1637</v>
      </c>
      <c r="AJ2" t="s">
        <v>1627</v>
      </c>
      <c r="AL2" t="s">
        <v>1624</v>
      </c>
      <c r="AN2" t="s">
        <v>582</v>
      </c>
      <c r="AP2" t="s">
        <v>657</v>
      </c>
      <c r="AR2" t="s">
        <v>104</v>
      </c>
      <c r="AT2" t="s">
        <v>1676</v>
      </c>
      <c r="AV2" t="s">
        <v>373</v>
      </c>
      <c r="AX2" t="s">
        <v>799</v>
      </c>
      <c r="AZ2" t="s">
        <v>2147</v>
      </c>
      <c r="BB2" t="s">
        <v>802</v>
      </c>
      <c r="BD2" t="s">
        <v>2048</v>
      </c>
      <c r="BF2" t="s">
        <v>1716</v>
      </c>
      <c r="BH2" t="s">
        <v>933</v>
      </c>
      <c r="BJ2" t="s">
        <v>173</v>
      </c>
      <c r="BL2" t="s">
        <v>2058</v>
      </c>
      <c r="BO2" t="e">
        <f xml:space="preserve"> NA()</f>
        <v>#N/A</v>
      </c>
    </row>
    <row r="3" spans="2:67" x14ac:dyDescent="0.2">
      <c r="B3" s="4" t="s">
        <v>363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0.875</v>
      </c>
      <c r="AR3">
        <f xml:space="preserve"> 1.625 * MODE(Squares.AreaMultiplier)</f>
        <v>1.3812499999999999</v>
      </c>
      <c r="AT3">
        <f xml:space="preserve"> MODE(Squares.AreaMultiplier)</f>
        <v>0.85</v>
      </c>
      <c r="AV3">
        <f xml:space="preserve"> 1.625 * MODE(Squares.AreaMultiplier)</f>
        <v>1.3812499999999999</v>
      </c>
      <c r="AX3">
        <f xml:space="preserve"> MODE(Squares.AreaMultiplier)</f>
        <v>0.85</v>
      </c>
      <c r="AZ3">
        <f xml:space="preserve"> MODE(Squares.AreaMultiplier)</f>
        <v>0.85</v>
      </c>
      <c r="BB3">
        <f xml:space="preserve"> 1.625 * MODE(Squares.AreaMultiplier)</f>
        <v>1.3812499999999999</v>
      </c>
      <c r="BD3">
        <f xml:space="preserve"> MODE(Squares.AreaMultiplier)</f>
        <v>0.85</v>
      </c>
      <c r="BF3">
        <f xml:space="preserve"> MODE(Squares.AreaMultiplier)</f>
        <v>0.85</v>
      </c>
      <c r="BH3">
        <f xml:space="preserve"> MODE(Squares.AreaMultiplier)</f>
        <v>0.85</v>
      </c>
      <c r="BJ3">
        <v>0.7</v>
      </c>
      <c r="BL3">
        <f xml:space="preserve"> MODE(Circles.AreaMultiplier)</f>
        <v>1</v>
      </c>
    </row>
    <row r="5" spans="2:67" x14ac:dyDescent="0.2">
      <c r="B5" s="4" t="s">
        <v>364</v>
      </c>
      <c r="BB5">
        <v>44</v>
      </c>
      <c r="BD5">
        <v>44</v>
      </c>
    </row>
    <row r="6" spans="2:67" x14ac:dyDescent="0.2">
      <c r="B6" s="4" t="s">
        <v>374</v>
      </c>
      <c r="C6" s="6"/>
      <c r="D6" s="6" t="s">
        <v>717</v>
      </c>
      <c r="E6" s="6"/>
      <c r="F6" s="6" t="s">
        <v>1836</v>
      </c>
      <c r="G6" s="6"/>
      <c r="H6" s="6" t="s">
        <v>1071</v>
      </c>
      <c r="I6" s="6"/>
      <c r="J6" s="6" t="s">
        <v>1620</v>
      </c>
      <c r="K6" s="6"/>
      <c r="L6" s="6" t="s">
        <v>1508</v>
      </c>
      <c r="M6" s="6"/>
      <c r="N6" s="6" t="s">
        <v>755</v>
      </c>
      <c r="O6" s="6"/>
      <c r="P6" s="6" t="s">
        <v>724</v>
      </c>
      <c r="Q6" s="6"/>
      <c r="R6" s="6" t="s">
        <v>758</v>
      </c>
      <c r="S6" s="6"/>
      <c r="T6" s="6" t="s">
        <v>2168</v>
      </c>
      <c r="U6" s="6"/>
      <c r="V6" s="6" t="s">
        <v>724</v>
      </c>
      <c r="W6" s="6"/>
      <c r="X6" s="6" t="s">
        <v>1789</v>
      </c>
      <c r="Y6" s="6"/>
      <c r="Z6" s="6" t="s">
        <v>724</v>
      </c>
      <c r="AA6" s="6"/>
      <c r="AB6" s="6"/>
      <c r="AC6" s="6"/>
      <c r="AD6" s="6"/>
      <c r="AE6" s="6"/>
      <c r="AF6" s="6"/>
      <c r="AG6" s="6"/>
      <c r="AH6" s="6" t="s">
        <v>1638</v>
      </c>
      <c r="AI6" s="6"/>
      <c r="AJ6" s="6"/>
      <c r="AK6" s="6"/>
      <c r="AL6" s="6"/>
      <c r="AM6" s="6"/>
      <c r="AN6" s="6" t="s">
        <v>727</v>
      </c>
      <c r="AO6" s="6"/>
      <c r="AP6" s="6" t="s">
        <v>729</v>
      </c>
      <c r="AQ6" s="6"/>
      <c r="AR6" s="6" t="s">
        <v>718</v>
      </c>
      <c r="AS6" s="6"/>
      <c r="AT6" s="6" t="s">
        <v>2103</v>
      </c>
      <c r="AU6" s="6"/>
      <c r="AV6" s="6" t="s">
        <v>1075</v>
      </c>
      <c r="AW6" s="6"/>
      <c r="AX6" s="6" t="s">
        <v>1047</v>
      </c>
      <c r="AY6" s="6"/>
      <c r="AZ6" s="6" t="str">
        <f xml:space="preserve"> $AR$8</f>
        <v>fill='#00A3E0'</v>
      </c>
      <c r="BA6" s="6"/>
      <c r="BB6" s="6" t="s">
        <v>2103</v>
      </c>
      <c r="BC6" s="6"/>
      <c r="BD6" s="6" t="s">
        <v>2049</v>
      </c>
      <c r="BE6" s="6"/>
      <c r="BF6" s="6" t="s">
        <v>1717</v>
      </c>
      <c r="BG6" s="6"/>
      <c r="BH6" s="6" t="s">
        <v>934</v>
      </c>
      <c r="BI6" s="6"/>
      <c r="BJ6" s="6" t="s">
        <v>747</v>
      </c>
      <c r="BK6" s="6"/>
      <c r="BL6" s="6" t="s">
        <v>2061</v>
      </c>
      <c r="BM6" s="6"/>
      <c r="BN6" s="6"/>
      <c r="BO6" s="6"/>
    </row>
    <row r="7" spans="2:67" x14ac:dyDescent="0.2">
      <c r="B7" s="4" t="s">
        <v>375</v>
      </c>
      <c r="C7" s="6"/>
      <c r="D7" s="6" t="s">
        <v>2105</v>
      </c>
      <c r="E7" s="6"/>
      <c r="F7" s="6" t="s">
        <v>2105</v>
      </c>
      <c r="G7" s="6"/>
      <c r="H7" s="6" t="s">
        <v>2103</v>
      </c>
      <c r="I7" s="6"/>
      <c r="J7" s="6" t="s">
        <v>1619</v>
      </c>
      <c r="K7" s="6"/>
      <c r="L7" s="6" t="s">
        <v>1507</v>
      </c>
      <c r="M7" s="6"/>
      <c r="N7" s="6" t="s">
        <v>2103</v>
      </c>
      <c r="O7" s="6"/>
      <c r="P7" s="6" t="s">
        <v>2103</v>
      </c>
      <c r="Q7" s="6"/>
      <c r="R7" s="6" t="s">
        <v>2103</v>
      </c>
      <c r="S7" s="6"/>
      <c r="T7" s="6" t="s">
        <v>2169</v>
      </c>
      <c r="U7" s="6"/>
      <c r="V7" s="6" t="s">
        <v>753</v>
      </c>
      <c r="W7" s="6"/>
      <c r="X7" s="6" t="s">
        <v>1790</v>
      </c>
      <c r="Y7" s="6"/>
      <c r="Z7" s="6" t="s">
        <v>2103</v>
      </c>
      <c r="AA7" s="6"/>
      <c r="AB7" s="6" t="s">
        <v>754</v>
      </c>
      <c r="AC7" s="6"/>
      <c r="AD7" s="6" t="s">
        <v>729</v>
      </c>
      <c r="AE7" s="6"/>
      <c r="AF7" s="6" t="s">
        <v>724</v>
      </c>
      <c r="AG7" s="6"/>
      <c r="AH7" s="6" t="s">
        <v>727</v>
      </c>
      <c r="AI7" s="6"/>
      <c r="AJ7" s="6" t="s">
        <v>762</v>
      </c>
      <c r="AK7" s="6"/>
      <c r="AL7" s="6" t="s">
        <v>1625</v>
      </c>
      <c r="AM7" s="6"/>
      <c r="AN7" s="6" t="s">
        <v>2103</v>
      </c>
      <c r="AO7" s="6"/>
      <c r="AP7" s="6" t="s">
        <v>2103</v>
      </c>
      <c r="AQ7" s="6"/>
      <c r="AR7" s="6" t="s">
        <v>2103</v>
      </c>
      <c r="AS7" s="6"/>
      <c r="AT7" s="6" t="s">
        <v>739</v>
      </c>
      <c r="AU7" s="6"/>
      <c r="AV7" s="6" t="s">
        <v>1076</v>
      </c>
      <c r="AW7" s="6"/>
      <c r="AX7" s="6" t="s">
        <v>2103</v>
      </c>
      <c r="AY7" s="6"/>
      <c r="AZ7" s="6" t="s">
        <v>2103</v>
      </c>
      <c r="BA7" s="6"/>
      <c r="BB7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C7" s="6"/>
      <c r="BD7" s="6" t="s">
        <v>2103</v>
      </c>
      <c r="BE7" s="6"/>
      <c r="BF7" s="6" t="s">
        <v>1718</v>
      </c>
      <c r="BG7" s="6"/>
      <c r="BH7" s="6" t="s">
        <v>935</v>
      </c>
      <c r="BI7" s="6"/>
      <c r="BJ7" s="6" t="s">
        <v>743</v>
      </c>
      <c r="BK7" s="6"/>
      <c r="BL7" s="6" t="s">
        <v>2062</v>
      </c>
      <c r="BM7" s="6"/>
      <c r="BN7" s="6"/>
      <c r="BO7" s="6"/>
    </row>
    <row r="8" spans="2:67" x14ac:dyDescent="0.2">
      <c r="B8" s="4" t="s">
        <v>376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 t="s">
        <v>755</v>
      </c>
      <c r="O8" s="6"/>
      <c r="P8" s="6"/>
      <c r="Q8" s="6"/>
      <c r="R8" s="6" t="s">
        <v>756</v>
      </c>
      <c r="S8" s="6"/>
      <c r="T8" s="6" t="s">
        <v>727</v>
      </c>
      <c r="U8" s="6"/>
      <c r="V8" s="6"/>
      <c r="W8" s="6"/>
      <c r="X8" s="6" t="s">
        <v>727</v>
      </c>
      <c r="Y8" s="6"/>
      <c r="Z8" s="6"/>
      <c r="AA8" s="6"/>
      <c r="AB8" s="6" t="s">
        <v>757</v>
      </c>
      <c r="AC8" s="6"/>
      <c r="AD8" s="6" t="s">
        <v>727</v>
      </c>
      <c r="AE8" s="6"/>
      <c r="AF8" s="6" t="s">
        <v>727</v>
      </c>
      <c r="AG8" s="6"/>
      <c r="AH8" s="6" t="s">
        <v>2103</v>
      </c>
      <c r="AI8" s="6"/>
      <c r="AJ8" s="6" t="s">
        <v>727</v>
      </c>
      <c r="AK8" s="6"/>
      <c r="AL8" s="6" t="s">
        <v>1626</v>
      </c>
      <c r="AM8" s="6"/>
      <c r="AN8" s="6"/>
      <c r="AO8" s="6"/>
      <c r="AP8" s="6"/>
      <c r="AQ8" s="6"/>
      <c r="AR8" s="6" t="s">
        <v>734</v>
      </c>
      <c r="AS8" s="6"/>
      <c r="AT8" s="6"/>
      <c r="AU8" s="6"/>
      <c r="AV8" s="6" t="s">
        <v>2103</v>
      </c>
      <c r="AW8" s="6"/>
      <c r="AX8" s="6" t="s">
        <v>801</v>
      </c>
      <c r="AY8" s="6"/>
      <c r="AZ8" s="6" t="str">
        <f xml:space="preserve"> $AR$6</f>
        <v>fill='#EF3340'</v>
      </c>
      <c r="BA8" s="6"/>
      <c r="BB8" s="6"/>
      <c r="BC8" s="6"/>
      <c r="BD8" s="6" t="s">
        <v>2050</v>
      </c>
      <c r="BE8" s="6"/>
      <c r="BF8" s="6"/>
      <c r="BG8" s="6"/>
      <c r="BH8" s="6"/>
      <c r="BI8" s="6"/>
      <c r="BJ8" s="6"/>
      <c r="BK8" s="6"/>
      <c r="BL8" s="6" t="s">
        <v>2103</v>
      </c>
      <c r="BM8" s="6"/>
      <c r="BN8" s="6"/>
      <c r="BO8" s="6"/>
    </row>
    <row r="9" spans="2:67" x14ac:dyDescent="0.2">
      <c r="B9" s="5"/>
      <c r="C9" s="5"/>
      <c r="D9" s="5"/>
      <c r="E9" s="5"/>
      <c r="G9" s="5"/>
      <c r="I9" s="5"/>
      <c r="J9" s="5"/>
      <c r="K9" s="5"/>
      <c r="M9" s="5"/>
      <c r="U9" s="6"/>
      <c r="X9" s="6"/>
      <c r="AB9" s="6"/>
      <c r="AD9" s="6"/>
    </row>
    <row r="10" spans="2:67" x14ac:dyDescent="0.2">
      <c r="B10" s="4" t="s">
        <v>366</v>
      </c>
      <c r="C10" s="5"/>
      <c r="D10">
        <v>10</v>
      </c>
      <c r="E10" s="5"/>
      <c r="F10">
        <f xml:space="preserve"> $D10</f>
        <v>10</v>
      </c>
      <c r="G10" s="5"/>
      <c r="H10">
        <f xml:space="preserve"> 2 * 4</f>
        <v>8</v>
      </c>
      <c r="I10" s="5"/>
      <c r="J10" s="5">
        <v>11</v>
      </c>
      <c r="K10" s="5"/>
      <c r="L10">
        <f xml:space="preserve"> 2 * 4</f>
        <v>8</v>
      </c>
      <c r="M10" s="5"/>
      <c r="N10">
        <v>27</v>
      </c>
      <c r="P10">
        <v>6</v>
      </c>
      <c r="R10">
        <v>67</v>
      </c>
      <c r="T10">
        <v>8</v>
      </c>
      <c r="V10">
        <f xml:space="preserve"> 83 * 10</f>
        <v>830</v>
      </c>
      <c r="X10">
        <v>97</v>
      </c>
      <c r="Z10">
        <v>6</v>
      </c>
      <c r="AB10">
        <v>1</v>
      </c>
      <c r="AD10">
        <v>2</v>
      </c>
      <c r="AF10">
        <v>8</v>
      </c>
      <c r="AH10">
        <v>216</v>
      </c>
      <c r="AJ10">
        <v>4</v>
      </c>
      <c r="AL10">
        <v>4</v>
      </c>
      <c r="AN10">
        <v>11</v>
      </c>
      <c r="AP10">
        <v>9</v>
      </c>
      <c r="AR10">
        <f xml:space="preserve"> Thirds_O * 2</f>
        <v>54</v>
      </c>
      <c r="AT10">
        <v>3</v>
      </c>
      <c r="AV10">
        <f xml:space="preserve"> Thirds_O * 3</f>
        <v>81</v>
      </c>
      <c r="AX10">
        <v>5</v>
      </c>
      <c r="AZ10">
        <v>5</v>
      </c>
      <c r="BB10">
        <f xml:space="preserve"> 17*8 + _xlfn.SINGLE(Simple.SVG_borderWidth)/2</f>
        <v>158</v>
      </c>
      <c r="BD10">
        <v>8</v>
      </c>
      <c r="BF10">
        <v>5</v>
      </c>
      <c r="BH10">
        <v>20</v>
      </c>
      <c r="BJ10">
        <v>9</v>
      </c>
      <c r="BL10">
        <v>4</v>
      </c>
    </row>
    <row r="11" spans="2:67" x14ac:dyDescent="0.2">
      <c r="B11" s="4" t="s">
        <v>368</v>
      </c>
      <c r="C11" s="5"/>
      <c r="D11">
        <f xml:space="preserve"> _xlfn.SINGLE(Simple.MaxX)</f>
        <v>10</v>
      </c>
      <c r="E11" s="5"/>
      <c r="F11">
        <f xml:space="preserve"> _xlfn.SINGLE(Simple.MaxX)</f>
        <v>10</v>
      </c>
      <c r="G11" s="5"/>
      <c r="H11">
        <f xml:space="preserve"> _xlfn.SINGLE(Simple.MaxX)</f>
        <v>8</v>
      </c>
      <c r="I11" s="5"/>
      <c r="J11" s="5">
        <v>14</v>
      </c>
      <c r="K11" s="5"/>
      <c r="L11">
        <f xml:space="preserve"> _xlfn.SINGLE(Simple.MaxX)</f>
        <v>8</v>
      </c>
      <c r="M11" s="5"/>
      <c r="N11">
        <v>45</v>
      </c>
      <c r="P11">
        <v>5</v>
      </c>
      <c r="R11">
        <v>80</v>
      </c>
      <c r="T11">
        <f xml:space="preserve"> _xlfn.SINGLE(Simple.MaxX)</f>
        <v>8</v>
      </c>
      <c r="V11">
        <f xml:space="preserve"> _xlfn.SINGLE(Simple.MaxX) * 53 / 83</f>
        <v>530</v>
      </c>
      <c r="X11">
        <v>56</v>
      </c>
      <c r="Z11">
        <f xml:space="preserve"> _xlfn.SINGLE(Simple.MaxX)</f>
        <v>6</v>
      </c>
      <c r="AB11">
        <f xml:space="preserve"> _xlfn.SINGLE(Simple.MaxX)</f>
        <v>1</v>
      </c>
      <c r="AD11">
        <f xml:space="preserve"> _xlfn.SINGLE(Simple.MaxX)</f>
        <v>2</v>
      </c>
      <c r="AF11">
        <f xml:space="preserve"> _xlfn.SINGLE(Simple.MaxX)</f>
        <v>8</v>
      </c>
      <c r="AH11">
        <v>432</v>
      </c>
      <c r="AJ11">
        <f xml:space="preserve"> _xlfn.SINGLE(Simple.MaxX)</f>
        <v>4</v>
      </c>
      <c r="AL11">
        <f xml:space="preserve"> _xlfn.SINGLE(Simple.MaxX)</f>
        <v>4</v>
      </c>
      <c r="AN11">
        <v>8</v>
      </c>
      <c r="AP11">
        <v>6</v>
      </c>
      <c r="AR11">
        <f xml:space="preserve"> _xlfn.SINGLE(Simple.MaxX)  / 2</f>
        <v>27</v>
      </c>
      <c r="AT11">
        <f xml:space="preserve"> _xlfn.SINGLE(Simple.MaxX)</f>
        <v>3</v>
      </c>
      <c r="AV11">
        <f xml:space="preserve"> Thirds_O * 2</f>
        <v>54</v>
      </c>
      <c r="AX11">
        <f xml:space="preserve"> _xlfn.SINGLE(Simple.MaxX)</f>
        <v>5</v>
      </c>
      <c r="AZ11">
        <f xml:space="preserve"> _xlfn.SINGLE(Simple.MaxX)</f>
        <v>5</v>
      </c>
      <c r="BB11">
        <f xml:space="preserve"> 17*11 + _xlfn.SINGLE(Simple.SVG_borderWidth)/2</f>
        <v>209</v>
      </c>
      <c r="BD11">
        <f xml:space="preserve"> _xlfn.SINGLE(Simple.MaxX)</f>
        <v>8</v>
      </c>
      <c r="BF11">
        <f xml:space="preserve"> _xlfn.SINGLE(Simple.MaxX)</f>
        <v>5</v>
      </c>
      <c r="BH11">
        <v>39.5</v>
      </c>
      <c r="BJ11">
        <v>15</v>
      </c>
      <c r="BL11">
        <f xml:space="preserve"> _xlfn.SINGLE(Simple.MaxX)</f>
        <v>4</v>
      </c>
    </row>
    <row r="12" spans="2:67" x14ac:dyDescent="0.2">
      <c r="B12" s="4" t="s">
        <v>365</v>
      </c>
      <c r="C12" s="5"/>
      <c r="D12">
        <f xml:space="preserve"> - _xlfn.SINGLE(Simple.MaxX)</f>
        <v>-10</v>
      </c>
      <c r="E12" s="5"/>
      <c r="F12">
        <f xml:space="preserve"> - _xlfn.SINGLE(Simple.MaxX)</f>
        <v>-10</v>
      </c>
      <c r="G12" s="5"/>
      <c r="H12">
        <f xml:space="preserve"> - _xlfn.SINGLE(Simple.MaxX)</f>
        <v>-8</v>
      </c>
      <c r="I12" s="5"/>
      <c r="J12">
        <f xml:space="preserve"> - _xlfn.SINGLE(Simple.MaxX)</f>
        <v>-11</v>
      </c>
      <c r="K12" s="5"/>
      <c r="L12">
        <f xml:space="preserve"> - _xlfn.SINGLE(Simple.MaxX)</f>
        <v>-8</v>
      </c>
      <c r="M12" s="5"/>
      <c r="N12">
        <f xml:space="preserve"> - _xlfn.SINGLE(Simple.MaxX)</f>
        <v>-27</v>
      </c>
      <c r="P12">
        <f xml:space="preserve"> - _xlfn.SINGLE(Simple.MaxX)</f>
        <v>-6</v>
      </c>
      <c r="R12">
        <f xml:space="preserve"> - _xlfn.SINGLE(Simple.MaxX)</f>
        <v>-67</v>
      </c>
      <c r="T12">
        <f xml:space="preserve"> - _xlfn.SINGLE(Simple.MaxX)</f>
        <v>-8</v>
      </c>
      <c r="V12">
        <f xml:space="preserve"> - _xlfn.SINGLE(Simple.MaxX)</f>
        <v>-830</v>
      </c>
      <c r="X12">
        <f xml:space="preserve"> - _xlfn.SINGLE(Simple.MaxX)</f>
        <v>-97</v>
      </c>
      <c r="Z12">
        <f xml:space="preserve"> - _xlfn.SINGLE(Simple.MaxX)</f>
        <v>-6</v>
      </c>
      <c r="AB12">
        <f xml:space="preserve"> - _xlfn.SINGLE(Simple.MaxX)</f>
        <v>-1</v>
      </c>
      <c r="AD12">
        <f xml:space="preserve"> - _xlfn.SINGLE(Simple.MaxX)</f>
        <v>-2</v>
      </c>
      <c r="AF12">
        <f xml:space="preserve"> - _xlfn.SINGLE(Simple.MaxX)</f>
        <v>-8</v>
      </c>
      <c r="AH12">
        <f xml:space="preserve"> - _xlfn.SINGLE(Simple.MaxX)</f>
        <v>-216</v>
      </c>
      <c r="AJ12">
        <f xml:space="preserve"> - _xlfn.SINGLE(Simple.MaxX)</f>
        <v>-4</v>
      </c>
      <c r="AL12">
        <f xml:space="preserve"> - _xlfn.SINGLE(Simple.MaxX)</f>
        <v>-4</v>
      </c>
      <c r="AN12">
        <f xml:space="preserve"> - _xlfn.SINGLE(Simple.MaxX)</f>
        <v>-11</v>
      </c>
      <c r="AP12">
        <f xml:space="preserve"> - _xlfn.SINGLE(Simple.MaxX)</f>
        <v>-9</v>
      </c>
      <c r="AR12">
        <f xml:space="preserve"> - _xlfn.SINGLE(Simple.MaxX)</f>
        <v>-54</v>
      </c>
      <c r="AT12">
        <f xml:space="preserve"> - _xlfn.SINGLE(Simple.MaxX)</f>
        <v>-3</v>
      </c>
      <c r="AV12">
        <f xml:space="preserve"> - _xlfn.SINGLE(Simple.MaxX)</f>
        <v>-81</v>
      </c>
      <c r="AX12">
        <f xml:space="preserve"> - _xlfn.SINGLE(Simple.MaxX)</f>
        <v>-5</v>
      </c>
      <c r="AZ12">
        <f xml:space="preserve"> - _xlfn.SINGLE(Simple.MaxX)</f>
        <v>-5</v>
      </c>
      <c r="BB12">
        <f xml:space="preserve"> - _xlfn.SINGLE(Simple.MaxX)</f>
        <v>-158</v>
      </c>
      <c r="BD12">
        <f xml:space="preserve"> - _xlfn.SINGLE(Simple.MaxX)</f>
        <v>-8</v>
      </c>
      <c r="BF12">
        <f xml:space="preserve"> - _xlfn.SINGLE(Simple.MaxX)</f>
        <v>-5</v>
      </c>
      <c r="BH12">
        <f xml:space="preserve"> - _xlfn.SINGLE(Simple.MaxX)</f>
        <v>-20</v>
      </c>
      <c r="BJ12">
        <f xml:space="preserve"> - _xlfn.SINGLE(Simple.MaxX)</f>
        <v>-9</v>
      </c>
      <c r="BL12">
        <f xml:space="preserve"> - _xlfn.SINGLE(Simple.MaxX)</f>
        <v>-4</v>
      </c>
    </row>
    <row r="13" spans="2:67" x14ac:dyDescent="0.2">
      <c r="B13" s="4" t="s">
        <v>367</v>
      </c>
      <c r="C13" s="5"/>
      <c r="D13">
        <f xml:space="preserve"> - _xlfn.SINGLE(Simple.MaxY)</f>
        <v>-10</v>
      </c>
      <c r="E13" s="5"/>
      <c r="F13">
        <f xml:space="preserve"> - _xlfn.SINGLE(Simple.MaxY)</f>
        <v>-10</v>
      </c>
      <c r="G13" s="5"/>
      <c r="H13">
        <f xml:space="preserve"> - _xlfn.SINGLE(Simple.MaxY)</f>
        <v>-8</v>
      </c>
      <c r="I13" s="5"/>
      <c r="J13">
        <f xml:space="preserve"> - _xlfn.SINGLE(Simple.MaxY)</f>
        <v>-14</v>
      </c>
      <c r="K13" s="5"/>
      <c r="L13">
        <f xml:space="preserve"> - _xlfn.SINGLE(Simple.MaxY)</f>
        <v>-8</v>
      </c>
      <c r="M13" s="5"/>
      <c r="N13">
        <f xml:space="preserve"> - _xlfn.SINGLE(Simple.MaxY)</f>
        <v>-45</v>
      </c>
      <c r="P13">
        <f xml:space="preserve"> - _xlfn.SINGLE(Simple.MaxY)</f>
        <v>-5</v>
      </c>
      <c r="R13">
        <f xml:space="preserve"> - _xlfn.SINGLE(Simple.MaxY)</f>
        <v>-80</v>
      </c>
      <c r="T13">
        <f xml:space="preserve"> - _xlfn.SINGLE(Simple.MaxY)</f>
        <v>-8</v>
      </c>
      <c r="V13">
        <f xml:space="preserve"> - _xlfn.SINGLE(Simple.MaxY)</f>
        <v>-530</v>
      </c>
      <c r="X13">
        <f xml:space="preserve"> - _xlfn.SINGLE(Simple.MaxY)</f>
        <v>-56</v>
      </c>
      <c r="Z13">
        <f xml:space="preserve"> - _xlfn.SINGLE(Simple.MaxY)</f>
        <v>-6</v>
      </c>
      <c r="AB13">
        <f xml:space="preserve"> - _xlfn.SINGLE(Simple.MaxY)</f>
        <v>-1</v>
      </c>
      <c r="AD13">
        <f xml:space="preserve"> - _xlfn.SINGLE(Simple.MaxY)</f>
        <v>-2</v>
      </c>
      <c r="AF13">
        <f xml:space="preserve"> - _xlfn.SINGLE(Simple.MaxY)</f>
        <v>-8</v>
      </c>
      <c r="AH13">
        <f xml:space="preserve"> - _xlfn.SINGLE(Simple.MaxY)</f>
        <v>-432</v>
      </c>
      <c r="AJ13">
        <f xml:space="preserve"> - _xlfn.SINGLE(Simple.MaxY)</f>
        <v>-4</v>
      </c>
      <c r="AL13">
        <f xml:space="preserve"> - _xlfn.SINGLE(Simple.MaxY)</f>
        <v>-4</v>
      </c>
      <c r="AN13">
        <f xml:space="preserve"> - _xlfn.SINGLE(Simple.MaxY)</f>
        <v>-8</v>
      </c>
      <c r="AP13">
        <f xml:space="preserve"> - _xlfn.SINGLE(Simple.MaxY)</f>
        <v>-6</v>
      </c>
      <c r="AR13">
        <f xml:space="preserve"> - _xlfn.SINGLE(Simple.MaxY)</f>
        <v>-27</v>
      </c>
      <c r="AT13">
        <f xml:space="preserve"> - _xlfn.SINGLE(Simple.MaxY)</f>
        <v>-3</v>
      </c>
      <c r="AV13">
        <f xml:space="preserve"> - _xlfn.SINGLE(Simple.MaxY)</f>
        <v>-54</v>
      </c>
      <c r="AX13">
        <f xml:space="preserve"> - _xlfn.SINGLE(Simple.MaxY)</f>
        <v>-5</v>
      </c>
      <c r="AZ13">
        <f xml:space="preserve"> - _xlfn.SINGLE(Simple.MaxY)</f>
        <v>-5</v>
      </c>
      <c r="BB13">
        <f xml:space="preserve"> - _xlfn.SINGLE(Simple.MaxY)</f>
        <v>-209</v>
      </c>
      <c r="BD13">
        <f xml:space="preserve"> - _xlfn.SINGLE(Simple.MaxY)</f>
        <v>-8</v>
      </c>
      <c r="BF13">
        <f xml:space="preserve"> - _xlfn.SINGLE(Simple.MaxY)</f>
        <v>-5</v>
      </c>
      <c r="BH13">
        <f xml:space="preserve"> - _xlfn.SINGLE(Simple.MaxY)</f>
        <v>-39.5</v>
      </c>
      <c r="BJ13">
        <f xml:space="preserve"> - _xlfn.SINGLE(Simple.MaxY)</f>
        <v>-15</v>
      </c>
      <c r="BL13">
        <f xml:space="preserve"> - _xlfn.SINGLE(Simple.MaxY)</f>
        <v>-4</v>
      </c>
    </row>
    <row r="16" spans="2:67" x14ac:dyDescent="0.2">
      <c r="B16" s="4" t="s">
        <v>369</v>
      </c>
      <c r="D16">
        <f xml:space="preserve">  MAX( _xlfn.SINGLE(Simple.MaxY), - _xlfn.SINGLE(Simple.MinY ))   /   MAX( _xlfn.SINGLE(Simple.MaxX), - _xlfn.SINGLE(Simple.MinX ))</f>
        <v>1</v>
      </c>
      <c r="F16">
        <f xml:space="preserve">  MAX( _xlfn.SINGLE(Simple.MaxY), - _xlfn.SINGLE(Simple.MinY ))   /   MAX( _xlfn.SINGLE(Simple.MaxX), - _xlfn.SINGLE(Simple.MinX ))</f>
        <v>1</v>
      </c>
      <c r="H16">
        <f xml:space="preserve">  MAX( _xlfn.SINGLE(Simple.MaxY), - _xlfn.SINGLE(Simple.MinY ))   /   MAX( _xlfn.SINGLE(Simple.MaxX), - _xlfn.SINGLE(Simple.MinX ))</f>
        <v>1</v>
      </c>
      <c r="J16">
        <f xml:space="preserve">  MAX( _xlfn.SINGLE(Simple.MaxY), - _xlfn.SINGLE(Simple.MinY ))   /   MAX( _xlfn.SINGLE(Simple.MaxX), - _xlfn.SINGLE(Simple.MinX ))</f>
        <v>1.2727272727272727</v>
      </c>
      <c r="L16">
        <f xml:space="preserve">  MAX( _xlfn.SINGLE(Simple.MaxY), - _xlfn.SINGLE(Simple.MinY ))   /   MAX( _xlfn.SINGLE(Simple.MaxX), - _xlfn.SINGLE(Simple.MinX ))</f>
        <v>1</v>
      </c>
      <c r="N16">
        <f xml:space="preserve">  MAX( _xlfn.SINGLE(Simple.MaxY), - _xlfn.SINGLE(Simple.MinY ))   /   MAX( _xlfn.SINGLE(Simple.MaxX), - _xlfn.SINGLE(Simple.MinX ))</f>
        <v>1.6666666666666667</v>
      </c>
      <c r="P16">
        <f xml:space="preserve">  MAX( _xlfn.SINGLE(Simple.MaxY), - _xlfn.SINGLE(Simple.MinY ))   /   MAX( _xlfn.SINGLE(Simple.MaxX), - _xlfn.SINGLE(Simple.MinX ))</f>
        <v>0.83333333333333337</v>
      </c>
      <c r="R16">
        <f xml:space="preserve">  MAX( _xlfn.SINGLE(Simple.MaxY), - _xlfn.SINGLE(Simple.MinY ))   /   MAX( _xlfn.SINGLE(Simple.MaxX), - _xlfn.SINGLE(Simple.MinX ))</f>
        <v>1.1940298507462686</v>
      </c>
      <c r="T16">
        <f xml:space="preserve">  MAX( _xlfn.SINGLE(Simple.MaxY), - _xlfn.SINGLE(Simple.MinY ))   /   MAX( _xlfn.SINGLE(Simple.MaxX), - _xlfn.SINGLE(Simple.MinX ))</f>
        <v>1</v>
      </c>
      <c r="V16">
        <f xml:space="preserve">  MAX( _xlfn.SINGLE(Simple.MaxY), - _xlfn.SINGLE(Simple.MinY ))   /   MAX( _xlfn.SINGLE(Simple.MaxX), - _xlfn.SINGLE(Simple.MinX ))</f>
        <v>0.63855421686746983</v>
      </c>
      <c r="X16">
        <f xml:space="preserve">  MAX( _xlfn.SINGLE(Simple.MaxY), - _xlfn.SINGLE(Simple.MinY ))   /   MAX( _xlfn.SINGLE(Simple.MaxX), - _xlfn.SINGLE(Simple.MinX ))</f>
        <v>0.57731958762886593</v>
      </c>
      <c r="Z16">
        <f xml:space="preserve">  MAX( _xlfn.SINGLE(Simple.MaxY), - _xlfn.SINGLE(Simple.MinY ))   /   MAX( _xlfn.SINGLE(Simple.MaxX), - _xlfn.SINGLE(Simple.MinX ))</f>
        <v>1</v>
      </c>
      <c r="AB16">
        <f xml:space="preserve">  MAX( _xlfn.SINGLE(Simple.MaxY), - _xlfn.SINGLE(Simple.MinY ))   /   MAX( _xlfn.SINGLE(Simple.MaxX), - _xlfn.SINGLE(Simple.MinX ))</f>
        <v>1</v>
      </c>
      <c r="AD16">
        <f xml:space="preserve">  MAX( _xlfn.SINGLE(Simple.MaxY), - _xlfn.SINGLE(Simple.MinY ))   /   MAX( _xlfn.SINGLE(Simple.MaxX), - _xlfn.SINGLE(Simple.MinX ))</f>
        <v>1</v>
      </c>
      <c r="AF16">
        <f xml:space="preserve">  MAX( _xlfn.SINGLE(Simple.MaxY), - _xlfn.SINGLE(Simple.MinY ))   /   MAX( _xlfn.SINGLE(Simple.MaxX), - _xlfn.SINGLE(Simple.MinX ))</f>
        <v>1</v>
      </c>
      <c r="AH16">
        <f xml:space="preserve">  MAX( _xlfn.SINGLE(Simple.MaxY), - _xlfn.SINGLE(Simple.MinY ))   /   MAX( _xlfn.SINGLE(Simple.MaxX), - _xlfn.SINGLE(Simple.MinX ))</f>
        <v>2</v>
      </c>
      <c r="AJ16">
        <f xml:space="preserve">  MAX( _xlfn.SINGLE(Simple.MaxY), - _xlfn.SINGLE(Simple.MinY ))   /   MAX( _xlfn.SINGLE(Simple.MaxX), - _xlfn.SINGLE(Simple.MinX ))</f>
        <v>1</v>
      </c>
      <c r="AL16">
        <f xml:space="preserve">  MAX( _xlfn.SINGLE(Simple.MaxY), - _xlfn.SINGLE(Simple.MinY ))   /   MAX( _xlfn.SINGLE(Simple.MaxX), - _xlfn.SINGLE(Simple.MinX ))</f>
        <v>1</v>
      </c>
      <c r="AN16">
        <f xml:space="preserve">  MAX( _xlfn.SINGLE(Simple.MaxY), - _xlfn.SINGLE(Simple.MinY ))   /   MAX( _xlfn.SINGLE(Simple.MaxX), - _xlfn.SINGLE(Simple.MinX ))</f>
        <v>0.72727272727272729</v>
      </c>
      <c r="AP16">
        <f xml:space="preserve">  MAX( _xlfn.SINGLE(Simple.MaxY), - _xlfn.SINGLE(Simple.MinY ))   /   MAX( _xlfn.SINGLE(Simple.MaxX), - _xlfn.SINGLE(Simple.MinX ))</f>
        <v>0.66666666666666663</v>
      </c>
      <c r="AR16">
        <f xml:space="preserve">  MAX( _xlfn.SINGLE(Simple.MaxY), - _xlfn.SINGLE(Simple.MinY ))   /   MAX( _xlfn.SINGLE(Simple.MaxX), - _xlfn.SINGLE(Simple.MinX ))</f>
        <v>0.5</v>
      </c>
      <c r="AT16">
        <f xml:space="preserve">  MAX( _xlfn.SINGLE(Simple.MaxY), - _xlfn.SINGLE(Simple.MinY ))   /   MAX( _xlfn.SINGLE(Simple.MaxX), - _xlfn.SINGLE(Simple.MinX ))</f>
        <v>1</v>
      </c>
      <c r="AV16">
        <f xml:space="preserve">  MAX( _xlfn.SINGLE(Simple.MaxY), - _xlfn.SINGLE(Simple.MinY ))   /   MAX( _xlfn.SINGLE(Simple.MaxX), - _xlfn.SINGLE(Simple.MinX ))</f>
        <v>0.66666666666666663</v>
      </c>
      <c r="AX16">
        <f xml:space="preserve">  MAX( _xlfn.SINGLE(Simple.MaxY), - _xlfn.SINGLE(Simple.MinY ))   /   MAX( _xlfn.SINGLE(Simple.MaxX), - _xlfn.SINGLE(Simple.MinX ))</f>
        <v>1</v>
      </c>
      <c r="AZ16">
        <f xml:space="preserve">  MAX( _xlfn.SINGLE(Simple.MaxY), - _xlfn.SINGLE(Simple.MinY ))   /   MAX( _xlfn.SINGLE(Simple.MaxX), - _xlfn.SINGLE(Simple.MinX ))</f>
        <v>1</v>
      </c>
      <c r="BB16">
        <f xml:space="preserve">  MAX( _xlfn.SINGLE(Simple.MaxY), - _xlfn.SINGLE(Simple.MinY ))   /   MAX( _xlfn.SINGLE(Simple.MaxX), - _xlfn.SINGLE(Simple.MinX ))</f>
        <v>1.3227848101265822</v>
      </c>
      <c r="BD16">
        <f xml:space="preserve">  MAX( _xlfn.SINGLE(Simple.MaxY), - _xlfn.SINGLE(Simple.MinY ))   /   MAX( _xlfn.SINGLE(Simple.MaxX), - _xlfn.SINGLE(Simple.MinX ))</f>
        <v>1</v>
      </c>
      <c r="BF16">
        <f xml:space="preserve">  MAX( _xlfn.SINGLE(Simple.MaxY), - _xlfn.SINGLE(Simple.MinY ))   /   MAX( _xlfn.SINGLE(Simple.MaxX), - _xlfn.SINGLE(Simple.MinX ))</f>
        <v>1</v>
      </c>
      <c r="BH16">
        <f xml:space="preserve">  MAX( _xlfn.SINGLE(Simple.MaxY), - _xlfn.SINGLE(Simple.MinY ))   /   MAX( _xlfn.SINGLE(Simple.MaxX), - _xlfn.SINGLE(Simple.MinX ))</f>
        <v>1.9750000000000001</v>
      </c>
      <c r="BJ16">
        <f xml:space="preserve">  MAX( _xlfn.SINGLE(Simple.MaxY), - _xlfn.SINGLE(Simple.MinY ))   /   MAX( _xlfn.SINGLE(Simple.MaxX), - _xlfn.SINGLE(Simple.MinX ))</f>
        <v>1.6666666666666667</v>
      </c>
      <c r="BL16">
        <f xml:space="preserve">  MAX( _xlfn.SINGLE(Simple.MaxY), - _xlfn.SINGLE(Simple.MinY ))   /   MAX( _xlfn.SINGLE(Simple.MaxX), - _xlfn.SINGLE(Simple.MinX ))</f>
        <v>1</v>
      </c>
    </row>
    <row r="17" spans="2:67" x14ac:dyDescent="0.2">
      <c r="B17" s="4" t="s">
        <v>370</v>
      </c>
      <c r="D17">
        <f xml:space="preserve"> VALUE(TEXT(SQRT(_xlfn.SINGLE(Simple.AreaMultiplier) * BasicBBoxArea * _xlfn.SINGLE(Simple.Aspect)), SVG.NumberFormatHeight))</f>
        <v>80</v>
      </c>
      <c r="F17">
        <f xml:space="preserve"> VALUE(TEXT(SQRT(_xlfn.SINGLE(Simple.AreaMultiplier) * BasicBBoxArea * _xlfn.SINGLE(Simple.Aspect)), SVG.NumberFormatHeight))</f>
        <v>80</v>
      </c>
      <c r="H17">
        <f xml:space="preserve"> VALUE(TEXT(SQRT(_xlfn.SINGLE(Simple.AreaMultiplier) * BasicBBoxArea * _xlfn.SINGLE(Simple.Aspect)), SVG.NumberFormatHeight))</f>
        <v>89</v>
      </c>
      <c r="J17">
        <f xml:space="preserve"> VALUE(TEXT(SQRT(_xlfn.SINGLE(Simple.AreaMultiplier) * BasicBBoxArea * _xlfn.SINGLE(Simple.Aspect)), SVG.NumberFormatHeight))</f>
        <v>90</v>
      </c>
      <c r="L17">
        <f xml:space="preserve"> VALUE(TEXT(SQRT(_xlfn.SINGLE(Simple.AreaMultiplier) * BasicBBoxArea * _xlfn.SINGLE(Simple.Aspect)), SVG.NumberFormatHeight))</f>
        <v>89</v>
      </c>
      <c r="N17">
        <f xml:space="preserve"> VALUE(TEXT(SQRT(_xlfn.SINGLE(Simple.AreaMultiplier) * BasicBBoxArea * _xlfn.SINGLE(Simple.Aspect)), SVG.NumberFormatHeight))</f>
        <v>118</v>
      </c>
      <c r="P17">
        <f xml:space="preserve"> VALUE(TEXT(SQRT(_xlfn.SINGLE(Simple.AreaMultiplier) * BasicBBoxArea * _xlfn.SINGLE(Simple.Aspect)), SVG.NumberFormatHeight))</f>
        <v>67.3</v>
      </c>
      <c r="R17">
        <f xml:space="preserve"> VALUE(TEXT(SQRT(_xlfn.SINGLE(Simple.AreaMultiplier) * BasicBBoxArea * _xlfn.SINGLE(Simple.Aspect)), SVG.NumberFormatHeight))</f>
        <v>96</v>
      </c>
      <c r="T17">
        <f xml:space="preserve"> VALUE(TEXT(SQRT(_xlfn.SINGLE(Simple.AreaMultiplier) * BasicBBoxArea * _xlfn.SINGLE(Simple.Aspect)), SVG.NumberFormatHeight))</f>
        <v>80</v>
      </c>
      <c r="V17">
        <f xml:space="preserve"> VALUE(TEXT(SQRT(_xlfn.SINGLE(Simple.AreaMultiplier) * BasicBBoxArea * _xlfn.SINGLE(Simple.Aspect)), SVG.NumberFormatHeight))</f>
        <v>75</v>
      </c>
      <c r="X17">
        <f xml:space="preserve"> VALUE(TEXT(SQRT(_xlfn.SINGLE(Simple.AreaMultiplier) * BasicBBoxArea * _xlfn.SINGLE(Simple.Aspect)), SVG.NumberFormatHeight))</f>
        <v>71</v>
      </c>
      <c r="Z17">
        <f xml:space="preserve"> VALUE(TEXT(SQRT(_xlfn.SINGLE(Simple.AreaMultiplier) * BasicBBoxArea * _xlfn.SINGLE(Simple.Aspect)), SVG.NumberFormatHeight))</f>
        <v>74</v>
      </c>
      <c r="AB17">
        <f xml:space="preserve"> VALUE(TEXT(SQRT(_xlfn.SINGLE(Simple.AreaMultiplier) * BasicBBoxArea * _xlfn.SINGLE(Simple.Aspect)), SVG.NumberFormatHeight))</f>
        <v>74</v>
      </c>
      <c r="AD17">
        <f xml:space="preserve"> VALUE(TEXT(SQRT(_xlfn.SINGLE(Simple.AreaMultiplier) * BasicBBoxArea * _xlfn.SINGLE(Simple.Aspect)), SVG.NumberFormatHeight))</f>
        <v>74</v>
      </c>
      <c r="AF17">
        <f xml:space="preserve"> VALUE(TEXT(SQRT(_xlfn.SINGLE(Simple.AreaMultiplier) * BasicBBoxArea * _xlfn.SINGLE(Simple.Aspect)), SVG.NumberFormatHeight))</f>
        <v>74</v>
      </c>
      <c r="AH17">
        <f xml:space="preserve"> VALUE(TEXT(SQRT(_xlfn.SINGLE(Simple.AreaMultiplier) * BasicBBoxArea * _xlfn.SINGLE(Simple.Aspect)), SVG.NumberFormatHeight))</f>
        <v>113</v>
      </c>
      <c r="AJ17">
        <f xml:space="preserve"> VALUE(TEXT(SQRT(_xlfn.SINGLE(Simple.AreaMultiplier) * BasicBBoxArea * _xlfn.SINGLE(Simple.Aspect)), SVG.NumberFormatHeight))</f>
        <v>74</v>
      </c>
      <c r="AL17">
        <f xml:space="preserve"> VALUE(TEXT(SQRT(_xlfn.SINGLE(Simple.AreaMultiplier) * BasicBBoxArea * _xlfn.SINGLE(Simple.Aspect)), SVG.NumberFormatHeight))</f>
        <v>74</v>
      </c>
      <c r="AN17">
        <f xml:space="preserve"> VALUE(TEXT(SQRT(_xlfn.SINGLE(Simple.AreaMultiplier) * BasicBBoxArea * _xlfn.SINGLE(Simple.Aspect)), SVG.NumberFormatHeight))</f>
        <v>68.2</v>
      </c>
      <c r="AP17">
        <f xml:space="preserve"> VALUE(TEXT(SQRT(_xlfn.SINGLE(Simple.AreaMultiplier) * BasicBBoxArea * _xlfn.SINGLE(Simple.Aspect)), SVG.NumberFormatHeight))</f>
        <v>61.1</v>
      </c>
      <c r="AR17">
        <f xml:space="preserve"> VALUE(TEXT(SQRT(_xlfn.SINGLE(Simple.AreaMultiplier) * BasicBBoxArea * _xlfn.SINGLE(Simple.Aspect)), SVG.NumberFormatHeight))</f>
        <v>66.5</v>
      </c>
      <c r="AT17">
        <f xml:space="preserve"> VALUE(TEXT(SQRT(_xlfn.SINGLE(Simple.AreaMultiplier) * BasicBBoxArea * _xlfn.SINGLE(Simple.Aspect)), SVG.NumberFormatHeight))</f>
        <v>74</v>
      </c>
      <c r="AV17">
        <f xml:space="preserve"> VALUE(TEXT(SQRT(_xlfn.SINGLE(Simple.AreaMultiplier) * BasicBBoxArea * _xlfn.SINGLE(Simple.Aspect)), SVG.NumberFormatHeight))</f>
        <v>77</v>
      </c>
      <c r="AX17">
        <f xml:space="preserve"> VALUE(TEXT(SQRT(_xlfn.SINGLE(Simple.AreaMultiplier) * BasicBBoxArea * _xlfn.SINGLE(Simple.Aspect)), SVG.NumberFormatHeight))</f>
        <v>74</v>
      </c>
      <c r="AZ17">
        <f xml:space="preserve"> VALUE(TEXT(SQRT(_xlfn.SINGLE(Simple.AreaMultiplier) * BasicBBoxArea * _xlfn.SINGLE(Simple.Aspect)), SVG.NumberFormatHeight))</f>
        <v>74</v>
      </c>
      <c r="BB17">
        <f xml:space="preserve"> VALUE(TEXT(SQRT(_xlfn.SINGLE(Simple.AreaMultiplier) * BasicBBoxArea * _xlfn.SINGLE(Simple.Aspect)), SVG.NumberFormatHeight))</f>
        <v>108</v>
      </c>
      <c r="BD17">
        <f xml:space="preserve"> VALUE(TEXT(SQRT(_xlfn.SINGLE(Simple.AreaMultiplier) * BasicBBoxArea * _xlfn.SINGLE(Simple.Aspect)), SVG.NumberFormatHeight))</f>
        <v>74</v>
      </c>
      <c r="BF17">
        <f xml:space="preserve"> VALUE(TEXT(SQRT(_xlfn.SINGLE(Simple.AreaMultiplier) * BasicBBoxArea * _xlfn.SINGLE(Simple.Aspect)), SVG.NumberFormatHeight))</f>
        <v>74</v>
      </c>
      <c r="BH17">
        <f xml:space="preserve"> VALUE(TEXT(SQRT(_xlfn.SINGLE(Simple.AreaMultiplier) * BasicBBoxArea * _xlfn.SINGLE(Simple.Aspect)), SVG.NumberFormatHeight))</f>
        <v>104</v>
      </c>
      <c r="BJ17">
        <f xml:space="preserve"> VALUE(TEXT(SQRT(_xlfn.SINGLE(Simple.AreaMultiplier) * BasicBBoxArea * _xlfn.SINGLE(Simple.Aspect)), SVG.NumberFormatHeight))</f>
        <v>86</v>
      </c>
      <c r="BL17">
        <f xml:space="preserve"> VALUE(TEXT(SQRT(_xlfn.SINGLE(Simple.AreaMultiplier) * BasicBBoxArea * _xlfn.SINGLE(Simple.Aspect)), SVG.NumberFormatHeight))</f>
        <v>80</v>
      </c>
    </row>
    <row r="18" spans="2:67" x14ac:dyDescent="0.2">
      <c r="B18" s="4" t="s">
        <v>371</v>
      </c>
      <c r="D18">
        <f xml:space="preserve"> _xlfn.SINGLE(Simple.Height) / _xlfn.SINGLE(Simple.Aspect)</f>
        <v>80</v>
      </c>
      <c r="F18">
        <f xml:space="preserve"> _xlfn.SINGLE(Simple.Height) / _xlfn.SINGLE(Simple.Aspect)</f>
        <v>80</v>
      </c>
      <c r="H18">
        <f xml:space="preserve"> _xlfn.SINGLE(Simple.Height) / _xlfn.SINGLE(Simple.Aspect)</f>
        <v>89</v>
      </c>
      <c r="J18">
        <f xml:space="preserve"> _xlfn.SINGLE(Simple.Height) / _xlfn.SINGLE(Simple.Aspect)</f>
        <v>70.714285714285722</v>
      </c>
      <c r="L18">
        <f xml:space="preserve"> _xlfn.SINGLE(Simple.Height) / _xlfn.SINGLE(Simple.Aspect)</f>
        <v>89</v>
      </c>
      <c r="N18">
        <f xml:space="preserve"> _xlfn.SINGLE(Simple.Height) / _xlfn.SINGLE(Simple.Aspect)</f>
        <v>70.8</v>
      </c>
      <c r="P18">
        <f xml:space="preserve"> _xlfn.SINGLE(Simple.Height) / _xlfn.SINGLE(Simple.Aspect)</f>
        <v>80.759999999999991</v>
      </c>
      <c r="R18">
        <f xml:space="preserve"> _xlfn.SINGLE(Simple.Height) / _xlfn.SINGLE(Simple.Aspect)</f>
        <v>80.400000000000006</v>
      </c>
      <c r="T18">
        <f xml:space="preserve"> _xlfn.SINGLE(Simple.Height) / _xlfn.SINGLE(Simple.Aspect)</f>
        <v>80</v>
      </c>
      <c r="V18">
        <f xml:space="preserve"> _xlfn.SINGLE(Simple.Height) / _xlfn.SINGLE(Simple.Aspect)</f>
        <v>117.45283018867926</v>
      </c>
      <c r="X18">
        <f xml:space="preserve"> _xlfn.SINGLE(Simple.Height) / _xlfn.SINGLE(Simple.Aspect)</f>
        <v>122.98214285714288</v>
      </c>
      <c r="Z18">
        <f xml:space="preserve"> _xlfn.SINGLE(Simple.Height) / _xlfn.SINGLE(Simple.Aspect)</f>
        <v>74</v>
      </c>
      <c r="AB18">
        <f xml:space="preserve"> _xlfn.SINGLE(Simple.Height) / _xlfn.SINGLE(Simple.Aspect)</f>
        <v>74</v>
      </c>
      <c r="AD18">
        <f xml:space="preserve"> _xlfn.SINGLE(Simple.Height) / _xlfn.SINGLE(Simple.Aspect)</f>
        <v>74</v>
      </c>
      <c r="AF18">
        <f xml:space="preserve"> _xlfn.SINGLE(Simple.Height) / _xlfn.SINGLE(Simple.Aspect)</f>
        <v>74</v>
      </c>
      <c r="AH18">
        <f xml:space="preserve"> _xlfn.SINGLE(Simple.Height) / _xlfn.SINGLE(Simple.Aspect)</f>
        <v>56.5</v>
      </c>
      <c r="AJ18">
        <f xml:space="preserve"> _xlfn.SINGLE(Simple.Height) / _xlfn.SINGLE(Simple.Aspect)</f>
        <v>74</v>
      </c>
      <c r="AL18">
        <f xml:space="preserve"> _xlfn.SINGLE(Simple.Height) / _xlfn.SINGLE(Simple.Aspect)</f>
        <v>74</v>
      </c>
      <c r="AN18">
        <f xml:space="preserve"> _xlfn.SINGLE(Simple.Height) / _xlfn.SINGLE(Simple.Aspect)</f>
        <v>93.775000000000006</v>
      </c>
      <c r="AP18">
        <f xml:space="preserve"> _xlfn.SINGLE(Simple.Height) / _xlfn.SINGLE(Simple.Aspect)</f>
        <v>91.65</v>
      </c>
      <c r="AR18">
        <f xml:space="preserve"> _xlfn.SINGLE(Simple.Height) / _xlfn.SINGLE(Simple.Aspect)</f>
        <v>133</v>
      </c>
      <c r="AT18">
        <f xml:space="preserve"> _xlfn.SINGLE(Simple.Height) / _xlfn.SINGLE(Simple.Aspect)</f>
        <v>74</v>
      </c>
      <c r="AV18">
        <f xml:space="preserve"> _xlfn.SINGLE(Simple.Height) / _xlfn.SINGLE(Simple.Aspect)</f>
        <v>115.5</v>
      </c>
      <c r="AX18">
        <f xml:space="preserve"> _xlfn.SINGLE(Simple.Height) / _xlfn.SINGLE(Simple.Aspect)</f>
        <v>74</v>
      </c>
      <c r="AZ18">
        <f xml:space="preserve"> _xlfn.SINGLE(Simple.Height) / _xlfn.SINGLE(Simple.Aspect)</f>
        <v>74</v>
      </c>
      <c r="BB18">
        <f xml:space="preserve"> _xlfn.SINGLE(Simple.Height) / _xlfn.SINGLE(Simple.Aspect)</f>
        <v>81.645933014354071</v>
      </c>
      <c r="BD18">
        <f xml:space="preserve"> _xlfn.SINGLE(Simple.Height) / _xlfn.SINGLE(Simple.Aspect)</f>
        <v>74</v>
      </c>
      <c r="BF18">
        <f xml:space="preserve"> _xlfn.SINGLE(Simple.Height) / _xlfn.SINGLE(Simple.Aspect)</f>
        <v>74</v>
      </c>
      <c r="BH18">
        <f xml:space="preserve"> _xlfn.SINGLE(Simple.Height) / _xlfn.SINGLE(Simple.Aspect)</f>
        <v>52.658227848101262</v>
      </c>
      <c r="BJ18">
        <f xml:space="preserve"> _xlfn.SINGLE(Simple.Height) / _xlfn.SINGLE(Simple.Aspect)</f>
        <v>51.599999999999994</v>
      </c>
      <c r="BL18">
        <f xml:space="preserve"> _xlfn.SINGLE(Simple.Height) / _xlfn.SINGLE(Simple.Aspect)</f>
        <v>80</v>
      </c>
    </row>
    <row r="21" spans="2:67" x14ac:dyDescent="0.2">
      <c r="D21" cm="1">
        <f t="array" ref="D21" xml:space="preserve"> SVG_length(D$23:D$28)</f>
        <v>200</v>
      </c>
      <c r="F21" cm="1">
        <f t="array" ref="F21" xml:space="preserve"> SVG_length(F$23:F$28)</f>
        <v>215</v>
      </c>
      <c r="H21" cm="1">
        <f t="array" ref="H21" xml:space="preserve"> SVG_length(H$23:H$28)</f>
        <v>226</v>
      </c>
      <c r="J21" cm="1">
        <f t="array" ref="J21" xml:space="preserve"> SVG_length(J$23:J$28)</f>
        <v>215</v>
      </c>
      <c r="L21" cm="1">
        <f t="array" ref="L21" xml:space="preserve"> SVG_length(L$23:L$28)</f>
        <v>229</v>
      </c>
      <c r="N21" cm="1">
        <f t="array" ref="N21" xml:space="preserve"> SVG_length(N$23:N$28)</f>
        <v>398</v>
      </c>
      <c r="P21" cm="1">
        <f t="array" ref="P21" xml:space="preserve"> SVG_length(P$23:P$28)</f>
        <v>203</v>
      </c>
      <c r="R21" cm="1">
        <f t="array" ref="R21" xml:space="preserve"> SVG_length(R$23:R$28)</f>
        <v>308</v>
      </c>
      <c r="T21" cm="1">
        <f t="array" ref="T21" xml:space="preserve"> SVG_length(T$23:T$28)</f>
        <v>281</v>
      </c>
      <c r="V21" cm="1">
        <f t="array" ref="V21" xml:space="preserve"> SVG_length(V$23:V$28)</f>
        <v>229</v>
      </c>
      <c r="X21" cm="1">
        <f t="array" ref="X21" xml:space="preserve"> SVG_length(X$23:X$28)</f>
        <v>295</v>
      </c>
      <c r="Z21" cm="1">
        <f t="array" ref="Z21" xml:space="preserve"> SVG_length(Z$23:Z$28)</f>
        <v>183</v>
      </c>
      <c r="AB21" cm="1">
        <f t="array" ref="AB21" xml:space="preserve"> SVG_length(AB$23:AB$28)</f>
        <v>194</v>
      </c>
      <c r="AD21" cm="1">
        <f t="array" ref="AD21" xml:space="preserve"> SVG_length(AD$23:AD$28)</f>
        <v>183</v>
      </c>
      <c r="AF21" cm="1">
        <f t="array" ref="AF21" xml:space="preserve"> SVG_length(AF$23:AF$28)</f>
        <v>186</v>
      </c>
      <c r="AH21" cm="1">
        <f t="array" ref="AH21" xml:space="preserve"> SVG_length(AH$23:AH$28)</f>
        <v>424</v>
      </c>
      <c r="AJ21" cm="1">
        <f t="array" ref="AJ21" xml:space="preserve"> SVG_length(AJ$23:AJ$28)</f>
        <v>177</v>
      </c>
      <c r="AL21" cm="1">
        <f t="array" ref="AL21" xml:space="preserve"> SVG_length(AL$23:AL$28)</f>
        <v>187</v>
      </c>
      <c r="AN21" cm="1">
        <f t="array" ref="AN21" xml:space="preserve"> SVG_length(AN$23:AN$28)</f>
        <v>210</v>
      </c>
      <c r="AP21" cm="1">
        <f t="array" ref="AP21" xml:space="preserve"> SVG_length(AP$23:AP$28)</f>
        <v>188</v>
      </c>
      <c r="AR21" cm="1">
        <f t="array" ref="AR21" xml:space="preserve"> SVG_length(AR$23:AR$28)</f>
        <v>259</v>
      </c>
      <c r="AT21" cm="1">
        <f t="array" ref="AT21" xml:space="preserve"> SVG_length(AT$23:AT$28)</f>
        <v>213</v>
      </c>
      <c r="AV21" cm="1">
        <f t="array" ref="AV21" xml:space="preserve"> SVG_length(AV$23:AV$28)</f>
        <v>260</v>
      </c>
      <c r="AX21" cm="1">
        <f t="array" ref="AX21" xml:space="preserve"> SVG_length(AX$23:AX$28)</f>
        <v>261</v>
      </c>
      <c r="AZ21" cm="1">
        <f t="array" ref="AZ21" xml:space="preserve"> SVG_length(AZ$23:AZ$28)</f>
        <v>261</v>
      </c>
      <c r="BB21" cm="1">
        <f t="array" ref="BB21" xml:space="preserve"> SVG_length(BB$23:BB$28)</f>
        <v>290</v>
      </c>
      <c r="BD21" cm="1">
        <f t="array" ref="BD21" xml:space="preserve"> SVG_length(BD$23:BD$28)</f>
        <v>283</v>
      </c>
      <c r="BF21" cm="1">
        <f t="array" ref="BF21" xml:space="preserve"> SVG_length(BF$23:BF$28)</f>
        <v>194</v>
      </c>
      <c r="BH21" cm="1">
        <f t="array" ref="BH21" xml:space="preserve"> SVG_length(BH$23:BH$28)</f>
        <v>257</v>
      </c>
      <c r="BJ21" cm="1">
        <f t="array" ref="BJ21" xml:space="preserve"> SVG_length(BJ$23:BJ$28)</f>
        <v>209</v>
      </c>
      <c r="BL21" cm="1">
        <f t="array" ref="BL21" xml:space="preserve"> SVG_length(BL$23:BL$28)</f>
        <v>236</v>
      </c>
    </row>
    <row r="22" spans="2:67" x14ac:dyDescent="0.2">
      <c r="B22" s="4" t="s">
        <v>372</v>
      </c>
    </row>
    <row r="23" spans="2:67" x14ac:dyDescent="0.2">
      <c r="C23" s="8" t="str">
        <f xml:space="preserve"> ""</f>
        <v/>
      </c>
      <c r="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width='80' height='80' viewBox='-10 -10 20 20'  id='%thisID%' xmlns='http://www.w3.org/2000/svg'&gt;</v>
      </c>
      <c r="E23" s="8" t="str">
        <f xml:space="preserve"> ""</f>
        <v/>
      </c>
      <c r="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width='80' height='80' viewBox='-10 -10 20 20'  id='%thisID%' xmlns='http://www.w3.org/2000/svg'&gt;</v>
      </c>
      <c r="G23" s="8" t="str">
        <f xml:space="preserve"> ""</f>
        <v/>
      </c>
      <c r="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width='89' height='89' viewBox='-8 -8 16 16'  id='%thisID%' xmlns='http://www.w3.org/2000/svg'&gt;</v>
      </c>
      <c r="I23" s="8" t="str">
        <f xml:space="preserve"> ""</f>
        <v/>
      </c>
      <c r="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width='70.71429' height='90' viewBox='-11 -14 22 28'  id='%thisID%' xmlns='http://www.w3.org/2000/svg'&gt;</v>
      </c>
      <c r="K23" s="8" t="str">
        <f xml:space="preserve"> ""</f>
        <v/>
      </c>
      <c r="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width='89' height='89' viewBox='-8 -8 16 16'  id='%thisID%' xmlns='http://www.w3.org/2000/svg'&gt;</v>
      </c>
      <c r="M23" s="8" t="str">
        <f xml:space="preserve"> ""</f>
        <v/>
      </c>
      <c r="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width='70.8' height='118' viewBox='-27 -45 54 90'  id='%thisID%' xmlns='http://www.w3.org/2000/svg'&gt;</v>
      </c>
      <c r="O23" s="8" t="str">
        <f xml:space="preserve"> ""</f>
        <v/>
      </c>
      <c r="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width='80.76' height='67.3' viewBox='-6 -5 12 10'  id='%thisID%' xmlns='http://www.w3.org/2000/svg'&gt;</v>
      </c>
      <c r="Q23" s="8" t="str">
        <f xml:space="preserve"> ""</f>
        <v/>
      </c>
      <c r="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width='80.4' height='96' viewBox='-67 -80 134 160'  id='%thisID%' xmlns='http://www.w3.org/2000/svg'&gt;</v>
      </c>
      <c r="S23" s="8" t="str">
        <f xml:space="preserve"> ""</f>
        <v/>
      </c>
      <c r="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width='80' height='80' viewBox='-8 -8 16 16'  id='%thisID%' xmlns='http://www.w3.org/2000/svg'&gt;</v>
      </c>
      <c r="U23" s="8" t="str">
        <f xml:space="preserve"> ""</f>
        <v/>
      </c>
      <c r="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width='117.45283' height='75' viewBox='-830 -530 1660 1060'  id='%thisID%' xmlns='http://www.w3.org/2000/svg'&gt;</v>
      </c>
      <c r="W23" s="8" t="str">
        <f xml:space="preserve"> ""</f>
        <v/>
      </c>
      <c r="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width='122.98214' height='71' viewBox='-97 -56 194 112'  id='%thisID%' xmlns='http://www.w3.org/2000/svg'&gt;</v>
      </c>
      <c r="Y23" s="8" t="str">
        <f xml:space="preserve"> ""</f>
        <v/>
      </c>
      <c r="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width='74' height='74' viewBox='-6 -6 12 12'  id='%thisID%' xmlns='http://www.w3.org/2000/svg'&gt;</v>
      </c>
      <c r="AA23" s="8" t="str">
        <f xml:space="preserve"> ""</f>
        <v/>
      </c>
      <c r="A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width='74' height='74' viewBox='-1 -1 2 2'  id='%thisID%' xmlns='http://www.w3.org/2000/svg'&gt;</v>
      </c>
      <c r="AC23" s="8" t="str">
        <f xml:space="preserve"> ""</f>
        <v/>
      </c>
      <c r="A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width='74' height='74' viewBox='-2 -2 4 4'  id='%thisID%' xmlns='http://www.w3.org/2000/svg'&gt;</v>
      </c>
      <c r="AE23" s="8" t="str">
        <f xml:space="preserve"> ""</f>
        <v/>
      </c>
      <c r="A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width='74' height='74' viewBox='-8 -8 16 16'  id='%thisID%' xmlns='http://www.w3.org/2000/svg'&gt;</v>
      </c>
      <c r="AG23" s="8" t="str">
        <f xml:space="preserve"> ""</f>
        <v/>
      </c>
      <c r="A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width='56.5' height='113' viewBox='-216 -432 432 864'  id='%thisID%' xmlns='http://www.w3.org/2000/svg'&gt;</v>
      </c>
      <c r="AI23" s="8" t="str">
        <f xml:space="preserve"> ""</f>
        <v/>
      </c>
      <c r="A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width='74' height='74' viewBox='-4 -4 8 8'  id='%thisID%' xmlns='http://www.w3.org/2000/svg'&gt;</v>
      </c>
      <c r="AK23" s="8" t="str">
        <f xml:space="preserve"> ""</f>
        <v/>
      </c>
      <c r="A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width='74' height='74' viewBox='-4 -4 8 8'  id='%thisID%' xmlns='http://www.w3.org/2000/svg'&gt;</v>
      </c>
      <c r="AM23" s="8" t="str">
        <f xml:space="preserve"> ""</f>
        <v/>
      </c>
      <c r="A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width='93.775' height='68.2' viewBox='-11 -8 22 16'  id='%thisID%' xmlns='http://www.w3.org/2000/svg'&gt;</v>
      </c>
      <c r="AO23" s="8" t="str">
        <f xml:space="preserve"> ""</f>
        <v/>
      </c>
      <c r="A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width='91.65' height='61.1' viewBox='-9 -6 18 12'  id='%thisID%' xmlns='http://www.w3.org/2000/svg'&gt;</v>
      </c>
      <c r="AQ23" s="8" t="str">
        <f xml:space="preserve"> ""</f>
        <v/>
      </c>
      <c r="A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width='133' height='66.5' viewBox='-54 -27 108 54'  id='%thisID%' xmlns='http://www.w3.org/2000/svg'&gt;</v>
      </c>
      <c r="AS23" s="8" t="str">
        <f xml:space="preserve"> ""</f>
        <v/>
      </c>
      <c r="A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width='74' height='74' viewBox='-3 -3 6 6'  id='%thisID%' xmlns='http://www.w3.org/2000/svg'&gt;</v>
      </c>
      <c r="AU23" s="8" t="str">
        <f xml:space="preserve"> ""</f>
        <v/>
      </c>
      <c r="A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width='115.5' height='77' viewBox='-81 -54 162 108'  id='%thisID%' xmlns='http://www.w3.org/2000/svg'&gt;</v>
      </c>
      <c r="AW23" s="8" t="str">
        <f xml:space="preserve"> ""</f>
        <v/>
      </c>
      <c r="A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width='74' height='74' viewBox='-5 -5 10 10'  id='%thisID%' xmlns='http://www.w3.org/2000/svg'&gt;</v>
      </c>
      <c r="AY23" s="8" t="str">
        <f xml:space="preserve"> ""</f>
        <v/>
      </c>
      <c r="A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width='74' height='74' viewBox='-5 -5 10 10'  id='%thisID%' xmlns='http://www.w3.org/2000/svg'&gt;</v>
      </c>
      <c r="BA23" s="8" t="str">
        <f xml:space="preserve"> ""</f>
        <v/>
      </c>
      <c r="B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width='81.64593' height='108' viewBox='-158 -209 316 418'  id='%thisID%' xmlns='http://www.w3.org/2000/svg'&gt;</v>
      </c>
      <c r="BC23" s="8" t="str">
        <f xml:space="preserve"> ""</f>
        <v/>
      </c>
      <c r="B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width='74' height='74' viewBox='-8 -8 16 16'  id='%thisID%' xmlns='http://www.w3.org/2000/svg'&gt;</v>
      </c>
      <c r="BE23" s="8" t="str">
        <f xml:space="preserve"> ""</f>
        <v/>
      </c>
      <c r="B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width='74' height='74' viewBox='-5 -5 10 10'  id='%thisID%' xmlns='http://www.w3.org/2000/svg'&gt;</v>
      </c>
      <c r="BG23" s="8" t="str">
        <f xml:space="preserve"> ""</f>
        <v/>
      </c>
      <c r="B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width='52.65823' height='104' viewBox='-20 -39.5 40 79'  id='%thisID%' xmlns='http://www.w3.org/2000/svg'&gt;</v>
      </c>
      <c r="BI23" s="8" t="str">
        <f xml:space="preserve"> ""</f>
        <v/>
      </c>
      <c r="B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width='51.6' height='86' viewBox='-9 -15 18 30'  id='%thisID%' xmlns='http://www.w3.org/2000/svg'&gt;</v>
      </c>
      <c r="BK23" s="8" t="str">
        <f xml:space="preserve"> ""</f>
        <v/>
      </c>
      <c r="B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width='80' height='80' viewBox='-4 -4 8 8'  id='%thisID%' xmlns='http://www.w3.org/2000/svg'&gt;</v>
      </c>
      <c r="BM23" s="18"/>
      <c r="BN23" s="18"/>
      <c r="BO23" s="9"/>
    </row>
    <row r="24" spans="2:67" x14ac:dyDescent="0.2">
      <c r="C24" s="5" t="str">
        <f t="shared" ref="C24:BK28" si="0" xml:space="preserve"> ""</f>
        <v/>
      </c>
      <c r="D24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4" s="5" t="str">
        <f t="shared" si="0"/>
        <v/>
      </c>
      <c r="F24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4" s="5" t="str">
        <f t="shared" si="0"/>
        <v/>
      </c>
      <c r="H24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4" s="5" t="str">
        <f t="shared" si="0"/>
        <v/>
      </c>
      <c r="J24" s="15" t="str">
        <f xml:space="preserve"> "&lt;ellipse " &amp; _xlfn.SINGLE(Simple.SVG_painting_1) &amp; " ry='14' rx='11'/&gt;"</f>
        <v>&lt;ellipse fill='#C4272F' ry='14' rx='11'/&gt;</v>
      </c>
      <c r="K24" s="5" t="str">
        <f t="shared" si="0"/>
        <v/>
      </c>
      <c r="L24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4" s="5" t="str">
        <f t="shared" si="0"/>
        <v/>
      </c>
      <c r="N24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4" s="5" t="str">
        <f t="shared" si="0"/>
        <v/>
      </c>
      <c r="P24" s="23" t="str" cm="1">
        <f t="array" ref="P24" xml:space="preserve"> svgPathRect(DecimalPlaces, _xlfn.SINGLE(Simple.SVG_painting_2), _xlfn.SINGLE(Simple.MaxX), _xlfn.SINGLE(Simple.MaxY))</f>
        <v>&lt;path fill='#009639' d='M6 5V-5H-6V5Z'/&gt;</v>
      </c>
      <c r="Q24" s="5" t="str">
        <f t="shared" si="0"/>
        <v/>
      </c>
      <c r="R24" s="36" t="str">
        <f xml:space="preserve"> "&lt;defs&gt;&lt;path id='m' d='M56 -47L-67 -80 -56 47 67 80Z'/&gt;&lt;/defs&gt;"</f>
        <v>&lt;defs&gt;&lt;path id='m' d='M56 -47L-67 -80 -56 47 67 80Z'/&gt;&lt;/defs&gt;</v>
      </c>
      <c r="S24" s="5" t="str">
        <f t="shared" si="0"/>
        <v/>
      </c>
      <c r="T24" s="36" t="str">
        <f xml:space="preserve"> "&lt;circle " &amp; _xlfn.SINGLE(Simple.SVG_painting_2) &amp; " r='7'/&gt;"</f>
        <v>&lt;circle fill='#C8102E'  r='7'/&gt;</v>
      </c>
      <c r="U24" s="5" t="str">
        <f t="shared" si="0"/>
        <v/>
      </c>
      <c r="V24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4" s="5" t="str">
        <f t="shared" si="0"/>
        <v/>
      </c>
      <c r="X24" s="15" t="str">
        <f xml:space="preserve"> "&lt;defs&gt;&lt;path id='h' d='M" &amp; _xlfn.SINGLE(Simple.MaxX) &amp; " 0 L 0 " &amp; _xlfn.SINGLE(Simple.MaxY) &amp; " " &amp; _xlfn.SINGLE(Simple.MinX) &amp; " 0 0 " &amp; _xlfn.SINGLE(Simple.MinY) &amp; "Z'/&gt;&lt;/defs&gt;"</f>
        <v>&lt;defs&gt;&lt;path id='h' d='M97 0 L 0 56 -97 0 0 -56Z'/&gt;&lt;/defs&gt;</v>
      </c>
      <c r="Y24" s="5" t="str">
        <f t="shared" si="0"/>
        <v/>
      </c>
      <c r="Z24" s="23" t="str" cm="1">
        <f t="array" ref="Z24" xml:space="preserve"> svgPathRect(DecimalPlaces, _xlfn.SINGLE(Simple.SVG_painting_2), _xlfn.SINGLE(Simple.MaxX), _xlfn.SINGLE(Simple.MaxY))</f>
        <v>&lt;path fill='#009639' d='M6 6V-6H-6V6Z'/&gt;</v>
      </c>
      <c r="AA24" s="5" t="str">
        <f t="shared" si="0"/>
        <v/>
      </c>
      <c r="AB24" s="23"/>
      <c r="AC24" s="5" t="str">
        <f t="shared" si="0"/>
        <v/>
      </c>
      <c r="AD24" s="23"/>
      <c r="AE24" s="5" t="str">
        <f t="shared" si="0"/>
        <v/>
      </c>
      <c r="AF24" s="23"/>
      <c r="AG24" s="5" t="str">
        <f t="shared" si="0"/>
        <v/>
      </c>
      <c r="AH24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4" s="5" t="str">
        <f t="shared" si="0"/>
        <v/>
      </c>
      <c r="AJ24" s="23"/>
      <c r="AK24" s="5" t="str">
        <f t="shared" si="0"/>
        <v/>
      </c>
      <c r="AL24" s="23"/>
      <c r="AM24" s="5" t="str">
        <f t="shared" si="0"/>
        <v/>
      </c>
      <c r="AN24" s="23" t="str" cm="1">
        <f t="array" ref="AN24" xml:space="preserve"> svgPathRect(DecimalPlaces, _xlfn.SINGLE(Simple.SVG_painting_2), _xlfn.SINGLE(Simple.MaxX), _xlfn.SINGLE(Simple.MaxY))</f>
        <v>&lt;path fill='black' d='M11 8V-8H-11V8Z'/&gt;</v>
      </c>
      <c r="AO24" s="5" t="str">
        <f t="shared" si="0"/>
        <v/>
      </c>
      <c r="AP24" s="23" t="str" cm="1">
        <f t="array" ref="AP24" xml:space="preserve"> svgPathRect(DecimalPlaces, _xlfn.SINGLE(Simple.SVG_painting_2), _xlfn.SINGLE(Simple.MaxX), _xlfn.SINGLE(Simple.MaxY))</f>
        <v>&lt;path fill='#C8102E' d='M9 6V-6H-9V6Z'/&gt;</v>
      </c>
      <c r="AQ24" s="5" t="str">
        <f t="shared" si="0"/>
        <v/>
      </c>
      <c r="AR24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S24" s="5" t="str">
        <f t="shared" si="0"/>
        <v/>
      </c>
      <c r="AT24" s="15" t="str">
        <f xml:space="preserve"> "&lt;path " &amp; _xlfn.SINGLE(Simple.SVG_painting_2) &amp; " d='M1 3H-1L-3 1V-1L-1 -3H1L3 -1V1Z'/&gt;"</f>
        <v>&lt;path fill='#FFF' d='M1 3H-1L-3 1V-1L-1 -3H1L3 -1V1Z'/&gt;</v>
      </c>
      <c r="AU24" s="5" t="str">
        <f t="shared" si="0"/>
        <v/>
      </c>
      <c r="AV24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AW24" s="5" t="str">
        <f t="shared" si="0"/>
        <v/>
      </c>
      <c r="AX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AY24" s="5" t="str">
        <f t="shared" si="0"/>
        <v/>
      </c>
      <c r="AZ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A24" s="5" t="str">
        <f t="shared" si="0"/>
        <v/>
      </c>
      <c r="BB24" s="15" t="str">
        <f xml:space="preserve"> "&lt;path " &amp; _xlfn.SINGLE(Simple.SVG_painting_2) &amp; " d='M0 -187L136 0 0 187 -136 0Z'/&gt;"</f>
        <v>&lt;path fill='#FFF' d='M0 -187L136 0 0 187 -136 0Z'/&gt;</v>
      </c>
      <c r="BC24" s="5" t="str">
        <f t="shared" si="0"/>
        <v/>
      </c>
      <c r="BD24" s="23" t="str" cm="1">
        <f t="array" ref="BD24" xml:space="preserve"> svgPathRect(DecimalPlaces, _xlfn.SINGLE(Simple.SVG_painting_2), _xlfn.SINGLE(Simple.MaxX), _xlfn.SINGLE(Simple.MaxY))</f>
        <v>&lt;path fill='#2BCE75' d='M8 8V-8H-8V8Z'/&gt;</v>
      </c>
      <c r="BE24" s="5" t="str">
        <f t="shared" si="0"/>
        <v/>
      </c>
      <c r="BF24" s="23" t="str" cm="1">
        <f t="array" ref="BF24" xml:space="preserve"> svgPathRect(DecimalPlaces, _xlfn.SINGLE(Simple.SVG_painting_2), _xlfn.SINGLE(Simple.MaxX), _xlfn.SINGLE(Simple.MaxY))</f>
        <v>&lt;path fill='#244AA5' d='M5 5V-5H-5V5Z'/&gt;</v>
      </c>
      <c r="BG24" s="5" t="str">
        <f t="shared" si="0"/>
        <v/>
      </c>
      <c r="BH24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I24" s="5" t="str">
        <f t="shared" si="0"/>
        <v/>
      </c>
      <c r="BJ24" s="23" t="str" cm="1">
        <f t="array" ref="BJ24" xml:space="preserve"> svgPathRect(DecimalPlaces, _xlfn.SINGLE(Simple.SVG_painting_2), _xlfn.SINGLE(Simple.MaxX), _xlfn.SINGLE(Simple.MaxY))</f>
        <v>&lt;path fill='#08528C' d='M9 15H-9V-15H9Z'/&gt;</v>
      </c>
      <c r="BK24" s="5" t="str">
        <f t="shared" si="0"/>
        <v/>
      </c>
      <c r="BL24" s="23" t="str">
        <f xml:space="preserve"> "&lt;path " &amp; _xlfn.SINGLE(Simple.SVG_painting_2) &amp; " d='M-4 0A4 4 0 0 1 0 -4L4 0A4 4 0 0 1 0 4Z'/&gt;"</f>
        <v>&lt;path fill='#198D66' d='M-4 0A4 4 0 0 1 0 -4L4 0A4 4 0 0 1 0 4Z'/&gt;</v>
      </c>
      <c r="BM24" s="23"/>
      <c r="BN24" s="23"/>
      <c r="BO24" s="10"/>
    </row>
    <row r="25" spans="2:67" x14ac:dyDescent="0.2">
      <c r="C25" s="5" t="str">
        <f t="shared" si="0"/>
        <v/>
      </c>
      <c r="D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5" s="5" t="str">
        <f t="shared" si="0"/>
        <v/>
      </c>
      <c r="F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5" s="5" t="str">
        <f t="shared" si="0"/>
        <v/>
      </c>
      <c r="H25" s="15" t="str">
        <f xml:space="preserve"> "&lt;circle " &amp; _xlfn.SINGLE(Simple.SVG_painting_1) &amp; " r='4'/&gt;"</f>
        <v>&lt;circle fill='#FFF' r='4'/&gt;</v>
      </c>
      <c r="I25" s="5" t="str">
        <f t="shared" si="0"/>
        <v/>
      </c>
      <c r="J25" s="15" t="str">
        <f xml:space="preserve"> "&lt;circle " &amp; _xlfn.SINGLE(Simple.SVG_painting_2) &amp; " r='8'/&gt;"</f>
        <v>&lt;circle fill='#F9CF02' r='8'/&gt;</v>
      </c>
      <c r="K25" s="5" t="str">
        <f t="shared" si="0"/>
        <v/>
      </c>
      <c r="L25" s="15" t="str">
        <f xml:space="preserve"> "&lt;circle " &amp; _xlfn.SINGLE(Simple.SVG_painting_1) &amp; " r='4'/&gt;"</f>
        <v>&lt;circle fill='#0C4077' r='4'/&gt;</v>
      </c>
      <c r="M25" s="5" t="str">
        <f t="shared" si="0"/>
        <v/>
      </c>
      <c r="N25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5" s="5" t="str">
        <f t="shared" si="0"/>
        <v/>
      </c>
      <c r="P25" s="23" t="str">
        <f xml:space="preserve"> "&lt;path " &amp; _xlfn.SINGLE(Simple.SVG_painting_1) &amp; " d='M -4 -3 H4 v2 H-4 Z   M -4 1 H4 v2 H-4 Z'/&gt;"</f>
        <v>&lt;path fill='#FFF' d='M -4 -3 H4 v2 H-4 Z   M -4 1 H4 v2 H-4 Z'/&gt;</v>
      </c>
      <c r="Q25" s="5" t="str">
        <f t="shared" si="0"/>
        <v/>
      </c>
      <c r="R25" s="36" t="str">
        <f xml:space="preserve"> "&lt;use href='#m' " &amp; _xlfn.SINGLE(Simple.SVG_painting_2) &amp; "/&gt;"</f>
        <v>&lt;use href='#m' fill='#239F40'/&gt;</v>
      </c>
      <c r="S25" s="5" t="str">
        <f t="shared" si="0"/>
        <v/>
      </c>
      <c r="T25" s="36" t="str">
        <f xml:space="preserve"> "&lt;path " &amp; _xlfn.SINGLE(Simple.SVG_painting_1) &amp; " transform='rotate(36)' d='M7 1V-1H-7V1Z'/&gt;"</f>
        <v>&lt;path fill='#FFCD00'  transform='rotate(36)' d='M7 1V-1H-7V1Z'/&gt;</v>
      </c>
      <c r="U25" s="5" t="str">
        <f t="shared" si="0"/>
        <v/>
      </c>
      <c r="V25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5" s="5" t="str">
        <f t="shared" si="0"/>
        <v/>
      </c>
      <c r="X25" s="15" t="str">
        <f xml:space="preserve"> "&lt;use href='#h' " &amp; _xlfn.SINGLE(Simple.SVG_painting_2) &amp; "/&gt;"</f>
        <v>&lt;use href='#h' fill='#00778B'/&gt;</v>
      </c>
      <c r="Y25" s="5" t="str">
        <f t="shared" si="0"/>
        <v/>
      </c>
      <c r="Z25" s="23" t="str" cm="1">
        <f t="array" ref="Z25" xml:space="preserve"> svgPathRect(DecimalPlaces, _xlfn.SINGLE(Simple.SVG_painting_1), _xlfn.SINGLE(Simple.MaxX) / 3, _xlfn.SINGLE(Simple.MaxY) - 1)</f>
        <v>&lt;path fill='#FFF' d='M2 5V-5H-2V5Z'/&gt;</v>
      </c>
      <c r="AA25" s="5" t="str">
        <f t="shared" si="0"/>
        <v/>
      </c>
      <c r="AB25" s="15" t="str">
        <f xml:space="preserve"> "&lt;path " &amp; _xlfn.SINGLE(Simple.SVG_painting_1) &amp; " d='M1 0V1H0L-1 0V-1H0Z'/&gt;"</f>
        <v>&lt;path fill='#002D62' d='M1 0V1H0L-1 0V-1H0Z'/&gt;</v>
      </c>
      <c r="AC25" s="5" t="str">
        <f t="shared" si="0"/>
        <v/>
      </c>
      <c r="AD25" s="15" t="str">
        <f xml:space="preserve"> "&lt;path " &amp; _xlfn.SINGLE(Simple.SVG_painting_1) &amp; " d='M1 2H-2V-2L2 2V-2H-1 -2Z'/&gt;"</f>
        <v>&lt;path fill='#C8102E' d='M1 2H-2V-2L2 2V-2H-1 -2Z'/&gt;</v>
      </c>
      <c r="AE25" s="5" t="str">
        <f t="shared" si="0"/>
        <v/>
      </c>
      <c r="AF25" s="15" t="str">
        <f xml:space="preserve"> "&lt;path " &amp; _xlfn.SINGLE(Simple.SVG_painting_1) &amp; " d='M1 0L8 8H-8L-1 0L-8 -8H8Z'/&gt;"</f>
        <v>&lt;path fill='#009639' d='M1 0L8 8H-8L-1 0L-8 -8H8Z'/&gt;</v>
      </c>
      <c r="AG25" s="5" t="str">
        <f t="shared" si="0"/>
        <v/>
      </c>
      <c r="AH25" s="15" t="str">
        <f xml:space="preserve"> "&lt;path id='m' " &amp; _xlfn.SINGLE(Simple.SVG_painting_1) &amp; " d='M 144 274  C 183 202 216 94 216 0   S 183 -202 144 -274   C 105 -202   72 -94   72 0  S 105 202 144 274 Z'/&gt;"</f>
        <v>&lt;path id='m' fill='black' d='M 144 274  C 183 202 216 94 216 0   S 183 -202 144 -274   C 105 -202   72 -94   72 0  S 105 202 144 274 Z'/&gt;</v>
      </c>
      <c r="AI25" s="5" t="str">
        <f t="shared" si="0"/>
        <v/>
      </c>
      <c r="AJ25" s="15" t="str" cm="1">
        <f t="array" ref="AJ25" xml:space="preserve"> svgPathRect(DecimalPlaces, _xlfn.SINGLE(Simple.SVG_painting_1), _xlfn.SINGLE(Simple.MaxX), _xlfn.SINGLE(Simple.MaxY))</f>
        <v>&lt;path fill='#FCD116' d='M4 4V-4H-4V4Z'/&gt;</v>
      </c>
      <c r="AK25" s="5" t="str">
        <f t="shared" si="0"/>
        <v/>
      </c>
      <c r="AL25" s="15" t="str" cm="1">
        <f t="array" ref="AL25" xml:space="preserve"> svgPathRect(DecimalPlaces, _xlfn.SINGLE(Simple.SVG_painting_1), _xlfn.SINGLE(Simple.MaxX), _xlfn.SINGLE(Simple.MaxY))</f>
        <v>&lt;path fill='#007FFF' d='M4 4V-4H-4V4Z'/&gt;</v>
      </c>
      <c r="AM25" s="5" t="str">
        <f t="shared" si="0"/>
        <v/>
      </c>
      <c r="AN25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5" s="5" t="str">
        <f t="shared" si="0"/>
        <v/>
      </c>
      <c r="AP25" s="23" t="str" cm="1">
        <f t="array" ref="AP25" xml:space="preserve"> svgPathRect(DecimalPlaces, _xlfn.SINGLE(Simple.SVG_painting_1), 7, 2)</f>
        <v>&lt;path fill='#FFF' d='M7 2V-2H-7V2Z'/&gt;</v>
      </c>
      <c r="AQ25" s="5" t="str">
        <f t="shared" si="0"/>
        <v/>
      </c>
      <c r="AR25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S25" s="5" t="str">
        <f t="shared" si="0"/>
        <v/>
      </c>
      <c r="AT25" s="15" t="str">
        <f xml:space="preserve"> "&lt;path " &amp; _xlfn.SINGLE(Simple.SVG_painting_1) &amp; " d='M3 1V3H1V-3H3v2H-3V-3h2V3H-3V1Z'/&gt;"</f>
        <v>&lt;path fill='red' d='M3 1V3H1V-3H3v2H-3V-3h2V3H-3V1Z'/&gt;</v>
      </c>
      <c r="AU25" s="5" t="str">
        <f t="shared" si="0"/>
        <v/>
      </c>
      <c r="AV25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AW25" s="5" t="str">
        <f t="shared" si="0"/>
        <v/>
      </c>
      <c r="AX25" s="15" t="str">
        <f xml:space="preserve"> "&lt;path " &amp; _xlfn.SINGLE(Simple.SVG_painting_1) &amp; " d='M3 1V3H-3V1L3 -1V-3H-3v2Z'/&gt;"</f>
        <v>&lt;path fill='#FFF' d='M3 1V3H-3V1L3 -1V-3H-3v2Z'/&gt;</v>
      </c>
      <c r="AY25" s="5" t="str">
        <f t="shared" si="0"/>
        <v/>
      </c>
      <c r="AZ25" s="15" t="str">
        <f xml:space="preserve"> "&lt;path " &amp; _xlfn.SINGLE(Simple.SVG_painting_1) &amp; " d='M3 1V3H-3V1L3 -1V-3H-3v2Z'/&gt;"</f>
        <v>&lt;path fill='#FFF' d='M3 1V3H-3V1L3 -1V-3H-3v2Z'/&gt;</v>
      </c>
      <c r="BA25" s="5" t="str">
        <f t="shared" si="0"/>
        <v/>
      </c>
      <c r="BB25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C25" s="5" t="str">
        <f t="shared" si="0"/>
        <v/>
      </c>
      <c r="BD25" s="15" t="str">
        <f xml:space="preserve"> "&lt;circle " &amp; _xlfn.SINGLE(Simple.SVG_painting_1) &amp; " r='" &amp; (_xlfn.SINGLE(Simple.MaxX) - 1) &amp; "'/&gt;"</f>
        <v>&lt;circle fill='#FFF' r='7'/&gt;</v>
      </c>
      <c r="BE25" s="5" t="str">
        <f t="shared" si="0"/>
        <v/>
      </c>
      <c r="BF25" s="15" t="str">
        <f xml:space="preserve"> "&lt;path " &amp; _xlfn.SINGLE(Simple.SVG_painting_1) &amp; " d='M4 1L-1 4L-4 -1L1 -4Z'/&gt;"</f>
        <v>&lt;path fill='#D0A650' d='M4 1L-1 4L-4 -1L1 -4Z'/&gt;</v>
      </c>
      <c r="BG25" s="5" t="str">
        <f t="shared" si="0"/>
        <v/>
      </c>
      <c r="BH25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I25" s="5" t="str">
        <f t="shared" si="0"/>
        <v/>
      </c>
      <c r="BJ25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K25" s="5" t="str">
        <f t="shared" si="0"/>
        <v/>
      </c>
      <c r="BL25" s="23" t="str">
        <f xml:space="preserve"> "&lt;path " &amp; _xlfn.SINGLE(Simple.SVG_painting_1) &amp; " d='M0 -4A4 4 0 0 1 4 0L-4 0A4 4 0 0 0 0 4Z'/&gt;"</f>
        <v>&lt;path fill='#FCB90E' d='M0 -4A4 4 0 0 1 4 0L-4 0A4 4 0 0 0 0 4Z'/&gt;</v>
      </c>
      <c r="BM25" s="23"/>
      <c r="BN25" s="23"/>
      <c r="BO25" s="10"/>
    </row>
    <row r="26" spans="2:67" x14ac:dyDescent="0.2">
      <c r="C26" s="5" t="str">
        <f t="shared" si="0"/>
        <v/>
      </c>
      <c r="D26" s="23" t="str" cm="1">
        <f t="array" ref="D26" xml:space="preserve"> svgPathRect(DecimalPlaces, _xlfn.SINGLE(Simple.SVG_painting_2), D$35, 1)</f>
        <v>&lt;path fill='#FF33FF' d='M9 1V-1H-9V1Z'/&gt;</v>
      </c>
      <c r="E26" s="5" t="str">
        <f t="shared" si="0"/>
        <v/>
      </c>
      <c r="F26" s="23" t="str">
        <f xml:space="preserve"> "&lt;path " &amp; _xlfn.SINGLE(Simple.SVG_painting_2) &amp; " d='M" &amp; F$38 &amp; " 1V3H" &amp; (-F$38) &amp; "V1Z M" &amp; F$38 &amp; " -1V-3H" &amp; (-F$38) &amp; "V-1Z'/&gt;"</f>
        <v>&lt;path  fill='#FF33FF' d='M9 1V3H-9V1Z M9 -1V-3H-9V-1Z'/&gt;</v>
      </c>
      <c r="G26" s="5" t="str">
        <f t="shared" si="0"/>
        <v/>
      </c>
      <c r="H26" s="15"/>
      <c r="I26" s="5" t="str">
        <f t="shared" si="0"/>
        <v/>
      </c>
      <c r="J26" s="15" t="str">
        <f xml:space="preserve"> "&lt;circle " &amp; _xlfn.SINGLE(Simple.SVG_painting_1) &amp; " r='5'/&gt;"</f>
        <v>&lt;circle fill='#C4272F' r='5'/&gt;</v>
      </c>
      <c r="K26" s="5" t="str">
        <f t="shared" si="0"/>
        <v/>
      </c>
      <c r="L26" s="15"/>
      <c r="M26" s="5" t="str">
        <f t="shared" si="0"/>
        <v/>
      </c>
      <c r="N26" s="23" t="str" cm="1">
        <f t="array" ref="N26" xml:space="preserve"> svgPathRect(DecimalPlaces, _xlfn.SINGLE(Simple.SVG_painting_0), 3, 5)</f>
        <v>&lt;path fill='#CF101A' d='M3 5V-5H-3V5Z'/&gt;</v>
      </c>
      <c r="O26" s="5" t="str">
        <f t="shared" si="0"/>
        <v/>
      </c>
      <c r="P26" s="23"/>
      <c r="Q26" s="5" t="str">
        <f t="shared" si="0"/>
        <v/>
      </c>
      <c r="R26" s="36" t="str">
        <f xml:space="preserve"> "&lt;use href='#m' " &amp; _xlfn.SINGLE(Simple.SVG_painting_1) &amp; " transform='scale(" &amp; ROUND(Thirds_M/Thirds_O,2) &amp; ")'/&gt;"</f>
        <v>&lt;use href='#m' fill='#FFF' transform='scale(0.7)'/&gt;</v>
      </c>
      <c r="S26" s="5" t="str">
        <f t="shared" si="0"/>
        <v/>
      </c>
      <c r="T26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6" s="5" t="str">
        <f t="shared" si="0"/>
        <v/>
      </c>
      <c r="V26" s="15"/>
      <c r="W26" s="5" t="str">
        <f t="shared" si="0"/>
        <v/>
      </c>
      <c r="X26" s="15" t="str">
        <f xml:space="preserve"> "&lt;use href='#h' " &amp; _xlfn.SINGLE(Simple.SVG_painting_1) &amp; " transform='scale(" &amp; ROUND(Thirds_M / Thirds_O, 2) &amp; ")'/&gt;"</f>
        <v>&lt;use href='#h' fill='#FFC72C' transform='scale(0.7)'/&gt;</v>
      </c>
      <c r="Y26" s="5" t="str">
        <f t="shared" si="0"/>
        <v/>
      </c>
      <c r="Z26" s="5"/>
      <c r="AA26" s="5" t="str">
        <f t="shared" si="0"/>
        <v/>
      </c>
      <c r="AB26" s="15" t="str">
        <f xml:space="preserve"> "&lt;path " &amp; _xlfn.SINGLE(Simple.SVG_painting_0) &amp; " d='M1 0V-1H0V1H-1V0Z'/&gt;"</f>
        <v>&lt;path fill='#CE1126' d='M1 0V-1H0V1H-1V0Z'/&gt;</v>
      </c>
      <c r="AC26" s="5" t="str">
        <f t="shared" si="0"/>
        <v/>
      </c>
      <c r="AD26" s="15" t="str">
        <f xml:space="preserve"> "&lt;path " &amp; _xlfn.SINGLE(Simple.SVG_painting_0) &amp; " d='M-2 -2H-1L2 2H1Z'/&gt;"</f>
        <v>&lt;path fill='black' d='M-2 -2H-1L2 2H1Z'/&gt;</v>
      </c>
      <c r="AE26" s="5" t="str">
        <f t="shared" si="0"/>
        <v/>
      </c>
      <c r="AF26" s="15" t="str">
        <f xml:space="preserve"> "&lt;path " &amp; _xlfn.SINGLE(Simple.SVG_painting_0) &amp; " d='M8 8V-8L-8 8V-8Z'/&gt;"</f>
        <v>&lt;path fill='black' d='M8 8V-8L-8 8V-8Z'/&gt;</v>
      </c>
      <c r="AG26" s="5" t="str">
        <f t="shared" si="0"/>
        <v/>
      </c>
      <c r="AH26" s="15" t="str">
        <f xml:space="preserve"> "&lt;use href='#m' transform='translate(-288,0)'/&gt;"</f>
        <v>&lt;use href='#m' transform='translate(-288,0)'/&gt;</v>
      </c>
      <c r="AI26" s="5" t="str">
        <f t="shared" si="0"/>
        <v/>
      </c>
      <c r="AJ26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6" s="5" t="str">
        <f t="shared" si="0"/>
        <v/>
      </c>
      <c r="AL26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6" s="5" t="str">
        <f t="shared" si="0"/>
        <v/>
      </c>
      <c r="AN26" s="23"/>
      <c r="AO26" s="5" t="str">
        <f t="shared" si="0"/>
        <v/>
      </c>
      <c r="AP26" s="5"/>
      <c r="AQ26" s="5" t="str">
        <f t="shared" si="0"/>
        <v/>
      </c>
      <c r="AR26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S26" s="5" t="str">
        <f t="shared" si="0"/>
        <v/>
      </c>
      <c r="AT26" s="15"/>
      <c r="AU26" s="5" t="str">
        <f t="shared" si="0"/>
        <v/>
      </c>
      <c r="AV26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AW26" s="5" t="str">
        <f t="shared" si="0"/>
        <v/>
      </c>
      <c r="AX26" s="23" t="str" cm="1">
        <f t="array" ref="AX26" xml:space="preserve"> svgPathRect(DecimalPlaces, _xlfn.SINGLE(Simple.SVG_painting_0), 3, 1)</f>
        <v>&lt;path fill='#FFD500' d='M3 1V-1H-3V1Z'/&gt;</v>
      </c>
      <c r="AY26" s="5" t="str">
        <f t="shared" si="0"/>
        <v/>
      </c>
      <c r="AZ26" s="23" t="str" cm="1">
        <f t="array" ref="AZ26" xml:space="preserve"> svgPathRect(DecimalPlaces, _xlfn.SINGLE(Simple.SVG_painting_0), 3, 1)</f>
        <v>&lt;path fill='#EF3340' d='M3 1V-1H-3V1Z'/&gt;</v>
      </c>
      <c r="BA26" s="5" t="str">
        <f t="shared" si="0"/>
        <v/>
      </c>
      <c r="BB26" s="15"/>
      <c r="BC26" s="5" t="str">
        <f t="shared" si="0"/>
        <v/>
      </c>
      <c r="BD26" s="15" t="str">
        <f xml:space="preserve"> "&lt;circle " &amp; _xlfn.SINGLE(Simple.SVG_painting_0) &amp; " r='" &amp; (_xlfn.SINGLE(Simple.MaxX) - 3) &amp; "'/&gt;"</f>
        <v>&lt;circle fill='#0046C2' r='5'/&gt;</v>
      </c>
      <c r="BE26" s="5" t="str">
        <f t="shared" si="0"/>
        <v/>
      </c>
      <c r="BF26" s="15"/>
      <c r="BG26" s="5" t="str">
        <f t="shared" si="0"/>
        <v/>
      </c>
      <c r="BH26" s="5"/>
      <c r="BI26" s="5" t="str">
        <f t="shared" si="0"/>
        <v/>
      </c>
      <c r="BJ26" s="15"/>
      <c r="BK26" s="5" t="str">
        <f t="shared" si="0"/>
        <v/>
      </c>
      <c r="BL26" s="75" t="str" cm="1">
        <f t="array" ref="BL26" xml:space="preserve"> IF(FALSE, svgPathRect(DecimalPlaces, _xlfn.SINGLE(Simple.SVG_painting_0),  2,  1), "")</f>
        <v/>
      </c>
      <c r="BM26" s="15"/>
      <c r="BN26" s="15"/>
      <c r="BO26" s="10"/>
    </row>
    <row r="27" spans="2:67" x14ac:dyDescent="0.2">
      <c r="C27" s="5" t="str">
        <f t="shared" si="0"/>
        <v/>
      </c>
      <c r="D27" s="23"/>
      <c r="E27" s="5" t="str">
        <f t="shared" si="0"/>
        <v/>
      </c>
      <c r="F27" s="23"/>
      <c r="G27" s="5" t="str">
        <f t="shared" si="0"/>
        <v/>
      </c>
      <c r="H27" s="15"/>
      <c r="I27" s="5" t="str">
        <f t="shared" si="0"/>
        <v/>
      </c>
      <c r="J27" s="15"/>
      <c r="K27" s="5" t="str">
        <f t="shared" si="0"/>
        <v/>
      </c>
      <c r="L27" s="15"/>
      <c r="M27" s="5" t="str">
        <f t="shared" si="0"/>
        <v/>
      </c>
      <c r="N27" s="23"/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href='#m' " &amp; _xlfn.SINGLE(Simple.SVG_painting_0) &amp; " transform='scale(" &amp; ROUND(Thirds_I/Thirds_O,2) &amp; ")'/&gt;"</f>
        <v>&lt;use href='#m' fill='#DA0000' transform='scale(0.37)'/&gt;</v>
      </c>
      <c r="S27" s="5" t="str">
        <f t="shared" si="0"/>
        <v/>
      </c>
      <c r="T27" s="36"/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href='#h' " &amp; _xlfn.SINGLE(Simple.SVG_painting_0) &amp; " transform='scale(" &amp; ROUND(Thirds_I / Thirds_O, 2) &amp; ")'/&gt;"</f>
        <v>&lt;use href='#h' fill='black' transform='scale(0.37)'/&gt;</v>
      </c>
      <c r="Y27" s="5" t="str">
        <f t="shared" si="0"/>
        <v/>
      </c>
      <c r="Z27" s="5"/>
      <c r="AA27" s="5" t="str">
        <f t="shared" si="0"/>
        <v/>
      </c>
      <c r="AB27" s="15"/>
      <c r="AC27" s="5" t="str">
        <f t="shared" si="0"/>
        <v/>
      </c>
      <c r="AD27" s="15"/>
      <c r="AE27" s="5" t="str">
        <f t="shared" si="0"/>
        <v/>
      </c>
      <c r="AF27" s="15"/>
      <c r="AG27" s="5" t="str">
        <f t="shared" si="0"/>
        <v/>
      </c>
      <c r="AH27" s="6" t="str">
        <f xml:space="preserve"> "&lt;ellipse " &amp; _xlfn.SINGLE(Simple.SVG_painting_0) &amp; " rx='48' ry='72'/&gt;"</f>
        <v>&lt;ellipse fill='#FFF' rx='48' ry='72'/&gt;</v>
      </c>
      <c r="AI27" s="5" t="str">
        <f t="shared" si="0"/>
        <v/>
      </c>
      <c r="AJ27" s="15"/>
      <c r="AK27" s="5" t="str">
        <f t="shared" si="0"/>
        <v/>
      </c>
      <c r="AL27" s="15"/>
      <c r="AM27" s="5" t="str">
        <f t="shared" si="0"/>
        <v/>
      </c>
      <c r="AN27" s="23"/>
      <c r="AO27" s="5" t="str">
        <f t="shared" si="0"/>
        <v/>
      </c>
      <c r="AP27" s="5"/>
      <c r="AQ27" s="5" t="str">
        <f t="shared" si="0"/>
        <v/>
      </c>
      <c r="AR27" s="15"/>
      <c r="AS27" s="5" t="str">
        <f t="shared" si="0"/>
        <v/>
      </c>
      <c r="AT27" s="15"/>
      <c r="AU27" s="5" t="str">
        <f t="shared" si="0"/>
        <v/>
      </c>
      <c r="AV27" s="15"/>
      <c r="AW27" s="5" t="str">
        <f t="shared" si="0"/>
        <v/>
      </c>
      <c r="AX27" s="23"/>
      <c r="AY27" s="5" t="str">
        <f t="shared" si="0"/>
        <v/>
      </c>
      <c r="AZ27" s="23"/>
      <c r="BA27" s="5" t="str">
        <f t="shared" si="0"/>
        <v/>
      </c>
      <c r="BB27" s="15"/>
      <c r="BC27" s="5" t="str">
        <f t="shared" si="0"/>
        <v/>
      </c>
      <c r="BD27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E27" s="5" t="str">
        <f t="shared" si="0"/>
        <v/>
      </c>
      <c r="BF27" s="15"/>
      <c r="BG27" s="5" t="str">
        <f t="shared" si="0"/>
        <v/>
      </c>
      <c r="BH27" s="5"/>
      <c r="BI27" s="5" t="str">
        <f t="shared" si="0"/>
        <v/>
      </c>
      <c r="BJ27" s="15"/>
      <c r="BK27" s="5" t="str">
        <f t="shared" si="0"/>
        <v/>
      </c>
      <c r="BL27" s="15"/>
      <c r="BM27" s="15"/>
      <c r="BN27" s="15"/>
      <c r="BO27" s="10"/>
    </row>
    <row r="28" spans="2:67" x14ac:dyDescent="0.2">
      <c r="C28" s="11" t="str">
        <f t="shared" si="0"/>
        <v/>
      </c>
      <c r="D28" s="17" t="s">
        <v>15</v>
      </c>
      <c r="E28" s="11" t="str">
        <f t="shared" si="0"/>
        <v/>
      </c>
      <c r="F28" s="17" t="s">
        <v>15</v>
      </c>
      <c r="G28" s="11" t="str">
        <f t="shared" si="0"/>
        <v/>
      </c>
      <c r="H28" s="17" t="s">
        <v>15</v>
      </c>
      <c r="I28" s="11" t="str">
        <f t="shared" si="0"/>
        <v/>
      </c>
      <c r="J28" s="17" t="s">
        <v>15</v>
      </c>
      <c r="K28" s="11" t="str">
        <f t="shared" si="0"/>
        <v/>
      </c>
      <c r="L28" s="17" t="s">
        <v>15</v>
      </c>
      <c r="M28" s="11" t="str">
        <f t="shared" si="0"/>
        <v/>
      </c>
      <c r="N28" s="17" t="s">
        <v>15</v>
      </c>
      <c r="O28" s="11" t="str">
        <f t="shared" si="0"/>
        <v/>
      </c>
      <c r="P28" s="17" t="s">
        <v>15</v>
      </c>
      <c r="Q28" s="11" t="str">
        <f t="shared" si="0"/>
        <v/>
      </c>
      <c r="R28" s="26" t="s">
        <v>15</v>
      </c>
      <c r="S28" s="11" t="str">
        <f t="shared" si="0"/>
        <v/>
      </c>
      <c r="T28" s="26" t="s">
        <v>15</v>
      </c>
      <c r="U28" s="11" t="str">
        <f t="shared" si="0"/>
        <v/>
      </c>
      <c r="V28" s="17" t="s">
        <v>15</v>
      </c>
      <c r="W28" s="11" t="str">
        <f t="shared" si="0"/>
        <v/>
      </c>
      <c r="X28" s="17" t="s">
        <v>15</v>
      </c>
      <c r="Y28" s="11" t="str">
        <f t="shared" si="0"/>
        <v/>
      </c>
      <c r="Z28" s="17" t="s">
        <v>15</v>
      </c>
      <c r="AA28" s="11" t="str">
        <f t="shared" si="0"/>
        <v/>
      </c>
      <c r="AB28" s="17" t="s">
        <v>15</v>
      </c>
      <c r="AC28" s="11" t="str">
        <f t="shared" si="0"/>
        <v/>
      </c>
      <c r="AD28" s="17" t="s">
        <v>15</v>
      </c>
      <c r="AE28" s="11" t="str">
        <f t="shared" si="0"/>
        <v/>
      </c>
      <c r="AF28" s="17" t="s">
        <v>15</v>
      </c>
      <c r="AG28" s="11" t="str">
        <f t="shared" si="0"/>
        <v/>
      </c>
      <c r="AH28" s="17" t="s">
        <v>15</v>
      </c>
      <c r="AI28" s="11" t="str">
        <f t="shared" si="0"/>
        <v/>
      </c>
      <c r="AJ28" s="17" t="s">
        <v>15</v>
      </c>
      <c r="AK28" s="11" t="str">
        <f t="shared" si="0"/>
        <v/>
      </c>
      <c r="AL28" s="17" t="s">
        <v>15</v>
      </c>
      <c r="AM28" s="11" t="str">
        <f t="shared" si="0"/>
        <v/>
      </c>
      <c r="AN28" s="17" t="s">
        <v>15</v>
      </c>
      <c r="AO28" s="11" t="str">
        <f t="shared" si="0"/>
        <v/>
      </c>
      <c r="AP28" s="17" t="s">
        <v>15</v>
      </c>
      <c r="AQ28" s="11" t="str">
        <f t="shared" si="0"/>
        <v/>
      </c>
      <c r="AR28" s="17" t="s">
        <v>15</v>
      </c>
      <c r="AS28" s="11" t="str">
        <f t="shared" si="0"/>
        <v/>
      </c>
      <c r="AT28" s="17" t="s">
        <v>15</v>
      </c>
      <c r="AU28" s="11" t="str">
        <f t="shared" si="0"/>
        <v/>
      </c>
      <c r="AV28" s="17" t="s">
        <v>15</v>
      </c>
      <c r="AW28" s="11" t="str">
        <f t="shared" si="0"/>
        <v/>
      </c>
      <c r="AX28" s="17" t="s">
        <v>15</v>
      </c>
      <c r="AY28" s="11" t="str">
        <f t="shared" si="0"/>
        <v/>
      </c>
      <c r="AZ28" s="17" t="s">
        <v>15</v>
      </c>
      <c r="BA28" s="11" t="str">
        <f t="shared" si="0"/>
        <v/>
      </c>
      <c r="BB28" s="17" t="s">
        <v>15</v>
      </c>
      <c r="BC28" s="11" t="str">
        <f t="shared" si="0"/>
        <v/>
      </c>
      <c r="BD28" s="17" t="s">
        <v>15</v>
      </c>
      <c r="BE28" s="11" t="str">
        <f t="shared" si="0"/>
        <v/>
      </c>
      <c r="BF28" s="17" t="s">
        <v>15</v>
      </c>
      <c r="BG28" s="11" t="str">
        <f t="shared" si="0"/>
        <v/>
      </c>
      <c r="BH28" s="17" t="s">
        <v>15</v>
      </c>
      <c r="BI28" s="11" t="str">
        <f t="shared" si="0"/>
        <v/>
      </c>
      <c r="BJ28" s="17" t="s">
        <v>15</v>
      </c>
      <c r="BK28" s="11" t="str">
        <f t="shared" si="0"/>
        <v/>
      </c>
      <c r="BL28" s="17" t="s">
        <v>15</v>
      </c>
      <c r="BM28" s="17"/>
      <c r="BN28" s="17"/>
      <c r="BO28" s="12"/>
    </row>
    <row r="31" spans="2:67" x14ac:dyDescent="0.2">
      <c r="D31" t="str">
        <f xml:space="preserve"> _xlfn.SINGLE(Simple.ID)</f>
        <v>EUR</v>
      </c>
      <c r="F31" t="str">
        <f xml:space="preserve"> _xlfn.SINGLE(Simple.ID)</f>
        <v>_ECB</v>
      </c>
      <c r="H31" t="str">
        <f xml:space="preserve"> _xlfn.SINGLE(Simple.ID)</f>
        <v>BGN</v>
      </c>
      <c r="J31" t="str">
        <f xml:space="preserve"> _xlfn.SINGLE(Simple.ID)</f>
        <v>MNT</v>
      </c>
      <c r="L31" t="str">
        <f xml:space="preserve"> _xlfn.SINGLE(Simple.ID)</f>
        <v>RSD</v>
      </c>
      <c r="N31" t="str">
        <f xml:space="preserve"> _xlfn.SINGLE(Simple.ID)</f>
        <v>BYN</v>
      </c>
      <c r="P31" t="str">
        <f xml:space="preserve"> _xlfn.SINGLE(Simple.ID)</f>
        <v>SAR</v>
      </c>
      <c r="R31" t="str">
        <f xml:space="preserve"> _xlfn.SINGLE(Simple.ID)</f>
        <v>IRR</v>
      </c>
      <c r="T31" t="str">
        <f xml:space="preserve"> _xlfn.SINGLE(Simple.ID)</f>
        <v>AOA</v>
      </c>
      <c r="V31" t="str">
        <f xml:space="preserve"> _xlfn.SINGLE(Simple.ID)</f>
        <v>BRL</v>
      </c>
      <c r="X31" t="str">
        <f xml:space="preserve"> _xlfn.SINGLE(Simple.ID)</f>
        <v>BSD</v>
      </c>
      <c r="Z31" t="str">
        <f xml:space="preserve"> _xlfn.SINGLE(Simple.ID)</f>
        <v>NGN</v>
      </c>
      <c r="AB31" t="str">
        <f xml:space="preserve"> _xlfn.SINGLE(Simple.ID)</f>
        <v>DOP</v>
      </c>
      <c r="AD31" t="str">
        <f xml:space="preserve"> _xlfn.SINGLE(Simple.ID)</f>
        <v>TTD</v>
      </c>
      <c r="AF31" t="str">
        <f xml:space="preserve"> _xlfn.SINGLE(Simple.ID)</f>
        <v>JMD</v>
      </c>
      <c r="AH31" t="str">
        <f xml:space="preserve"> _xlfn.SINGLE(Simple.ID)</f>
        <v>KYS</v>
      </c>
      <c r="AJ31" t="str">
        <f xml:space="preserve"> _xlfn.SINGLE(Simple.ID)</f>
        <v>TZS</v>
      </c>
      <c r="AL31" t="str">
        <f xml:space="preserve"> _xlfn.SINGLE(Simple.ID)</f>
        <v>CDF</v>
      </c>
      <c r="AN31" t="str">
        <f xml:space="preserve"> _xlfn.SINGLE(Simple.ID)</f>
        <v>DE</v>
      </c>
      <c r="AP31" t="str">
        <f xml:space="preserve"> _xlfn.SINGLE(Simple.ID)</f>
        <v>AT</v>
      </c>
      <c r="AR31" t="str">
        <f xml:space="preserve"> _xlfn.SINGLE(Simple.ID)</f>
        <v>LU</v>
      </c>
      <c r="AT31" t="str">
        <f xml:space="preserve"> _xlfn.SINGLE(Simple.ID)</f>
        <v>HR</v>
      </c>
      <c r="AV31" t="str">
        <f xml:space="preserve"> _xlfn.SINGLE(Simple.ID)</f>
        <v>CZK</v>
      </c>
      <c r="AX31" t="str">
        <f xml:space="preserve"> _xlfn.SINGLE(Simple.ID)</f>
        <v>_ESM</v>
      </c>
      <c r="AZ31" t="str">
        <f xml:space="preserve"> _xlfn.SINGLE(Simple.ID)</f>
        <v>_EFSF</v>
      </c>
      <c r="BB31" t="str">
        <f xml:space="preserve"> _xlfn.SINGLE(Simple.ID)</f>
        <v>_KfW</v>
      </c>
      <c r="BD31" t="str">
        <f xml:space="preserve"> _xlfn.SINGLE(Simple.ID)</f>
        <v>_BCIE</v>
      </c>
      <c r="BF31" t="str">
        <f xml:space="preserve"> _xlfn.SINGLE(Simple.ID)</f>
        <v>XK</v>
      </c>
      <c r="BH31" t="str">
        <f xml:space="preserve"> _xlfn.SINGLE(Simple.ID)</f>
        <v>XPT</v>
      </c>
      <c r="BJ31" t="str">
        <f xml:space="preserve"> _xlfn.SINGLE(Simple.ID)</f>
        <v>_EIB</v>
      </c>
      <c r="BL31" t="str">
        <f xml:space="preserve"> _xlfn.SINGLE(Simple.ID)</f>
        <v>_AfExIm</v>
      </c>
    </row>
    <row r="33" spans="4:56" x14ac:dyDescent="0.2">
      <c r="D33">
        <f xml:space="preserve"> SQRT((Simple.MaxX - 2)^2 - 1^2)</f>
        <v>7.9372539331937721</v>
      </c>
      <c r="F33">
        <f xml:space="preserve"> D33</f>
        <v>7.9372539331937721</v>
      </c>
    </row>
    <row r="34" spans="4:56" x14ac:dyDescent="0.2">
      <c r="D34">
        <f xml:space="preserve"> SQRT((Simple.MaxX - 0)^2 - 1^2)</f>
        <v>9.9498743710661994</v>
      </c>
      <c r="F34">
        <f xml:space="preserve"> D34</f>
        <v>9.9498743710661994</v>
      </c>
      <c r="AN34" s="59"/>
      <c r="BD34">
        <v>1</v>
      </c>
    </row>
    <row r="35" spans="4:56" x14ac:dyDescent="0.2">
      <c r="D35">
        <f xml:space="preserve"> MROUND(AVERAGE(D33:D34), 0.2)</f>
        <v>9</v>
      </c>
      <c r="AJ35" s="57"/>
      <c r="AL35" s="57"/>
      <c r="AN35" s="57"/>
      <c r="BD35">
        <v>3</v>
      </c>
    </row>
    <row r="36" spans="4:56" x14ac:dyDescent="0.2">
      <c r="F36">
        <f xml:space="preserve"> SQRT((Simple.MaxX - 2)^2 - 3^2)</f>
        <v>7.416198487095663</v>
      </c>
      <c r="AJ36" s="57"/>
      <c r="AL36" s="57"/>
    </row>
    <row r="37" spans="4:56" x14ac:dyDescent="0.2">
      <c r="F37">
        <f xml:space="preserve"> SQRT((Simple.MaxX - 0)^2 - 3^2)</f>
        <v>9.5393920141694561</v>
      </c>
      <c r="AJ37" s="57"/>
      <c r="AL37" s="57"/>
      <c r="BD37">
        <f xml:space="preserve"> SQRT( (Simple.MaxX - 1)^2  -  BD34^2 )</f>
        <v>6.9282032302755088</v>
      </c>
    </row>
    <row r="38" spans="4:56" x14ac:dyDescent="0.2">
      <c r="F38">
        <f xml:space="preserve"> MROUND(AVERAGE(MAX(F$33, F$36), MIN(F$34, F$37)), 1)</f>
        <v>9</v>
      </c>
      <c r="AJ38" s="59"/>
      <c r="AL38" s="59"/>
      <c r="BD38">
        <f xml:space="preserve"> SQRT( (Simple.MaxX - 1)^2  -  BD35^2 )</f>
        <v>6.324555320336759</v>
      </c>
    </row>
    <row r="39" spans="4:56" x14ac:dyDescent="0.2">
      <c r="AT39" s="15"/>
    </row>
    <row r="40" spans="4:56" x14ac:dyDescent="0.2">
      <c r="AT40" s="15"/>
      <c r="BD40">
        <f xml:space="preserve"> SQRT( (Simple.MaxX - 3)^2  -  BD34^2 )</f>
        <v>4.8989794855663558</v>
      </c>
    </row>
    <row r="41" spans="4:56" x14ac:dyDescent="0.2">
      <c r="BD41">
        <f xml:space="preserve"> SQRT( (Simple.MaxX - 3)^2  -  BD35^2 )</f>
        <v>4</v>
      </c>
    </row>
    <row r="43" spans="4:56" x14ac:dyDescent="0.2">
      <c r="BD43">
        <f xml:space="preserve"> AVERAGE(BD37, BD40)</f>
        <v>5.9135913579209323</v>
      </c>
    </row>
    <row r="44" spans="4:56" x14ac:dyDescent="0.2">
      <c r="BD44">
        <f xml:space="preserve"> AVERAGE(BD38, BD41)</f>
        <v>5.16227766016838</v>
      </c>
    </row>
    <row r="47" spans="4:56" x14ac:dyDescent="0.2">
      <c r="AT47" s="15"/>
    </row>
    <row r="48" spans="4:56" x14ac:dyDescent="0.2">
      <c r="AT48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1691</v>
      </c>
      <c r="G2" t="s">
        <v>1692</v>
      </c>
      <c r="I2" t="s">
        <v>328</v>
      </c>
      <c r="P2" t="s">
        <v>1693</v>
      </c>
      <c r="Q2" t="s">
        <v>1694</v>
      </c>
      <c r="S2" t="s">
        <v>625</v>
      </c>
    </row>
    <row r="3" spans="2:19" x14ac:dyDescent="0.2">
      <c r="E3">
        <f xml:space="preserve"> I$35</f>
        <v>429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423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624</v>
      </c>
      <c r="C5" s="3" t="s">
        <v>623</v>
      </c>
      <c r="F5" s="3" t="s">
        <v>329</v>
      </c>
      <c r="G5" s="3" t="s">
        <v>330</v>
      </c>
      <c r="I5" s="3" t="s">
        <v>1775</v>
      </c>
      <c r="P5" s="3" t="s">
        <v>479</v>
      </c>
      <c r="Q5" s="3" t="s">
        <v>480</v>
      </c>
      <c r="S5" s="3" t="s">
        <v>1776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337</v>
      </c>
      <c r="I22">
        <f xml:space="preserve"> ROUND( MIN(AUD.RawX), AUD.DecimalPlaces)</f>
        <v>-0.97492999999999996</v>
      </c>
      <c r="R22" s="4" t="s">
        <v>487</v>
      </c>
      <c r="S22">
        <f xml:space="preserve"> ROUND( MIN(JOD.RawX), JOD.DecimalPlaces)</f>
        <v>-0.97492999999999996</v>
      </c>
    </row>
    <row r="23" spans="2:20" x14ac:dyDescent="0.2">
      <c r="H23" s="4" t="s">
        <v>338</v>
      </c>
      <c r="I23">
        <f xml:space="preserve"> ROUND(MAX(AUD.RawX), AUD.DecimalPlaces)</f>
        <v>0.97492999999999996</v>
      </c>
      <c r="R23" s="4" t="s">
        <v>488</v>
      </c>
      <c r="S23">
        <f xml:space="preserve"> ROUND(MAX(JOD.RawX), JOD.DecimalPlaces)</f>
        <v>0.97492999999999996</v>
      </c>
    </row>
    <row r="24" spans="2:20" x14ac:dyDescent="0.2">
      <c r="H24" s="4" t="s">
        <v>339</v>
      </c>
      <c r="I24">
        <f xml:space="preserve"> ROUND( MIN(AUD.RawY), AUD.DecimalPlaces)</f>
        <v>-1</v>
      </c>
      <c r="R24" s="4" t="s">
        <v>489</v>
      </c>
      <c r="S24">
        <f xml:space="preserve"> ROUND( MIN(JOD.RawY), JOD.DecimalPlaces)</f>
        <v>-1</v>
      </c>
    </row>
    <row r="25" spans="2:20" x14ac:dyDescent="0.2">
      <c r="H25" s="4" t="s">
        <v>340</v>
      </c>
      <c r="I25">
        <f xml:space="preserve"> ROUND(MAX(AUD.RawY), AUD.DecimalPlaces)</f>
        <v>0.90097000000000005</v>
      </c>
      <c r="R25" s="4" t="s">
        <v>490</v>
      </c>
      <c r="S25">
        <f xml:space="preserve"> ROUND(MAX(JOD.RawY), JOD.DecimalPlaces)</f>
        <v>0.90097000000000005</v>
      </c>
    </row>
    <row r="27" spans="2:20" x14ac:dyDescent="0.2">
      <c r="H27" s="4" t="s">
        <v>331</v>
      </c>
      <c r="I27" s="28">
        <v>1.625</v>
      </c>
      <c r="R27" s="4" t="s">
        <v>481</v>
      </c>
      <c r="S27" s="28">
        <f xml:space="preserve"> AUD.AreaMultiplier</f>
        <v>1.625</v>
      </c>
    </row>
    <row r="28" spans="2:20" x14ac:dyDescent="0.2">
      <c r="H28" s="4" t="s">
        <v>332</v>
      </c>
      <c r="I28">
        <f xml:space="preserve">  MAX(AUD.MaxY, - AUD.MinY)   /   MAX(AUD.MaxX, - AUD.MinX)</f>
        <v>1.0257146666940191</v>
      </c>
      <c r="R28" s="4" t="s">
        <v>482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333</v>
      </c>
      <c r="I29">
        <f xml:space="preserve"> VALUE(TEXT(SQRT(AUD.AreaMultiplier * BasicBBoxArea * AUD.Aspect), SVG.NumberFormatHeight))</f>
        <v>103</v>
      </c>
      <c r="R29" s="4" t="s">
        <v>483</v>
      </c>
      <c r="S29">
        <f xml:space="preserve"> VALUE(TEXT(SQRT(JOD.AreaMultiplier * BasicBBoxArea * JOD.Aspect), SVG.NumberFormatHeight))</f>
        <v>103</v>
      </c>
    </row>
    <row r="30" spans="2:20" x14ac:dyDescent="0.2">
      <c r="H30" s="4" t="s">
        <v>334</v>
      </c>
      <c r="I30">
        <f xml:space="preserve"> AUD.Height / AUD.Aspect</f>
        <v>100.41779</v>
      </c>
      <c r="J30" s="5"/>
      <c r="R30" s="4" t="s">
        <v>484</v>
      </c>
      <c r="S30" cm="1">
        <f t="array" ref="S30" xml:space="preserve"> JOD.Height / JOD.Aspect</f>
        <v>100.41779</v>
      </c>
      <c r="T30" s="5"/>
    </row>
    <row r="31" spans="2:20" x14ac:dyDescent="0.2">
      <c r="J31" s="5"/>
      <c r="T31" s="5"/>
    </row>
    <row r="32" spans="2:20" x14ac:dyDescent="0.2">
      <c r="H32" s="4" t="s">
        <v>335</v>
      </c>
      <c r="I32" t="s">
        <v>1074</v>
      </c>
      <c r="J32" s="5"/>
      <c r="R32" s="4" t="s">
        <v>485</v>
      </c>
      <c r="S32" t="s">
        <v>757</v>
      </c>
      <c r="T32" s="5"/>
    </row>
    <row r="33" spans="7:20" x14ac:dyDescent="0.2">
      <c r="H33" s="4" t="s">
        <v>336</v>
      </c>
      <c r="I33" t="s">
        <v>732</v>
      </c>
      <c r="J33" s="5"/>
      <c r="R33" s="4" t="s">
        <v>486</v>
      </c>
      <c r="S33" t="s">
        <v>2103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429</v>
      </c>
      <c r="J35" s="5"/>
      <c r="R35" s="5"/>
      <c r="S35" cm="1">
        <f t="array" ref="S35" xml:space="preserve"> SVG_length(JOD.svg)</f>
        <v>423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341</v>
      </c>
      <c r="J37" s="5"/>
      <c r="R37" s="5"/>
      <c r="S37" s="3" t="s">
        <v>491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width='100.41779' height='103'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width='100.41779' height='103'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id='s' d='" &amp; _xlfn.TEXTJOIN(" ", TRUE, AUD.svgWorking) &amp; "'/&gt;&lt;/defs&gt;"</f>
        <v>&lt;defs&gt;&lt;path id='s'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id='s' d='" &amp; _xlfn.TEXTJOIN(" ", TRUE, JOD.svgWorking) &amp; "'/&gt;&lt;/defs&gt;"</f>
        <v>&lt;defs&gt;&lt;path id='s'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href='#s' " &amp; IF(LEN(_xlfn.SINGLE(AUD.SVG_painting_Outer))&gt;0, TRIM(_xlfn.SINGLE(AUD.SVG_painting_Outer)), "") &amp; "/&gt;"</f>
        <v>&lt;use href='#s' fill='#00843D'/&gt;</v>
      </c>
      <c r="R40" s="5"/>
      <c r="S40" s="6" t="str">
        <f xml:space="preserve"> "&lt;use href='#s' " &amp; IF(LEN(_xlfn.SINGLE(JOD.SVG_painting_Outer))&gt;0, TRIM(_xlfn.SINGLE(JOD.SVG_painting_Outer)), "") &amp; "/&gt;"</f>
        <v>&lt;use href='#s' fill='#CE1126'/&gt;</v>
      </c>
    </row>
    <row r="41" spans="7:20" x14ac:dyDescent="0.2">
      <c r="G41" s="6"/>
      <c r="H41" s="5"/>
      <c r="I41" s="6" t="str">
        <f xml:space="preserve"> "&lt;use href='#s' " &amp; IF(LEN(_xlfn.SINGLE(AUD.SVG_painting_Inner))&gt;0, TRIM(_xlfn.SINGLE(AUD.SVG_painting_Inner)), "") &amp; " transform='scale(" &amp; ROUND(AUD.SizeInner/AUD.SizeOuter, DecimalPlaces) &amp; ")'/&gt;"</f>
        <v>&lt;use href='#s' fill='#FFCD00' transform='scale(0.65)'/&gt;</v>
      </c>
      <c r="R41" s="5"/>
      <c r="S41" s="6" t="str">
        <f xml:space="preserve"> "&lt;use href='#s' " &amp; IF(LEN(_xlfn.SINGLE(JOD.SVG_painting_Inner))&gt;0, TRIM(_xlfn.SINGLE(JOD.SVG_painting_Inner)), "") &amp; " transform='scale(" &amp; ROUND(JOD.SizeInner/JOD.SizeOuter, DecimalPlaces) &amp; ")'/&gt;"</f>
        <v>&lt;use href='#s'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1464</v>
      </c>
      <c r="F2" s="3" t="s">
        <v>119</v>
      </c>
    </row>
    <row r="3" spans="2:16" x14ac:dyDescent="0.2">
      <c r="B3">
        <v>5</v>
      </c>
      <c r="C3" s="6" t="s">
        <v>1477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1465</v>
      </c>
      <c r="C5" s="3" t="s">
        <v>5</v>
      </c>
      <c r="D5" s="3" t="s">
        <v>6</v>
      </c>
      <c r="F5" s="3" t="s">
        <v>22</v>
      </c>
      <c r="K5" s="3" t="s">
        <v>1466</v>
      </c>
      <c r="L5" s="3" t="s">
        <v>1467</v>
      </c>
      <c r="M5" s="3" t="s">
        <v>1468</v>
      </c>
      <c r="N5" s="3" t="s">
        <v>1469</v>
      </c>
      <c r="O5" s="3" t="s">
        <v>1470</v>
      </c>
      <c r="P5" s="3" t="s">
        <v>1471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1472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1473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</row>
    <row r="44" spans="2:16" x14ac:dyDescent="0.2">
      <c r="E44" s="4" t="s">
        <v>21</v>
      </c>
      <c r="F44">
        <f xml:space="preserve"> ROUND(MAX(GBP.RawY), GBP.DecimalPlaces)</f>
        <v>15</v>
      </c>
    </row>
    <row r="46" spans="2:16" x14ac:dyDescent="0.2">
      <c r="E46" s="4" t="s">
        <v>116</v>
      </c>
      <c r="F46" s="28">
        <v>1.125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</row>
    <row r="48" spans="2:16" x14ac:dyDescent="0.2">
      <c r="E48" s="4" t="s">
        <v>84</v>
      </c>
      <c r="F48">
        <f xml:space="preserve"> VALUE(TEXT(SQRT(GBP.AreaMultiplier * BasicBBoxArea * GBP.Aspect), SVG.NumberFormatHeight))</f>
        <v>60</v>
      </c>
    </row>
    <row r="49" spans="5:7" x14ac:dyDescent="0.2">
      <c r="E49" s="4" t="s">
        <v>83</v>
      </c>
      <c r="F49">
        <f xml:space="preserve"> GBP.Height / GBP.Aspect</f>
        <v>120</v>
      </c>
      <c r="G49" s="5"/>
    </row>
    <row r="50" spans="5:7" x14ac:dyDescent="0.2">
      <c r="G50" s="5"/>
    </row>
    <row r="51" spans="5:7" x14ac:dyDescent="0.2">
      <c r="E51" s="4" t="s">
        <v>1474</v>
      </c>
      <c r="F51" s="6" t="s">
        <v>1476</v>
      </c>
      <c r="G51" s="5"/>
    </row>
    <row r="52" spans="5:7" x14ac:dyDescent="0.2">
      <c r="E52" s="4" t="s">
        <v>1475</v>
      </c>
      <c r="F52" s="6" t="s">
        <v>729</v>
      </c>
      <c r="G52" s="5"/>
    </row>
    <row r="53" spans="5:7" x14ac:dyDescent="0.2">
      <c r="E53" s="5"/>
      <c r="F53" s="5"/>
      <c r="G53" s="5"/>
    </row>
    <row r="54" spans="5:7" x14ac:dyDescent="0.2">
      <c r="E54" s="5"/>
      <c r="F54" s="5"/>
      <c r="G54" s="5"/>
    </row>
    <row r="55" spans="5:7" ht="17" thickBot="1" x14ac:dyDescent="0.25">
      <c r="E55" s="5"/>
      <c r="F55" s="3" t="s">
        <v>93</v>
      </c>
      <c r="G55" s="5"/>
    </row>
    <row r="56" spans="5:7" x14ac:dyDescent="0.2">
      <c r="E56" s="5"/>
      <c r="F56" s="18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width='120' height='60' viewBox='-30 -15 60 30'  id='%thisID%' xmlns='http://www.w3.org/2000/svg'&gt;</v>
      </c>
    </row>
    <row r="57" spans="5:7" x14ac:dyDescent="0.2">
      <c r="E57" s="5"/>
      <c r="F57" s="6" t="str" cm="1">
        <f t="array" ref="F57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</row>
    <row r="58" spans="5:7" x14ac:dyDescent="0.2">
      <c r="E58" s="5"/>
      <c r="F58" s="6" t="str" cm="1">
        <f t="array" ref="F58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</row>
    <row r="59" spans="5:7" x14ac:dyDescent="0.2">
      <c r="E59" s="5"/>
      <c r="F59" s="6" t="s">
        <v>15</v>
      </c>
    </row>
    <row r="60" spans="5:7" x14ac:dyDescent="0.2">
      <c r="E60" s="5"/>
    </row>
    <row r="61" spans="5:7" x14ac:dyDescent="0.2">
      <c r="E61" s="5"/>
    </row>
    <row r="62" spans="5:7" x14ac:dyDescent="0.2">
      <c r="E62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1792</v>
      </c>
      <c r="D2" s="3" t="s">
        <v>1791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1763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104</v>
      </c>
    </row>
    <row r="44" spans="2:16" x14ac:dyDescent="0.2">
      <c r="E44" s="4" t="s">
        <v>87</v>
      </c>
      <c r="F44" cm="1">
        <f t="array" ref="F44" xml:space="preserve"> CAD.Height / CAD.Aspect</f>
        <v>107.39976</v>
      </c>
    </row>
    <row r="46" spans="2:16" x14ac:dyDescent="0.2">
      <c r="E46" s="4" t="s">
        <v>77</v>
      </c>
      <c r="F46" t="s">
        <v>739</v>
      </c>
    </row>
    <row r="47" spans="2:16" x14ac:dyDescent="0.2">
      <c r="E47" s="4" t="s">
        <v>78</v>
      </c>
      <c r="F47" t="s">
        <v>2103</v>
      </c>
    </row>
    <row r="49" spans="4:6" x14ac:dyDescent="0.2">
      <c r="E49" s="5"/>
      <c r="F49" s="5"/>
    </row>
    <row r="50" spans="4:6" ht="17" thickBot="1" x14ac:dyDescent="0.25">
      <c r="E50" s="5"/>
      <c r="F50" s="3" t="s">
        <v>92</v>
      </c>
    </row>
    <row r="51" spans="4:6" x14ac:dyDescent="0.2">
      <c r="D51" cm="1">
        <f t="array" ref="D51" xml:space="preserve"> SVG_length(CAD.svg)</f>
        <v>419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width='107.39976' height='104' viewBox='-1.03269 -1 2.06538 2'  id='%thisID%' xmlns='http://www.w3.org/2000/svg'&gt;</v>
      </c>
    </row>
    <row r="52" spans="4:6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</row>
    <row r="53" spans="4:6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</row>
    <row r="54" spans="4:6" x14ac:dyDescent="0.2">
      <c r="E54" s="5"/>
      <c r="F54" s="6" t="s">
        <v>15</v>
      </c>
    </row>
    <row r="55" spans="4:6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1793</v>
      </c>
      <c r="C2" s="3" t="s">
        <v>1794</v>
      </c>
      <c r="D2" s="3" t="s">
        <v>1698</v>
      </c>
      <c r="E2" s="3" t="s">
        <v>190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191</v>
      </c>
      <c r="C5" s="3" t="s">
        <v>192</v>
      </c>
      <c r="E5" s="3" t="s">
        <v>1762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197</v>
      </c>
      <c r="E14">
        <f xml:space="preserve"> ROUND( MIN(HKD.RawX), HKD.DecimalPlaces)</f>
        <v>-0.95106000000000002</v>
      </c>
    </row>
    <row r="15" spans="2:5" x14ac:dyDescent="0.2">
      <c r="D15" s="4" t="s">
        <v>198</v>
      </c>
      <c r="E15">
        <f xml:space="preserve"> ROUND(MAX(HKD.RawX), HKD.DecimalPlaces)</f>
        <v>0.95106000000000002</v>
      </c>
    </row>
    <row r="16" spans="2:5" x14ac:dyDescent="0.2">
      <c r="D16" s="4" t="s">
        <v>199</v>
      </c>
      <c r="E16">
        <f xml:space="preserve"> ROUND( MIN(HKD.RawY), HKD.DecimalPlaces)</f>
        <v>-0.80901999999999996</v>
      </c>
    </row>
    <row r="17" spans="4:6" x14ac:dyDescent="0.2">
      <c r="D17" s="4" t="s">
        <v>200</v>
      </c>
      <c r="E17">
        <f xml:space="preserve"> ROUND(MAX(HKD.RawY), HKD.DecimalPlaces)</f>
        <v>1</v>
      </c>
    </row>
    <row r="19" spans="4:6" x14ac:dyDescent="0.2">
      <c r="D19" s="4" t="s">
        <v>193</v>
      </c>
      <c r="E19" s="28">
        <v>1.25</v>
      </c>
    </row>
    <row r="20" spans="4:6" x14ac:dyDescent="0.2">
      <c r="D20" s="4" t="s">
        <v>194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195</v>
      </c>
      <c r="E21">
        <f xml:space="preserve"> VALUE(TEXT(SQRT(HKD.AreaMultiplier * BasicBBoxArea * HKD.Aspect), SVG.NumberFormatHeight))</f>
        <v>92</v>
      </c>
    </row>
    <row r="22" spans="4:6" x14ac:dyDescent="0.2">
      <c r="D22" s="4" t="s">
        <v>196</v>
      </c>
      <c r="E22" cm="1">
        <f t="array" ref="E22" xml:space="preserve"> HKD.Height / HKD.Aspect</f>
        <v>87.497520000000009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202</v>
      </c>
      <c r="E24" s="6" t="s">
        <v>739</v>
      </c>
      <c r="F24" s="5"/>
    </row>
    <row r="25" spans="4:6" x14ac:dyDescent="0.2">
      <c r="D25" s="4" t="s">
        <v>203</v>
      </c>
      <c r="E25" s="6" t="s">
        <v>2103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389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201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width='87.49752' height='92'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id='p' d='" &amp; _xlfn.TEXTJOIN(" ", TRUE, HKD.svgWorking) &amp; "'/&gt;&lt;/defs&gt;"</f>
        <v>&lt;defs&gt;&lt;path id='p' d='M0 -1 l.95106 .69098 L.58779 .80902 H-.58779 L-.95106 -.30902'/&gt;&lt;/defs&gt;</v>
      </c>
    </row>
    <row r="32" spans="4:6" x14ac:dyDescent="0.2">
      <c r="E32" s="6" t="str">
        <f xml:space="preserve"> "&lt;use href='#p' " &amp; IF(LEN(_xlfn.SINGLE(HKD.SVG_painting_R))&gt;0, TRIM(_xlfn.SINGLE(HKD.SVG_painting_R)), "") &amp; "/&gt;"
&amp; "&lt;use href='#p' " &amp; IF(LEN(_xlfn.SINGLE(HKD.SVG_painting_W))&gt;0, TRIM(_xlfn.SINGLE(HKD.SVG_painting_W)), "") &amp; " transform='scale(0.84)'/&gt;"
&amp; "&lt;use href='#p' " &amp; IF(LEN(_xlfn.SINGLE(HKD.SVG_painting_R))&gt;0, TRIM(_xlfn.SINGLE(HKD.SVG_painting_R)), "") &amp; " transform='scale(0.5)'/&gt;"
&amp; "&lt;use href='#p' " &amp; IF(LEN(_xlfn.SINGLE(HKD.SVG_painting_W))&gt;0, TRIM(_xlfn.SINGLE(HKD.SVG_painting_W)), "") &amp; " transform='scale(0.34)'/&gt;"</f>
        <v>&lt;use href='#p' fill='red'/&gt;&lt;use href='#p' fill='#FFF' transform='scale(0.84)'/&gt;&lt;use href='#p' fill='red' transform='scale(0.5)'/&gt;&lt;use href='#p'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205</v>
      </c>
      <c r="F2">
        <f xml:space="preserve"> DecimalPlaces + 1</f>
        <v>6</v>
      </c>
    </row>
    <row r="4" spans="5:6" x14ac:dyDescent="0.2">
      <c r="E4" s="4" t="s">
        <v>210</v>
      </c>
      <c r="F4">
        <f xml:space="preserve"> - KRW.Radius</f>
        <v>-1</v>
      </c>
    </row>
    <row r="5" spans="5:6" x14ac:dyDescent="0.2">
      <c r="E5" s="4" t="s">
        <v>211</v>
      </c>
      <c r="F5">
        <f xml:space="preserve"> KRW.Radius</f>
        <v>1</v>
      </c>
    </row>
    <row r="6" spans="5:6" x14ac:dyDescent="0.2">
      <c r="E6" s="4" t="s">
        <v>212</v>
      </c>
      <c r="F6">
        <f xml:space="preserve"> - KRW.Radius</f>
        <v>-1</v>
      </c>
    </row>
    <row r="7" spans="5:6" x14ac:dyDescent="0.2">
      <c r="E7" s="4" t="s">
        <v>213</v>
      </c>
      <c r="F7">
        <f xml:space="preserve"> KRW.Radius</f>
        <v>1</v>
      </c>
    </row>
    <row r="9" spans="5:6" x14ac:dyDescent="0.2">
      <c r="E9" s="4" t="s">
        <v>206</v>
      </c>
      <c r="F9" s="28">
        <f xml:space="preserve"> MODE(Circles.AreaMultiplier) * KRW.Radius^2</f>
        <v>1</v>
      </c>
    </row>
    <row r="10" spans="5:6" x14ac:dyDescent="0.2">
      <c r="E10" s="4" t="s">
        <v>207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208</v>
      </c>
      <c r="F11">
        <f xml:space="preserve"> VALUE(TEXT(SQRT(KRW.AreaMultiplier * BasicBBoxArea * KRW.Aspect), SVG.NumberFormatHeight))</f>
        <v>80</v>
      </c>
    </row>
    <row r="12" spans="5:6" x14ac:dyDescent="0.2">
      <c r="E12" s="4" t="s">
        <v>209</v>
      </c>
      <c r="F12" cm="1">
        <f t="array" ref="F12" xml:space="preserve"> KRW.Height / KRW.Aspect</f>
        <v>80</v>
      </c>
    </row>
    <row r="14" spans="5:6" x14ac:dyDescent="0.2">
      <c r="E14" s="4" t="s">
        <v>217</v>
      </c>
      <c r="F14">
        <v>1</v>
      </c>
    </row>
    <row r="15" spans="5:6" x14ac:dyDescent="0.2">
      <c r="E15" s="4" t="s">
        <v>218</v>
      </c>
      <c r="F15" s="6" t="s">
        <v>760</v>
      </c>
    </row>
    <row r="16" spans="5:6" x14ac:dyDescent="0.2">
      <c r="E16" s="4" t="s">
        <v>219</v>
      </c>
      <c r="F16" s="6" t="s">
        <v>761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215</v>
      </c>
      <c r="C19" s="3" t="s">
        <v>216</v>
      </c>
      <c r="D19" s="3" t="s">
        <v>220</v>
      </c>
      <c r="E19" s="5"/>
      <c r="F19" s="3" t="s">
        <v>214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width='80' height='80'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944</v>
      </c>
      <c r="H2" t="s">
        <v>221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222</v>
      </c>
      <c r="C5" s="3" t="s">
        <v>223</v>
      </c>
      <c r="E5" s="3" t="s">
        <v>224</v>
      </c>
      <c r="F5" s="3" t="s">
        <v>225</v>
      </c>
      <c r="H5" s="3" t="s">
        <v>226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231</v>
      </c>
      <c r="H36">
        <f xml:space="preserve"> ROUND( MIN(MYR.RawX), MYR.DecimalPlaces)</f>
        <v>-0.97492999999999996</v>
      </c>
    </row>
    <row r="37" spans="2:9" x14ac:dyDescent="0.2">
      <c r="G37" s="4" t="s">
        <v>232</v>
      </c>
      <c r="H37">
        <f xml:space="preserve"> ROUND(MAX(MYR.RawX), MYR.DecimalPlaces)</f>
        <v>0.97492999999999996</v>
      </c>
    </row>
    <row r="38" spans="2:9" x14ac:dyDescent="0.2">
      <c r="G38" s="4" t="s">
        <v>233</v>
      </c>
      <c r="H38">
        <f xml:space="preserve"> ROUND( MIN(MYR.RawY), MYR.DecimalPlaces)</f>
        <v>-1</v>
      </c>
    </row>
    <row r="39" spans="2:9" x14ac:dyDescent="0.2">
      <c r="G39" s="4" t="s">
        <v>234</v>
      </c>
      <c r="H39">
        <f xml:space="preserve"> ROUND(MAX(MYR.RawY), MYR.DecimalPlaces)</f>
        <v>0.90097000000000005</v>
      </c>
    </row>
    <row r="41" spans="2:9" x14ac:dyDescent="0.2">
      <c r="G41" s="4" t="s">
        <v>227</v>
      </c>
      <c r="H41" s="28">
        <f xml:space="preserve"> MODE(Squares.AreaMultiplier)</f>
        <v>0.85</v>
      </c>
    </row>
    <row r="42" spans="2:9" x14ac:dyDescent="0.2">
      <c r="G42" s="4" t="s">
        <v>228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229</v>
      </c>
      <c r="H43">
        <f xml:space="preserve"> VALUE(TEXT(SQRT(MYR.AreaMultiplier * BasicBBoxArea * MYR.Aspect), SVG.NumberFormatHeight))</f>
        <v>75</v>
      </c>
    </row>
    <row r="44" spans="2:9" x14ac:dyDescent="0.2">
      <c r="G44" s="4" t="s">
        <v>230</v>
      </c>
      <c r="H44" cm="1">
        <f t="array" ref="H44" xml:space="preserve"> MYR.Height / MYR.Aspect</f>
        <v>73.119749999999996</v>
      </c>
      <c r="I44" s="5"/>
    </row>
    <row r="45" spans="2:9" x14ac:dyDescent="0.2">
      <c r="I45" s="5"/>
    </row>
    <row r="46" spans="2:9" x14ac:dyDescent="0.2">
      <c r="G46" s="4" t="s">
        <v>941</v>
      </c>
      <c r="H46" t="s">
        <v>942</v>
      </c>
      <c r="I46" s="5"/>
    </row>
    <row r="47" spans="2:9" x14ac:dyDescent="0.2">
      <c r="G47" s="4" t="s">
        <v>940</v>
      </c>
      <c r="H47" t="s">
        <v>943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235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width='73.11975' height='75'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1582</v>
      </c>
      <c r="E2" t="s">
        <v>237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468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238</v>
      </c>
      <c r="C5" s="3" t="s">
        <v>239</v>
      </c>
      <c r="E5" s="3" t="s">
        <v>1761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244</v>
      </c>
      <c r="E40">
        <f xml:space="preserve"> ROUND(PHP.Radius* MIN(PHP.RawX), PHP.DecimalPlaces)</f>
        <v>-1.41421</v>
      </c>
    </row>
    <row r="41" spans="2:5" x14ac:dyDescent="0.2">
      <c r="D41" s="4" t="s">
        <v>245</v>
      </c>
      <c r="E41">
        <f xml:space="preserve"> ROUND(PHP.Radius*MAX(PHP.RawX), PHP.DecimalPlaces)</f>
        <v>1.41421</v>
      </c>
    </row>
    <row r="42" spans="2:5" x14ac:dyDescent="0.2">
      <c r="D42" s="4" t="s">
        <v>246</v>
      </c>
      <c r="E42">
        <f xml:space="preserve"> ROUND(PHP.Radius* MIN(PHP.RawY), PHP.DecimalPlaces)</f>
        <v>-1.41421</v>
      </c>
    </row>
    <row r="43" spans="2:5" x14ac:dyDescent="0.2">
      <c r="D43" s="4" t="s">
        <v>247</v>
      </c>
      <c r="E43">
        <f xml:space="preserve"> ROUND(PHP.Radius*MAX(PHP.RawY), PHP.DecimalPlaces)</f>
        <v>1.41421</v>
      </c>
    </row>
    <row r="45" spans="2:5" x14ac:dyDescent="0.2">
      <c r="D45" s="4" t="s">
        <v>240</v>
      </c>
      <c r="E45" s="28">
        <v>1.25</v>
      </c>
    </row>
    <row r="46" spans="2:5" x14ac:dyDescent="0.2">
      <c r="D46" s="4" t="s">
        <v>241</v>
      </c>
      <c r="E46">
        <f xml:space="preserve">  MAX(PHP.MaxY, - PHP.MinY)   /   MAX(PHP.MaxX, - PHP.MinX)</f>
        <v>1</v>
      </c>
    </row>
    <row r="47" spans="2:5" x14ac:dyDescent="0.2">
      <c r="D47" s="4" t="s">
        <v>242</v>
      </c>
      <c r="E47">
        <f xml:space="preserve"> VALUE(TEXT(SQRT(PHP.AreaMultiplier * BasicBBoxArea * PHP.Aspect), SVG.NumberFormatHeight))</f>
        <v>89</v>
      </c>
    </row>
    <row r="48" spans="2:5" x14ac:dyDescent="0.2">
      <c r="D48" s="4" t="s">
        <v>243</v>
      </c>
      <c r="E48" cm="1">
        <f t="array" ref="E48" xml:space="preserve"> PHP.Height / PHP.Aspect</f>
        <v>89</v>
      </c>
    </row>
    <row r="49" spans="4:6" x14ac:dyDescent="0.2">
      <c r="F49" s="5"/>
    </row>
    <row r="50" spans="4:6" x14ac:dyDescent="0.2">
      <c r="D50" s="4" t="s">
        <v>250</v>
      </c>
      <c r="E50" s="6" t="s">
        <v>1068</v>
      </c>
      <c r="F50" s="5"/>
    </row>
    <row r="51" spans="4:6" x14ac:dyDescent="0.2">
      <c r="D51" s="4" t="s">
        <v>1583</v>
      </c>
      <c r="E51" s="6" t="s">
        <v>762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248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width='89' height='89'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286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292</v>
      </c>
      <c r="H4">
        <f xml:space="preserve"> INR.Radius</f>
        <v>16</v>
      </c>
    </row>
    <row r="5" spans="5:8" x14ac:dyDescent="0.2">
      <c r="G5" s="4" t="s">
        <v>294</v>
      </c>
      <c r="H5">
        <f xml:space="preserve"> INR.MaxX</f>
        <v>16</v>
      </c>
    </row>
    <row r="6" spans="5:8" x14ac:dyDescent="0.2">
      <c r="G6" s="4" t="s">
        <v>291</v>
      </c>
      <c r="H6">
        <f xml:space="preserve"> - INR.MaxX</f>
        <v>-16</v>
      </c>
    </row>
    <row r="7" spans="5:8" x14ac:dyDescent="0.2">
      <c r="G7" s="4" t="s">
        <v>293</v>
      </c>
      <c r="H7">
        <f xml:space="preserve"> - INR.MaxY</f>
        <v>-16</v>
      </c>
    </row>
    <row r="9" spans="5:8" x14ac:dyDescent="0.2">
      <c r="G9" s="4" t="s">
        <v>287</v>
      </c>
      <c r="H9" s="28">
        <f xml:space="preserve"> MODE(Circles.AreaMultiplier)</f>
        <v>1</v>
      </c>
    </row>
    <row r="10" spans="5:8" x14ac:dyDescent="0.2">
      <c r="G10" s="4" t="s">
        <v>288</v>
      </c>
      <c r="H10">
        <f xml:space="preserve">  MAX(INR.MaxY, - INR.MinY)   /   MAX(INR.MaxX, - INR.MinX)</f>
        <v>1</v>
      </c>
    </row>
    <row r="11" spans="5:8" x14ac:dyDescent="0.2">
      <c r="G11" s="4" t="s">
        <v>289</v>
      </c>
      <c r="H11">
        <f xml:space="preserve"> VALUE(TEXT(SQRT(INR.AreaMultiplier * BasicBBoxArea * INR.Aspect), SVG.NumberFormatHeight))</f>
        <v>80</v>
      </c>
    </row>
    <row r="12" spans="5:8" x14ac:dyDescent="0.2">
      <c r="G12" s="4" t="s">
        <v>290</v>
      </c>
      <c r="H12" cm="1">
        <f t="array" ref="H12" xml:space="preserve"> INR.Height / INR.Aspect</f>
        <v>80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300</v>
      </c>
      <c r="H14">
        <v>16</v>
      </c>
    </row>
    <row r="15" spans="5:8" x14ac:dyDescent="0.2">
      <c r="G15" s="4" t="s">
        <v>1720</v>
      </c>
      <c r="H15">
        <f xml:space="preserve"> 17/48</f>
        <v>0.35416666666666669</v>
      </c>
    </row>
    <row r="16" spans="5:8" x14ac:dyDescent="0.2">
      <c r="G16" s="4" t="s">
        <v>1721</v>
      </c>
      <c r="H16">
        <v>8.1500000000000003E-2</v>
      </c>
    </row>
    <row r="17" spans="2:8" x14ac:dyDescent="0.2">
      <c r="G17" s="4" t="s">
        <v>298</v>
      </c>
      <c r="H17" s="6" t="s">
        <v>765</v>
      </c>
    </row>
    <row r="18" spans="2:8" x14ac:dyDescent="0.2">
      <c r="G18" s="4" t="s">
        <v>299</v>
      </c>
      <c r="H18" s="6" t="s">
        <v>2103</v>
      </c>
    </row>
    <row r="20" spans="2:8" ht="17" thickBot="1" x14ac:dyDescent="0.25">
      <c r="B20" s="3" t="s">
        <v>296</v>
      </c>
      <c r="C20" s="3" t="s">
        <v>301</v>
      </c>
      <c r="D20" s="3" t="s">
        <v>302</v>
      </c>
      <c r="E20" s="3" t="s">
        <v>1777</v>
      </c>
      <c r="F20" s="3" t="s">
        <v>1778</v>
      </c>
      <c r="H20" s="39" t="s">
        <v>1515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295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width='80' height='80'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268</v>
      </c>
      <c r="I2">
        <v>1</v>
      </c>
    </row>
    <row r="3" spans="6:9" x14ac:dyDescent="0.2">
      <c r="F3" cm="1">
        <f t="array" ref="F3" xml:space="preserve"> SVG_length(KZT.svg)</f>
        <v>352</v>
      </c>
      <c r="H3" s="4" t="s">
        <v>263</v>
      </c>
      <c r="I3">
        <f xml:space="preserve"> DecimalPlaces - INT(LOG(KZT.Radius, 10) + 0.2)</f>
        <v>5</v>
      </c>
    </row>
    <row r="5" spans="6:9" x14ac:dyDescent="0.2">
      <c r="H5" s="4" t="s">
        <v>269</v>
      </c>
      <c r="I5" s="36" t="s">
        <v>763</v>
      </c>
    </row>
    <row r="6" spans="6:9" x14ac:dyDescent="0.2">
      <c r="H6" s="4" t="s">
        <v>275</v>
      </c>
      <c r="I6" s="36" t="s">
        <v>764</v>
      </c>
    </row>
    <row r="8" spans="6:9" x14ac:dyDescent="0.2">
      <c r="H8" s="4" t="s">
        <v>270</v>
      </c>
      <c r="I8">
        <f xml:space="preserve"> - KZT.Radius</f>
        <v>-1</v>
      </c>
    </row>
    <row r="9" spans="6:9" x14ac:dyDescent="0.2">
      <c r="H9" s="4" t="s">
        <v>271</v>
      </c>
      <c r="I9">
        <f xml:space="preserve"> KZT.Radius</f>
        <v>1</v>
      </c>
    </row>
    <row r="10" spans="6:9" x14ac:dyDescent="0.2">
      <c r="H10" s="4" t="s">
        <v>272</v>
      </c>
      <c r="I10">
        <f xml:space="preserve"> - KZT.Radius</f>
        <v>-1</v>
      </c>
    </row>
    <row r="11" spans="6:9" x14ac:dyDescent="0.2">
      <c r="H11" s="4" t="s">
        <v>273</v>
      </c>
      <c r="I11">
        <f xml:space="preserve"> KZT.Radius</f>
        <v>1</v>
      </c>
    </row>
    <row r="13" spans="6:9" x14ac:dyDescent="0.2">
      <c r="H13" s="4" t="s">
        <v>264</v>
      </c>
      <c r="I13" s="28">
        <f xml:space="preserve"> MODE(Circles.AreaMultiplier) * KZT.Radius^2</f>
        <v>1</v>
      </c>
    </row>
    <row r="14" spans="6:9" x14ac:dyDescent="0.2">
      <c r="H14" s="4" t="s">
        <v>265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266</v>
      </c>
      <c r="I15">
        <f xml:space="preserve"> VALUE(TEXT(SQRT(KZT.AreaMultiplier * BasicBBoxArea * KZT.Aspect), SVG.NumberFormatHeight))</f>
        <v>80</v>
      </c>
    </row>
    <row r="16" spans="6:9" x14ac:dyDescent="0.2">
      <c r="H16" s="4" t="s">
        <v>267</v>
      </c>
      <c r="I16">
        <f xml:space="preserve"> KZT.Height / KZT.Aspect</f>
        <v>80</v>
      </c>
    </row>
    <row r="17" spans="2:9" x14ac:dyDescent="0.2">
      <c r="H17" s="5"/>
      <c r="I17" s="5"/>
    </row>
    <row r="18" spans="2:9" ht="17" thickBot="1" x14ac:dyDescent="0.25">
      <c r="D18" s="3" t="s">
        <v>283</v>
      </c>
      <c r="E18" s="3" t="s">
        <v>282</v>
      </c>
      <c r="H18" s="4" t="s">
        <v>284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285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276</v>
      </c>
      <c r="C21" s="3" t="s">
        <v>277</v>
      </c>
      <c r="D21" s="3" t="s">
        <v>278</v>
      </c>
      <c r="E21" s="3" t="s">
        <v>279</v>
      </c>
      <c r="F21" s="3" t="s">
        <v>280</v>
      </c>
      <c r="G21" s="3" t="s">
        <v>281</v>
      </c>
      <c r="H21" s="5"/>
      <c r="I21" s="3" t="s">
        <v>274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width='80' height='80'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id='a' fill='#F6E500' d='M 0.70711 0.70711 L 0.50683 0.22361 A 0.21677 0.21677 0 1 0 0.22361 0.50683 Z'/&gt;</v>
      </c>
    </row>
    <row r="25" spans="2:9" x14ac:dyDescent="0.2">
      <c r="H25" s="5"/>
      <c r="I25" s="36" t="s">
        <v>1631</v>
      </c>
    </row>
    <row r="26" spans="2:9" x14ac:dyDescent="0.2">
      <c r="H26" s="5"/>
      <c r="I26" s="36" t="s">
        <v>1632</v>
      </c>
    </row>
    <row r="27" spans="2:9" x14ac:dyDescent="0.2">
      <c r="H27" s="5"/>
      <c r="I27" s="36" t="s">
        <v>1633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303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326</v>
      </c>
      <c r="F5">
        <v>18</v>
      </c>
    </row>
    <row r="6" spans="2:16" x14ac:dyDescent="0.2">
      <c r="E6" s="5"/>
    </row>
    <row r="7" spans="2:16" ht="17" thickBot="1" x14ac:dyDescent="0.25">
      <c r="B7" s="3" t="s">
        <v>304</v>
      </c>
      <c r="C7" s="3" t="s">
        <v>305</v>
      </c>
      <c r="D7" s="3" t="s">
        <v>306</v>
      </c>
      <c r="F7" s="3" t="s">
        <v>1760</v>
      </c>
      <c r="K7" s="3" t="s">
        <v>309</v>
      </c>
      <c r="L7" s="3" t="s">
        <v>310</v>
      </c>
      <c r="M7" s="3" t="s">
        <v>311</v>
      </c>
      <c r="N7" s="3" t="s">
        <v>312</v>
      </c>
      <c r="O7" s="3" t="s">
        <v>313</v>
      </c>
      <c r="P7" s="3" t="s">
        <v>314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307</v>
      </c>
      <c r="F22">
        <f xml:space="preserve"> PLN.HalfSize / 9</f>
        <v>2</v>
      </c>
    </row>
    <row r="23" spans="2:16" x14ac:dyDescent="0.2">
      <c r="E23" s="4" t="s">
        <v>308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319</v>
      </c>
      <c r="F46">
        <f xml:space="preserve"> ROUND( MIN(PLN.RawX), PLN.DecimalPlaces)</f>
        <v>-18</v>
      </c>
    </row>
    <row r="47" spans="2:16" x14ac:dyDescent="0.2">
      <c r="E47" s="4" t="s">
        <v>320</v>
      </c>
      <c r="F47">
        <f xml:space="preserve"> ROUND(MAX(PLN.RawX), PLN.DecimalPlaces)</f>
        <v>18</v>
      </c>
    </row>
    <row r="48" spans="2:16" x14ac:dyDescent="0.2">
      <c r="E48" s="4" t="s">
        <v>321</v>
      </c>
      <c r="F48">
        <f xml:space="preserve"> ROUND( MIN(PLN.RawY), PLN.DecimalPlaces)</f>
        <v>-18</v>
      </c>
    </row>
    <row r="49" spans="3:6" x14ac:dyDescent="0.2">
      <c r="E49" s="4" t="s">
        <v>322</v>
      </c>
      <c r="F49">
        <f xml:space="preserve"> ROUND(MAX(PLN.RawY), PLN.DecimalPlaces)</f>
        <v>18</v>
      </c>
    </row>
    <row r="51" spans="3:6" x14ac:dyDescent="0.2">
      <c r="E51" s="4" t="s">
        <v>315</v>
      </c>
      <c r="F51" s="28">
        <v>1.25</v>
      </c>
    </row>
    <row r="52" spans="3:6" x14ac:dyDescent="0.2">
      <c r="E52" s="4" t="s">
        <v>316</v>
      </c>
      <c r="F52">
        <f xml:space="preserve">  MAX(PLN.MaxY, - PLN.MinY)   /   MAX(PLN.MaxX, - PLN.MinX)</f>
        <v>1</v>
      </c>
    </row>
    <row r="53" spans="3:6" x14ac:dyDescent="0.2">
      <c r="E53" s="4" t="s">
        <v>317</v>
      </c>
      <c r="F53">
        <f xml:space="preserve"> VALUE(TEXT(SQRT(PLN.AreaMultiplier* BasicBBoxArea * PLN.Aspect), SVG.NumberFormatHeight))</f>
        <v>89</v>
      </c>
    </row>
    <row r="54" spans="3:6" x14ac:dyDescent="0.2">
      <c r="E54" s="4" t="s">
        <v>318</v>
      </c>
      <c r="F54" cm="1">
        <f t="array" ref="F54" xml:space="preserve"> PLN.Height / PLN.Aspect</f>
        <v>89</v>
      </c>
    </row>
    <row r="56" spans="3:6" x14ac:dyDescent="0.2">
      <c r="E56" s="4" t="s">
        <v>324</v>
      </c>
      <c r="F56" s="6" t="s">
        <v>766</v>
      </c>
    </row>
    <row r="57" spans="3:6" x14ac:dyDescent="0.2">
      <c r="E57" s="4" t="s">
        <v>325</v>
      </c>
      <c r="F57" s="6" t="s">
        <v>2103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323</v>
      </c>
    </row>
    <row r="62" spans="3:6" x14ac:dyDescent="0.2">
      <c r="C62" cm="1">
        <f t="array" ref="C62" xml:space="preserve"> SVG_length(PLN.svg)</f>
        <v>356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width='89' height='89'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378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393</v>
      </c>
      <c r="C4" s="3" t="s">
        <v>379</v>
      </c>
      <c r="D4" s="3" t="s">
        <v>380</v>
      </c>
      <c r="F4" s="3" t="s">
        <v>1759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385</v>
      </c>
      <c r="F37">
        <f xml:space="preserve"> ROUND( MIN(RON.RawX), RON.DecimalPlaces)</f>
        <v>-8</v>
      </c>
    </row>
    <row r="38" spans="3:7" x14ac:dyDescent="0.2">
      <c r="E38" s="4" t="s">
        <v>386</v>
      </c>
      <c r="F38">
        <f xml:space="preserve"> ROUND(MAX(RON.RawX), RON.DecimalPlaces)</f>
        <v>8</v>
      </c>
    </row>
    <row r="39" spans="3:7" x14ac:dyDescent="0.2">
      <c r="E39" s="4" t="s">
        <v>387</v>
      </c>
      <c r="F39">
        <f xml:space="preserve"> ROUND( MIN(RON.RawY), RON.DecimalPlaces)</f>
        <v>-9</v>
      </c>
    </row>
    <row r="40" spans="3:7" x14ac:dyDescent="0.2">
      <c r="E40" s="4" t="s">
        <v>388</v>
      </c>
      <c r="F40">
        <f xml:space="preserve"> ROUND(MAX(RON.RawY), RON.DecimalPlaces)</f>
        <v>9</v>
      </c>
    </row>
    <row r="42" spans="3:7" x14ac:dyDescent="0.2">
      <c r="E42" s="4" t="s">
        <v>391</v>
      </c>
      <c r="F42" s="6" t="s">
        <v>1512</v>
      </c>
    </row>
    <row r="43" spans="3:7" x14ac:dyDescent="0.2">
      <c r="E43" s="4" t="s">
        <v>392</v>
      </c>
      <c r="F43" s="6" t="s">
        <v>767</v>
      </c>
    </row>
    <row r="44" spans="3:7" x14ac:dyDescent="0.2">
      <c r="E44" s="4" t="s">
        <v>390</v>
      </c>
      <c r="F44" s="6" t="s">
        <v>768</v>
      </c>
    </row>
    <row r="45" spans="3:7" x14ac:dyDescent="0.2">
      <c r="G45" s="5"/>
    </row>
    <row r="46" spans="3:7" x14ac:dyDescent="0.2">
      <c r="E46" s="4" t="s">
        <v>381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382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383</v>
      </c>
      <c r="F48">
        <f xml:space="preserve"> VALUE(TEXT(SQRT( RON.AreaMultiplier * BasicBBoxArea *  RON.Aspect), SVG.NumberFormatHeight))</f>
        <v>86</v>
      </c>
      <c r="G48" s="5"/>
    </row>
    <row r="49" spans="5:7" x14ac:dyDescent="0.2">
      <c r="E49" s="4" t="s">
        <v>384</v>
      </c>
      <c r="F49" cm="1">
        <f t="array" ref="F49" xml:space="preserve">  RON.Height /  RON.Aspect</f>
        <v>76.444444444444443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389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width='76.44444' height='86'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2089</v>
      </c>
      <c r="C2" s="3" t="s">
        <v>2090</v>
      </c>
      <c r="F2" t="s">
        <v>396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2085</v>
      </c>
      <c r="C5" s="3" t="s">
        <v>2086</v>
      </c>
      <c r="D5" s="3" t="s">
        <v>2087</v>
      </c>
      <c r="F5" s="3" t="s">
        <v>2088</v>
      </c>
    </row>
    <row r="6" spans="2:6" x14ac:dyDescent="0.2">
      <c r="B6" t="s">
        <v>1026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1026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1026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1026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1026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1026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1026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1026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1026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1026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1026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1026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1026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1026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1026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1026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1026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1026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1026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1026</v>
      </c>
      <c r="C25">
        <f xml:space="preserve"> MKD.Big</f>
        <v>7</v>
      </c>
      <c r="D25">
        <v>1</v>
      </c>
      <c r="F25" t="str">
        <v>L7 1Z</v>
      </c>
      <c r="J25" t="s">
        <v>2094</v>
      </c>
    </row>
    <row r="26" spans="2:10" x14ac:dyDescent="0.2">
      <c r="J26" t="s">
        <v>2095</v>
      </c>
    </row>
    <row r="27" spans="2:10" x14ac:dyDescent="0.2">
      <c r="B27" t="s">
        <v>1030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1030</v>
      </c>
      <c r="C28">
        <v>-1</v>
      </c>
      <c r="D28">
        <f xml:space="preserve"> MKD.Big</f>
        <v>7</v>
      </c>
      <c r="F28" t="str">
        <v>H-1</v>
      </c>
      <c r="J28" t="s">
        <v>2096</v>
      </c>
    </row>
    <row r="29" spans="2:10" x14ac:dyDescent="0.2">
      <c r="B29" t="s">
        <v>1030</v>
      </c>
      <c r="C29">
        <v>1</v>
      </c>
      <c r="D29">
        <f xml:space="preserve"> - MKD.Big</f>
        <v>-7</v>
      </c>
      <c r="F29" t="str">
        <v>L1 -7</v>
      </c>
      <c r="J29" t="s">
        <v>2097</v>
      </c>
    </row>
    <row r="30" spans="2:10" x14ac:dyDescent="0.2">
      <c r="B30" t="s">
        <v>1030</v>
      </c>
      <c r="C30">
        <v>-1</v>
      </c>
      <c r="D30">
        <f xml:space="preserve"> - MKD.Big</f>
        <v>-7</v>
      </c>
      <c r="F30" t="str">
        <v>H-1Z</v>
      </c>
      <c r="J30" t="s">
        <v>2098</v>
      </c>
    </row>
    <row r="32" spans="2:10" x14ac:dyDescent="0.2">
      <c r="B32" t="s">
        <v>1030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1030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1030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1030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1030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1030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1030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1030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1030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1030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1030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1030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1030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1030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1030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1030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401</v>
      </c>
      <c r="F52">
        <f xml:space="preserve"> ROUND( MIN(MKD.RawX), MKD.DecimalPlaces)</f>
        <v>-7</v>
      </c>
    </row>
    <row r="53" spans="2:7" x14ac:dyDescent="0.2">
      <c r="E53" s="4" t="s">
        <v>402</v>
      </c>
      <c r="F53">
        <f xml:space="preserve"> ROUND(MAX(MKD.RawX), MKD.DecimalPlaces)</f>
        <v>7</v>
      </c>
    </row>
    <row r="54" spans="2:7" x14ac:dyDescent="0.2">
      <c r="E54" s="4" t="s">
        <v>403</v>
      </c>
      <c r="F54">
        <f xml:space="preserve"> ROUND( MIN(MKD.RawY), MKD.DecimalPlaces)</f>
        <v>-7</v>
      </c>
    </row>
    <row r="55" spans="2:7" x14ac:dyDescent="0.2">
      <c r="E55" s="4" t="s">
        <v>404</v>
      </c>
      <c r="F55">
        <f xml:space="preserve"> ROUND(MAX(MKD.RawY), MKD.DecimalPlaces)</f>
        <v>7</v>
      </c>
    </row>
    <row r="57" spans="2:7" x14ac:dyDescent="0.2">
      <c r="E57" s="4" t="s">
        <v>1027</v>
      </c>
      <c r="F57" s="6" t="s">
        <v>769</v>
      </c>
    </row>
    <row r="58" spans="2:7" x14ac:dyDescent="0.2">
      <c r="E58" s="4" t="s">
        <v>1028</v>
      </c>
      <c r="F58" s="6" t="s">
        <v>770</v>
      </c>
    </row>
    <row r="59" spans="2:7" x14ac:dyDescent="0.2">
      <c r="G59" s="5"/>
    </row>
    <row r="60" spans="2:7" x14ac:dyDescent="0.2">
      <c r="E60" s="4" t="s">
        <v>397</v>
      </c>
      <c r="F60">
        <f xml:space="preserve"> MODE(Squares.AreaMultiplier)</f>
        <v>0.85</v>
      </c>
      <c r="G60" s="5"/>
    </row>
    <row r="61" spans="2:7" x14ac:dyDescent="0.2">
      <c r="E61" s="4" t="s">
        <v>398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399</v>
      </c>
      <c r="F62">
        <f xml:space="preserve"> VALUE(TEXT(SQRT( MKD.AreaMultiplier * BasicBBoxArea *  MKD.Aspect), SVG.NumberFormatHeight))</f>
        <v>74</v>
      </c>
      <c r="G62" s="5"/>
    </row>
    <row r="63" spans="2:7" x14ac:dyDescent="0.2">
      <c r="E63" s="4" t="s">
        <v>400</v>
      </c>
      <c r="F63">
        <f xml:space="preserve">  MKD.Height /  MKD.Aspect</f>
        <v>74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1029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405</v>
      </c>
    </row>
    <row r="70" spans="4:7" x14ac:dyDescent="0.2">
      <c r="D70" cm="1">
        <f t="array" ref="D70" xml:space="preserve"> SVG_length(MKD.svg)</f>
        <v>386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width='74' height='74'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2091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918</v>
      </c>
      <c r="F2" s="3" t="s">
        <v>916</v>
      </c>
      <c r="G2" s="3" t="s">
        <v>917</v>
      </c>
      <c r="H2" s="3" t="s">
        <v>919</v>
      </c>
      <c r="I2" s="3" t="s">
        <v>920</v>
      </c>
      <c r="J2" s="5"/>
      <c r="K2" s="3" t="s">
        <v>922</v>
      </c>
      <c r="L2" s="3" t="s">
        <v>923</v>
      </c>
      <c r="N2" s="39" t="s">
        <v>1516</v>
      </c>
      <c r="O2" s="39" t="s">
        <v>921</v>
      </c>
    </row>
    <row r="3" spans="2:15" x14ac:dyDescent="0.2">
      <c r="B3" s="4" t="s">
        <v>908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width='100' height='100'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910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id='c' fill='red' d='M 20.4599 -7.0324  A 104 104 0 0 1 -20.4599 -7.0324 L -20.4599 7.0324  A 104 104 0 0 1  20.4599 7.0324 Z'/&gt;</v>
      </c>
    </row>
    <row r="6" spans="2:15" x14ac:dyDescent="0.2">
      <c r="B6" s="4" t="s">
        <v>907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1634</v>
      </c>
    </row>
    <row r="7" spans="2:15" x14ac:dyDescent="0.2">
      <c r="B7" s="4" t="s">
        <v>909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id='b' fill='#FFF' d='M 18.1869 -4.5719  A 106 106 0 0 1 -18.1869 -4.5719 L -18.1869 4.5719  A 106 106 0 0 1  18.1869 4.5719 Z'/&gt;</v>
      </c>
    </row>
    <row r="9" spans="2:15" x14ac:dyDescent="0.2">
      <c r="B9" s="4" t="s">
        <v>911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1635</v>
      </c>
    </row>
    <row r="10" spans="2:15" x14ac:dyDescent="0.2">
      <c r="B10" s="5"/>
    </row>
    <row r="11" spans="2:15" x14ac:dyDescent="0.2">
      <c r="B11" s="4" t="s">
        <v>912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id='a' fill='red' d='M 16.0417 -2.198  A 108 108 0 0 1 -16.0417 -2.198 L -16.0417 2.198  A 108 108 0 0 1  16.0417 2.198 Z'/&gt;</v>
      </c>
    </row>
    <row r="12" spans="2:15" x14ac:dyDescent="0.2">
      <c r="B12" s="4" t="s">
        <v>913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1636</v>
      </c>
    </row>
    <row r="13" spans="2:15" x14ac:dyDescent="0.2">
      <c r="B13" s="4"/>
    </row>
    <row r="14" spans="2:15" x14ac:dyDescent="0.2">
      <c r="B14" s="4" t="s">
        <v>914</v>
      </c>
      <c r="C14">
        <f xml:space="preserve"> VALUE(TEXT(SQRT(GEL.AreaMultiplier* BasicBBoxArea * GEL.Aspect), SVG.NumberFormatHeight))</f>
        <v>100</v>
      </c>
      <c r="O14" s="6" t="s">
        <v>15</v>
      </c>
    </row>
    <row r="15" spans="2:15" x14ac:dyDescent="0.2">
      <c r="B15" s="4" t="s">
        <v>915</v>
      </c>
      <c r="C15" cm="1">
        <f t="array" ref="C15" xml:space="preserve"> GEL.Height / GEL.Aspect</f>
        <v>100</v>
      </c>
      <c r="O15"/>
    </row>
    <row r="16" spans="2:15" x14ac:dyDescent="0.2">
      <c r="O16"/>
    </row>
    <row r="17" spans="2:15" x14ac:dyDescent="0.2">
      <c r="B17" s="4" t="s">
        <v>1517</v>
      </c>
      <c r="C17" t="s">
        <v>739</v>
      </c>
      <c r="O17"/>
    </row>
    <row r="18" spans="2:15" x14ac:dyDescent="0.2">
      <c r="B18" s="4" t="s">
        <v>1518</v>
      </c>
      <c r="C18" t="s">
        <v>2103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925</v>
      </c>
      <c r="O20"/>
    </row>
    <row r="21" spans="2:15" x14ac:dyDescent="0.2">
      <c r="B21" s="4" t="s">
        <v>924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2074</v>
      </c>
      <c r="C2" s="3" t="s">
        <v>2076</v>
      </c>
      <c r="D2" s="3" t="s">
        <v>2077</v>
      </c>
      <c r="E2" s="5"/>
      <c r="F2" s="5"/>
      <c r="G2" s="5"/>
      <c r="I2" s="77" t="s">
        <v>2063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1519</v>
      </c>
      <c r="C5" s="3" t="s">
        <v>2064</v>
      </c>
      <c r="D5" s="3" t="s">
        <v>2073</v>
      </c>
      <c r="E5" s="77" t="s">
        <v>2065</v>
      </c>
      <c r="F5" s="77" t="s">
        <v>2066</v>
      </c>
      <c r="G5" s="77" t="s">
        <v>2081</v>
      </c>
      <c r="H5" s="77" t="s">
        <v>2082</v>
      </c>
      <c r="I5" s="77" t="s">
        <v>2083</v>
      </c>
      <c r="K5" s="3" t="s">
        <v>2067</v>
      </c>
    </row>
    <row r="7" spans="2:11" x14ac:dyDescent="0.2">
      <c r="B7" t="s">
        <v>2075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2075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2075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2100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2100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2100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2100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2100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2100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2100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2100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2100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2100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2100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2100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2100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2100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2100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1024</v>
      </c>
      <c r="K35" s="31" t="s">
        <v>2099</v>
      </c>
    </row>
    <row r="36" spans="2:11" x14ac:dyDescent="0.2">
      <c r="B36" t="s">
        <v>1024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1024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1024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1024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1024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1024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1024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1024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1024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1024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2145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2145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2145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2145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2145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880</v>
      </c>
      <c r="K70" s="31">
        <f xml:space="preserve"> ROUND(MAX(RUB.X), RUB.DecimalPlaces)</f>
        <v>0.95106000000000002</v>
      </c>
    </row>
    <row r="71" spans="5:13" x14ac:dyDescent="0.2">
      <c r="J71" s="4" t="s">
        <v>882</v>
      </c>
      <c r="K71" s="31">
        <f xml:space="preserve"> ROUND(MAX(RUB.Y), RUB.DecimalPlaces)</f>
        <v>1</v>
      </c>
    </row>
    <row r="72" spans="5:13" x14ac:dyDescent="0.2">
      <c r="J72" s="4" t="s">
        <v>879</v>
      </c>
      <c r="K72" s="31">
        <f xml:space="preserve"> ROUND( MIN(RUB.X), RUB.DecimalPlaces)</f>
        <v>-0.95106000000000002</v>
      </c>
    </row>
    <row r="73" spans="5:13" x14ac:dyDescent="0.2">
      <c r="J73" s="4" t="s">
        <v>881</v>
      </c>
      <c r="K73" s="31">
        <f xml:space="preserve"> ROUND( MIN(RUB.Y), RUB.DecimalPlaces)</f>
        <v>-0.80901999999999996</v>
      </c>
    </row>
    <row r="75" spans="5:13" x14ac:dyDescent="0.2">
      <c r="J75" s="4" t="s">
        <v>2078</v>
      </c>
      <c r="K75" s="6" t="s">
        <v>2080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2079</v>
      </c>
      <c r="K76" s="6" t="s">
        <v>2092</v>
      </c>
    </row>
    <row r="78" spans="5:13" x14ac:dyDescent="0.2">
      <c r="J78" s="4" t="s">
        <v>2068</v>
      </c>
      <c r="K78" s="28">
        <v>1.55</v>
      </c>
    </row>
    <row r="79" spans="5:13" x14ac:dyDescent="0.2">
      <c r="J79" s="4" t="s">
        <v>2069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2070</v>
      </c>
      <c r="K80" cm="1">
        <f t="array" ref="K80" xml:space="preserve"> VALUE(TEXT(SQRT( RUB.AreaMultiplier * BasicBBoxArea *  RUB.Aspect), SVG.NumberFormatHeight))</f>
        <v>102</v>
      </c>
    </row>
    <row r="81" spans="8:11" x14ac:dyDescent="0.2">
      <c r="J81" s="4" t="s">
        <v>2071</v>
      </c>
      <c r="K81" cm="1">
        <f t="array" ref="K81" xml:space="preserve">  RUB.Height /  RUB.Aspect</f>
        <v>97.008120000000005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2072</v>
      </c>
    </row>
    <row r="84" spans="8:11" x14ac:dyDescent="0.2">
      <c r="H84" s="76" cm="1">
        <f t="array" ref="H84" xml:space="preserve"> SVG_length(RUB.svg)</f>
        <v>499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width='97.00812' height='102'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id='h' d='" &amp; _xlfn.TEXTJOIN(" ", TRUE,  IF("Gold"=RUB.Part,RUB.SvgWorking,"")) &amp; "'/&gt;&lt;/defs&gt;"</f>
        <v>&lt;defs&gt;&lt;path id='h'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href='#h' " &amp; TRIM(RUB.SVG_painting_B) &amp; "/&gt;"</f>
        <v>&lt;use href='#h' fill='#6A571B'/&gt;</v>
      </c>
    </row>
    <row r="87" spans="8:11" x14ac:dyDescent="0.2">
      <c r="J87" s="5"/>
      <c r="K87" s="6" t="str">
        <f xml:space="preserve"> "&lt;use href='#h' " &amp; TRIM(RUB.SVG_painting_G) &amp; " transform='scale(0.8)'/&gt;"</f>
        <v>&lt;use href='#h'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435</v>
      </c>
      <c r="D2" s="2" t="s">
        <v>436</v>
      </c>
      <c r="F2" s="3" t="s">
        <v>437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438</v>
      </c>
      <c r="C5" s="3" t="s">
        <v>439</v>
      </c>
      <c r="D5" s="3" t="s">
        <v>440</v>
      </c>
      <c r="F5" s="3" t="s">
        <v>1768</v>
      </c>
      <c r="K5" s="3" t="s">
        <v>441</v>
      </c>
      <c r="L5" s="3" t="s">
        <v>442</v>
      </c>
      <c r="M5" s="3" t="s">
        <v>443</v>
      </c>
      <c r="N5" s="3" t="s">
        <v>444</v>
      </c>
      <c r="O5" s="3" t="s">
        <v>445</v>
      </c>
      <c r="P5" s="3" t="s">
        <v>446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447</v>
      </c>
      <c r="I19">
        <v>16</v>
      </c>
    </row>
    <row r="20" spans="2:16" x14ac:dyDescent="0.2">
      <c r="H20" s="4" t="s">
        <v>448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455</v>
      </c>
      <c r="F36">
        <f xml:space="preserve"> ROUND( MIN(AED.RawX), AED.DecimalPlaces)</f>
        <v>-126.44</v>
      </c>
    </row>
    <row r="37" spans="2:16" x14ac:dyDescent="0.2">
      <c r="E37" s="4" t="s">
        <v>456</v>
      </c>
      <c r="F37">
        <f xml:space="preserve"> ROUND(MAX(AED.RawX), AED.DecimalPlaces)</f>
        <v>126.44</v>
      </c>
    </row>
    <row r="38" spans="2:16" x14ac:dyDescent="0.2">
      <c r="E38" s="4" t="s">
        <v>457</v>
      </c>
      <c r="F38">
        <f xml:space="preserve"> ROUND( MIN(AED.RawY), AED.DecimalPlaces)</f>
        <v>-84.516999999999996</v>
      </c>
    </row>
    <row r="39" spans="2:16" x14ac:dyDescent="0.2">
      <c r="E39" s="4" t="s">
        <v>458</v>
      </c>
      <c r="F39">
        <f xml:space="preserve"> ROUND(MAX(AED.RawY), AED.DecimalPlaces)</f>
        <v>146</v>
      </c>
    </row>
    <row r="41" spans="2:16" x14ac:dyDescent="0.2">
      <c r="E41" s="4" t="s">
        <v>449</v>
      </c>
      <c r="F41" s="28">
        <f xml:space="preserve"> ZAR.AreaMultiplier</f>
        <v>2</v>
      </c>
    </row>
    <row r="42" spans="2:16" x14ac:dyDescent="0.2">
      <c r="E42" s="4" t="s">
        <v>450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451</v>
      </c>
      <c r="F43">
        <f xml:space="preserve"> VALUE(TEXT(SQRT(AED.AreaMultiplier* BasicBBoxArea * AED.Aspect), SVG.NumberFormatHeight))</f>
        <v>122</v>
      </c>
    </row>
    <row r="44" spans="2:16" x14ac:dyDescent="0.2">
      <c r="E44" s="4" t="s">
        <v>452</v>
      </c>
      <c r="F44" cm="1">
        <f t="array" ref="F44" xml:space="preserve"> AED.Height / AED.Aspect</f>
        <v>105.65534246575342</v>
      </c>
    </row>
    <row r="46" spans="2:16" x14ac:dyDescent="0.2">
      <c r="E46" s="4" t="s">
        <v>453</v>
      </c>
      <c r="F46" t="s">
        <v>772</v>
      </c>
    </row>
    <row r="47" spans="2:16" x14ac:dyDescent="0.2">
      <c r="E47" s="4" t="s">
        <v>454</v>
      </c>
      <c r="F47" t="s">
        <v>773</v>
      </c>
    </row>
    <row r="49" spans="3:6" ht="17" thickBot="1" x14ac:dyDescent="0.25">
      <c r="F49" s="3" t="s">
        <v>459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width='105.65534' height='122'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1992</v>
      </c>
      <c r="C2" s="3" t="s">
        <v>1993</v>
      </c>
      <c r="E2" t="s">
        <v>1977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1978</v>
      </c>
      <c r="C5" s="3" t="s">
        <v>1979</v>
      </c>
      <c r="E5" s="3" t="s">
        <v>1980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1982</v>
      </c>
      <c r="E20">
        <f xml:space="preserve"> 1 + OMR.SizeInner</f>
        <v>6</v>
      </c>
    </row>
    <row r="21" spans="2:6" x14ac:dyDescent="0.2">
      <c r="D21" s="4" t="s">
        <v>1984</v>
      </c>
      <c r="E21">
        <f xml:space="preserve"> OMR.MaxX</f>
        <v>6</v>
      </c>
    </row>
    <row r="22" spans="2:6" x14ac:dyDescent="0.2">
      <c r="D22" s="4" t="s">
        <v>1981</v>
      </c>
      <c r="E22">
        <f xml:space="preserve"> - OMR.MaxX</f>
        <v>-6</v>
      </c>
    </row>
    <row r="23" spans="2:6" x14ac:dyDescent="0.2">
      <c r="D23" s="4" t="s">
        <v>1983</v>
      </c>
      <c r="E23">
        <f xml:space="preserve"> - OMR.MaxY</f>
        <v>-6</v>
      </c>
    </row>
    <row r="25" spans="2:6" x14ac:dyDescent="0.2">
      <c r="D25" s="4" t="s">
        <v>1985</v>
      </c>
      <c r="E25" s="6" t="s">
        <v>729</v>
      </c>
    </row>
    <row r="26" spans="2:6" x14ac:dyDescent="0.2">
      <c r="D26" s="4" t="s">
        <v>1986</v>
      </c>
      <c r="E26" s="6" t="s">
        <v>1976</v>
      </c>
    </row>
    <row r="27" spans="2:6" x14ac:dyDescent="0.2">
      <c r="F27" s="5"/>
    </row>
    <row r="28" spans="2:6" x14ac:dyDescent="0.2">
      <c r="D28" s="4" t="s">
        <v>1987</v>
      </c>
      <c r="E28">
        <f xml:space="preserve"> MODE(Squares.AreaMultiplier)</f>
        <v>0.85</v>
      </c>
      <c r="F28" s="5"/>
    </row>
    <row r="29" spans="2:6" x14ac:dyDescent="0.2">
      <c r="D29" s="4" t="s">
        <v>1988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1989</v>
      </c>
      <c r="E30" cm="1">
        <f t="array" ref="E30" xml:space="preserve"> VALUE(TEXT(SQRT( OMR.AreaMultiplier * BasicBBoxArea *  OMR.Aspect), SVG.NumberFormatHeight))</f>
        <v>74</v>
      </c>
      <c r="F30" s="5"/>
    </row>
    <row r="31" spans="2:6" x14ac:dyDescent="0.2">
      <c r="D31" s="4" t="s">
        <v>1990</v>
      </c>
      <c r="E31" cm="1">
        <f t="array" ref="E31" xml:space="preserve">  OMR.Height /  OMR.Aspect</f>
        <v>74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1991</v>
      </c>
    </row>
    <row r="35" spans="3:6" x14ac:dyDescent="0.2">
      <c r="C35" cm="1">
        <f t="array" ref="C35" xml:space="preserve"> SVG_length(OMR.svg)</f>
        <v>226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width='74' height='74'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461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462</v>
      </c>
      <c r="C8" s="3" t="s">
        <v>463</v>
      </c>
      <c r="D8" s="3" t="s">
        <v>464</v>
      </c>
      <c r="F8" s="3" t="s">
        <v>1758</v>
      </c>
    </row>
    <row r="9" spans="2:6" x14ac:dyDescent="0.2">
      <c r="B9" s="38" t="s">
        <v>477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477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477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477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477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1757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1757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1757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1757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1757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1757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1757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1757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1757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1757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1757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1757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1757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1757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1757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1757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1757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1757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1757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1757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1757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1757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1757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1757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469</v>
      </c>
      <c r="F42">
        <f xml:space="preserve"> ROUND( MIN(QAR.RawX), QAR.DecimalPlaces)</f>
        <v>-121</v>
      </c>
    </row>
    <row r="43" spans="2:6" x14ac:dyDescent="0.2">
      <c r="E43" s="4" t="s">
        <v>470</v>
      </c>
      <c r="F43">
        <f xml:space="preserve"> ROUND(MAX(QAR.RawX), QAR.DecimalPlaces)</f>
        <v>121</v>
      </c>
    </row>
    <row r="44" spans="2:6" x14ac:dyDescent="0.2">
      <c r="E44" s="4" t="s">
        <v>471</v>
      </c>
      <c r="F44">
        <f xml:space="preserve"> ROUND( MIN(QAR.RawY), QAR.DecimalPlaces)</f>
        <v>-121</v>
      </c>
    </row>
    <row r="45" spans="2:6" x14ac:dyDescent="0.2">
      <c r="E45" s="4" t="s">
        <v>472</v>
      </c>
      <c r="F45">
        <f xml:space="preserve"> ROUND(MAX(QAR.RawY), QAR.DecimalPlaces)</f>
        <v>121</v>
      </c>
    </row>
    <row r="47" spans="2:6" x14ac:dyDescent="0.2">
      <c r="E47" s="4" t="s">
        <v>465</v>
      </c>
      <c r="F47" s="28">
        <v>0.8</v>
      </c>
    </row>
    <row r="48" spans="2:6" x14ac:dyDescent="0.2">
      <c r="E48" s="4" t="s">
        <v>466</v>
      </c>
      <c r="F48">
        <f xml:space="preserve">  MAX(QAR.MaxY, - QAR.MinY)   /   MAX(QAR.MaxX, - QAR.MinX)</f>
        <v>1</v>
      </c>
    </row>
    <row r="49" spans="5:7" x14ac:dyDescent="0.2">
      <c r="E49" s="4" t="s">
        <v>467</v>
      </c>
      <c r="F49">
        <f xml:space="preserve"> VALUE(TEXT(SQRT(QAR.AreaMultiplier * BasicBBoxArea * QAR.Aspect), SVG.NumberFormatHeight))</f>
        <v>72</v>
      </c>
    </row>
    <row r="50" spans="5:7" x14ac:dyDescent="0.2">
      <c r="E50" s="4" t="s">
        <v>468</v>
      </c>
      <c r="F50" cm="1">
        <f t="array" ref="F50" xml:space="preserve"> QAR.Height / QAR.Aspect</f>
        <v>72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475</v>
      </c>
      <c r="F52" s="6" t="s">
        <v>774</v>
      </c>
      <c r="G52" s="5"/>
    </row>
    <row r="53" spans="5:7" x14ac:dyDescent="0.2">
      <c r="E53" s="4" t="s">
        <v>476</v>
      </c>
      <c r="F53" s="6" t="s">
        <v>2103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473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width='72' height='72'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1671</v>
      </c>
      <c r="D2" s="3" t="s">
        <v>1661</v>
      </c>
      <c r="F2" s="3" t="s">
        <v>1650</v>
      </c>
      <c r="H2" s="3" t="s">
        <v>1678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1651</v>
      </c>
      <c r="C5" s="3" t="s">
        <v>1652</v>
      </c>
      <c r="D5" s="3" t="s">
        <v>1653</v>
      </c>
      <c r="F5" s="3" t="s">
        <v>1756</v>
      </c>
      <c r="H5" s="3" t="s">
        <v>1660</v>
      </c>
      <c r="M5" s="3" t="s">
        <v>1654</v>
      </c>
      <c r="N5" s="3" t="s">
        <v>1655</v>
      </c>
      <c r="O5" s="3" t="s">
        <v>1656</v>
      </c>
      <c r="P5" s="3" t="s">
        <v>1657</v>
      </c>
      <c r="Q5" s="3" t="s">
        <v>1658</v>
      </c>
      <c r="R5" s="3" t="s">
        <v>1659</v>
      </c>
    </row>
    <row r="6" spans="2:18" x14ac:dyDescent="0.2">
      <c r="B6" t="s">
        <v>1571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1573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1578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1572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1662</v>
      </c>
      <c r="F34">
        <f xml:space="preserve"> ROUND( MIN(KWD.RawX), KWD.DecimalPlaces)</f>
        <v>-9</v>
      </c>
    </row>
    <row r="35" spans="5:6" x14ac:dyDescent="0.2">
      <c r="E35" s="4" t="s">
        <v>1663</v>
      </c>
      <c r="F35">
        <f xml:space="preserve"> ROUND(MAX(KWD.RawX), KWD.DecimalPlaces)</f>
        <v>9</v>
      </c>
    </row>
    <row r="36" spans="5:6" x14ac:dyDescent="0.2">
      <c r="E36" s="4" t="s">
        <v>1664</v>
      </c>
      <c r="F36">
        <f xml:space="preserve"> ROUND( MIN(KWD.RawY), KWD.DecimalPlaces)</f>
        <v>-9</v>
      </c>
    </row>
    <row r="37" spans="5:6" x14ac:dyDescent="0.2">
      <c r="E37" s="4" t="s">
        <v>1665</v>
      </c>
      <c r="F37">
        <f xml:space="preserve"> ROUND(MAX(KWD.RawY), KWD.DecimalPlaces)</f>
        <v>9</v>
      </c>
    </row>
    <row r="39" spans="5:6" x14ac:dyDescent="0.2">
      <c r="E39" s="4" t="s">
        <v>1666</v>
      </c>
      <c r="F39" s="28">
        <f xml:space="preserve"> FR.AreaMultiplier</f>
        <v>1.0625</v>
      </c>
    </row>
    <row r="40" spans="5:6" x14ac:dyDescent="0.2">
      <c r="E40" s="4" t="s">
        <v>1667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1668</v>
      </c>
      <c r="F41" cm="1">
        <f t="array" ref="F41" xml:space="preserve"> VALUE(TEXT(SQRT(KWD.AreaMultiplier* BasicBBoxArea * KWD.Aspect), SVG.NumberFormatHeight))</f>
        <v>82</v>
      </c>
    </row>
    <row r="42" spans="5:6" x14ac:dyDescent="0.2">
      <c r="E42" s="4" t="s">
        <v>1669</v>
      </c>
      <c r="F42" cm="1">
        <f t="array" ref="F42" xml:space="preserve"> KWD.Height / KWD.Aspect</f>
        <v>82</v>
      </c>
    </row>
    <row r="44" spans="5:6" x14ac:dyDescent="0.2">
      <c r="E44" s="4" t="s">
        <v>1672</v>
      </c>
      <c r="F44" t="s">
        <v>727</v>
      </c>
    </row>
    <row r="45" spans="5:6" x14ac:dyDescent="0.2">
      <c r="E45" s="4" t="s">
        <v>1673</v>
      </c>
      <c r="F45" t="s">
        <v>757</v>
      </c>
    </row>
    <row r="46" spans="5:6" x14ac:dyDescent="0.2">
      <c r="E46" s="4" t="s">
        <v>1674</v>
      </c>
      <c r="F46" t="s">
        <v>2103</v>
      </c>
    </row>
    <row r="47" spans="5:6" x14ac:dyDescent="0.2">
      <c r="E47" s="4" t="s">
        <v>1675</v>
      </c>
      <c r="F47" t="s">
        <v>1677</v>
      </c>
    </row>
    <row r="49" spans="4:6" ht="17" thickBot="1" x14ac:dyDescent="0.25">
      <c r="E49" s="5"/>
      <c r="F49" s="3" t="s">
        <v>1670</v>
      </c>
    </row>
    <row r="50" spans="4:6" x14ac:dyDescent="0.2">
      <c r="D50" cm="1">
        <f t="array" ref="D50" xml:space="preserve"> SVG_length(KWD.svg)</f>
        <v>345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width='82' height='82'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2045</v>
      </c>
      <c r="C2" s="3" t="s">
        <v>2046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2043</v>
      </c>
      <c r="C5" s="3" t="s">
        <v>2044</v>
      </c>
      <c r="E5" s="3" t="s">
        <v>2022</v>
      </c>
      <c r="F5" s="39" t="s">
        <v>2023</v>
      </c>
    </row>
    <row r="6" spans="2:6" x14ac:dyDescent="0.2">
      <c r="E6" t="s">
        <v>23</v>
      </c>
      <c r="F6" s="6" t="s">
        <v>2047</v>
      </c>
    </row>
    <row r="7" spans="2:6" x14ac:dyDescent="0.2">
      <c r="E7" t="s">
        <v>23</v>
      </c>
      <c r="F7" s="6" t="s">
        <v>2035</v>
      </c>
    </row>
    <row r="8" spans="2:6" x14ac:dyDescent="0.2">
      <c r="E8" t="s">
        <v>23</v>
      </c>
      <c r="F8" s="6" t="s">
        <v>2036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2037</v>
      </c>
    </row>
    <row r="12" spans="2:6" x14ac:dyDescent="0.2">
      <c r="E12" t="s">
        <v>23</v>
      </c>
      <c r="F12" s="6" t="s">
        <v>2038</v>
      </c>
    </row>
    <row r="13" spans="2:6" x14ac:dyDescent="0.2">
      <c r="E13" t="s">
        <v>23</v>
      </c>
      <c r="F13" s="6" t="s">
        <v>2039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560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2024</v>
      </c>
      <c r="F30">
        <v>20</v>
      </c>
    </row>
    <row r="31" spans="2:6" x14ac:dyDescent="0.2">
      <c r="E31" s="4" t="s">
        <v>2025</v>
      </c>
      <c r="F31">
        <v>30</v>
      </c>
    </row>
    <row r="32" spans="2:6" x14ac:dyDescent="0.2">
      <c r="E32" s="4" t="s">
        <v>2026</v>
      </c>
      <c r="F32">
        <f xml:space="preserve"> - F30</f>
        <v>-20</v>
      </c>
    </row>
    <row r="33" spans="4:7" x14ac:dyDescent="0.2">
      <c r="E33" s="4" t="s">
        <v>2027</v>
      </c>
      <c r="F33">
        <f xml:space="preserve"> - F31</f>
        <v>-30</v>
      </c>
    </row>
    <row r="35" spans="4:7" x14ac:dyDescent="0.2">
      <c r="E35" s="4" t="s">
        <v>2028</v>
      </c>
      <c r="F35" s="6" t="s">
        <v>2040</v>
      </c>
    </row>
    <row r="36" spans="4:7" x14ac:dyDescent="0.2">
      <c r="E36" s="4" t="s">
        <v>2029</v>
      </c>
      <c r="F36" s="6" t="s">
        <v>727</v>
      </c>
    </row>
    <row r="37" spans="4:7" x14ac:dyDescent="0.2">
      <c r="G37" s="5"/>
    </row>
    <row r="38" spans="4:7" x14ac:dyDescent="0.2">
      <c r="E38" s="4" t="s">
        <v>2030</v>
      </c>
      <c r="F38">
        <f xml:space="preserve"> 17 / 16</f>
        <v>1.0625</v>
      </c>
      <c r="G38" s="5"/>
    </row>
    <row r="39" spans="4:7" x14ac:dyDescent="0.2">
      <c r="E39" s="4" t="s">
        <v>2031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2032</v>
      </c>
      <c r="F40" cm="1">
        <f t="array" ref="F40" xml:space="preserve"> VALUE(TEXT(SQRT( YER.AreaMultiplier * BasicBBoxArea *  YER.Aspect), SVG.NumberFormatHeight))</f>
        <v>101</v>
      </c>
      <c r="G40" s="5"/>
    </row>
    <row r="41" spans="4:7" x14ac:dyDescent="0.2">
      <c r="E41" s="4" t="s">
        <v>2033</v>
      </c>
      <c r="F41" cm="1">
        <f t="array" ref="F41" xml:space="preserve">  YER.Height /  YER.Aspect</f>
        <v>67.333333333333329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2034</v>
      </c>
    </row>
    <row r="45" spans="4:7" x14ac:dyDescent="0.2">
      <c r="D45" cm="1">
        <f t="array" ref="D45" xml:space="preserve"> SVG_length(YER.svg)</f>
        <v>297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width='67.33333' height='101'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1800</v>
      </c>
      <c r="F2" s="3" t="s">
        <v>1801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1802</v>
      </c>
      <c r="C5" s="3" t="s">
        <v>1803</v>
      </c>
      <c r="D5" s="3" t="s">
        <v>1804</v>
      </c>
      <c r="F5" s="3" t="s">
        <v>1805</v>
      </c>
    </row>
    <row r="6" spans="2:6" x14ac:dyDescent="0.2">
      <c r="B6" t="s">
        <v>1817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1817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1817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1817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1818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1818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1818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1818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1818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1818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1818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1818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1818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1818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1818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1818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1806</v>
      </c>
      <c r="F28" cm="1">
        <f t="array" ref="F28" xml:space="preserve"> ROUND( MIN(EGP.RawX), EGP.DecimalPlaces)</f>
        <v>-5.77</v>
      </c>
    </row>
    <row r="29" spans="2:6" x14ac:dyDescent="0.2">
      <c r="E29" s="4" t="s">
        <v>1807</v>
      </c>
      <c r="F29" cm="1">
        <f t="array" ref="F29" xml:space="preserve"> ROUND(MAX(EGP.RawX), EGP.DecimalPlaces)</f>
        <v>5.77</v>
      </c>
    </row>
    <row r="30" spans="2:6" x14ac:dyDescent="0.2">
      <c r="E30" s="4" t="s">
        <v>1808</v>
      </c>
      <c r="F30" cm="1">
        <f t="array" ref="F30" xml:space="preserve"> ROUND( MIN(EGP.RawY), EGP.DecimalPlaces)</f>
        <v>-5.77</v>
      </c>
    </row>
    <row r="31" spans="2:6" x14ac:dyDescent="0.2">
      <c r="E31" s="4" t="s">
        <v>1809</v>
      </c>
      <c r="F31" cm="1">
        <f t="array" ref="F31" xml:space="preserve"> ROUND(MAX(EGP.RawY), EGP.DecimalPlaces)</f>
        <v>5.77</v>
      </c>
    </row>
    <row r="33" spans="4:6" x14ac:dyDescent="0.2">
      <c r="E33" s="4" t="s">
        <v>1810</v>
      </c>
      <c r="F33" s="28">
        <f xml:space="preserve"> MODE(Squares.AreaMultiplier)</f>
        <v>0.85</v>
      </c>
    </row>
    <row r="34" spans="4:6" x14ac:dyDescent="0.2">
      <c r="E34" s="4" t="s">
        <v>1811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1812</v>
      </c>
      <c r="F35" cm="1">
        <f t="array" ref="F35" xml:space="preserve"> VALUE(TEXT(SQRT(EGP.AreaMultiplier* BasicBBoxArea * EGP.Aspect), SVG.NumberFormatHeight))</f>
        <v>74</v>
      </c>
    </row>
    <row r="36" spans="4:6" x14ac:dyDescent="0.2">
      <c r="E36" s="4" t="s">
        <v>1813</v>
      </c>
      <c r="F36" cm="1">
        <f t="array" ref="F36" xml:space="preserve"> EGP.Height / EGP.Aspect</f>
        <v>74</v>
      </c>
    </row>
    <row r="38" spans="4:6" x14ac:dyDescent="0.2">
      <c r="E38" s="4" t="s">
        <v>1814</v>
      </c>
      <c r="F38" t="s">
        <v>727</v>
      </c>
    </row>
    <row r="39" spans="4:6" x14ac:dyDescent="0.2">
      <c r="E39" s="4" t="s">
        <v>1815</v>
      </c>
      <c r="F39" t="s">
        <v>2103</v>
      </c>
    </row>
    <row r="41" spans="4:6" ht="17" thickBot="1" x14ac:dyDescent="0.25">
      <c r="E41" s="5"/>
      <c r="F41" s="3" t="s">
        <v>1816</v>
      </c>
    </row>
    <row r="42" spans="4:6" x14ac:dyDescent="0.2">
      <c r="D42" cm="1">
        <f t="array" ref="D42" xml:space="preserve"> SVG_length(EGP.svg)</f>
        <v>273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width='74' height='74'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1462</v>
      </c>
      <c r="F2" s="3" t="s">
        <v>884</v>
      </c>
      <c r="G2" s="3" t="s">
        <v>885</v>
      </c>
      <c r="H2" s="3" t="s">
        <v>886</v>
      </c>
      <c r="I2" s="3" t="s">
        <v>887</v>
      </c>
      <c r="J2" s="3" t="s">
        <v>888</v>
      </c>
      <c r="K2" s="3" t="s">
        <v>889</v>
      </c>
      <c r="L2" s="3" t="s">
        <v>890</v>
      </c>
      <c r="M2" s="3" t="s">
        <v>891</v>
      </c>
      <c r="O2" s="40" t="s">
        <v>1463</v>
      </c>
    </row>
    <row r="3" spans="2:15" x14ac:dyDescent="0.2">
      <c r="B3" s="4" t="s">
        <v>894</v>
      </c>
      <c r="C3">
        <f xml:space="preserve"> MAX(IQD.X0, IQD.X1, IQD.X2, IQD.X3)</f>
        <v>72</v>
      </c>
    </row>
    <row r="4" spans="2:15" x14ac:dyDescent="0.2">
      <c r="B4" s="4" t="s">
        <v>896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893</v>
      </c>
      <c r="C5">
        <f xml:space="preserve">  MIN(IQD.X0, IQD.X1, IQD.X2, IQD.X3)</f>
        <v>-72</v>
      </c>
    </row>
    <row r="6" spans="2:15" x14ac:dyDescent="0.2">
      <c r="B6" s="4" t="s">
        <v>895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897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898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899</v>
      </c>
      <c r="C11">
        <f xml:space="preserve">  MAX(IQD.MaxY, - IQD.MinY)   /   MAX(IQD.MaxX, - IQD.MinX)</f>
        <v>1</v>
      </c>
    </row>
    <row r="12" spans="2:15" x14ac:dyDescent="0.2">
      <c r="B12" s="4" t="s">
        <v>900</v>
      </c>
      <c r="C12">
        <f xml:space="preserve"> VALUE(TEXT(SQRT(IQD.AreaMultiplier* BasicBBoxArea * IQD.Aspect), SVG.NumberFormatHeight))</f>
        <v>85</v>
      </c>
    </row>
    <row r="13" spans="2:15" x14ac:dyDescent="0.2">
      <c r="B13" s="4" t="s">
        <v>901</v>
      </c>
      <c r="C13" cm="1">
        <f t="array" ref="C13" xml:space="preserve"> IQD.Height / IQD.Aspect</f>
        <v>85</v>
      </c>
    </row>
    <row r="15" spans="2:15" x14ac:dyDescent="0.2">
      <c r="B15" s="4" t="s">
        <v>902</v>
      </c>
      <c r="C15" t="s">
        <v>906</v>
      </c>
    </row>
    <row r="16" spans="2:15" x14ac:dyDescent="0.2">
      <c r="B16" s="4" t="s">
        <v>903</v>
      </c>
      <c r="C16" t="s">
        <v>905</v>
      </c>
    </row>
    <row r="20" spans="15:15" x14ac:dyDescent="0.2">
      <c r="O20" s="36" cm="1">
        <f t="array" ref="O20" xml:space="preserve"> SVG_length(IQD.svg)</f>
        <v>597</v>
      </c>
    </row>
    <row r="22" spans="15:15" ht="17" thickBot="1" x14ac:dyDescent="0.25">
      <c r="O22" s="40" t="s">
        <v>892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width='85' height='85'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id='o' " &amp; IF(LEN(IQD.SVG_painting_Inner)&gt;0, TRIM(IQD.SVG_painting_Inner)&amp;" ", "") &amp; "d='" &amp; _xlfn.TEXTJOIN(" ", TRUE,  IF("Inner"=IQD.Part,IF(IQD.X0&lt;-22, IQD.svgWorking,""),"")) &amp; "'/&gt;"</f>
        <v>&lt;path id='o'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1697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494</v>
      </c>
      <c r="D2" s="2" t="s">
        <v>495</v>
      </c>
      <c r="F2" s="3" t="s">
        <v>496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497</v>
      </c>
      <c r="C5" s="3" t="s">
        <v>498</v>
      </c>
      <c r="D5" s="3" t="s">
        <v>499</v>
      </c>
      <c r="F5" s="3" t="s">
        <v>1769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506</v>
      </c>
      <c r="F51">
        <f xml:space="preserve"> ROUND( MIN(ILS.RawX), ILS.DecimalPlaces)</f>
        <v>-9</v>
      </c>
    </row>
    <row r="52" spans="5:7" x14ac:dyDescent="0.2">
      <c r="E52" s="4" t="s">
        <v>507</v>
      </c>
      <c r="F52">
        <f xml:space="preserve"> ROUND(MAX(ILS.RawX), ILS.DecimalPlaces)</f>
        <v>9</v>
      </c>
    </row>
    <row r="53" spans="5:7" x14ac:dyDescent="0.2">
      <c r="E53" s="4" t="s">
        <v>508</v>
      </c>
      <c r="F53">
        <f xml:space="preserve"> ROUND( MIN(ILS.RawY), ILS.DecimalPlaces)</f>
        <v>-10.392300000000001</v>
      </c>
    </row>
    <row r="54" spans="5:7" x14ac:dyDescent="0.2">
      <c r="E54" s="4" t="s">
        <v>509</v>
      </c>
      <c r="F54">
        <f xml:space="preserve"> ROUND(MAX(ILS.RawY), ILS.DecimalPlaces)</f>
        <v>10.392300000000001</v>
      </c>
    </row>
    <row r="56" spans="5:7" x14ac:dyDescent="0.2">
      <c r="E56" s="4" t="s">
        <v>500</v>
      </c>
      <c r="F56" s="28">
        <v>1.25</v>
      </c>
    </row>
    <row r="57" spans="5:7" x14ac:dyDescent="0.2">
      <c r="E57" s="4" t="s">
        <v>501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502</v>
      </c>
      <c r="F58">
        <f xml:space="preserve"> VALUE(TEXT(SQRT(ILS.AreaMultiplier * BasicBBoxArea * ILS.Aspect), SVG.NumberFormatHeight))</f>
        <v>96</v>
      </c>
    </row>
    <row r="59" spans="5:7" x14ac:dyDescent="0.2">
      <c r="E59" s="4" t="s">
        <v>503</v>
      </c>
      <c r="F59" cm="1">
        <f t="array" ref="F59" xml:space="preserve"> ILS.Height / ILS.Aspect</f>
        <v>83.138477526630282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504</v>
      </c>
      <c r="F61" s="6" t="s">
        <v>775</v>
      </c>
      <c r="G61" s="5"/>
    </row>
    <row r="62" spans="5:7" x14ac:dyDescent="0.2">
      <c r="E62" s="4" t="s">
        <v>505</v>
      </c>
      <c r="F62" s="6" t="s">
        <v>2103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510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width='83.13848' height='96'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409</v>
      </c>
      <c r="D2" s="2" t="s">
        <v>410</v>
      </c>
      <c r="F2" s="3" t="s">
        <v>411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412</v>
      </c>
      <c r="C5" s="3" t="s">
        <v>413</v>
      </c>
      <c r="D5" s="3" t="s">
        <v>414</v>
      </c>
      <c r="F5" s="3" t="s">
        <v>1755</v>
      </c>
      <c r="K5" s="3" t="s">
        <v>417</v>
      </c>
      <c r="L5" s="3" t="s">
        <v>418</v>
      </c>
      <c r="M5" s="3" t="s">
        <v>419</v>
      </c>
      <c r="N5" s="3" t="s">
        <v>420</v>
      </c>
      <c r="O5" s="3" t="s">
        <v>421</v>
      </c>
      <c r="P5" s="3" t="s">
        <v>422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415</v>
      </c>
      <c r="I19">
        <v>0.12</v>
      </c>
    </row>
    <row r="20" spans="2:16" x14ac:dyDescent="0.2">
      <c r="H20" s="4" t="s">
        <v>416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429</v>
      </c>
      <c r="F36">
        <f xml:space="preserve"> ROUND( MIN(ZAR.RawX), ZAR.DecimalPlaces)</f>
        <v>-0.59150999999999998</v>
      </c>
    </row>
    <row r="37" spans="2:16" x14ac:dyDescent="0.2">
      <c r="E37" s="4" t="s">
        <v>430</v>
      </c>
      <c r="F37">
        <f xml:space="preserve"> ROUND(MAX(ZAR.RawX), ZAR.DecimalPlaces)</f>
        <v>1</v>
      </c>
    </row>
    <row r="38" spans="2:16" x14ac:dyDescent="0.2">
      <c r="E38" s="4" t="s">
        <v>431</v>
      </c>
      <c r="F38">
        <f xml:space="preserve"> ROUND( MIN(ZAR.RawY), ZAR.DecimalPlaces)</f>
        <v>-0.86602999999999997</v>
      </c>
    </row>
    <row r="39" spans="2:16" x14ac:dyDescent="0.2">
      <c r="E39" s="4" t="s">
        <v>432</v>
      </c>
      <c r="F39">
        <f xml:space="preserve"> ROUND(MAX(ZAR.RawY), ZAR.DecimalPlaces)</f>
        <v>0.86602999999999997</v>
      </c>
    </row>
    <row r="41" spans="2:16" x14ac:dyDescent="0.2">
      <c r="E41" s="4" t="s">
        <v>423</v>
      </c>
      <c r="F41" s="28">
        <v>2</v>
      </c>
    </row>
    <row r="42" spans="2:16" x14ac:dyDescent="0.2">
      <c r="E42" s="4" t="s">
        <v>424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425</v>
      </c>
      <c r="F43">
        <f xml:space="preserve"> VALUE(TEXT(SQRT(ZAR.AreaMultiplier* BasicBBoxArea * ZAR.Aspect), SVG.NumberFormatHeight))</f>
        <v>105</v>
      </c>
    </row>
    <row r="44" spans="2:16" x14ac:dyDescent="0.2">
      <c r="E44" s="4" t="s">
        <v>426</v>
      </c>
      <c r="F44" cm="1">
        <f t="array" ref="F44" xml:space="preserve"> ZAR.Height / ZAR.Aspect</f>
        <v>121.24291306305787</v>
      </c>
    </row>
    <row r="46" spans="2:16" x14ac:dyDescent="0.2">
      <c r="E46" s="4" t="s">
        <v>427</v>
      </c>
      <c r="F46" t="s">
        <v>771</v>
      </c>
    </row>
    <row r="47" spans="2:16" x14ac:dyDescent="0.2">
      <c r="E47" s="4" t="s">
        <v>428</v>
      </c>
      <c r="F47" t="s">
        <v>797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433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width='121.24291' height='105'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2004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2005</v>
      </c>
      <c r="C5" s="3" t="s">
        <v>2006</v>
      </c>
      <c r="D5" s="3" t="s">
        <v>2007</v>
      </c>
      <c r="F5" s="3" t="s">
        <v>2008</v>
      </c>
    </row>
    <row r="6" spans="2:6" x14ac:dyDescent="0.2">
      <c r="B6" t="s">
        <v>1817</v>
      </c>
      <c r="C6">
        <v>5</v>
      </c>
      <c r="D6">
        <f xml:space="preserve"> $C$6</f>
        <v>5</v>
      </c>
      <c r="F6" s="49"/>
    </row>
    <row r="7" spans="2:6" x14ac:dyDescent="0.2">
      <c r="B7" t="s">
        <v>1817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1817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1817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2020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2020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2020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2020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2020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2020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2020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2020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2020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2020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2020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2020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2020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2020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2020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2020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2009</v>
      </c>
      <c r="F32" cm="1">
        <f t="array" ref="F32" xml:space="preserve"> ROUND( MIN(SDG.RawX), SDG.DecimalPlaces)</f>
        <v>-5</v>
      </c>
    </row>
    <row r="33" spans="4:6" x14ac:dyDescent="0.2">
      <c r="E33" s="4" t="s">
        <v>2010</v>
      </c>
      <c r="F33" cm="1">
        <f t="array" ref="F33" xml:space="preserve"> ROUND(MAX(SDG.RawX), SDG.DecimalPlaces)</f>
        <v>5</v>
      </c>
    </row>
    <row r="34" spans="4:6" x14ac:dyDescent="0.2">
      <c r="E34" s="4" t="s">
        <v>2011</v>
      </c>
      <c r="F34" cm="1">
        <f t="array" ref="F34" xml:space="preserve"> ROUND( MIN(SDG.RawY), SDG.DecimalPlaces)</f>
        <v>-5</v>
      </c>
    </row>
    <row r="35" spans="4:6" x14ac:dyDescent="0.2">
      <c r="E35" s="4" t="s">
        <v>2012</v>
      </c>
      <c r="F35" cm="1">
        <f t="array" ref="F35" xml:space="preserve"> ROUND(MAX(SDG.RawY), SDG.DecimalPlaces)</f>
        <v>5</v>
      </c>
    </row>
    <row r="37" spans="4:6" x14ac:dyDescent="0.2">
      <c r="E37" s="4" t="s">
        <v>2013</v>
      </c>
      <c r="F37" s="28">
        <f xml:space="preserve"> MODE(Squares.AreaMultiplier)</f>
        <v>0.85</v>
      </c>
    </row>
    <row r="38" spans="4:6" x14ac:dyDescent="0.2">
      <c r="E38" s="4" t="s">
        <v>2014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2015</v>
      </c>
      <c r="F39" cm="1">
        <f t="array" ref="F39" xml:space="preserve"> VALUE(TEXT(SQRT(SDG.AreaMultiplier* BasicBBoxArea * SDG.Aspect), SVG.NumberFormatHeight))</f>
        <v>74</v>
      </c>
    </row>
    <row r="40" spans="4:6" x14ac:dyDescent="0.2">
      <c r="E40" s="4" t="s">
        <v>2016</v>
      </c>
      <c r="F40" cm="1">
        <f t="array" ref="F40" xml:space="preserve"> SDG.Height / SDG.Aspect</f>
        <v>74</v>
      </c>
    </row>
    <row r="42" spans="4:6" x14ac:dyDescent="0.2">
      <c r="E42" s="4" t="s">
        <v>2017</v>
      </c>
      <c r="F42" t="s">
        <v>727</v>
      </c>
    </row>
    <row r="43" spans="4:6" x14ac:dyDescent="0.2">
      <c r="E43" s="4" t="s">
        <v>2018</v>
      </c>
      <c r="F43" t="s">
        <v>2103</v>
      </c>
    </row>
    <row r="45" spans="4:6" ht="17" thickBot="1" x14ac:dyDescent="0.25">
      <c r="E45" s="5"/>
      <c r="F45" s="3" t="s">
        <v>2019</v>
      </c>
    </row>
    <row r="46" spans="4:6" x14ac:dyDescent="0.2">
      <c r="D46" cm="1">
        <f t="array" ref="D46" xml:space="preserve"> SVG_length(SDG.svg)</f>
        <v>219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width='74' height='74'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1696</v>
      </c>
      <c r="F2" s="3" t="s">
        <v>512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513</v>
      </c>
      <c r="C5" s="3" t="s">
        <v>514</v>
      </c>
      <c r="D5" s="3" t="s">
        <v>515</v>
      </c>
      <c r="F5" s="3" t="s">
        <v>1770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522</v>
      </c>
      <c r="F24">
        <f xml:space="preserve"> ROUND( MIN(MXN.RawX), MXN.DecimalPlaces)</f>
        <v>-1</v>
      </c>
    </row>
    <row r="25" spans="2:7" x14ac:dyDescent="0.2">
      <c r="E25" s="4" t="s">
        <v>523</v>
      </c>
      <c r="F25">
        <f xml:space="preserve"> ROUND(MAX(MXN.RawX), MXN.DecimalPlaces)</f>
        <v>1</v>
      </c>
    </row>
    <row r="26" spans="2:7" x14ac:dyDescent="0.2">
      <c r="E26" s="4" t="s">
        <v>524</v>
      </c>
      <c r="F26">
        <f xml:space="preserve"> ROUND( MIN(MXN.RawY), MXN.DecimalPlaces)</f>
        <v>-1</v>
      </c>
    </row>
    <row r="27" spans="2:7" x14ac:dyDescent="0.2">
      <c r="E27" s="4" t="s">
        <v>525</v>
      </c>
      <c r="F27">
        <f xml:space="preserve"> ROUND(MAX(MXN.RawY), MXN.DecimalPlaces)</f>
        <v>1</v>
      </c>
    </row>
    <row r="29" spans="2:7" x14ac:dyDescent="0.2">
      <c r="E29" s="4" t="s">
        <v>516</v>
      </c>
      <c r="F29" s="28">
        <v>1.375</v>
      </c>
    </row>
    <row r="30" spans="2:7" x14ac:dyDescent="0.2">
      <c r="E30" s="4" t="s">
        <v>517</v>
      </c>
      <c r="F30">
        <f xml:space="preserve">  MAX(MXN.MaxY, - MXN.MinY)   /   MAX(MXN.MaxX, - MXN.MinX)</f>
        <v>1</v>
      </c>
    </row>
    <row r="31" spans="2:7" x14ac:dyDescent="0.2">
      <c r="E31" s="4" t="s">
        <v>518</v>
      </c>
      <c r="F31">
        <f xml:space="preserve"> VALUE(TEXT(SQRT(MXN.AreaMultiplier * BasicBBoxArea * MXN.Aspect), SVG.NumberFormatHeight))</f>
        <v>94</v>
      </c>
      <c r="G31" s="6"/>
    </row>
    <row r="32" spans="2:7" x14ac:dyDescent="0.2">
      <c r="E32" s="4" t="s">
        <v>519</v>
      </c>
      <c r="F32" cm="1">
        <f t="array" ref="F32" xml:space="preserve"> MXN.Height / MXN.Aspect</f>
        <v>94</v>
      </c>
    </row>
    <row r="33" spans="3:7" x14ac:dyDescent="0.2">
      <c r="E33" s="4"/>
      <c r="F33" s="6"/>
      <c r="G33" s="5"/>
    </row>
    <row r="34" spans="3:7" x14ac:dyDescent="0.2">
      <c r="E34" s="4" t="s">
        <v>520</v>
      </c>
      <c r="F34" s="6" t="s">
        <v>778</v>
      </c>
      <c r="G34" s="5"/>
    </row>
    <row r="35" spans="3:7" x14ac:dyDescent="0.2">
      <c r="E35" s="4" t="s">
        <v>528</v>
      </c>
      <c r="F35" s="6" t="s">
        <v>2103</v>
      </c>
      <c r="G35" s="5"/>
    </row>
    <row r="36" spans="3:7" x14ac:dyDescent="0.2">
      <c r="E36" s="4" t="s">
        <v>521</v>
      </c>
      <c r="F36" s="6" t="s">
        <v>729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526</v>
      </c>
      <c r="G38" s="5"/>
    </row>
    <row r="39" spans="3:7" x14ac:dyDescent="0.2">
      <c r="C39" cm="1">
        <f t="array" ref="C39" xml:space="preserve"> SVG_length(MXN.svg)</f>
        <v>418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width='94' height='94'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id='o' d='" &amp; _xlfn.TEXTJOIN(" ", TRUE, IF("Outer"=MXN.Part,MXN.svgWorking,"")) &amp; "'/&gt;&lt;/defs&gt;"</f>
        <v>&lt;defs&gt;&lt;path id='o'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href='#o' " &amp; TRIM(_xlfn.SINGLE(MXN.SVG_painting_O)) &amp; "/&gt;", "")</f>
        <v>&lt;use href='#o' fill='#006341'/&gt;</v>
      </c>
    </row>
    <row r="42" spans="3:7" x14ac:dyDescent="0.2">
      <c r="E42" s="5"/>
      <c r="F42" s="6" t="str">
        <f xml:space="preserve"> IF(LEN(_xlfn.SINGLE(MXN.SVG_painting_M))&gt;0, "&lt;use href='#o' " &amp; TRIM(_xlfn.SINGLE(MXN.SVG_painting_M)) &amp; " transform='scale(" &amp; ROUND(Thirds_M/Thirds_O,2) &amp; ")'/&gt;", "")</f>
        <v>&lt;use href='#o' fill='#FFF' transform='scale(0.7)'/&gt;</v>
      </c>
    </row>
    <row r="43" spans="3:7" x14ac:dyDescent="0.2">
      <c r="E43" s="5"/>
      <c r="F43" s="6" t="str">
        <f xml:space="preserve"> IF(LEN(_xlfn.SINGLE(MXN.SVG_painting_I))&gt;0, "&lt;use href='#o' " &amp; TRIM(_xlfn.SINGLE(MXN.SVG_painting_I)) &amp; " transform='scale(" &amp; ROUND(Thirds_I/Thirds_O,2) &amp; ")'/&gt;", "")</f>
        <v>&lt;use href='#o'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530</v>
      </c>
      <c r="C2" s="3" t="s">
        <v>531</v>
      </c>
      <c r="D2" s="3" t="s">
        <v>532</v>
      </c>
      <c r="F2" s="3" t="s">
        <v>533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1070</v>
      </c>
      <c r="C32" s="41">
        <v>13</v>
      </c>
      <c r="D32" s="41">
        <v>13</v>
      </c>
    </row>
    <row r="33" spans="2:7" x14ac:dyDescent="0.2">
      <c r="B33" t="s">
        <v>1070</v>
      </c>
      <c r="C33" s="41">
        <v>-13</v>
      </c>
      <c r="D33" s="41">
        <v>13</v>
      </c>
    </row>
    <row r="34" spans="2:7" x14ac:dyDescent="0.2">
      <c r="B34" t="s">
        <v>1070</v>
      </c>
      <c r="C34" s="41">
        <v>-13</v>
      </c>
      <c r="D34" s="41">
        <v>-13</v>
      </c>
    </row>
    <row r="35" spans="2:7" x14ac:dyDescent="0.2">
      <c r="B35" t="s">
        <v>1070</v>
      </c>
      <c r="C35" s="41">
        <v>13</v>
      </c>
      <c r="D35" s="41">
        <v>-13</v>
      </c>
    </row>
    <row r="38" spans="2:7" x14ac:dyDescent="0.2">
      <c r="E38" s="4" t="s">
        <v>540</v>
      </c>
      <c r="F38">
        <f xml:space="preserve"> MIN(UYU.RawX)</f>
        <v>-34</v>
      </c>
    </row>
    <row r="39" spans="2:7" x14ac:dyDescent="0.2">
      <c r="E39" s="4" t="s">
        <v>541</v>
      </c>
      <c r="F39">
        <f xml:space="preserve"> MAX(UYU.RawX)</f>
        <v>34</v>
      </c>
    </row>
    <row r="40" spans="2:7" x14ac:dyDescent="0.2">
      <c r="E40" s="4" t="s">
        <v>542</v>
      </c>
      <c r="F40">
        <f xml:space="preserve"> MIN(UYU.RawY)</f>
        <v>-34</v>
      </c>
    </row>
    <row r="41" spans="2:7" x14ac:dyDescent="0.2">
      <c r="E41" s="4" t="s">
        <v>543</v>
      </c>
      <c r="F41">
        <f xml:space="preserve"> MAX(UYU.RawY)</f>
        <v>34</v>
      </c>
    </row>
    <row r="43" spans="2:7" x14ac:dyDescent="0.2">
      <c r="E43" s="4" t="s">
        <v>534</v>
      </c>
      <c r="F43" s="28">
        <v>1</v>
      </c>
    </row>
    <row r="44" spans="2:7" x14ac:dyDescent="0.2">
      <c r="E44" s="4" t="s">
        <v>535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536</v>
      </c>
      <c r="F45">
        <f xml:space="preserve"> VALUE(TEXT(SQRT(UYU.AreaMultiplier * BasicBBoxArea * UYU.Aspect), SVG.NumberFormatHeight))</f>
        <v>80</v>
      </c>
    </row>
    <row r="46" spans="2:7" x14ac:dyDescent="0.2">
      <c r="E46" s="4" t="s">
        <v>537</v>
      </c>
      <c r="F46" cm="1">
        <f t="array" ref="F46" xml:space="preserve"> UYU.Height / UYU.Aspect</f>
        <v>80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538</v>
      </c>
      <c r="F48" s="6" t="s">
        <v>1069</v>
      </c>
      <c r="G48" s="5"/>
    </row>
    <row r="49" spans="3:7" x14ac:dyDescent="0.2">
      <c r="E49" s="4" t="s">
        <v>539</v>
      </c>
      <c r="F49" s="6" t="s">
        <v>2103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544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width='80' height='80'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1023</v>
      </c>
      <c r="C2" s="3" t="s">
        <v>546</v>
      </c>
      <c r="D2" s="3" t="s">
        <v>547</v>
      </c>
      <c r="F2" s="3" t="s">
        <v>548</v>
      </c>
    </row>
    <row r="3" spans="2:6" x14ac:dyDescent="0.2">
      <c r="B3" s="5" t="s">
        <v>1025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1025</v>
      </c>
      <c r="C4" s="5">
        <v>5</v>
      </c>
      <c r="D4" s="5">
        <v>1</v>
      </c>
      <c r="F4" t="str">
        <v>L5 1</v>
      </c>
    </row>
    <row r="5" spans="2:6" x14ac:dyDescent="0.2">
      <c r="B5" s="5" t="s">
        <v>1025</v>
      </c>
      <c r="C5" s="5">
        <v>5</v>
      </c>
      <c r="D5" s="5">
        <v>3</v>
      </c>
      <c r="F5" t="str">
        <v>V3</v>
      </c>
    </row>
    <row r="6" spans="2:6" x14ac:dyDescent="0.2">
      <c r="B6" s="5" t="s">
        <v>1025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1025</v>
      </c>
      <c r="C7" s="48">
        <v>1</v>
      </c>
      <c r="D7" s="48">
        <v>5</v>
      </c>
      <c r="F7" t="str">
        <v>H1</v>
      </c>
    </row>
    <row r="8" spans="2:6" x14ac:dyDescent="0.2">
      <c r="B8" s="5" t="s">
        <v>1025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1025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1025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1025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1025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1025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1025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1025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1025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1025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1025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1025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1025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1025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1025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1024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1024</v>
      </c>
      <c r="C25" s="1">
        <v>5</v>
      </c>
      <c r="D25" s="1">
        <v>3</v>
      </c>
      <c r="F25" t="str">
        <v>V3</v>
      </c>
    </row>
    <row r="26" spans="2:6" x14ac:dyDescent="0.2">
      <c r="B26" t="s">
        <v>1024</v>
      </c>
      <c r="C26" s="1">
        <v>-5</v>
      </c>
      <c r="D26" s="1">
        <v>3</v>
      </c>
      <c r="F26" t="str">
        <v>H-5</v>
      </c>
    </row>
    <row r="27" spans="2:6" x14ac:dyDescent="0.2">
      <c r="B27" t="s">
        <v>1024</v>
      </c>
      <c r="C27" s="1">
        <v>-5</v>
      </c>
      <c r="D27" s="1">
        <v>5</v>
      </c>
      <c r="F27" t="str">
        <v>V5</v>
      </c>
    </row>
    <row r="28" spans="2:6" x14ac:dyDescent="0.2">
      <c r="B28" t="s">
        <v>1024</v>
      </c>
      <c r="C28" s="1">
        <v>-3</v>
      </c>
      <c r="D28" s="1">
        <v>5</v>
      </c>
      <c r="F28" t="str">
        <v>h2</v>
      </c>
    </row>
    <row r="29" spans="2:6" x14ac:dyDescent="0.2">
      <c r="B29" t="s">
        <v>1024</v>
      </c>
      <c r="C29" s="1">
        <v>-3</v>
      </c>
      <c r="D29" s="1">
        <v>-5</v>
      </c>
      <c r="F29" t="str">
        <v>V-5</v>
      </c>
    </row>
    <row r="30" spans="2:6" x14ac:dyDescent="0.2">
      <c r="B30" t="s">
        <v>1024</v>
      </c>
      <c r="C30" s="1">
        <v>-5</v>
      </c>
      <c r="D30" s="1">
        <v>-5</v>
      </c>
      <c r="F30" t="str">
        <v>H-5</v>
      </c>
    </row>
    <row r="31" spans="2:6" x14ac:dyDescent="0.2">
      <c r="B31" t="s">
        <v>1024</v>
      </c>
      <c r="C31">
        <v>-5</v>
      </c>
      <c r="D31" s="1">
        <v>-3</v>
      </c>
      <c r="F31" t="str">
        <v>v2</v>
      </c>
    </row>
    <row r="32" spans="2:6" x14ac:dyDescent="0.2">
      <c r="B32" t="s">
        <v>1024</v>
      </c>
      <c r="C32">
        <v>5</v>
      </c>
      <c r="D32">
        <v>-3</v>
      </c>
      <c r="F32" t="str">
        <v>H5</v>
      </c>
    </row>
    <row r="33" spans="2:6" x14ac:dyDescent="0.2">
      <c r="B33" t="s">
        <v>1024</v>
      </c>
      <c r="C33">
        <v>5</v>
      </c>
      <c r="D33">
        <v>-5</v>
      </c>
      <c r="F33" t="str">
        <v>V-5</v>
      </c>
    </row>
    <row r="34" spans="2:6" x14ac:dyDescent="0.2">
      <c r="B34" t="s">
        <v>1024</v>
      </c>
      <c r="C34">
        <v>3</v>
      </c>
      <c r="D34">
        <v>-5</v>
      </c>
      <c r="F34" t="str">
        <v>H3</v>
      </c>
    </row>
    <row r="35" spans="2:6" x14ac:dyDescent="0.2">
      <c r="B35" t="s">
        <v>1024</v>
      </c>
      <c r="C35">
        <v>3</v>
      </c>
      <c r="D35">
        <v>5</v>
      </c>
      <c r="F35" t="str">
        <v>V5Z</v>
      </c>
    </row>
    <row r="37" spans="2:6" x14ac:dyDescent="0.2">
      <c r="B37" t="s">
        <v>1024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1024</v>
      </c>
      <c r="C38">
        <v>5</v>
      </c>
      <c r="D38">
        <v>-1</v>
      </c>
      <c r="F38" t="str">
        <v>V-1</v>
      </c>
    </row>
    <row r="39" spans="2:6" x14ac:dyDescent="0.2">
      <c r="B39" t="s">
        <v>1024</v>
      </c>
      <c r="C39">
        <v>-5</v>
      </c>
      <c r="D39">
        <v>-1</v>
      </c>
      <c r="F39" t="str">
        <v>H-5</v>
      </c>
    </row>
    <row r="40" spans="2:6" x14ac:dyDescent="0.2">
      <c r="B40" t="s">
        <v>1024</v>
      </c>
      <c r="C40">
        <v>-5</v>
      </c>
      <c r="D40">
        <v>1</v>
      </c>
      <c r="F40" t="str">
        <v>V1Z</v>
      </c>
    </row>
    <row r="42" spans="2:6" x14ac:dyDescent="0.2">
      <c r="B42" t="s">
        <v>1024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1024</v>
      </c>
      <c r="C43">
        <v>1</v>
      </c>
      <c r="D43">
        <v>5</v>
      </c>
      <c r="F43" t="str">
        <v>H1</v>
      </c>
    </row>
    <row r="44" spans="2:6" x14ac:dyDescent="0.2">
      <c r="B44" t="s">
        <v>1024</v>
      </c>
      <c r="C44">
        <v>1</v>
      </c>
      <c r="D44">
        <v>-5</v>
      </c>
      <c r="F44" t="str">
        <v>V-5</v>
      </c>
    </row>
    <row r="45" spans="2:6" x14ac:dyDescent="0.2">
      <c r="B45" t="s">
        <v>1024</v>
      </c>
      <c r="C45">
        <v>-1</v>
      </c>
      <c r="D45">
        <v>-5</v>
      </c>
      <c r="F45" t="str">
        <v>H-1Z</v>
      </c>
    </row>
    <row r="48" spans="2:6" x14ac:dyDescent="0.2">
      <c r="E48" s="4" t="s">
        <v>555</v>
      </c>
      <c r="F48">
        <f xml:space="preserve"> MIN(BOB.RawX)</f>
        <v>-5</v>
      </c>
    </row>
    <row r="49" spans="3:7" x14ac:dyDescent="0.2">
      <c r="E49" s="4" t="s">
        <v>556</v>
      </c>
      <c r="F49">
        <f xml:space="preserve"> MAX(BOB.RawX)</f>
        <v>5</v>
      </c>
    </row>
    <row r="50" spans="3:7" x14ac:dyDescent="0.2">
      <c r="E50" s="4" t="s">
        <v>557</v>
      </c>
      <c r="F50">
        <f xml:space="preserve"> MIN(BOB.RawY)</f>
        <v>-5</v>
      </c>
    </row>
    <row r="51" spans="3:7" x14ac:dyDescent="0.2">
      <c r="E51" s="4" t="s">
        <v>558</v>
      </c>
      <c r="F51">
        <f xml:space="preserve"> MAX(BOB.RawY)</f>
        <v>5</v>
      </c>
    </row>
    <row r="53" spans="3:7" x14ac:dyDescent="0.2">
      <c r="E53" s="4" t="s">
        <v>549</v>
      </c>
      <c r="F53" s="28">
        <f xml:space="preserve"> MODE(Squares.AreaMultiplier)</f>
        <v>0.85</v>
      </c>
    </row>
    <row r="54" spans="3:7" x14ac:dyDescent="0.2">
      <c r="E54" s="4" t="s">
        <v>550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551</v>
      </c>
      <c r="F55">
        <f xml:space="preserve"> VALUE(TEXT(SQRT(BOB.AreaMultiplier * BasicBBoxArea * BOB.Aspect), SVG.NumberFormatHeight))</f>
        <v>74</v>
      </c>
    </row>
    <row r="56" spans="3:7" x14ac:dyDescent="0.2">
      <c r="E56" s="4" t="s">
        <v>552</v>
      </c>
      <c r="F56" cm="1">
        <f t="array" ref="F56" xml:space="preserve"> BOB.Height / BOB.Aspect</f>
        <v>74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553</v>
      </c>
      <c r="F58" s="6" t="str">
        <f>"fill='#FFF'"</f>
        <v>fill='#FFF'</v>
      </c>
      <c r="G58" s="5"/>
    </row>
    <row r="59" spans="3:7" x14ac:dyDescent="0.2">
      <c r="E59" s="4" t="s">
        <v>554</v>
      </c>
      <c r="F59" s="6" t="s">
        <v>727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559</v>
      </c>
      <c r="G61" s="5"/>
    </row>
    <row r="62" spans="3:7" x14ac:dyDescent="0.2">
      <c r="C62" cm="1">
        <f t="array" ref="C62" xml:space="preserve"> SVG_length(BOB.svg)</f>
        <v>276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width='74' height='74'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G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583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584</v>
      </c>
      <c r="C4" s="3" t="s">
        <v>585</v>
      </c>
      <c r="D4" s="3" t="s">
        <v>586</v>
      </c>
      <c r="F4" s="3" t="s">
        <v>1754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594</v>
      </c>
      <c r="F13">
        <f xml:space="preserve"> ROUND( MIN(FR.RawX), FR.DecimalPlaces)</f>
        <v>-3.4641000000000002</v>
      </c>
    </row>
    <row r="14" spans="2:6" x14ac:dyDescent="0.2">
      <c r="E14" s="4" t="s">
        <v>595</v>
      </c>
      <c r="F14">
        <f xml:space="preserve"> ROUND(MAX(FR.RawX), FR.DecimalPlaces)</f>
        <v>3.4641000000000002</v>
      </c>
    </row>
    <row r="15" spans="2:6" x14ac:dyDescent="0.2">
      <c r="E15" s="4" t="s">
        <v>596</v>
      </c>
      <c r="F15">
        <f xml:space="preserve"> ROUND( MIN(FR.RawY), FR.DecimalPlaces)</f>
        <v>-4</v>
      </c>
    </row>
    <row r="16" spans="2:6" x14ac:dyDescent="0.2">
      <c r="E16" s="4" t="s">
        <v>597</v>
      </c>
      <c r="F16">
        <f xml:space="preserve"> ROUND(MAX(FR.RawY), FR.DecimalPlaces)</f>
        <v>4</v>
      </c>
    </row>
    <row r="18" spans="2:7" x14ac:dyDescent="0.2">
      <c r="E18" s="4" t="s">
        <v>587</v>
      </c>
      <c r="F18" s="28">
        <f xml:space="preserve"> 17 / 16</f>
        <v>1.0625</v>
      </c>
    </row>
    <row r="19" spans="2:7" x14ac:dyDescent="0.2">
      <c r="E19" s="4" t="s">
        <v>588</v>
      </c>
      <c r="F19">
        <f xml:space="preserve">  MAX(FR.MaxY, - FR.MinY)   /   MAX(FR.MaxX, - FR.MinX)</f>
        <v>1.154701076758754</v>
      </c>
    </row>
    <row r="20" spans="2:7" x14ac:dyDescent="0.2">
      <c r="E20" s="4" t="s">
        <v>589</v>
      </c>
      <c r="F20">
        <f xml:space="preserve"> VALUE(TEXT(SQRT(FR.AreaMultiplier * BasicBBoxArea * FR.Aspect), SVG.NumberFormatHeight))</f>
        <v>89</v>
      </c>
    </row>
    <row r="21" spans="2:7" x14ac:dyDescent="0.2">
      <c r="E21" s="4" t="s">
        <v>590</v>
      </c>
      <c r="F21" cm="1">
        <f t="array" ref="F21" xml:space="preserve"> FR.Height / FR.Aspect</f>
        <v>77.076225000000008</v>
      </c>
    </row>
    <row r="22" spans="2:7" x14ac:dyDescent="0.2">
      <c r="G22" s="5"/>
    </row>
    <row r="23" spans="2:7" x14ac:dyDescent="0.2">
      <c r="E23" s="4" t="s">
        <v>591</v>
      </c>
      <c r="F23" t="s">
        <v>779</v>
      </c>
      <c r="G23" s="5"/>
    </row>
    <row r="24" spans="2:7" x14ac:dyDescent="0.2">
      <c r="E24" s="4" t="s">
        <v>592</v>
      </c>
      <c r="F24" t="s">
        <v>2103</v>
      </c>
      <c r="G24" s="5"/>
    </row>
    <row r="25" spans="2:7" x14ac:dyDescent="0.2">
      <c r="E25" s="4" t="s">
        <v>593</v>
      </c>
      <c r="F25" t="s">
        <v>780</v>
      </c>
      <c r="G25" s="5"/>
    </row>
    <row r="26" spans="2:7" x14ac:dyDescent="0.2">
      <c r="E26" s="5"/>
      <c r="G26" s="5"/>
    </row>
    <row r="27" spans="2:7" ht="17" thickBot="1" x14ac:dyDescent="0.25">
      <c r="E27" s="5"/>
      <c r="F27" s="3" t="s">
        <v>598</v>
      </c>
      <c r="G27" s="5"/>
    </row>
    <row r="28" spans="2:7" x14ac:dyDescent="0.2">
      <c r="B28" cm="1">
        <f t="array" ref="B28" xml:space="preserve"> SVG_length(FR.svg)</f>
        <v>321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width='77.07623' height='89' viewBox='-3.4641 -4 6.9282 8'  id='%thisID%' xmlns='http://www.w3.org/2000/svg'&gt;</v>
      </c>
    </row>
    <row r="29" spans="2:7" x14ac:dyDescent="0.2">
      <c r="E29" s="5"/>
      <c r="F29" s="6" t="str" cm="1">
        <f t="array" ref="F29" xml:space="preserve"> "&lt;defs&gt;&lt;path id='h' d='" &amp; _xlfn.TEXTJOIN(" ", TRUE, IF("Outer"=FR.Part,FR.svgWorking,"")) &amp; "Z'/&gt;&lt;/defs&gt;"</f>
        <v>&lt;defs&gt;&lt;path id='h' d='M0 4 L3.4641 2 V-2 L0 -4 l-3.4641 2 V2ZZ'/&gt;&lt;/defs&gt;</v>
      </c>
    </row>
    <row r="30" spans="2:7" x14ac:dyDescent="0.2">
      <c r="E30" s="5"/>
      <c r="F30" s="6" t="str">
        <f xml:space="preserve"> "&lt;use href='#h' " &amp; IF(LEN(_xlfn.SINGLE(FR.SVG_painting_Outer))&gt;0, TRIM(_xlfn.SINGLE(FR.SVG_painting_Outer)), "") &amp; "/&gt;"</f>
        <v>&lt;use href='#h' fill='#0055A4'/&gt;</v>
      </c>
    </row>
    <row r="31" spans="2:7" x14ac:dyDescent="0.2">
      <c r="E31" s="6"/>
      <c r="F31" s="6" t="str">
        <f xml:space="preserve"> "&lt;use href='#h' " &amp; IF(LEN(_xlfn.SINGLE(FR.SVG_painting_Middle))&gt;0, TRIM(_xlfn.SINGLE(FR.SVG_painting_Middle)), "") &amp; " transform='scale(" &amp; ROUND(Thirds_M/Thirds_O,2) &amp; ")'/&gt;"</f>
        <v>&lt;use href='#h' fill='#FFF' transform='scale(0.7)'/&gt;</v>
      </c>
    </row>
    <row r="32" spans="2:7" x14ac:dyDescent="0.2">
      <c r="E32" s="5"/>
      <c r="F32" s="6" t="str">
        <f xml:space="preserve"> "&lt;use href='#h' " &amp; IF(LEN(_xlfn.SINGLE(FR.SVG_painting_Inner))&gt;0, TRIM(_xlfn.SINGLE(FR.SVG_painting_Inner)), "") &amp; " transform='scale(" &amp; ROUND(Thirds_I/Thirds_O,2) &amp; ")'/&gt;"</f>
        <v>&lt;use href='#h' fill='#EF4135' transform='scale(0.37)'/&gt;</v>
      </c>
    </row>
    <row r="33" spans="5:6" x14ac:dyDescent="0.2">
      <c r="E33" s="5"/>
      <c r="F33" s="6" t="s">
        <v>15</v>
      </c>
    </row>
    <row r="34" spans="5:6" x14ac:dyDescent="0.2">
      <c r="E34" s="5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1727</v>
      </c>
      <c r="D2" s="2" t="s">
        <v>1728</v>
      </c>
      <c r="F2" s="3" t="s">
        <v>1729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1730</v>
      </c>
      <c r="C5" s="3" t="s">
        <v>1731</v>
      </c>
      <c r="D5" s="3" t="s">
        <v>1732</v>
      </c>
      <c r="F5" s="3" t="s">
        <v>1753</v>
      </c>
      <c r="K5" s="3" t="s">
        <v>1733</v>
      </c>
      <c r="L5" s="3" t="s">
        <v>1734</v>
      </c>
      <c r="M5" s="3" t="s">
        <v>1735</v>
      </c>
      <c r="N5" s="3" t="s">
        <v>1736</v>
      </c>
      <c r="O5" s="3" t="s">
        <v>1737</v>
      </c>
      <c r="P5" s="3" t="s">
        <v>1738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1739</v>
      </c>
      <c r="I23">
        <v>-1</v>
      </c>
    </row>
    <row r="24" spans="2:16" x14ac:dyDescent="0.2">
      <c r="H24" s="4" t="s">
        <v>1740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1741</v>
      </c>
      <c r="F43">
        <f xml:space="preserve"> ROUND( MIN(NL.RawX), NL.DecimalPlaces)</f>
        <v>-10</v>
      </c>
    </row>
    <row r="44" spans="2:16" x14ac:dyDescent="0.2">
      <c r="E44" s="4" t="s">
        <v>1742</v>
      </c>
      <c r="F44">
        <f xml:space="preserve"> ROUND(MAX(NL.RawX), NL.DecimalPlaces)</f>
        <v>10</v>
      </c>
    </row>
    <row r="45" spans="2:16" x14ac:dyDescent="0.2">
      <c r="E45" s="4" t="s">
        <v>1743</v>
      </c>
      <c r="F45">
        <f xml:space="preserve"> ROUND( MIN(NL.RawY), NL.DecimalPlaces)</f>
        <v>-7</v>
      </c>
    </row>
    <row r="46" spans="2:16" x14ac:dyDescent="0.2">
      <c r="E46" s="4" t="s">
        <v>1744</v>
      </c>
      <c r="F46">
        <f xml:space="preserve"> ROUND(MAX(NL.RawY), NL.DecimalPlaces)</f>
        <v>7</v>
      </c>
    </row>
    <row r="48" spans="2:16" x14ac:dyDescent="0.2">
      <c r="E48" s="4" t="s">
        <v>1745</v>
      </c>
      <c r="F48" s="28">
        <v>0.875</v>
      </c>
    </row>
    <row r="49" spans="4:6" x14ac:dyDescent="0.2">
      <c r="E49" s="4" t="s">
        <v>1746</v>
      </c>
      <c r="F49" cm="1">
        <f t="array" ref="F49" xml:space="preserve">  MAX(NL.MaxY, - NL.MinY)   /   MAX(NL.MaxX, - NL.MinX)</f>
        <v>0.7</v>
      </c>
    </row>
    <row r="50" spans="4:6" x14ac:dyDescent="0.2">
      <c r="E50" s="4" t="s">
        <v>1747</v>
      </c>
      <c r="F50" cm="1">
        <f t="array" ref="F50" xml:space="preserve"> VALUE(TEXT(SQRT(NL.AreaMultiplier* BasicBBoxArea * NL.Aspect), SVG.NumberFormatHeight))</f>
        <v>62.6</v>
      </c>
    </row>
    <row r="51" spans="4:6" x14ac:dyDescent="0.2">
      <c r="E51" s="4" t="s">
        <v>1748</v>
      </c>
      <c r="F51" cm="1">
        <f t="array" ref="F51" xml:space="preserve"> NL.Height / NL.Aspect</f>
        <v>89.428571428571431</v>
      </c>
    </row>
    <row r="53" spans="4:6" x14ac:dyDescent="0.2">
      <c r="E53" s="4" t="s">
        <v>1749</v>
      </c>
      <c r="F53" t="s">
        <v>722</v>
      </c>
    </row>
    <row r="54" spans="4:6" x14ac:dyDescent="0.2">
      <c r="E54" s="4" t="s">
        <v>1750</v>
      </c>
      <c r="F54" t="s">
        <v>1752</v>
      </c>
    </row>
    <row r="56" spans="4:6" x14ac:dyDescent="0.2">
      <c r="E56" s="5"/>
      <c r="F56" s="5"/>
    </row>
    <row r="57" spans="4:6" ht="17" thickBot="1" x14ac:dyDescent="0.25">
      <c r="E57" s="5"/>
      <c r="F57" s="3" t="s">
        <v>1751</v>
      </c>
    </row>
    <row r="58" spans="4:6" x14ac:dyDescent="0.2">
      <c r="D58" cm="1">
        <f t="array" ref="D58" xml:space="preserve"> SVG_length(NL.svg)</f>
        <v>327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width='89.42857' height='62.6' viewBox='-10 -7 20 14'  id='%thisID%' xmlns='http://www.w3.org/2000/svg'&gt;</v>
      </c>
    </row>
    <row r="59" spans="4:6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</row>
    <row r="60" spans="4:6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6" x14ac:dyDescent="0.2">
      <c r="E61" s="5"/>
      <c r="F61" s="6" t="s">
        <v>15</v>
      </c>
    </row>
    <row r="62" spans="4:6" x14ac:dyDescent="0.2">
      <c r="E62" s="5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F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650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644</v>
      </c>
      <c r="C4" cm="1">
        <f t="array" ref="C4" xml:space="preserve"> BE.RadiusOuter</f>
        <v>10</v>
      </c>
    </row>
    <row r="5" spans="2:6" x14ac:dyDescent="0.2">
      <c r="B5" s="4" t="s">
        <v>645</v>
      </c>
      <c r="C5" cm="1">
        <f t="array" ref="C5" xml:space="preserve"> BE.MaxX</f>
        <v>10</v>
      </c>
    </row>
    <row r="6" spans="2:6" x14ac:dyDescent="0.2">
      <c r="B6" s="4" t="s">
        <v>646</v>
      </c>
      <c r="C6" cm="1">
        <f t="array" ref="C6" xml:space="preserve"> - BE.MaxX</f>
        <v>-10</v>
      </c>
    </row>
    <row r="7" spans="2:6" x14ac:dyDescent="0.2">
      <c r="B7" s="4" t="s">
        <v>647</v>
      </c>
      <c r="C7" cm="1">
        <f t="array" ref="C7" xml:space="preserve"> - BE.MaxY</f>
        <v>-10</v>
      </c>
    </row>
    <row r="9" spans="2:6" x14ac:dyDescent="0.2">
      <c r="B9" s="4" t="s">
        <v>638</v>
      </c>
      <c r="C9" s="28">
        <f xml:space="preserve"> MODE(Circles.AreaMultiplier)</f>
        <v>1</v>
      </c>
      <c r="F9"/>
    </row>
    <row r="10" spans="2:6" x14ac:dyDescent="0.2">
      <c r="B10" s="4" t="s">
        <v>639</v>
      </c>
      <c r="C10">
        <f xml:space="preserve"> MAX(BE.MaxY, - BE.MinY)   /   MAX(BE.MaxX, - BE.MinX)</f>
        <v>1</v>
      </c>
    </row>
    <row r="11" spans="2:6" x14ac:dyDescent="0.2">
      <c r="B11" s="4" t="s">
        <v>640</v>
      </c>
      <c r="C11">
        <f xml:space="preserve"> VALUE(TEXT(SQRT(BE.AreaMultiplier * BasicBBoxArea * BE.Aspect), SVG.NumberFormatHeight))</f>
        <v>80</v>
      </c>
    </row>
    <row r="12" spans="2:6" x14ac:dyDescent="0.2">
      <c r="B12" s="4" t="s">
        <v>641</v>
      </c>
      <c r="C12" cm="1">
        <f t="array" ref="C12" xml:space="preserve"> BE.Height / BE.Aspect</f>
        <v>80</v>
      </c>
    </row>
    <row r="14" spans="2:6" x14ac:dyDescent="0.2">
      <c r="B14" s="4" t="s">
        <v>642</v>
      </c>
      <c r="C14" t="str">
        <f xml:space="preserve"> "='#FFCC33'"</f>
        <v>='#FFCC33'</v>
      </c>
    </row>
    <row r="15" spans="2:6" x14ac:dyDescent="0.2">
      <c r="B15" s="4" t="s">
        <v>643</v>
      </c>
      <c r="C15" t="s">
        <v>784</v>
      </c>
    </row>
    <row r="17" spans="2:6" ht="17" thickBot="1" x14ac:dyDescent="0.25">
      <c r="B17" s="3" t="s">
        <v>648</v>
      </c>
      <c r="C17" s="3" t="s">
        <v>649</v>
      </c>
      <c r="D17" s="3" t="s">
        <v>652</v>
      </c>
    </row>
    <row r="18" spans="2:6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6" ht="17" thickBot="1" x14ac:dyDescent="0.25">
      <c r="B20" s="3" t="s">
        <v>653</v>
      </c>
      <c r="C20" s="3" t="s">
        <v>654</v>
      </c>
      <c r="D20" s="3" t="s">
        <v>655</v>
      </c>
      <c r="E20" s="5"/>
      <c r="F20" s="40" t="s">
        <v>1510</v>
      </c>
    </row>
    <row r="21" spans="2:6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6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6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6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6" ht="17" thickBot="1" x14ac:dyDescent="0.25">
      <c r="F27" s="40" t="s">
        <v>651</v>
      </c>
    </row>
    <row r="28" spans="2:6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width='80' height='80' viewBox='-10 -10 20 20'  id='%thisID%' xmlns='http://www.w3.org/2000/svg'&gt;</v>
      </c>
    </row>
    <row r="29" spans="2:6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</row>
    <row r="30" spans="2:6" x14ac:dyDescent="0.2">
      <c r="F30" s="36" t="str">
        <f xml:space="preserve"> "&lt;circle " &amp; _xlfn.SINGLE(BE.SVG_painting_Inner) &amp; " r='" &amp; ROUND(_xlfn.SINGLE(BE.RadiusInner), DecimalPlaces) &amp; "'/&gt;"</f>
        <v>&lt;circle fill='#663319' r='9'/&gt;</v>
      </c>
    </row>
    <row r="31" spans="2:6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</row>
    <row r="32" spans="2:6" x14ac:dyDescent="0.2">
      <c r="F32" s="6" t="s">
        <v>15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L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1568</v>
      </c>
      <c r="J2" t="b">
        <v>1</v>
      </c>
    </row>
    <row r="3" spans="9:11" x14ac:dyDescent="0.2">
      <c r="I3" s="4" t="s">
        <v>1495</v>
      </c>
      <c r="J3" s="36" t="s">
        <v>1496</v>
      </c>
      <c r="K3" s="36"/>
    </row>
    <row r="4" spans="9:11" x14ac:dyDescent="0.2">
      <c r="I4" s="4" t="s">
        <v>1569</v>
      </c>
      <c r="J4" s="36" t="s">
        <v>1492</v>
      </c>
    </row>
    <row r="6" spans="9:11" x14ac:dyDescent="0.2">
      <c r="I6" s="4" t="s">
        <v>1566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667</v>
      </c>
      <c r="J7">
        <f xml:space="preserve"> DecimalPlaces - INT(LOG(MIN(  2*IE.RadiusShamrock  )/2, 10) + 0.2)</f>
        <v>3</v>
      </c>
    </row>
    <row r="8" spans="9:11" x14ac:dyDescent="0.2">
      <c r="I8" s="4" t="s">
        <v>1567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663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664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665</v>
      </c>
      <c r="J12" cm="1">
        <f t="array" ref="J12" xml:space="preserve"> - IE.MaxX</f>
        <v>-109</v>
      </c>
    </row>
    <row r="13" spans="9:11" x14ac:dyDescent="0.2">
      <c r="I13" s="4" t="s">
        <v>666</v>
      </c>
      <c r="J13" cm="1">
        <f t="array" ref="J13" xml:space="preserve"> - IE.MaxY</f>
        <v>-109</v>
      </c>
    </row>
    <row r="15" spans="9:11" x14ac:dyDescent="0.2">
      <c r="I15" s="4" t="s">
        <v>1494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659</v>
      </c>
      <c r="J17" s="28">
        <f xml:space="preserve"> IF(IE.BoundingCircle, MODE(Circles.AreaMultiplier), 1.5)</f>
        <v>1</v>
      </c>
    </row>
    <row r="18" spans="2:12" x14ac:dyDescent="0.2">
      <c r="I18" s="4" t="s">
        <v>660</v>
      </c>
      <c r="J18">
        <f xml:space="preserve"> MAX(IE.MaxY, - IE.MinY)   /   MAX(IE.MaxX, - IE.MinX)</f>
        <v>1</v>
      </c>
    </row>
    <row r="19" spans="2:12" x14ac:dyDescent="0.2">
      <c r="I19" s="4" t="s">
        <v>661</v>
      </c>
      <c r="J19">
        <f xml:space="preserve"> VALUE(TEXT(SQRT(IE.AreaMultiplier * BasicBBoxArea * IE.Aspect), SVG.NumberFormatHeight))</f>
        <v>80</v>
      </c>
    </row>
    <row r="20" spans="2:12" x14ac:dyDescent="0.2">
      <c r="I20" s="4" t="s">
        <v>662</v>
      </c>
      <c r="J20" cm="1">
        <f t="array" ref="J20" xml:space="preserve"> IE.Height / IE.Aspect</f>
        <v>80</v>
      </c>
    </row>
    <row r="22" spans="2:12" ht="17" thickBot="1" x14ac:dyDescent="0.25">
      <c r="B22" s="3" t="s">
        <v>1493</v>
      </c>
      <c r="C22" s="3" t="s">
        <v>669</v>
      </c>
      <c r="D22" s="3"/>
      <c r="E22" s="3" t="s">
        <v>670</v>
      </c>
      <c r="F22" s="3" t="s">
        <v>671</v>
      </c>
      <c r="G22" s="3" t="s">
        <v>672</v>
      </c>
      <c r="H22" s="3" t="s">
        <v>673</v>
      </c>
      <c r="I22" s="3" t="s">
        <v>674</v>
      </c>
      <c r="J22" s="3" t="s">
        <v>675</v>
      </c>
      <c r="K22" s="5"/>
      <c r="L22" s="40" t="s">
        <v>1491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560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560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560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2" x14ac:dyDescent="0.2">
      <c r="B49" t="s">
        <v>24</v>
      </c>
      <c r="C49">
        <f t="shared" si="5"/>
        <v>240</v>
      </c>
      <c r="L49" s="36" t="s">
        <v>560</v>
      </c>
    </row>
    <row r="51" spans="2:12" x14ac:dyDescent="0.2">
      <c r="L51" cm="1">
        <f t="array" ref="L51">SVG_length(IE.svg)</f>
        <v>305</v>
      </c>
    </row>
    <row r="53" spans="2:12" ht="17" thickBot="1" x14ac:dyDescent="0.25">
      <c r="L53" s="40" t="s">
        <v>668</v>
      </c>
    </row>
    <row r="54" spans="2:12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width='80' height='80' viewBox='-109 -109 218 218'  id='%thisID%' xmlns='http://www.w3.org/2000/svg'&gt;</v>
      </c>
    </row>
    <row r="55" spans="2:12" x14ac:dyDescent="0.2">
      <c r="L55" s="6" t="str">
        <f xml:space="preserve"> IF(IE.BoundingCircle, "&lt;circle " &amp; IE.SVG_painting_O &amp; " r='" &amp; IE.Radius &amp; "'/&gt;", "")</f>
        <v>&lt;circle fill='#FF883E' r='109'/&gt;</v>
      </c>
    </row>
    <row r="56" spans="2:12" x14ac:dyDescent="0.2">
      <c r="L56" s="36" t="str" cm="1">
        <f t="array" ref="L56" xml:space="preserve"> "&lt;path id='o' " &amp; IF(IE.BoundingCircle, IE.SVG_painting_G, IE.SVG_painting_O) &amp; " d='" &amp; _xlfn.TEXTJOIN(" ", TRUE, IF("Outer"=IE.Part, IF(0=IE.Ang, IE.svgWorking, ""), "")) &amp; "'/&gt;"</f>
        <v>&lt;path id='o' fill='#169B62' d='M 0 0 C 80 -67 48 -114 0 -90 C -48 -114 -80 -67 0 0 Z'/&gt;</v>
      </c>
    </row>
    <row r="57" spans="2:12" x14ac:dyDescent="0.2">
      <c r="L57" s="36" t="str">
        <f xml:space="preserve"> "&lt;use href='#o' transform='rotate(" &amp; $C$27 &amp; ")'/&gt;&lt;use href='#o' transform='rotate(" &amp; $C$29 &amp; ")'/&gt;"</f>
        <v>&lt;use href='#o' transform='rotate(120)'/&gt;&lt;use href='#o' transform='rotate(240)'/&gt;</v>
      </c>
    </row>
    <row r="58" spans="2:12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</row>
    <row r="59" spans="2:12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</row>
    <row r="60" spans="2:12" x14ac:dyDescent="0.2">
      <c r="L60" s="6" t="s">
        <v>15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E39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2148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2149</v>
      </c>
      <c r="C5" s="3" t="s">
        <v>2150</v>
      </c>
      <c r="E5" s="3" t="s">
        <v>2151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2153</v>
      </c>
      <c r="E20">
        <f xml:space="preserve"> ROUND(MAX(GR.RawX), GR.DecimalPlaces) + 1</f>
        <v>6</v>
      </c>
    </row>
    <row r="21" spans="2:5" x14ac:dyDescent="0.2">
      <c r="D21" s="4" t="s">
        <v>2155</v>
      </c>
      <c r="E21">
        <f xml:space="preserve"> GR.MaxX</f>
        <v>6</v>
      </c>
    </row>
    <row r="22" spans="2:5" x14ac:dyDescent="0.2">
      <c r="D22" s="4" t="s">
        <v>2152</v>
      </c>
      <c r="E22">
        <f xml:space="preserve"> - GR.MaxX</f>
        <v>-6</v>
      </c>
    </row>
    <row r="23" spans="2:5" x14ac:dyDescent="0.2">
      <c r="D23" s="4" t="s">
        <v>2154</v>
      </c>
      <c r="E23">
        <f xml:space="preserve"> - GR.MaxY</f>
        <v>-6</v>
      </c>
    </row>
    <row r="25" spans="2:5" x14ac:dyDescent="0.2">
      <c r="D25" s="4" t="s">
        <v>2156</v>
      </c>
      <c r="E25" s="28">
        <f xml:space="preserve"> MODE(Squares.AreaMultiplier)</f>
        <v>0.85</v>
      </c>
    </row>
    <row r="26" spans="2:5" x14ac:dyDescent="0.2">
      <c r="D26" s="4" t="s">
        <v>2157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2158</v>
      </c>
      <c r="E27" cm="1">
        <f t="array" ref="E27" xml:space="preserve"> VALUE(TEXT(SQRT(GR.AreaMultiplier * BasicBBoxArea * GR.Aspect), SVG.NumberFormatHeight))</f>
        <v>74</v>
      </c>
    </row>
    <row r="28" spans="2:5" x14ac:dyDescent="0.2">
      <c r="D28" s="4" t="s">
        <v>2159</v>
      </c>
      <c r="E28" cm="1">
        <f t="array" ref="E28" xml:space="preserve"> GR.Height / GR.Aspect</f>
        <v>74</v>
      </c>
    </row>
    <row r="29" spans="2:5" x14ac:dyDescent="0.2">
      <c r="D29" s="4"/>
      <c r="E29" s="6"/>
    </row>
    <row r="30" spans="2:5" x14ac:dyDescent="0.2">
      <c r="D30" s="4" t="s">
        <v>2160</v>
      </c>
      <c r="E30" s="6" t="s">
        <v>794</v>
      </c>
    </row>
    <row r="31" spans="2:5" x14ac:dyDescent="0.2">
      <c r="D31" s="4" t="s">
        <v>2161</v>
      </c>
      <c r="E31" s="6" t="s">
        <v>2103</v>
      </c>
    </row>
    <row r="32" spans="2:5" x14ac:dyDescent="0.2">
      <c r="D32" s="5"/>
    </row>
    <row r="33" spans="4:5" x14ac:dyDescent="0.2">
      <c r="D33" s="5"/>
      <c r="E33" cm="1">
        <f t="array" ref="E33" xml:space="preserve"> SVG_length(GR.svg)</f>
        <v>201</v>
      </c>
    </row>
    <row r="34" spans="4:5" x14ac:dyDescent="0.2">
      <c r="D34" s="5"/>
    </row>
    <row r="35" spans="4:5" ht="17" thickBot="1" x14ac:dyDescent="0.25">
      <c r="D35" s="5"/>
      <c r="E35" s="3" t="s">
        <v>2162</v>
      </c>
    </row>
    <row r="36" spans="4:5" x14ac:dyDescent="0.2">
      <c r="D36" s="5"/>
      <c r="E36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width='74' height='74' viewBox='-6 -6 12 12'  id='%thisID%' xmlns='http://www.w3.org/2000/svg'&gt;</v>
      </c>
    </row>
    <row r="37" spans="4:5" x14ac:dyDescent="0.2">
      <c r="D37" s="5"/>
      <c r="E37" s="6" t="str" cm="1">
        <f t="array" ref="E37" xml:space="preserve"> svgPathRect(DecimalPlaces, GR.SVG_painting_O, 6, 6)</f>
        <v>&lt;path fill='#004C98' d='M6 6V-6H-6V6Z'/&gt;</v>
      </c>
    </row>
    <row r="38" spans="4:5" x14ac:dyDescent="0.2">
      <c r="D38" s="5"/>
      <c r="E38" s="6" t="str">
        <f xml:space="preserve"> "&lt;path " &amp; GR.SVG_painting_I &amp; " d='" &amp; _xlfn.TEXTJOIN(" ", TRUE, GR.PointsWorking) &amp; "'/&gt;"</f>
        <v>&lt;path fill='#FFF' d='M5 1 H1 V5 H-1 V1 H-5 V-1 h4 V-5 H1 v4 H5Z'/&gt;</v>
      </c>
    </row>
    <row r="39" spans="4:5" x14ac:dyDescent="0.2">
      <c r="D39" s="5"/>
      <c r="E39" s="6" t="s">
        <v>15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617</v>
      </c>
      <c r="C2" s="2" t="s">
        <v>616</v>
      </c>
      <c r="F2" s="3" t="s">
        <v>600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618</v>
      </c>
      <c r="C5" s="3" t="s">
        <v>601</v>
      </c>
      <c r="D5" s="3" t="s">
        <v>602</v>
      </c>
      <c r="F5" s="3" t="s">
        <v>603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610</v>
      </c>
      <c r="F20">
        <f xml:space="preserve"> ROUND( MIN(SI.RawX), SI.DecimalPlaces)</f>
        <v>-6.9282000000000004</v>
      </c>
    </row>
    <row r="21" spans="2:6" x14ac:dyDescent="0.2">
      <c r="E21" s="4" t="s">
        <v>611</v>
      </c>
      <c r="F21">
        <f xml:space="preserve"> ROUND(MAX(SI.RawX), SI.DecimalPlaces)</f>
        <v>6.9282000000000004</v>
      </c>
    </row>
    <row r="22" spans="2:6" x14ac:dyDescent="0.2">
      <c r="E22" s="4" t="s">
        <v>612</v>
      </c>
      <c r="F22">
        <f xml:space="preserve"> ROUND( MIN(SI.RawY), SI.DecimalPlaces)</f>
        <v>-8</v>
      </c>
    </row>
    <row r="23" spans="2:6" x14ac:dyDescent="0.2">
      <c r="E23" s="4" t="s">
        <v>613</v>
      </c>
      <c r="F23">
        <f xml:space="preserve"> ROUND(MAX(SI.RawY), SI.DecimalPlaces)</f>
        <v>8</v>
      </c>
    </row>
    <row r="25" spans="2:6" x14ac:dyDescent="0.2">
      <c r="E25" s="4" t="s">
        <v>604</v>
      </c>
      <c r="F25" s="28">
        <v>1.125</v>
      </c>
    </row>
    <row r="26" spans="2:6" x14ac:dyDescent="0.2">
      <c r="E26" s="4" t="s">
        <v>605</v>
      </c>
      <c r="F26">
        <f xml:space="preserve">  MAX(SI.MaxY, - SI.MinY)   /   MAX(SI.MaxX, - SI.MinX)</f>
        <v>1.154701076758754</v>
      </c>
    </row>
    <row r="27" spans="2:6" x14ac:dyDescent="0.2">
      <c r="E27" s="4" t="s">
        <v>606</v>
      </c>
      <c r="F27">
        <f xml:space="preserve"> VALUE(TEXT(SQRT(SI.AreaMultiplier * BasicBBoxArea * SI.Aspect), SVG.NumberFormatHeight))</f>
        <v>91</v>
      </c>
    </row>
    <row r="28" spans="2:6" x14ac:dyDescent="0.2">
      <c r="E28" s="4" t="s">
        <v>607</v>
      </c>
      <c r="F28" cm="1">
        <f t="array" ref="F28" xml:space="preserve"> SI.Height / SI.Aspect</f>
        <v>78.808275000000009</v>
      </c>
    </row>
    <row r="29" spans="2:6" x14ac:dyDescent="0.2">
      <c r="E29" s="4"/>
      <c r="F29" s="6"/>
    </row>
    <row r="30" spans="2:6" x14ac:dyDescent="0.2">
      <c r="E30" s="4" t="s">
        <v>608</v>
      </c>
      <c r="F30" s="6" t="s">
        <v>776</v>
      </c>
    </row>
    <row r="31" spans="2:6" x14ac:dyDescent="0.2">
      <c r="E31" s="4" t="s">
        <v>609</v>
      </c>
      <c r="F31" s="6" t="s">
        <v>777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336</v>
      </c>
    </row>
    <row r="34" spans="5:7" x14ac:dyDescent="0.2">
      <c r="E34" s="5"/>
    </row>
    <row r="35" spans="5:7" ht="17" thickBot="1" x14ac:dyDescent="0.25">
      <c r="E35" s="5"/>
      <c r="F35" s="3" t="s">
        <v>614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width='78.80828' height='91'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id='s' d='" &amp; _xlfn.TEXTJOIN(" ", TRUE, SI.PointsWorking) &amp; "'/&gt;&lt;/defs&gt;"</f>
        <v>&lt;defs&gt;&lt;path id='s'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href='#s' " &amp; IF(LEN(_xlfn.SINGLE(SI.SVG_painting_O))&gt;0, TRIM(_xlfn.SINGLE(SI.SVG_painting_O)), "") &amp; "/&gt;&lt;use href='#s' " &amp; IF(LEN(_xlfn.SINGLE(SI.SVG_painting_I))&gt;0, TRIM(_xlfn.SINGLE(SI.SVG_painting_I)), "") &amp; " transform='scale(0.7)'/&gt;"</f>
        <v>&lt;use href='#s' fill='#005CE6'/&gt;&lt;use href='#s'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620</v>
      </c>
      <c r="G45" s="6" t="s">
        <v>621</v>
      </c>
    </row>
    <row r="46" spans="5:7" x14ac:dyDescent="0.2">
      <c r="F46" t="s">
        <v>619</v>
      </c>
      <c r="G46" s="6" t="s">
        <v>622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1502</v>
      </c>
      <c r="I2" s="6" t="s">
        <v>1505</v>
      </c>
    </row>
    <row r="3" spans="2:11" x14ac:dyDescent="0.2">
      <c r="H3" s="4" t="s">
        <v>1503</v>
      </c>
      <c r="I3" s="6" t="s">
        <v>1500</v>
      </c>
    </row>
    <row r="5" spans="2:11" x14ac:dyDescent="0.2">
      <c r="H5" s="4" t="s">
        <v>1541</v>
      </c>
      <c r="I5">
        <f xml:space="preserve"> 39*4*10</f>
        <v>1560</v>
      </c>
    </row>
    <row r="6" spans="2:11" x14ac:dyDescent="0.2">
      <c r="H6" s="4" t="s">
        <v>682</v>
      </c>
      <c r="I6">
        <f xml:space="preserve"> DecimalPlaces - INT(LOG(CY.Rescale) + 0.2)</f>
        <v>2</v>
      </c>
    </row>
    <row r="7" spans="2:11" x14ac:dyDescent="0.2">
      <c r="B7" s="4" t="s">
        <v>696</v>
      </c>
      <c r="C7">
        <f xml:space="preserve"> MATCH(MAX(CY.Y1), CY.Y1, 0)</f>
        <v>10</v>
      </c>
      <c r="H7" s="4" t="s">
        <v>1504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698</v>
      </c>
      <c r="C8" cm="1">
        <f t="array" ref="C8" xml:space="preserve"> INDEX(CY.Y3, CY.Points_RowNum - 1)</f>
        <v>600</v>
      </c>
      <c r="H8" s="4" t="s">
        <v>683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699</v>
      </c>
      <c r="C9" cm="1">
        <f t="array" ref="C9" xml:space="preserve"> 3 * INDEX(CY.Y1, CY.Points_RowNum) - 3 * INDEX(CY.Y3, CY.Points_RowNum - 1)</f>
        <v>495</v>
      </c>
      <c r="H9" s="4" t="s">
        <v>684</v>
      </c>
      <c r="I9">
        <f xml:space="preserve"> CEILING( ABS(CY.Y_Max) + CY.RectExtra, 10^(2-CY.DecimalPlaces))</f>
        <v>809</v>
      </c>
    </row>
    <row r="10" spans="2:11" x14ac:dyDescent="0.2">
      <c r="B10" s="4" t="s">
        <v>700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685</v>
      </c>
      <c r="I10" cm="1">
        <f t="array" ref="I10" xml:space="preserve"> - CY.MaxX</f>
        <v>-882</v>
      </c>
    </row>
    <row r="11" spans="2:11" x14ac:dyDescent="0.2">
      <c r="B11" s="4" t="s">
        <v>701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686</v>
      </c>
      <c r="I11" cm="1">
        <f t="array" ref="I11" xml:space="preserve"> - CY.MaxY</f>
        <v>-809</v>
      </c>
    </row>
    <row r="12" spans="2:11" x14ac:dyDescent="0.2">
      <c r="B12" s="4" t="s">
        <v>697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702</v>
      </c>
      <c r="C13">
        <f xml:space="preserve"> ((CY.Y_Coeff3*CY.t_Turn + CY.Y_Coeff2)*CY.t_Turn + CY.Y_Coeff1)*CY.t_Turn + CY.Y_Coeff0</f>
        <v>647.08325293489099</v>
      </c>
      <c r="H13" s="4" t="s">
        <v>678</v>
      </c>
      <c r="I13" s="28">
        <f xml:space="preserve"> MODE(Squares.AreaMultiplier)</f>
        <v>0.85</v>
      </c>
    </row>
    <row r="14" spans="2:11" x14ac:dyDescent="0.2">
      <c r="H14" s="4" t="s">
        <v>679</v>
      </c>
      <c r="I14">
        <f xml:space="preserve"> MAX(CY.MaxY, -CY.MinY) / MAX(CY.MaxX, -CY.MinX)</f>
        <v>0.91723356009070289</v>
      </c>
    </row>
    <row r="15" spans="2:11" x14ac:dyDescent="0.2">
      <c r="H15" s="4" t="s">
        <v>680</v>
      </c>
      <c r="I15">
        <f xml:space="preserve"> VALUE(TEXT(SQRT(CY.AreaMultiplier * BasicBBoxArea * CY.Aspect), SVG.NumberFormatHeight))</f>
        <v>71</v>
      </c>
    </row>
    <row r="16" spans="2:11" x14ac:dyDescent="0.2">
      <c r="H16" s="4" t="s">
        <v>681</v>
      </c>
      <c r="I16" cm="1">
        <f t="array" ref="I16" xml:space="preserve"> CY.Height / CY.Aspect</f>
        <v>77.406674907292953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687</v>
      </c>
      <c r="C21" s="3" t="s">
        <v>1540</v>
      </c>
      <c r="D21" s="3" t="s">
        <v>688</v>
      </c>
      <c r="E21" s="3" t="s">
        <v>689</v>
      </c>
      <c r="F21" s="3" t="s">
        <v>690</v>
      </c>
      <c r="G21" s="3" t="s">
        <v>691</v>
      </c>
      <c r="H21" s="3" t="s">
        <v>692</v>
      </c>
      <c r="I21" s="3" t="s">
        <v>693</v>
      </c>
      <c r="J21" s="5"/>
      <c r="K21" s="40" t="s">
        <v>1501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560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560</v>
      </c>
    </row>
    <row r="35" spans="11:11" ht="17" thickBot="1" x14ac:dyDescent="0.25">
      <c r="K35" s="40" t="s">
        <v>694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width='77.40667' height='71'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703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704</v>
      </c>
      <c r="C4" s="3" t="s">
        <v>705</v>
      </c>
      <c r="E4" s="3" t="s">
        <v>1771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710</v>
      </c>
      <c r="E21">
        <f xml:space="preserve"> ROUND( MIN(MT.RawX), MT.DecimalPlaces)</f>
        <v>-1</v>
      </c>
    </row>
    <row r="22" spans="2:6" x14ac:dyDescent="0.2">
      <c r="D22" s="4" t="s">
        <v>711</v>
      </c>
      <c r="E22">
        <f xml:space="preserve"> ROUND(MAX(MT.RawX), MT.DecimalPlaces)</f>
        <v>1</v>
      </c>
    </row>
    <row r="23" spans="2:6" x14ac:dyDescent="0.2">
      <c r="D23" s="4" t="s">
        <v>712</v>
      </c>
      <c r="E23">
        <f xml:space="preserve"> ROUND( MIN(MT.RawY), MT.DecimalPlaces)</f>
        <v>-1</v>
      </c>
    </row>
    <row r="24" spans="2:6" x14ac:dyDescent="0.2">
      <c r="D24" s="4" t="s">
        <v>713</v>
      </c>
      <c r="E24">
        <f xml:space="preserve"> ROUND(MAX(MT.RawY), MT.DecimalPlaces)</f>
        <v>1</v>
      </c>
    </row>
    <row r="26" spans="2:6" x14ac:dyDescent="0.2">
      <c r="D26" s="4" t="s">
        <v>706</v>
      </c>
      <c r="E26" s="28">
        <f xml:space="preserve"> MODE(Squares.AreaMultiplier)</f>
        <v>0.85</v>
      </c>
    </row>
    <row r="27" spans="2:6" x14ac:dyDescent="0.2">
      <c r="D27" s="4" t="s">
        <v>707</v>
      </c>
      <c r="E27">
        <f xml:space="preserve"> MAX(MT.MaxY, - MT.MinY) / MAX(MT.MaxX, - MT.MinX)</f>
        <v>1</v>
      </c>
    </row>
    <row r="28" spans="2:6" x14ac:dyDescent="0.2">
      <c r="D28" s="4" t="s">
        <v>708</v>
      </c>
      <c r="E28">
        <f xml:space="preserve"> VALUE(TEXT(SQRT(MT.AreaMultiplier * BasicBBoxArea * MT.Aspect), SVG.NumberFormatHeight))</f>
        <v>74</v>
      </c>
    </row>
    <row r="29" spans="2:6" x14ac:dyDescent="0.2">
      <c r="D29" s="4" t="s">
        <v>709</v>
      </c>
      <c r="E29" cm="1">
        <f t="array" ref="E29" xml:space="preserve"> MT.Height / MT.Aspect</f>
        <v>74</v>
      </c>
      <c r="F29" s="5"/>
    </row>
    <row r="30" spans="2:6" x14ac:dyDescent="0.2">
      <c r="F30" s="5"/>
    </row>
    <row r="31" spans="2:6" x14ac:dyDescent="0.2">
      <c r="D31" s="4" t="s">
        <v>1497</v>
      </c>
      <c r="E31" s="6" t="s">
        <v>1499</v>
      </c>
      <c r="F31" s="5"/>
    </row>
    <row r="32" spans="2:6" x14ac:dyDescent="0.2">
      <c r="D32" s="4" t="s">
        <v>1498</v>
      </c>
      <c r="E32" s="6" t="s">
        <v>2103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714</v>
      </c>
      <c r="F34" s="5"/>
    </row>
    <row r="35" spans="3:6" x14ac:dyDescent="0.2">
      <c r="C35" cm="1">
        <f t="array" ref="C35" xml:space="preserve"> SVG_length(MT.svg)</f>
        <v>295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width='74' height='74'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1514</v>
      </c>
      <c r="H5" s="3" t="s">
        <v>1513</v>
      </c>
    </row>
    <row r="6" spans="2:8" x14ac:dyDescent="0.2">
      <c r="B6" s="4" t="s">
        <v>961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962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963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560</v>
      </c>
    </row>
    <row r="10" spans="2:8" x14ac:dyDescent="0.2">
      <c r="B10" s="4" t="s">
        <v>965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964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560</v>
      </c>
    </row>
    <row r="15" spans="2:8" x14ac:dyDescent="0.2">
      <c r="B15" s="4" t="s">
        <v>971</v>
      </c>
      <c r="C15">
        <f xml:space="preserve"> _EBRD.OvalHalfSeparation + _EBRD.OvalHalfWidth</f>
        <v>12</v>
      </c>
    </row>
    <row r="16" spans="2:8" x14ac:dyDescent="0.2">
      <c r="B16" s="4" t="s">
        <v>973</v>
      </c>
      <c r="C16">
        <f xml:space="preserve"> _EBRD.OvalHalfHeight</f>
        <v>12</v>
      </c>
    </row>
    <row r="17" spans="2:3" x14ac:dyDescent="0.2">
      <c r="B17" s="4" t="s">
        <v>970</v>
      </c>
      <c r="C17">
        <f xml:space="preserve"> - _EBRD.MaxX</f>
        <v>-12</v>
      </c>
    </row>
    <row r="18" spans="2:3" x14ac:dyDescent="0.2">
      <c r="B18" s="4" t="s">
        <v>972</v>
      </c>
      <c r="C18">
        <f xml:space="preserve"> - _EBRD.MaxY</f>
        <v>-12</v>
      </c>
    </row>
    <row r="20" spans="2:3" x14ac:dyDescent="0.2">
      <c r="B20" s="4" t="s">
        <v>966</v>
      </c>
      <c r="C20" s="28">
        <f xml:space="preserve"> MODE(Circles.AreaMultiplier)</f>
        <v>1</v>
      </c>
    </row>
    <row r="21" spans="2:3" x14ac:dyDescent="0.2">
      <c r="B21" s="4" t="s">
        <v>967</v>
      </c>
      <c r="C21">
        <f xml:space="preserve"> MAX( _EBRD.MaxY, -  _EBRD.MinY) / MAX( _EBRD.MaxX, -  _EBRD.MinX)</f>
        <v>1</v>
      </c>
    </row>
    <row r="22" spans="2:3" x14ac:dyDescent="0.2">
      <c r="B22" s="4" t="s">
        <v>968</v>
      </c>
      <c r="C22">
        <f xml:space="preserve"> VALUE(TEXT(SQRT(_EBRD.AreaMultiplier * BasicBBoxArea * _EBRD.Aspect), SVG.NumberFormatHeight))</f>
        <v>80</v>
      </c>
    </row>
    <row r="23" spans="2:3" x14ac:dyDescent="0.2">
      <c r="B23" s="4" t="s">
        <v>969</v>
      </c>
      <c r="C23" cm="1">
        <f t="array" ref="C23" xml:space="preserve"> _EBRD.Height / _EBRD.Aspect</f>
        <v>80</v>
      </c>
    </row>
    <row r="25" spans="2:3" x14ac:dyDescent="0.2">
      <c r="B25" s="4" t="s">
        <v>976</v>
      </c>
      <c r="C25" s="6" t="s">
        <v>1506</v>
      </c>
    </row>
    <row r="26" spans="2:3" x14ac:dyDescent="0.2">
      <c r="B26" s="4" t="s">
        <v>977</v>
      </c>
      <c r="C26" s="6" t="s">
        <v>2103</v>
      </c>
    </row>
    <row r="29" spans="2:3" ht="17" thickBot="1" x14ac:dyDescent="0.25">
      <c r="B29" s="5"/>
      <c r="C29" s="3" t="s">
        <v>974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width='80' height='80'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997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998</v>
      </c>
      <c r="C5" s="3" t="s">
        <v>999</v>
      </c>
      <c r="D5" s="3" t="s">
        <v>1000</v>
      </c>
      <c r="F5" s="3" t="s">
        <v>1772</v>
      </c>
      <c r="K5" s="3" t="s">
        <v>1010</v>
      </c>
      <c r="L5" s="3" t="s">
        <v>1011</v>
      </c>
      <c r="M5" s="3" t="s">
        <v>1012</v>
      </c>
      <c r="N5" s="3" t="s">
        <v>1013</v>
      </c>
      <c r="O5" s="3" t="s">
        <v>1014</v>
      </c>
      <c r="P5" s="3" t="s">
        <v>1015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1016</v>
      </c>
      <c r="I17">
        <v>1</v>
      </c>
    </row>
    <row r="18" spans="2:16" x14ac:dyDescent="0.2">
      <c r="H18" s="4" t="s">
        <v>1017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1005</v>
      </c>
      <c r="F32">
        <f xml:space="preserve"> ROUND( MIN(_NIB.RawX), _NIB.DecimalPlaces)</f>
        <v>-9</v>
      </c>
    </row>
    <row r="33" spans="4:6" x14ac:dyDescent="0.2">
      <c r="E33" s="4" t="s">
        <v>1006</v>
      </c>
      <c r="F33">
        <f xml:space="preserve"> ROUND(MAX(_NIB.RawX), _NIB.DecimalPlaces)</f>
        <v>9</v>
      </c>
    </row>
    <row r="34" spans="4:6" x14ac:dyDescent="0.2">
      <c r="E34" s="4" t="s">
        <v>1007</v>
      </c>
      <c r="F34">
        <f xml:space="preserve"> ROUND( MIN(_NIB.RawY), _NIB.DecimalPlaces)</f>
        <v>-9</v>
      </c>
    </row>
    <row r="35" spans="4:6" x14ac:dyDescent="0.2">
      <c r="E35" s="4" t="s">
        <v>1008</v>
      </c>
      <c r="F35">
        <f xml:space="preserve"> ROUND(MAX(_NIB.RawY), _NIB.DecimalPlaces)</f>
        <v>9</v>
      </c>
    </row>
    <row r="37" spans="4:6" x14ac:dyDescent="0.2">
      <c r="E37" s="4" t="s">
        <v>1001</v>
      </c>
      <c r="F37" s="28">
        <f xml:space="preserve"> MODE(Squares.AreaMultiplier)</f>
        <v>0.85</v>
      </c>
    </row>
    <row r="38" spans="4:6" x14ac:dyDescent="0.2">
      <c r="E38" s="4" t="s">
        <v>1002</v>
      </c>
      <c r="F38">
        <f xml:space="preserve"> MAX( _NIB.MaxY, -  _NIB.MinY) / MAX( _NIB.MaxX, -  _NIB.MinX)</f>
        <v>1</v>
      </c>
    </row>
    <row r="39" spans="4:6" x14ac:dyDescent="0.2">
      <c r="E39" s="4" t="s">
        <v>1003</v>
      </c>
      <c r="F39">
        <f xml:space="preserve"> VALUE(TEXT(SQRT(_NIB.AreaMultiplier* BasicBBoxArea * _NIB.Aspect), SVG.NumberFormatHeight))</f>
        <v>74</v>
      </c>
    </row>
    <row r="40" spans="4:6" x14ac:dyDescent="0.2">
      <c r="E40" s="4" t="s">
        <v>1004</v>
      </c>
      <c r="F40" cm="1">
        <f t="array" ref="F40" xml:space="preserve"> _NIB.Height / _NIB.Aspect</f>
        <v>74</v>
      </c>
    </row>
    <row r="42" spans="4:6" x14ac:dyDescent="0.2">
      <c r="E42" s="4" t="s">
        <v>1018</v>
      </c>
      <c r="F42" t="s">
        <v>1020</v>
      </c>
    </row>
    <row r="43" spans="4:6" x14ac:dyDescent="0.2">
      <c r="E43" s="4" t="s">
        <v>1019</v>
      </c>
      <c r="F43" t="s">
        <v>1021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1009</v>
      </c>
    </row>
    <row r="46" spans="4:6" x14ac:dyDescent="0.2">
      <c r="D46" cm="1">
        <f t="array" ref="D46" xml:space="preserve"> SVG_length(_NIB.svg)</f>
        <v>227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width='74' height='74'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1704</v>
      </c>
      <c r="C2">
        <v>6</v>
      </c>
    </row>
    <row r="3" spans="2:3" x14ac:dyDescent="0.2">
      <c r="B3" s="4" t="s">
        <v>1705</v>
      </c>
      <c r="C3">
        <f xml:space="preserve"> _AIIB.RadiusOuter - 1</f>
        <v>5</v>
      </c>
    </row>
    <row r="5" spans="2:3" x14ac:dyDescent="0.2">
      <c r="B5" s="4" t="s">
        <v>978</v>
      </c>
      <c r="C5">
        <f xml:space="preserve"> DecimalPlaces - INT(LOG(_AIIB.RadiusOuter, 10) + 0.2)</f>
        <v>5</v>
      </c>
    </row>
    <row r="7" spans="2:3" x14ac:dyDescent="0.2">
      <c r="B7" s="4" t="s">
        <v>991</v>
      </c>
      <c r="C7">
        <v>1</v>
      </c>
    </row>
    <row r="8" spans="2:3" x14ac:dyDescent="0.2">
      <c r="B8" s="4" t="s">
        <v>992</v>
      </c>
      <c r="C8">
        <f xml:space="preserve"> _AIIB.X1 + _AIIB.RadiusOuter - _AIIB.RadiusInner</f>
        <v>2</v>
      </c>
    </row>
    <row r="9" spans="2:3" x14ac:dyDescent="0.2">
      <c r="B9" s="4" t="s">
        <v>993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994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985</v>
      </c>
      <c r="C12">
        <f xml:space="preserve"> _AIIB.RadiusOuter</f>
        <v>6</v>
      </c>
    </row>
    <row r="13" spans="2:3" x14ac:dyDescent="0.2">
      <c r="B13" s="4" t="s">
        <v>986</v>
      </c>
      <c r="C13">
        <f xml:space="preserve"> _AIIB.MaxX</f>
        <v>6</v>
      </c>
    </row>
    <row r="14" spans="2:3" x14ac:dyDescent="0.2">
      <c r="B14" s="4" t="s">
        <v>987</v>
      </c>
      <c r="C14" cm="1">
        <f t="array" ref="C14" xml:space="preserve"> - _AIIB.MaxX</f>
        <v>-6</v>
      </c>
    </row>
    <row r="15" spans="2:3" x14ac:dyDescent="0.2">
      <c r="B15" s="4" t="s">
        <v>988</v>
      </c>
      <c r="C15" cm="1">
        <f t="array" ref="C15" xml:space="preserve"> - _AIIB.MaxY</f>
        <v>-6</v>
      </c>
    </row>
    <row r="17" spans="2:3" x14ac:dyDescent="0.2">
      <c r="B17" s="4" t="s">
        <v>979</v>
      </c>
      <c r="C17" s="28">
        <f xml:space="preserve"> MODE(Circles.AreaMultiplier)</f>
        <v>1</v>
      </c>
    </row>
    <row r="18" spans="2:3" x14ac:dyDescent="0.2">
      <c r="B18" s="4" t="s">
        <v>980</v>
      </c>
      <c r="C18">
        <f xml:space="preserve"> MAX( _AIIB.MaxY, -  _AIIB.MinY) / MAX( _AIIB.MaxX, -  _AIIB.MinX)</f>
        <v>1</v>
      </c>
    </row>
    <row r="19" spans="2:3" x14ac:dyDescent="0.2">
      <c r="B19" s="4" t="s">
        <v>981</v>
      </c>
      <c r="C19">
        <f xml:space="preserve"> VALUE(TEXT(SQRT(_AIIB.AreaMultiplier * BasicBBoxArea * _AIIB.Aspect), SVG.NumberFormatHeight))</f>
        <v>80</v>
      </c>
    </row>
    <row r="20" spans="2:3" x14ac:dyDescent="0.2">
      <c r="B20" s="4" t="s">
        <v>982</v>
      </c>
      <c r="C20" cm="1">
        <f t="array" ref="C20" xml:space="preserve"> _AIIB.Height / _AIIB.Aspect</f>
        <v>80</v>
      </c>
    </row>
    <row r="22" spans="2:3" x14ac:dyDescent="0.2">
      <c r="B22" s="4" t="s">
        <v>983</v>
      </c>
      <c r="C22" s="6" t="s">
        <v>990</v>
      </c>
    </row>
    <row r="23" spans="2:3" x14ac:dyDescent="0.2">
      <c r="B23" s="4" t="s">
        <v>984</v>
      </c>
      <c r="C23" s="6" t="s">
        <v>2103</v>
      </c>
    </row>
    <row r="25" spans="2:3" ht="17" thickBot="1" x14ac:dyDescent="0.25">
      <c r="B25" s="5"/>
      <c r="C25" s="3" t="s">
        <v>989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width='80' height='80'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1684</v>
      </c>
      <c r="E2" t="s">
        <v>945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946</v>
      </c>
      <c r="C5" s="3" t="s">
        <v>947</v>
      </c>
      <c r="E5" s="3" t="s">
        <v>1773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954</v>
      </c>
      <c r="E14">
        <f xml:space="preserve"> ROUND( MIN(_IsDB.RawX), _IsDB.DecimalPlaces)</f>
        <v>-6.9282000000000004</v>
      </c>
    </row>
    <row r="15" spans="2:5" x14ac:dyDescent="0.2">
      <c r="D15" s="4" t="s">
        <v>955</v>
      </c>
      <c r="E15">
        <f xml:space="preserve"> ROUND(MAX(_IsDB.RawX), _IsDB.DecimalPlaces)</f>
        <v>6.9282000000000004</v>
      </c>
    </row>
    <row r="16" spans="2:5" x14ac:dyDescent="0.2">
      <c r="D16" s="4" t="s">
        <v>956</v>
      </c>
      <c r="E16">
        <f xml:space="preserve"> ROUND( MIN(_IsDB.RawY), _IsDB.DecimalPlaces)</f>
        <v>-6</v>
      </c>
    </row>
    <row r="17" spans="3:6" x14ac:dyDescent="0.2">
      <c r="D17" s="4" t="s">
        <v>957</v>
      </c>
      <c r="E17">
        <f xml:space="preserve"> ROUND(MAX(_IsDB.RawY), _IsDB.DecimalPlaces)</f>
        <v>6</v>
      </c>
    </row>
    <row r="19" spans="3:6" x14ac:dyDescent="0.2">
      <c r="D19" s="4" t="s">
        <v>948</v>
      </c>
      <c r="E19" s="28">
        <f xml:space="preserve"> FR.AreaMultiplier</f>
        <v>1.0625</v>
      </c>
    </row>
    <row r="20" spans="3:6" x14ac:dyDescent="0.2">
      <c r="D20" s="4" t="s">
        <v>949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950</v>
      </c>
      <c r="E21">
        <f xml:space="preserve"> VALUE(TEXT(SQRT(_IsDB.AreaMultiplier * BasicBBoxArea * _IsDB.Aspect), SVG.NumberFormatHeight))</f>
        <v>77</v>
      </c>
    </row>
    <row r="22" spans="3:6" x14ac:dyDescent="0.2">
      <c r="D22" s="4" t="s">
        <v>951</v>
      </c>
      <c r="E22" cm="1">
        <f t="array" ref="E22" xml:space="preserve"> _IsDB.Height / _IsDB.Aspect</f>
        <v>88.911900000000003</v>
      </c>
    </row>
    <row r="23" spans="3:6" x14ac:dyDescent="0.2">
      <c r="F23" s="5"/>
    </row>
    <row r="24" spans="3:6" x14ac:dyDescent="0.2">
      <c r="D24" s="4" t="s">
        <v>952</v>
      </c>
      <c r="E24" t="s">
        <v>738</v>
      </c>
      <c r="F24" s="5"/>
    </row>
    <row r="25" spans="3:6" x14ac:dyDescent="0.2">
      <c r="D25" s="4" t="s">
        <v>953</v>
      </c>
      <c r="E25" t="s">
        <v>2103</v>
      </c>
      <c r="F25" s="5"/>
    </row>
    <row r="26" spans="3:6" x14ac:dyDescent="0.2">
      <c r="D26" s="5"/>
      <c r="F26" s="5"/>
    </row>
    <row r="27" spans="3:6" x14ac:dyDescent="0.2">
      <c r="D27" s="4" t="s">
        <v>960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958</v>
      </c>
    </row>
    <row r="31" spans="3:6" x14ac:dyDescent="0.2">
      <c r="C31" cm="1">
        <f t="array" ref="C31" xml:space="preserve"> SVG_length(_IsDB.svg)</f>
        <v>229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width='88.9119' height='77'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1033</v>
      </c>
      <c r="G2" s="3" t="s">
        <v>1051</v>
      </c>
      <c r="H2" s="3" t="s">
        <v>1035</v>
      </c>
      <c r="I2" s="3" t="s">
        <v>1034</v>
      </c>
      <c r="K2" s="3" t="s">
        <v>1031</v>
      </c>
      <c r="L2" s="3" t="s">
        <v>1032</v>
      </c>
      <c r="M2" s="3" t="s">
        <v>1037</v>
      </c>
      <c r="O2" s="39" t="s">
        <v>1046</v>
      </c>
    </row>
    <row r="3" spans="2:15" x14ac:dyDescent="0.2">
      <c r="B3" s="4" t="s">
        <v>1052</v>
      </c>
      <c r="C3">
        <v>90</v>
      </c>
    </row>
    <row r="4" spans="2:15" x14ac:dyDescent="0.2">
      <c r="B4" s="4" t="s">
        <v>1048</v>
      </c>
      <c r="C4">
        <f xml:space="preserve"> _NDB.RadiusMaster * 8/3</f>
        <v>240</v>
      </c>
      <c r="F4" t="s">
        <v>1049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1061</v>
      </c>
      <c r="C5">
        <f xml:space="preserve"> _NDB.TriangleEdge^2 / _NDB.RadiusMaster / 8  -  _NDB.RadiusMaster / 2</f>
        <v>35</v>
      </c>
      <c r="F5" t="s">
        <v>1049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1062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1036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1058</v>
      </c>
      <c r="C14" s="6" t="s">
        <v>1055</v>
      </c>
    </row>
    <row r="15" spans="2:15" x14ac:dyDescent="0.2">
      <c r="B15" s="4" t="s">
        <v>1059</v>
      </c>
      <c r="C15" s="6" t="s">
        <v>1056</v>
      </c>
    </row>
    <row r="16" spans="2:15" x14ac:dyDescent="0.2">
      <c r="F16" t="s">
        <v>1060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1042</v>
      </c>
      <c r="C17">
        <f xml:space="preserve"> CEILING( _xlfn.MAXIFS(_NDB.RawX,   _NDB.Part,"Outer"), 10^-_NDB.DecimalPlaces )</f>
        <v>70.203000000000003</v>
      </c>
      <c r="F17" t="s">
        <v>1060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1043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1044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1045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1038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1039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1040</v>
      </c>
      <c r="C24">
        <f xml:space="preserve"> VALUE(TEXT( SQRT(_NDB.AreaMultiplier * BasicBBoxArea * _NDB.Aspect), SVG.NumberFormatHeight))</f>
        <v>89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1041</v>
      </c>
      <c r="C25">
        <f xml:space="preserve"> _NDB.Height / _NDB.Aspect</f>
        <v>89</v>
      </c>
    </row>
    <row r="28" spans="2:17" x14ac:dyDescent="0.2">
      <c r="C28" cm="1">
        <f t="array" ref="C28" xml:space="preserve"> SVG_length(_NDB.svg)</f>
        <v>564</v>
      </c>
      <c r="F28" t="s">
        <v>1050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1050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1057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1053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width='89' height='89'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1522</v>
      </c>
      <c r="G2" s="3" t="s">
        <v>1523</v>
      </c>
      <c r="H2" s="3" t="s">
        <v>1524</v>
      </c>
      <c r="I2" s="3" t="s">
        <v>1525</v>
      </c>
      <c r="J2" s="3" t="s">
        <v>1526</v>
      </c>
      <c r="K2" s="3" t="s">
        <v>1527</v>
      </c>
      <c r="L2" s="3" t="s">
        <v>1528</v>
      </c>
      <c r="M2" s="3" t="s">
        <v>1529</v>
      </c>
      <c r="O2" s="3" t="s">
        <v>1535</v>
      </c>
      <c r="P2" s="39" t="s">
        <v>1521</v>
      </c>
    </row>
    <row r="3" spans="2:16" x14ac:dyDescent="0.2">
      <c r="B3" s="4" t="s">
        <v>1530</v>
      </c>
      <c r="C3">
        <v>400</v>
      </c>
    </row>
    <row r="4" spans="2:16" x14ac:dyDescent="0.2">
      <c r="B4" s="4" t="s">
        <v>1531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1536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1532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1536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1533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1536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926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1536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927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1537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928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1537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929</v>
      </c>
      <c r="C12" s="31">
        <f xml:space="preserve"> VALUE(TEXT(SQRT(_IBRD.AreaMultiplier* BasicBBoxArea * _IBRD.Aspect), SVG.NumberFormatHeight))</f>
        <v>80</v>
      </c>
    </row>
    <row r="13" spans="2:16" x14ac:dyDescent="0.2">
      <c r="B13" s="4" t="s">
        <v>930</v>
      </c>
      <c r="C13" cm="1">
        <f t="array" ref="C13" xml:space="preserve"> _IBRD.Height / _IBRD.Aspect</f>
        <v>80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1537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1537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932</v>
      </c>
      <c r="C16">
        <v>42</v>
      </c>
      <c r="P16" s="47"/>
    </row>
    <row r="17" spans="2:16" ht="17" thickBot="1" x14ac:dyDescent="0.25">
      <c r="B17" s="4" t="s">
        <v>931</v>
      </c>
      <c r="C17">
        <f xml:space="preserve"> CEILING(400 - _IBRD.LineThickness / 2, 1)</f>
        <v>379</v>
      </c>
      <c r="M17" s="3" t="s">
        <v>1520</v>
      </c>
      <c r="P17" s="39" t="s">
        <v>1534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width='80' height='80'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1711</v>
      </c>
      <c r="F2" t="s">
        <v>833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834</v>
      </c>
      <c r="C5" s="3" t="s">
        <v>835</v>
      </c>
      <c r="D5" s="3" t="s">
        <v>836</v>
      </c>
      <c r="F5" s="3" t="s">
        <v>1712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843</v>
      </c>
      <c r="F34">
        <f xml:space="preserve"> MIN(XDR.RawX)</f>
        <v>-12</v>
      </c>
      <c r="G34" s="5"/>
    </row>
    <row r="35" spans="4:7" x14ac:dyDescent="0.2">
      <c r="E35" s="4" t="s">
        <v>844</v>
      </c>
      <c r="F35">
        <f xml:space="preserve"> MAX(XDR.RawX)</f>
        <v>12</v>
      </c>
      <c r="G35" s="5"/>
    </row>
    <row r="36" spans="4:7" x14ac:dyDescent="0.2">
      <c r="E36" s="4" t="s">
        <v>845</v>
      </c>
      <c r="F36">
        <f xml:space="preserve"> MIN(XDR.RawY)</f>
        <v>-14</v>
      </c>
      <c r="G36" s="5"/>
    </row>
    <row r="37" spans="4:7" x14ac:dyDescent="0.2">
      <c r="E37" s="4" t="s">
        <v>846</v>
      </c>
      <c r="F37">
        <f xml:space="preserve"> MAX(XDR.RawY)</f>
        <v>14</v>
      </c>
      <c r="G37" s="5"/>
    </row>
    <row r="39" spans="4:7" x14ac:dyDescent="0.2">
      <c r="E39" s="4" t="s">
        <v>837</v>
      </c>
      <c r="F39" s="28">
        <v>0.875</v>
      </c>
    </row>
    <row r="40" spans="4:7" x14ac:dyDescent="0.2">
      <c r="E40" s="4" t="s">
        <v>838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839</v>
      </c>
      <c r="F41">
        <f xml:space="preserve"> VALUE(TEXT(SQRT(XDR.AreaMultiplier * BasicBBoxArea * XDR.Aspect), SVG.NumberFormatHeight))</f>
        <v>81</v>
      </c>
    </row>
    <row r="42" spans="4:7" x14ac:dyDescent="0.2">
      <c r="E42" s="4" t="s">
        <v>840</v>
      </c>
      <c r="F42" cm="1">
        <f t="array" ref="F42" xml:space="preserve"> XDR.Height / XDR.Aspect</f>
        <v>69.428571428571431</v>
      </c>
    </row>
    <row r="44" spans="4:7" x14ac:dyDescent="0.2">
      <c r="E44" s="4" t="s">
        <v>841</v>
      </c>
      <c r="F44" t="s">
        <v>1713</v>
      </c>
    </row>
    <row r="45" spans="4:7" x14ac:dyDescent="0.2">
      <c r="E45" s="4" t="s">
        <v>842</v>
      </c>
      <c r="F45" t="s">
        <v>2104</v>
      </c>
    </row>
    <row r="46" spans="4:7" x14ac:dyDescent="0.2">
      <c r="E46" s="5"/>
    </row>
    <row r="47" spans="4:7" ht="17" thickBot="1" x14ac:dyDescent="0.25">
      <c r="E47" s="5"/>
      <c r="F47" s="3" t="s">
        <v>847</v>
      </c>
      <c r="G47" s="5"/>
    </row>
    <row r="48" spans="4:7" x14ac:dyDescent="0.2">
      <c r="D48" cm="1">
        <f t="array" ref="D48" xml:space="preserve"> SVG_length(XDR.svg)</f>
        <v>236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width='69.42857' height='81'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826</v>
      </c>
      <c r="C2" s="3" t="s">
        <v>848</v>
      </c>
      <c r="D2" s="3" t="s">
        <v>827</v>
      </c>
      <c r="F2" s="3" t="s">
        <v>803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804</v>
      </c>
      <c r="C5" s="3" t="s">
        <v>805</v>
      </c>
      <c r="D5" s="3" t="s">
        <v>806</v>
      </c>
      <c r="F5" s="3" t="s">
        <v>1774</v>
      </c>
      <c r="K5" s="3" t="s">
        <v>807</v>
      </c>
      <c r="L5" s="3" t="s">
        <v>808</v>
      </c>
      <c r="M5" s="3" t="s">
        <v>809</v>
      </c>
      <c r="N5" s="3" t="s">
        <v>810</v>
      </c>
      <c r="O5" s="3" t="s">
        <v>811</v>
      </c>
      <c r="P5" s="3" t="s">
        <v>812</v>
      </c>
    </row>
    <row r="6" spans="2:16" x14ac:dyDescent="0.2">
      <c r="B6" t="s">
        <v>829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829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829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829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813</v>
      </c>
      <c r="I17">
        <f xml:space="preserve"> ROUND( -$D$8 / 8, 0 )</f>
        <v>-7</v>
      </c>
    </row>
    <row r="18" spans="2:16" x14ac:dyDescent="0.2">
      <c r="H18" s="4" t="s">
        <v>814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828</v>
      </c>
      <c r="E31" s="4" t="s">
        <v>821</v>
      </c>
      <c r="F31">
        <f xml:space="preserve"> ROUND( MIN(XAU.RawX), XAU.DecimalPlaces)</f>
        <v>-56</v>
      </c>
    </row>
    <row r="32" spans="2:16" x14ac:dyDescent="0.2">
      <c r="B32" t="s">
        <v>830</v>
      </c>
      <c r="E32" s="4" t="s">
        <v>822</v>
      </c>
      <c r="F32">
        <f xml:space="preserve"> ROUND(MAX(XAU.RawX), XAU.DecimalPlaces)</f>
        <v>56</v>
      </c>
    </row>
    <row r="33" spans="2:6" x14ac:dyDescent="0.2">
      <c r="B33" t="s">
        <v>849</v>
      </c>
      <c r="E33" s="4" t="s">
        <v>823</v>
      </c>
      <c r="F33">
        <f xml:space="preserve"> ROUND( MIN(XAU.RawY), XAU.DecimalPlaces)</f>
        <v>-56</v>
      </c>
    </row>
    <row r="34" spans="2:6" x14ac:dyDescent="0.2">
      <c r="E34" s="4" t="s">
        <v>824</v>
      </c>
      <c r="F34">
        <f xml:space="preserve"> ROUND(MAX(XAU.RawY), XAU.DecimalPlaces)</f>
        <v>56</v>
      </c>
    </row>
    <row r="36" spans="2:6" x14ac:dyDescent="0.2">
      <c r="E36" s="4" t="s">
        <v>815</v>
      </c>
      <c r="F36" s="28">
        <f xml:space="preserve"> MODE(Squares.AreaMultiplier)</f>
        <v>0.85</v>
      </c>
    </row>
    <row r="37" spans="2:6" x14ac:dyDescent="0.2">
      <c r="E37" s="4" t="s">
        <v>816</v>
      </c>
      <c r="F37">
        <f xml:space="preserve">  MAX(XAU.MaxY, - XAU.MinY)   /   MAX(XAU.MaxX, - XAU.MinX)</f>
        <v>1</v>
      </c>
    </row>
    <row r="38" spans="2:6" x14ac:dyDescent="0.2">
      <c r="E38" s="4" t="s">
        <v>817</v>
      </c>
      <c r="F38">
        <f xml:space="preserve"> VALUE(TEXT(SQRT(XAU.AreaMultiplier* BasicBBoxArea * XAU.Aspect), SVG.NumberFormatHeight))</f>
        <v>74</v>
      </c>
    </row>
    <row r="39" spans="2:6" x14ac:dyDescent="0.2">
      <c r="E39" s="4" t="s">
        <v>818</v>
      </c>
      <c r="F39" cm="1">
        <f t="array" ref="F39" xml:space="preserve"> XAU.Height / XAU.Aspect</f>
        <v>74</v>
      </c>
    </row>
    <row r="41" spans="2:6" x14ac:dyDescent="0.2">
      <c r="E41" s="4" t="s">
        <v>819</v>
      </c>
      <c r="F41" t="s">
        <v>832</v>
      </c>
    </row>
    <row r="42" spans="2:6" x14ac:dyDescent="0.2">
      <c r="E42" s="4" t="s">
        <v>820</v>
      </c>
      <c r="F42" t="s">
        <v>831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825</v>
      </c>
    </row>
    <row r="45" spans="2:6" x14ac:dyDescent="0.2">
      <c r="D45" cm="1">
        <f t="array" ref="D45" xml:space="preserve"> SVG_length(XAU.svg)</f>
        <v>276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width='74' height='74'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850</v>
      </c>
      <c r="C2" s="3" t="s">
        <v>851</v>
      </c>
      <c r="D2" s="3" t="s">
        <v>852</v>
      </c>
      <c r="F2" s="3" t="s">
        <v>853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854</v>
      </c>
      <c r="C5" s="3" t="s">
        <v>855</v>
      </c>
      <c r="D5" s="3" t="s">
        <v>856</v>
      </c>
      <c r="F5" s="3" t="s">
        <v>857</v>
      </c>
      <c r="K5" s="3" t="s">
        <v>858</v>
      </c>
      <c r="L5" s="3" t="s">
        <v>859</v>
      </c>
      <c r="M5" s="3" t="s">
        <v>860</v>
      </c>
      <c r="N5" s="3" t="s">
        <v>861</v>
      </c>
      <c r="O5" s="3" t="s">
        <v>862</v>
      </c>
      <c r="P5" s="3" t="s">
        <v>863</v>
      </c>
    </row>
    <row r="6" spans="2:16" x14ac:dyDescent="0.2">
      <c r="B6" t="s">
        <v>829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829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829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829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864</v>
      </c>
      <c r="I17">
        <f xml:space="preserve"> ROUND( -$D$9 / 8, 0 )</f>
        <v>-34</v>
      </c>
    </row>
    <row r="18" spans="2:16" x14ac:dyDescent="0.2">
      <c r="H18" s="4" t="s">
        <v>865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828</v>
      </c>
      <c r="E31" s="4" t="s">
        <v>872</v>
      </c>
      <c r="F31">
        <f xml:space="preserve"> ROUND( MIN(XAG.RawX), XAG.DecimalPlaces)</f>
        <v>-221</v>
      </c>
    </row>
    <row r="32" spans="2:16" x14ac:dyDescent="0.2">
      <c r="B32" t="s">
        <v>830</v>
      </c>
      <c r="E32" s="4" t="s">
        <v>873</v>
      </c>
      <c r="F32">
        <f xml:space="preserve"> ROUND(MAX(XAG.RawX), XAG.DecimalPlaces)</f>
        <v>221</v>
      </c>
    </row>
    <row r="33" spans="2:6" x14ac:dyDescent="0.2">
      <c r="B33" t="s">
        <v>849</v>
      </c>
      <c r="E33" s="4" t="s">
        <v>874</v>
      </c>
      <c r="F33">
        <f xml:space="preserve"> ROUND( MIN(XAG.RawY), XAG.DecimalPlaces)</f>
        <v>-272</v>
      </c>
    </row>
    <row r="34" spans="2:6" x14ac:dyDescent="0.2">
      <c r="E34" s="4" t="s">
        <v>875</v>
      </c>
      <c r="F34">
        <f xml:space="preserve"> ROUND(MAX(XAG.RawY), XAG.DecimalPlaces)</f>
        <v>272</v>
      </c>
    </row>
    <row r="36" spans="2:6" x14ac:dyDescent="0.2">
      <c r="E36" s="4" t="s">
        <v>866</v>
      </c>
      <c r="F36" s="28">
        <f xml:space="preserve"> MODE(Squares.AreaMultiplier)</f>
        <v>0.85</v>
      </c>
    </row>
    <row r="37" spans="2:6" x14ac:dyDescent="0.2">
      <c r="E37" s="4" t="s">
        <v>867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868</v>
      </c>
      <c r="F38">
        <f xml:space="preserve"> VALUE(TEXT(SQRT(XAG.AreaMultiplier* BasicBBoxArea * XAG.Aspect), SVG.NumberFormatHeight))</f>
        <v>82</v>
      </c>
    </row>
    <row r="39" spans="2:6" x14ac:dyDescent="0.2">
      <c r="E39" s="4" t="s">
        <v>869</v>
      </c>
      <c r="F39" cm="1">
        <f t="array" ref="F39" xml:space="preserve"> XAG.Height / XAG.Aspect</f>
        <v>66.625</v>
      </c>
    </row>
    <row r="41" spans="2:6" x14ac:dyDescent="0.2">
      <c r="E41" s="4" t="s">
        <v>870</v>
      </c>
      <c r="F41" t="s">
        <v>878</v>
      </c>
    </row>
    <row r="42" spans="2:6" x14ac:dyDescent="0.2">
      <c r="E42" s="4" t="s">
        <v>871</v>
      </c>
      <c r="F42" t="s">
        <v>877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876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width='66.625' height='82'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273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1839</v>
      </c>
      <c r="C2" s="3" t="s">
        <v>1840</v>
      </c>
      <c r="E2" s="3" t="s">
        <v>1841</v>
      </c>
      <c r="F2" s="3" t="s">
        <v>1842</v>
      </c>
      <c r="G2" s="3" t="s">
        <v>1999</v>
      </c>
      <c r="H2" s="3" t="s">
        <v>1843</v>
      </c>
      <c r="I2" s="3" t="s">
        <v>1844</v>
      </c>
      <c r="J2" s="3" t="s">
        <v>1845</v>
      </c>
      <c r="K2" s="3" t="s">
        <v>1846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1847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406</v>
      </c>
      <c r="C5" t="s">
        <v>1848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1847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1997</v>
      </c>
      <c r="N7" t="s">
        <v>23</v>
      </c>
      <c r="O7" t="s">
        <v>24</v>
      </c>
      <c r="P7" t="s">
        <v>2001</v>
      </c>
      <c r="Q7" t="s">
        <v>2002</v>
      </c>
    </row>
    <row r="8" spans="2:17" x14ac:dyDescent="0.2">
      <c r="B8" t="s">
        <v>1847</v>
      </c>
      <c r="E8" t="str">
        <f t="shared" ref="E8" si="25" xml:space="preserve"> IF(AND(LEN(ChartLines.ID)&gt;0,"Unused"&lt;&gt;ChartLines.ID), COUNTIFS(ChartLines.ID,ChartLines.ID), "·")</f>
        <v>·</v>
      </c>
      <c r="F8" t="str">
        <f t="shared" ref="F8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" si="27" xml:space="preserve"> IF(LEN(ChartLines.Hex6)=6, HEX2DEC(LEFT(ChartLines.Hex6, 2)), "·")</f>
        <v>·</v>
      </c>
      <c r="I8" t="str">
        <f t="shared" ref="I8" si="28" xml:space="preserve"> IF(LEN(ChartLines.Hex6)=6, HEX2DEC(MID(ChartLines.Hex6, 3, 2)), "·")</f>
        <v>·</v>
      </c>
      <c r="J8" t="str">
        <f t="shared" ref="J8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1998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7</v>
      </c>
      <c r="C9" t="s">
        <v>1849</v>
      </c>
      <c r="E9">
        <f t="shared" ref="E9" si="30" xml:space="preserve"> IF(AND(LEN(ChartLines.ID)&gt;0,"Unused"&lt;&gt;ChartLines.ID), COUNTIFS(ChartLines.ID,ChartLines.ID), "·")</f>
        <v>1</v>
      </c>
      <c r="F9">
        <f t="shared" ref="F9" si="31" xml:space="preserve"> IF(AND(LEN(ChartLines.ID)&gt;0,"Unused"&lt;&gt;ChartLines.ID), COUNTIFS(ChartLines.ID,ChartLines.ID,   ChartLines.RowNum,"&lt;="&amp;ChartLines.RowNum), "·")</f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">
        <f t="shared" ref="H9" si="32" xml:space="preserve"> IF(LEN(ChartLines.Hex6)=6, HEX2DEC(LEFT(ChartLines.Hex6, 2)), "·")</f>
        <v>239</v>
      </c>
      <c r="I9">
        <f t="shared" ref="I9" si="33" xml:space="preserve"> IF(LEN(ChartLines.Hex6)=6, HEX2DEC(MID(ChartLines.Hex6, 3, 2)), "·")</f>
        <v>51</v>
      </c>
      <c r="J9">
        <f t="shared" ref="J9" si="34" xml:space="preserve"> IF(LEN(ChartLines.Hex6)=6, HEX2DEC(RIGHT(ChartLines.Hex6, 2)), "·")</f>
        <v>64</v>
      </c>
      <c r="K9" cm="1">
        <f t="array" ref="K9" xml:space="preserve"> 1 + ROW() - _xlfn.SINGLE(ROW(ChartLines.RowNum))</f>
        <v>7</v>
      </c>
      <c r="M9" s="4" t="s">
        <v>2003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1847</v>
      </c>
      <c r="E10" t="str">
        <f t="shared" ref="E10" si="35" xml:space="preserve"> IF(AND(LEN(ChartLines.ID)&gt;0,"Unused"&lt;&gt;ChartLines.ID), COUNTIFS(ChartLines.ID,ChartLines.ID), "·")</f>
        <v>·</v>
      </c>
      <c r="F10" t="str">
        <f t="shared" ref="F10" si="36" xml:space="preserve"> IF(AND(LEN(ChartLines.ID)&gt;0,"Unused"&lt;&gt;ChartLines.ID), COUNTIFS(ChartLines.ID,ChartLines.ID,   ChartLines.RowNum,"&lt;="&amp;ChartLines.RowNum), "·")</f>
        <v>·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" t="str">
        <f t="shared" ref="H10" si="37" xml:space="preserve"> IF(LEN(ChartLines.Hex6)=6, HEX2DEC(LEFT(ChartLines.Hex6, 2)), "·")</f>
        <v>·</v>
      </c>
      <c r="I10" t="str">
        <f t="shared" ref="I10" si="38" xml:space="preserve"> IF(LEN(ChartLines.Hex6)=6, HEX2DEC(MID(ChartLines.Hex6, 3, 2)), "·")</f>
        <v>·</v>
      </c>
      <c r="J10" t="str">
        <f t="shared" ref="J10" si="39" xml:space="preserve"> IF(LEN(ChartLines.Hex6)=6, HEX2DEC(RIGHT(ChartLines.Hex6, 2)), "·")</f>
        <v>·</v>
      </c>
      <c r="K10" cm="1">
        <f t="array" ref="K10" xml:space="preserve"> 1 + ROW() - _xlfn.SINGLE(ROW(ChartLines.RowNum))</f>
        <v>8</v>
      </c>
    </row>
    <row r="11" spans="2:17" x14ac:dyDescent="0.2">
      <c r="B11" t="s">
        <v>1543</v>
      </c>
      <c r="C11" t="s">
        <v>1850</v>
      </c>
      <c r="E11">
        <f t="shared" ref="E11" si="40" xml:space="preserve"> IF(AND(LEN(ChartLines.ID)&gt;0,"Unused"&lt;&gt;ChartLines.ID), COUNTIFS(ChartLines.ID,ChartLines.ID), "·")</f>
        <v>2</v>
      </c>
      <c r="F11">
        <f t="shared" ref="F11" si="41" xml:space="preserve"> IF(AND(LEN(ChartLines.ID)&gt;0,"Unused"&lt;&gt;ChartLines.ID), COUNTIFS(ChartLines.ID,ChartLines.ID,   ChartLines.RowNum,"&lt;="&amp;ChartLines.RowNum), "·")</f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ref="H11" si="42" xml:space="preserve"> IF(LEN(ChartLines.Hex6)=6, HEX2DEC(LEFT(ChartLines.Hex6, 2)), "·")</f>
        <v>255</v>
      </c>
      <c r="I11">
        <f t="shared" ref="I11" si="43" xml:space="preserve"> IF(LEN(ChartLines.Hex6)=6, HEX2DEC(MID(ChartLines.Hex6, 3, 2)), "·")</f>
        <v>0</v>
      </c>
      <c r="J11">
        <f t="shared" ref="J11" si="44" xml:space="preserve"> IF(LEN(ChartLines.Hex6)=6, HEX2DEC(RIGHT(ChartLines.Hex6, 2)), "·")</f>
        <v>0</v>
      </c>
      <c r="K11" cm="1">
        <f t="array" ref="K11" xml:space="preserve"> 1 + ROW() - _xlfn.SINGLE(ROW(ChartLines.RowNum))</f>
        <v>9</v>
      </c>
      <c r="M11" s="4" t="s">
        <v>2000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1543</v>
      </c>
      <c r="C12" t="s">
        <v>1851</v>
      </c>
      <c r="E12">
        <f t="shared" ref="E12" si="45" xml:space="preserve"> IF(AND(LEN(ChartLines.ID)&gt;0,"Unused"&lt;&gt;ChartLines.ID), COUNTIFS(ChartLines.ID,ChartLines.ID), "·")</f>
        <v>2</v>
      </c>
      <c r="F12">
        <f t="shared" ref="F12" si="46" xml:space="preserve"> IF(AND(LEN(ChartLines.ID)&gt;0,"Unused"&lt;&gt;ChartLines.ID), COUNTIFS(ChartLines.ID,ChartLines.ID,   ChartLines.RowNum,"&lt;="&amp;ChartLines.RowNum), "·")</f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ref="H12" si="47" xml:space="preserve"> IF(LEN(ChartLines.Hex6)=6, HEX2DEC(LEFT(ChartLines.Hex6, 2)), "·")</f>
        <v>255</v>
      </c>
      <c r="I12">
        <f t="shared" ref="I12" si="48" xml:space="preserve"> IF(LEN(ChartLines.Hex6)=6, HEX2DEC(MID(ChartLines.Hex6, 3, 2)), "·")</f>
        <v>255</v>
      </c>
      <c r="J12">
        <f t="shared" ref="J12" si="49" xml:space="preserve"> IF(LEN(ChartLines.Hex6)=6, HEX2DEC(RIGHT(ChartLines.Hex6, 2)), "·")</f>
        <v>255</v>
      </c>
      <c r="K12" cm="1">
        <f t="array" ref="K12" xml:space="preserve"> 1 + ROW() - _xlfn.SINGLE(ROW(ChartLines.RowNum))</f>
        <v>10</v>
      </c>
      <c r="M12" s="4" t="s">
        <v>1973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1852</v>
      </c>
      <c r="C13" t="s">
        <v>1850</v>
      </c>
      <c r="E13">
        <f t="shared" ref="E13" si="50" xml:space="preserve"> IF(AND(LEN(ChartLines.ID)&gt;0,"Unused"&lt;&gt;ChartLines.ID), COUNTIFS(ChartLines.ID,ChartLines.ID), "·")</f>
        <v>2</v>
      </c>
      <c r="F13">
        <f t="shared" ref="F13" si="51" xml:space="preserve"> IF(AND(LEN(ChartLines.ID)&gt;0,"Unused"&lt;&gt;ChartLines.ID), COUNTIFS(ChartLines.ID,ChartLines.ID,   ChartLines.RowNum,"&lt;="&amp;ChartLines.RowNum), "·")</f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ref="H13" si="52" xml:space="preserve"> IF(LEN(ChartLines.Hex6)=6, HEX2DEC(LEFT(ChartLines.Hex6, 2)), "·")</f>
        <v>255</v>
      </c>
      <c r="I13">
        <f t="shared" ref="I13" si="53" xml:space="preserve"> IF(LEN(ChartLines.Hex6)=6, HEX2DEC(MID(ChartLines.Hex6, 3, 2)), "·")</f>
        <v>0</v>
      </c>
      <c r="J13">
        <f t="shared" ref="J13" si="54" xml:space="preserve"> IF(LEN(ChartLines.Hex6)=6, HEX2DEC(RIGHT(ChartLines.Hex6, 2)), "·")</f>
        <v>0</v>
      </c>
      <c r="K13" cm="1">
        <f t="array" ref="K13" xml:space="preserve"> 1 + ROW() - _xlfn.SINGLE(ROW(ChartLines.RowNum))</f>
        <v>11</v>
      </c>
      <c r="M13" s="4" t="s">
        <v>1970</v>
      </c>
      <c r="N13" s="6" t="s">
        <v>1971</v>
      </c>
    </row>
    <row r="14" spans="2:17" x14ac:dyDescent="0.2">
      <c r="B14" t="s">
        <v>1852</v>
      </c>
      <c r="C14" t="str">
        <f xml:space="preserve"> "000000"</f>
        <v>000000</v>
      </c>
      <c r="E14">
        <f t="shared" ref="E14" si="55" xml:space="preserve"> IF(AND(LEN(ChartLines.ID)&gt;0,"Unused"&lt;&gt;ChartLines.ID), COUNTIFS(ChartLines.ID,ChartLines.ID), "·")</f>
        <v>2</v>
      </c>
      <c r="F14">
        <f t="shared" ref="F14" si="56" xml:space="preserve"> IF(AND(LEN(ChartLines.ID)&gt;0,"Unused"&lt;&gt;ChartLines.ID), COUNTIFS(ChartLines.ID,ChartLines.ID,   ChartLines.RowNum,"&lt;="&amp;ChartLines.RowNum), "·")</f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ref="H14" si="57" xml:space="preserve"> IF(LEN(ChartLines.Hex6)=6, HEX2DEC(LEFT(ChartLines.Hex6, 2)), "·")</f>
        <v>0</v>
      </c>
      <c r="I14">
        <f t="shared" ref="I14" si="58" xml:space="preserve"> IF(LEN(ChartLines.Hex6)=6, HEX2DEC(MID(ChartLines.Hex6, 3, 2)), "·")</f>
        <v>0</v>
      </c>
      <c r="J14">
        <f t="shared" ref="J14" si="59" xml:space="preserve"> IF(LEN(ChartLines.Hex6)=6, HEX2DEC(RIGHT(ChartLines.Hex6, 2)), "·")</f>
        <v>0</v>
      </c>
      <c r="K14" cm="1">
        <f t="array" ref="K14" xml:space="preserve"> 1 + ROW() - _xlfn.SINGLE(ROW(ChartLines.RowNum))</f>
        <v>12</v>
      </c>
      <c r="M14" s="4" t="s">
        <v>1972</v>
      </c>
      <c r="N14" s="6" t="s">
        <v>15</v>
      </c>
    </row>
    <row r="15" spans="2:17" x14ac:dyDescent="0.2">
      <c r="B15" t="s">
        <v>1853</v>
      </c>
      <c r="C15" t="s">
        <v>1854</v>
      </c>
      <c r="E15">
        <f t="shared" ref="E15" si="60" xml:space="preserve"> IF(AND(LEN(ChartLines.ID)&gt;0,"Unused"&lt;&gt;ChartLines.ID), COUNTIFS(ChartLines.ID,ChartLines.ID), "·")</f>
        <v>2</v>
      </c>
      <c r="F15">
        <f t="shared" ref="F15" si="61" xml:space="preserve"> IF(AND(LEN(ChartLines.ID)&gt;0,"Unused"&lt;&gt;ChartLines.ID), COUNTIFS(ChartLines.ID,ChartLines.ID,   ChartLines.RowNum,"&lt;="&amp;ChartLines.RowNum), "·")</f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ref="H15" si="62" xml:space="preserve"> IF(LEN(ChartLines.Hex6)=6, HEX2DEC(LEFT(ChartLines.Hex6, 2)), "·")</f>
        <v>0</v>
      </c>
      <c r="I15">
        <f t="shared" ref="I15" si="63" xml:space="preserve"> IF(LEN(ChartLines.Hex6)=6, HEX2DEC(MID(ChartLines.Hex6, 3, 2)), "·")</f>
        <v>132</v>
      </c>
      <c r="J15">
        <f t="shared" ref="J15" si="64" xml:space="preserve"> IF(LEN(ChartLines.Hex6)=6, HEX2DEC(RIGHT(ChartLines.Hex6, 2)), "·")</f>
        <v>61</v>
      </c>
      <c r="K15" cm="1">
        <f t="array" ref="K15" xml:space="preserve"> 1 + ROW() - _xlfn.SINGLE(ROW(ChartLines.RowNum))</f>
        <v>13</v>
      </c>
    </row>
    <row r="16" spans="2:17" x14ac:dyDescent="0.2">
      <c r="B16" t="s">
        <v>1853</v>
      </c>
      <c r="C16" t="s">
        <v>1855</v>
      </c>
      <c r="E16">
        <f t="shared" ref="E16" si="65" xml:space="preserve"> IF(AND(LEN(ChartLines.ID)&gt;0,"Unused"&lt;&gt;ChartLines.ID), COUNTIFS(ChartLines.ID,ChartLines.ID), "·")</f>
        <v>2</v>
      </c>
      <c r="F16">
        <f t="shared" ref="F16" si="66" xml:space="preserve"> IF(AND(LEN(ChartLines.ID)&gt;0,"Unused"&lt;&gt;ChartLines.ID), COUNTIFS(ChartLines.ID,ChartLines.ID,   ChartLines.RowNum,"&lt;="&amp;ChartLines.RowNum), "·")</f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ref="H16" si="67" xml:space="preserve"> IF(LEN(ChartLines.Hex6)=6, HEX2DEC(LEFT(ChartLines.Hex6, 2)), "·")</f>
        <v>255</v>
      </c>
      <c r="I16">
        <f t="shared" ref="I16" si="68" xml:space="preserve"> IF(LEN(ChartLines.Hex6)=6, HEX2DEC(MID(ChartLines.Hex6, 3, 2)), "·")</f>
        <v>205</v>
      </c>
      <c r="J16">
        <f t="shared" ref="J16" si="69" xml:space="preserve"> IF(LEN(ChartLines.Hex6)=6, HEX2DEC(RIGHT(ChartLines.Hex6, 2)), "·")</f>
        <v>0</v>
      </c>
      <c r="K16" cm="1">
        <f t="array" ref="K16" xml:space="preserve"> 1 + ROW() - _xlfn.SINGLE(ROW(ChartLines.RowNum))</f>
        <v>14</v>
      </c>
    </row>
    <row r="17" spans="2:11" x14ac:dyDescent="0.2">
      <c r="B17" t="s">
        <v>122</v>
      </c>
      <c r="C17" t="str">
        <f xml:space="preserve"> "012169"</f>
        <v>012169</v>
      </c>
      <c r="E17">
        <f t="shared" ref="E17" si="70" xml:space="preserve"> IF(AND(LEN(ChartLines.ID)&gt;0,"Unused"&lt;&gt;ChartLines.ID), COUNTIFS(ChartLines.ID,ChartLines.ID), "·")</f>
        <v>2</v>
      </c>
      <c r="F17">
        <f t="shared" ref="F17" si="71" xml:space="preserve"> IF(AND(LEN(ChartLines.ID)&gt;0,"Unused"&lt;&gt;ChartLines.ID), COUNTIFS(ChartLines.ID,ChartLines.ID,   ChartLines.RowNum,"&lt;="&amp;ChartLines.RowNum), "·")</f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ref="H17" si="72" xml:space="preserve"> IF(LEN(ChartLines.Hex6)=6, HEX2DEC(LEFT(ChartLines.Hex6, 2)), "·")</f>
        <v>1</v>
      </c>
      <c r="I17">
        <f t="shared" ref="I17" si="73" xml:space="preserve"> IF(LEN(ChartLines.Hex6)=6, HEX2DEC(MID(ChartLines.Hex6, 3, 2)), "·")</f>
        <v>33</v>
      </c>
      <c r="J17">
        <f t="shared" ref="J17" si="74" xml:space="preserve"> IF(LEN(ChartLines.Hex6)=6, HEX2DEC(RIGHT(ChartLines.Hex6, 2)), "·")</f>
        <v>105</v>
      </c>
      <c r="K17" cm="1">
        <f t="array" ref="K17" xml:space="preserve"> 1 + ROW() - _xlfn.SINGLE(ROW(ChartLines.RowNum))</f>
        <v>15</v>
      </c>
    </row>
    <row r="18" spans="2:11" x14ac:dyDescent="0.2">
      <c r="B18" t="s">
        <v>122</v>
      </c>
      <c r="C18" t="s">
        <v>1856</v>
      </c>
      <c r="E18">
        <f t="shared" ref="E18" si="75" xml:space="preserve"> IF(AND(LEN(ChartLines.ID)&gt;0,"Unused"&lt;&gt;ChartLines.ID), COUNTIFS(ChartLines.ID,ChartLines.ID), "·")</f>
        <v>2</v>
      </c>
      <c r="F18">
        <f t="shared" ref="F18" si="76" xml:space="preserve"> IF(AND(LEN(ChartLines.ID)&gt;0,"Unused"&lt;&gt;ChartLines.ID), COUNTIFS(ChartLines.ID,ChartLines.ID,   ChartLines.RowNum,"&lt;="&amp;ChartLines.RowNum), "·")</f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ref="H18" si="77" xml:space="preserve"> IF(LEN(ChartLines.Hex6)=6, HEX2DEC(LEFT(ChartLines.Hex6, 2)), "·")</f>
        <v>200</v>
      </c>
      <c r="I18">
        <f t="shared" ref="I18" si="78" xml:space="preserve"> IF(LEN(ChartLines.Hex6)=6, HEX2DEC(MID(ChartLines.Hex6, 3, 2)), "·")</f>
        <v>16</v>
      </c>
      <c r="J18">
        <f t="shared" ref="J18" si="79" xml:space="preserve"> IF(LEN(ChartLines.Hex6)=6, HEX2DEC(RIGHT(ChartLines.Hex6, 2)), "·")</f>
        <v>46</v>
      </c>
      <c r="K18" cm="1">
        <f t="array" ref="K18" xml:space="preserve"> 1 + ROW() - _xlfn.SINGLE(ROW(ChartLines.RowNum))</f>
        <v>16</v>
      </c>
    </row>
    <row r="19" spans="2:11" x14ac:dyDescent="0.2">
      <c r="B19" t="s">
        <v>126</v>
      </c>
      <c r="C19" t="str">
        <f xml:space="preserve"> "004B87"</f>
        <v>004B87</v>
      </c>
      <c r="E19">
        <f t="shared" ref="E19" si="80" xml:space="preserve"> IF(AND(LEN(ChartLines.ID)&gt;0,"Unused"&lt;&gt;ChartLines.ID), COUNTIFS(ChartLines.ID,ChartLines.ID), "·")</f>
        <v>2</v>
      </c>
      <c r="F19">
        <f t="shared" ref="F19" si="81" xml:space="preserve"> IF(AND(LEN(ChartLines.ID)&gt;0,"Unused"&lt;&gt;ChartLines.ID), COUNTIFS(ChartLines.ID,ChartLines.ID,   ChartLines.RowNum,"&lt;="&amp;ChartLines.RowNum), "·")</f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">
        <f t="shared" ref="H19" si="82" xml:space="preserve"> IF(LEN(ChartLines.Hex6)=6, HEX2DEC(LEFT(ChartLines.Hex6, 2)), "·")</f>
        <v>0</v>
      </c>
      <c r="I19">
        <f t="shared" ref="I19" si="83" xml:space="preserve"> IF(LEN(ChartLines.Hex6)=6, HEX2DEC(MID(ChartLines.Hex6, 3, 2)), "·")</f>
        <v>75</v>
      </c>
      <c r="J19">
        <f t="shared" ref="J19" si="84" xml:space="preserve"> IF(LEN(ChartLines.Hex6)=6, HEX2DEC(RIGHT(ChartLines.Hex6, 2)), "·")</f>
        <v>135</v>
      </c>
      <c r="K19" cm="1">
        <f t="array" ref="K19" xml:space="preserve"> 1 + ROW() - _xlfn.SINGLE(ROW(ChartLines.RowNum))</f>
        <v>17</v>
      </c>
    </row>
    <row r="20" spans="2:11" x14ac:dyDescent="0.2">
      <c r="B20" t="s">
        <v>126</v>
      </c>
      <c r="C20" t="s">
        <v>1857</v>
      </c>
      <c r="E20">
        <f t="shared" ref="E20" si="85" xml:space="preserve"> IF(AND(LEN(ChartLines.ID)&gt;0,"Unused"&lt;&gt;ChartLines.ID), COUNTIFS(ChartLines.ID,ChartLines.ID), "·")</f>
        <v>2</v>
      </c>
      <c r="F20">
        <f t="shared" ref="F20" si="86" xml:space="preserve"> IF(AND(LEN(ChartLines.ID)&gt;0,"Unused"&lt;&gt;ChartLines.ID), COUNTIFS(ChartLines.ID,ChartLines.ID,   ChartLines.RowNum,"&lt;="&amp;ChartLines.RowNum), "·")</f>
        <v>2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">
        <f t="shared" ref="H20" si="87" xml:space="preserve"> IF(LEN(ChartLines.Hex6)=6, HEX2DEC(LEFT(ChartLines.Hex6, 2)), "·")</f>
        <v>255</v>
      </c>
      <c r="I20">
        <f t="shared" ref="I20" si="88" xml:space="preserve"> IF(LEN(ChartLines.Hex6)=6, HEX2DEC(MID(ChartLines.Hex6, 3, 2)), "·")</f>
        <v>209</v>
      </c>
      <c r="J20">
        <f t="shared" ref="J20" si="89" xml:space="preserve"> IF(LEN(ChartLines.Hex6)=6, HEX2DEC(RIGHT(ChartLines.Hex6, 2)), "·")</f>
        <v>0</v>
      </c>
      <c r="K20" cm="1">
        <f t="array" ref="K20" xml:space="preserve"> 1 + ROW() - _xlfn.SINGLE(ROW(ChartLines.RowNum))</f>
        <v>18</v>
      </c>
    </row>
    <row r="21" spans="2:11" x14ac:dyDescent="0.2">
      <c r="B21" t="s">
        <v>128</v>
      </c>
      <c r="C21" t="s">
        <v>1858</v>
      </c>
      <c r="E21">
        <f t="shared" ref="E21" si="90" xml:space="preserve"> IF(AND(LEN(ChartLines.ID)&gt;0,"Unused"&lt;&gt;ChartLines.ID), COUNTIFS(ChartLines.ID,ChartLines.ID), "·")</f>
        <v>2</v>
      </c>
      <c r="F21">
        <f t="shared" ref="F21" si="91" xml:space="preserve"> IF(AND(LEN(ChartLines.ID)&gt;0,"Unused"&lt;&gt;ChartLines.ID), COUNTIFS(ChartLines.ID,ChartLines.ID,   ChartLines.RowNum,"&lt;="&amp;ChartLines.RowNum), "·")</f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ref="H21" si="92" xml:space="preserve"> IF(LEN(ChartLines.Hex6)=6, HEX2DEC(LEFT(ChartLines.Hex6, 2)), "·")</f>
        <v>186</v>
      </c>
      <c r="I21">
        <f t="shared" ref="I21" si="93" xml:space="preserve"> IF(LEN(ChartLines.Hex6)=6, HEX2DEC(MID(ChartLines.Hex6, 3, 2)), "·")</f>
        <v>12</v>
      </c>
      <c r="J21">
        <f t="shared" ref="J21" si="94" xml:space="preserve"> IF(LEN(ChartLines.Hex6)=6, HEX2DEC(RIGHT(ChartLines.Hex6, 2)), "·")</f>
        <v>47</v>
      </c>
      <c r="K21" cm="1">
        <f t="array" ref="K21" xml:space="preserve"> 1 + ROW() - _xlfn.SINGLE(ROW(ChartLines.RowNum))</f>
        <v>19</v>
      </c>
    </row>
    <row r="22" spans="2:11" x14ac:dyDescent="0.2">
      <c r="B22" t="s">
        <v>128</v>
      </c>
      <c r="C22" t="s">
        <v>1859</v>
      </c>
      <c r="E22">
        <f t="shared" ref="E22" si="95" xml:space="preserve"> IF(AND(LEN(ChartLines.ID)&gt;0,"Unused"&lt;&gt;ChartLines.ID), COUNTIFS(ChartLines.ID,ChartLines.ID), "·")</f>
        <v>2</v>
      </c>
      <c r="F22">
        <f t="shared" ref="F22" si="96" xml:space="preserve"> IF(AND(LEN(ChartLines.ID)&gt;0,"Unused"&lt;&gt;ChartLines.ID), COUNTIFS(ChartLines.ID,ChartLines.ID,   ChartLines.RowNum,"&lt;="&amp;ChartLines.RowNum), "·")</f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ref="H22" si="97" xml:space="preserve"> IF(LEN(ChartLines.Hex6)=6, HEX2DEC(LEFT(ChartLines.Hex6, 2)), "·")</f>
        <v>0</v>
      </c>
      <c r="I22">
        <f t="shared" ref="I22" si="98" xml:space="preserve"> IF(LEN(ChartLines.Hex6)=6, HEX2DEC(MID(ChartLines.Hex6, 3, 2)), "·")</f>
        <v>32</v>
      </c>
      <c r="J22">
        <f t="shared" ref="J22" si="99" xml:space="preserve"> IF(LEN(ChartLines.Hex6)=6, HEX2DEC(RIGHT(ChartLines.Hex6, 2)), "·")</f>
        <v>91</v>
      </c>
      <c r="K22" cm="1">
        <f t="array" ref="K22" xml:space="preserve"> 1 + ROW() - _xlfn.SINGLE(ROW(ChartLines.RowNum))</f>
        <v>20</v>
      </c>
    </row>
    <row r="23" spans="2:11" x14ac:dyDescent="0.2">
      <c r="E23" t="str">
        <f t="shared" ref="E23" si="100" xml:space="preserve"> IF(AND(LEN(ChartLines.ID)&gt;0,"Unused"&lt;&gt;ChartLines.ID), COUNTIFS(ChartLines.ID,ChartLines.ID), "·")</f>
        <v>·</v>
      </c>
      <c r="F23" t="str">
        <f t="shared" ref="F23" si="101" xml:space="preserve"> IF(AND(LEN(ChartLines.ID)&gt;0,"Unused"&lt;&gt;ChartLines.ID), COUNTIFS(ChartLines.ID,ChartLines.ID,   ChartLines.RowNum,"&lt;="&amp;ChartLines.RowNum), "·")</f>
        <v>·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3" t="str">
        <f t="shared" ref="H23" si="102" xml:space="preserve"> IF(LEN(ChartLines.Hex6)=6, HEX2DEC(LEFT(ChartLines.Hex6, 2)), "·")</f>
        <v>·</v>
      </c>
      <c r="I23" t="str">
        <f t="shared" ref="I23" si="103" xml:space="preserve"> IF(LEN(ChartLines.Hex6)=6, HEX2DEC(MID(ChartLines.Hex6, 3, 2)), "·")</f>
        <v>·</v>
      </c>
      <c r="J23" t="str">
        <f t="shared" ref="J23" si="104" xml:space="preserve"> IF(LEN(ChartLines.Hex6)=6, HEX2DEC(RIGHT(ChartLines.Hex6, 2)), "·")</f>
        <v>·</v>
      </c>
      <c r="K23" cm="1">
        <f t="array" ref="K23" xml:space="preserve"> 1 + ROW() - _xlfn.SINGLE(ROW(ChartLines.RowNum))</f>
        <v>21</v>
      </c>
    </row>
    <row r="24" spans="2:11" x14ac:dyDescent="0.2">
      <c r="B24" t="s">
        <v>798</v>
      </c>
      <c r="C24" t="s">
        <v>1848</v>
      </c>
      <c r="E24">
        <f t="shared" ref="E24" si="105" xml:space="preserve"> IF(AND(LEN(ChartLines.ID)&gt;0,"Unused"&lt;&gt;ChartLines.ID), COUNTIFS(ChartLines.ID,ChartLines.ID), "·")</f>
        <v>2</v>
      </c>
      <c r="F24">
        <f t="shared" ref="F24" si="106" xml:space="preserve"> IF(AND(LEN(ChartLines.ID)&gt;0,"Unused"&lt;&gt;ChartLines.ID), COUNTIFS(ChartLines.ID,ChartLines.ID,   ChartLines.RowNum,"&lt;="&amp;ChartLines.RowNum), "·")</f>
        <v>1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">
        <f t="shared" ref="H24" si="107" xml:space="preserve"> IF(LEN(ChartLines.Hex6)=6, HEX2DEC(LEFT(ChartLines.Hex6, 2)), "·")</f>
        <v>255</v>
      </c>
      <c r="I24">
        <f t="shared" ref="I24" si="108" xml:space="preserve"> IF(LEN(ChartLines.Hex6)=6, HEX2DEC(MID(ChartLines.Hex6, 3, 2)), "·")</f>
        <v>51</v>
      </c>
      <c r="J24">
        <f t="shared" ref="J24" si="109" xml:space="preserve"> IF(LEN(ChartLines.Hex6)=6, HEX2DEC(RIGHT(ChartLines.Hex6, 2)), "·")</f>
        <v>255</v>
      </c>
      <c r="K24" cm="1">
        <f t="array" ref="K24" xml:space="preserve"> 1 + ROW() - _xlfn.SINGLE(ROW(ChartLines.RowNum))</f>
        <v>22</v>
      </c>
    </row>
    <row r="25" spans="2:11" x14ac:dyDescent="0.2">
      <c r="B25" t="s">
        <v>798</v>
      </c>
      <c r="C25" t="s">
        <v>1851</v>
      </c>
      <c r="E25">
        <f t="shared" ref="E25" si="110" xml:space="preserve"> IF(AND(LEN(ChartLines.ID)&gt;0,"Unused"&lt;&gt;ChartLines.ID), COUNTIFS(ChartLines.ID,ChartLines.ID), "·")</f>
        <v>2</v>
      </c>
      <c r="F25">
        <f t="shared" ref="F25" si="111" xml:space="preserve"> IF(AND(LEN(ChartLines.ID)&gt;0,"Unused"&lt;&gt;ChartLines.ID), COUNTIFS(ChartLines.ID,ChartLines.ID,   ChartLines.RowNum,"&lt;="&amp;ChartLines.RowNum), "·")</f>
        <v>2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">
        <f t="shared" ref="H25" si="112" xml:space="preserve"> IF(LEN(ChartLines.Hex6)=6, HEX2DEC(LEFT(ChartLines.Hex6, 2)), "·")</f>
        <v>255</v>
      </c>
      <c r="I25">
        <f t="shared" ref="I25" si="113" xml:space="preserve"> IF(LEN(ChartLines.Hex6)=6, HEX2DEC(MID(ChartLines.Hex6, 3, 2)), "·")</f>
        <v>255</v>
      </c>
      <c r="J25">
        <f t="shared" ref="J25" si="114" xml:space="preserve"> IF(LEN(ChartLines.Hex6)=6, HEX2DEC(RIGHT(ChartLines.Hex6, 2)), "·")</f>
        <v>255</v>
      </c>
      <c r="K25" cm="1">
        <f t="array" ref="K25" xml:space="preserve"> 1 + ROW() - _xlfn.SINGLE(ROW(ChartLines.RowNum))</f>
        <v>23</v>
      </c>
    </row>
    <row r="26" spans="2:11" x14ac:dyDescent="0.2">
      <c r="B26" t="s">
        <v>800</v>
      </c>
      <c r="C26" t="str">
        <f xml:space="preserve"> "000000"</f>
        <v>000000</v>
      </c>
      <c r="E26">
        <f t="shared" ref="E26" si="115" xml:space="preserve"> IF(AND(LEN(ChartLines.ID)&gt;0,"Unused"&lt;&gt;ChartLines.ID), COUNTIFS(ChartLines.ID,ChartLines.ID), "·")</f>
        <v>2</v>
      </c>
      <c r="F26">
        <f t="shared" ref="F26" si="116" xml:space="preserve"> IF(AND(LEN(ChartLines.ID)&gt;0,"Unused"&lt;&gt;ChartLines.ID), COUNTIFS(ChartLines.ID,ChartLines.ID,   ChartLines.RowNum,"&lt;="&amp;ChartLines.RowNum), "·")</f>
        <v>1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">
        <f t="shared" ref="H26" si="117" xml:space="preserve"> IF(LEN(ChartLines.Hex6)=6, HEX2DEC(LEFT(ChartLines.Hex6, 2)), "·")</f>
        <v>0</v>
      </c>
      <c r="I26">
        <f t="shared" ref="I26" si="118" xml:space="preserve"> IF(LEN(ChartLines.Hex6)=6, HEX2DEC(MID(ChartLines.Hex6, 3, 2)), "·")</f>
        <v>0</v>
      </c>
      <c r="J26">
        <f t="shared" ref="J26" si="119" xml:space="preserve"> IF(LEN(ChartLines.Hex6)=6, HEX2DEC(RIGHT(ChartLines.Hex6, 2)), "·")</f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800</v>
      </c>
      <c r="C27" t="s">
        <v>1848</v>
      </c>
      <c r="E27">
        <f t="shared" ref="E27" si="120" xml:space="preserve"> IF(AND(LEN(ChartLines.ID)&gt;0,"Unused"&lt;&gt;ChartLines.ID), COUNTIFS(ChartLines.ID,ChartLines.ID), "·")</f>
        <v>2</v>
      </c>
      <c r="F27">
        <f t="shared" ref="F27" si="121" xml:space="preserve"> IF(AND(LEN(ChartLines.ID)&gt;0,"Unused"&lt;&gt;ChartLines.ID), COUNTIFS(ChartLines.ID,ChartLines.ID,   ChartLines.RowNum,"&lt;="&amp;ChartLines.RowNum), "·")</f>
        <v>2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">
        <f t="shared" ref="H27" si="122" xml:space="preserve"> IF(LEN(ChartLines.Hex6)=6, HEX2DEC(LEFT(ChartLines.Hex6, 2)), "·")</f>
        <v>255</v>
      </c>
      <c r="I27">
        <f t="shared" ref="I27" si="123" xml:space="preserve"> IF(LEN(ChartLines.Hex6)=6, HEX2DEC(MID(ChartLines.Hex6, 3, 2)), "·")</f>
        <v>51</v>
      </c>
      <c r="J27">
        <f t="shared" ref="J27" si="124" xml:space="preserve"> IF(LEN(ChartLines.Hex6)=6, HEX2DEC(RIGHT(ChartLines.Hex6, 2)), "·")</f>
        <v>255</v>
      </c>
      <c r="K27" cm="1">
        <f t="array" ref="K27" xml:space="preserve"> 1 + ROW() - _xlfn.SINGLE(ROW(ChartLines.RowNum))</f>
        <v>25</v>
      </c>
    </row>
    <row r="28" spans="2:11" x14ac:dyDescent="0.2">
      <c r="B28" t="s">
        <v>582</v>
      </c>
      <c r="C28" t="str">
        <f xml:space="preserve"> "000000"</f>
        <v>000000</v>
      </c>
      <c r="E28">
        <f t="shared" ref="E28" si="125" xml:space="preserve"> IF(AND(LEN(ChartLines.ID)&gt;0,"Unused"&lt;&gt;ChartLines.ID), COUNTIFS(ChartLines.ID,ChartLines.ID), "·")</f>
        <v>2</v>
      </c>
      <c r="F28">
        <f t="shared" ref="F28" si="126" xml:space="preserve"> IF(AND(LEN(ChartLines.ID)&gt;0,"Unused"&lt;&gt;ChartLines.ID), COUNTIFS(ChartLines.ID,ChartLines.ID,   ChartLines.RowNum,"&lt;="&amp;ChartLines.RowNum), "·")</f>
        <v>1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">
        <f t="shared" ref="H28" si="127" xml:space="preserve"> IF(LEN(ChartLines.Hex6)=6, HEX2DEC(LEFT(ChartLines.Hex6, 2)), "·")</f>
        <v>0</v>
      </c>
      <c r="I28">
        <f t="shared" ref="I28" si="128" xml:space="preserve"> IF(LEN(ChartLines.Hex6)=6, HEX2DEC(MID(ChartLines.Hex6, 3, 2)), "·")</f>
        <v>0</v>
      </c>
      <c r="J28">
        <f t="shared" ref="J28" si="129" xml:space="preserve"> IF(LEN(ChartLines.Hex6)=6, HEX2DEC(RIGHT(ChartLines.Hex6, 2)), "·")</f>
        <v>0</v>
      </c>
      <c r="K28" cm="1">
        <f t="array" ref="K28" xml:space="preserve"> 1 + ROW() - _xlfn.SINGLE(ROW(ChartLines.RowNum))</f>
        <v>26</v>
      </c>
    </row>
    <row r="29" spans="2:11" x14ac:dyDescent="0.2">
      <c r="B29" t="s">
        <v>582</v>
      </c>
      <c r="C29" t="s">
        <v>1851</v>
      </c>
      <c r="E29">
        <f t="shared" ref="E29" si="130" xml:space="preserve"> IF(AND(LEN(ChartLines.ID)&gt;0,"Unused"&lt;&gt;ChartLines.ID), COUNTIFS(ChartLines.ID,ChartLines.ID), "·")</f>
        <v>2</v>
      </c>
      <c r="F29">
        <f t="shared" ref="F29" si="131" xml:space="preserve"> IF(AND(LEN(ChartLines.ID)&gt;0,"Unused"&lt;&gt;ChartLines.ID), COUNTIFS(ChartLines.ID,ChartLines.ID,   ChartLines.RowNum,"&lt;="&amp;ChartLines.RowNum), "·")</f>
        <v>2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">
        <f t="shared" ref="H29" si="132" xml:space="preserve"> IF(LEN(ChartLines.Hex6)=6, HEX2DEC(LEFT(ChartLines.Hex6, 2)), "·")</f>
        <v>255</v>
      </c>
      <c r="I29">
        <f t="shared" ref="I29" si="133" xml:space="preserve"> IF(LEN(ChartLines.Hex6)=6, HEX2DEC(MID(ChartLines.Hex6, 3, 2)), "·")</f>
        <v>255</v>
      </c>
      <c r="J29">
        <f t="shared" ref="J29" si="134" xml:space="preserve"> IF(LEN(ChartLines.Hex6)=6, HEX2DEC(RIGHT(ChartLines.Hex6, 2)), "·")</f>
        <v>255</v>
      </c>
      <c r="K29" cm="1">
        <f t="array" ref="K29" xml:space="preserve"> 1 + ROW() - _xlfn.SINGLE(ROW(ChartLines.RowNum))</f>
        <v>27</v>
      </c>
    </row>
    <row r="30" spans="2:11" x14ac:dyDescent="0.2">
      <c r="B30" t="s">
        <v>599</v>
      </c>
      <c r="C30" t="s">
        <v>1860</v>
      </c>
      <c r="E30">
        <f t="shared" ref="E30" si="135" xml:space="preserve"> IF(AND(LEN(ChartLines.ID)&gt;0,"Unused"&lt;&gt;ChartLines.ID), COUNTIFS(ChartLines.ID,ChartLines.ID), "·")</f>
        <v>2</v>
      </c>
      <c r="F30">
        <f t="shared" ref="F30" si="136" xml:space="preserve"> IF(AND(LEN(ChartLines.ID)&gt;0,"Unused"&lt;&gt;ChartLines.ID), COUNTIFS(ChartLines.ID,ChartLines.ID,   ChartLines.RowNum,"&lt;="&amp;ChartLines.RowNum), "·")</f>
        <v>1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">
        <f t="shared" ref="H30" si="137" xml:space="preserve"> IF(LEN(ChartLines.Hex6)=6, HEX2DEC(LEFT(ChartLines.Hex6, 2)), "·")</f>
        <v>0</v>
      </c>
      <c r="I30">
        <f t="shared" ref="I30" si="138" xml:space="preserve"> IF(LEN(ChartLines.Hex6)=6, HEX2DEC(MID(ChartLines.Hex6, 3, 2)), "·")</f>
        <v>85</v>
      </c>
      <c r="J30">
        <f t="shared" ref="J30" si="139" xml:space="preserve"> IF(LEN(ChartLines.Hex6)=6, HEX2DEC(RIGHT(ChartLines.Hex6, 2)), "·")</f>
        <v>164</v>
      </c>
      <c r="K30" cm="1">
        <f t="array" ref="K30" xml:space="preserve"> 1 + ROW() - _xlfn.SINGLE(ROW(ChartLines.RowNum))</f>
        <v>28</v>
      </c>
    </row>
    <row r="31" spans="2:11" x14ac:dyDescent="0.2">
      <c r="B31" t="s">
        <v>599</v>
      </c>
      <c r="C31" t="s">
        <v>1861</v>
      </c>
      <c r="E31">
        <f t="shared" ref="E31" si="140" xml:space="preserve"> IF(AND(LEN(ChartLines.ID)&gt;0,"Unused"&lt;&gt;ChartLines.ID), COUNTIFS(ChartLines.ID,ChartLines.ID), "·")</f>
        <v>2</v>
      </c>
      <c r="F31">
        <f t="shared" ref="F31" si="141" xml:space="preserve"> IF(AND(LEN(ChartLines.ID)&gt;0,"Unused"&lt;&gt;ChartLines.ID), COUNTIFS(ChartLines.ID,ChartLines.ID,   ChartLines.RowNum,"&lt;="&amp;ChartLines.RowNum), "·")</f>
        <v>2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">
        <f t="shared" ref="H31" si="142" xml:space="preserve"> IF(LEN(ChartLines.Hex6)=6, HEX2DEC(LEFT(ChartLines.Hex6, 2)), "·")</f>
        <v>239</v>
      </c>
      <c r="I31">
        <f t="shared" ref="I31" si="143" xml:space="preserve"> IF(LEN(ChartLines.Hex6)=6, HEX2DEC(MID(ChartLines.Hex6, 3, 2)), "·")</f>
        <v>65</v>
      </c>
      <c r="J31">
        <f t="shared" ref="J31" si="144" xml:space="preserve"> IF(LEN(ChartLines.Hex6)=6, HEX2DEC(RIGHT(ChartLines.Hex6, 2)), "·")</f>
        <v>53</v>
      </c>
      <c r="K31" cm="1">
        <f t="array" ref="K31" xml:space="preserve"> 1 + ROW() - _xlfn.SINGLE(ROW(ChartLines.RowNum))</f>
        <v>29</v>
      </c>
    </row>
    <row r="32" spans="2:11" x14ac:dyDescent="0.2">
      <c r="B32" t="s">
        <v>636</v>
      </c>
      <c r="C32" t="s">
        <v>1862</v>
      </c>
      <c r="E32">
        <f t="shared" ref="E32" si="145" xml:space="preserve"> IF(AND(LEN(ChartLines.ID)&gt;0,"Unused"&lt;&gt;ChartLines.ID), COUNTIFS(ChartLines.ID,ChartLines.ID), "·")</f>
        <v>2</v>
      </c>
      <c r="F32">
        <f t="shared" ref="F32" si="146" xml:space="preserve"> IF(AND(LEN(ChartLines.ID)&gt;0,"Unused"&lt;&gt;ChartLines.ID), COUNTIFS(ChartLines.ID,ChartLines.ID,   ChartLines.RowNum,"&lt;="&amp;ChartLines.RowNum), "·")</f>
        <v>1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2">
        <f t="shared" ref="H32" si="147" xml:space="preserve"> IF(LEN(ChartLines.Hex6)=6, HEX2DEC(LEFT(ChartLines.Hex6, 2)), "·")</f>
        <v>0</v>
      </c>
      <c r="I32">
        <f t="shared" ref="I32" si="148" xml:space="preserve"> IF(LEN(ChartLines.Hex6)=6, HEX2DEC(MID(ChartLines.Hex6, 3, 2)), "·")</f>
        <v>140</v>
      </c>
      <c r="J32">
        <f t="shared" ref="J32" si="149" xml:space="preserve"> IF(LEN(ChartLines.Hex6)=6, HEX2DEC(RIGHT(ChartLines.Hex6, 2)), "·")</f>
        <v>69</v>
      </c>
      <c r="K32" cm="1">
        <f t="array" ref="K32" xml:space="preserve"> 1 + ROW() - _xlfn.SINGLE(ROW(ChartLines.RowNum))</f>
        <v>30</v>
      </c>
    </row>
    <row r="33" spans="2:11" x14ac:dyDescent="0.2">
      <c r="B33" t="s">
        <v>636</v>
      </c>
      <c r="C33" t="s">
        <v>1863</v>
      </c>
      <c r="E33">
        <f t="shared" ref="E33" si="150" xml:space="preserve"> IF(AND(LEN(ChartLines.ID)&gt;0,"Unused"&lt;&gt;ChartLines.ID), COUNTIFS(ChartLines.ID,ChartLines.ID), "·")</f>
        <v>2</v>
      </c>
      <c r="F33">
        <f t="shared" ref="F33" si="151" xml:space="preserve"> IF(AND(LEN(ChartLines.ID)&gt;0,"Unused"&lt;&gt;ChartLines.ID), COUNTIFS(ChartLines.ID,ChartLines.ID,   ChartLines.RowNum,"&lt;="&amp;ChartLines.RowNum), "·")</f>
        <v>2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3">
        <f t="shared" ref="H33" si="152" xml:space="preserve"> IF(LEN(ChartLines.Hex6)=6, HEX2DEC(LEFT(ChartLines.Hex6, 2)), "·")</f>
        <v>205</v>
      </c>
      <c r="I33">
        <f t="shared" ref="I33" si="153" xml:space="preserve"> IF(LEN(ChartLines.Hex6)=6, HEX2DEC(MID(ChartLines.Hex6, 3, 2)), "·")</f>
        <v>33</v>
      </c>
      <c r="J33">
        <f t="shared" ref="J33" si="154" xml:space="preserve"> IF(LEN(ChartLines.Hex6)=6, HEX2DEC(RIGHT(ChartLines.Hex6, 2)), "·")</f>
        <v>42</v>
      </c>
      <c r="K33" cm="1">
        <f t="array" ref="K33" xml:space="preserve"> 1 + ROW() - _xlfn.SINGLE(ROW(ChartLines.RowNum))</f>
        <v>31</v>
      </c>
    </row>
    <row r="34" spans="2:11" x14ac:dyDescent="0.2">
      <c r="B34" t="s">
        <v>171</v>
      </c>
      <c r="C34" t="s">
        <v>2163</v>
      </c>
      <c r="E34">
        <f t="shared" ref="E34" si="155" xml:space="preserve"> IF(AND(LEN(ChartLines.ID)&gt;0,"Unused"&lt;&gt;ChartLines.ID), COUNTIFS(ChartLines.ID,ChartLines.ID), "·")</f>
        <v>2</v>
      </c>
      <c r="F34">
        <f t="shared" ref="F34" si="156" xml:space="preserve"> IF(AND(LEN(ChartLines.ID)&gt;0,"Unused"&lt;&gt;ChartLines.ID), COUNTIFS(ChartLines.ID,ChartLines.ID,   ChartLines.RowNum,"&lt;="&amp;ChartLines.RowNum), "·")</f>
        <v>1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4">
        <f t="shared" ref="H34" si="157" xml:space="preserve"> IF(LEN(ChartLines.Hex6)=6, HEX2DEC(LEFT(ChartLines.Hex6, 2)), "·")</f>
        <v>173</v>
      </c>
      <c r="I34">
        <f t="shared" ref="I34" si="158" xml:space="preserve"> IF(LEN(ChartLines.Hex6)=6, HEX2DEC(MID(ChartLines.Hex6, 3, 2)), "·")</f>
        <v>21</v>
      </c>
      <c r="J34">
        <f t="shared" ref="J34" si="159" xml:space="preserve"> IF(LEN(ChartLines.Hex6)=6, HEX2DEC(RIGHT(ChartLines.Hex6, 2)), "·")</f>
        <v>25</v>
      </c>
      <c r="K34" cm="1">
        <f t="array" ref="K34" xml:space="preserve"> 1 + ROW() - _xlfn.SINGLE(ROW(ChartLines.RowNum))</f>
        <v>32</v>
      </c>
    </row>
    <row r="35" spans="2:11" x14ac:dyDescent="0.2">
      <c r="B35" t="s">
        <v>171</v>
      </c>
      <c r="C35" t="s">
        <v>2164</v>
      </c>
      <c r="E35">
        <f t="shared" ref="E35" si="160" xml:space="preserve"> IF(AND(LEN(ChartLines.ID)&gt;0,"Unused"&lt;&gt;ChartLines.ID), COUNTIFS(ChartLines.ID,ChartLines.ID), "·")</f>
        <v>2</v>
      </c>
      <c r="F35">
        <f t="shared" ref="F35" si="161" xml:space="preserve"> IF(AND(LEN(ChartLines.ID)&gt;0,"Unused"&lt;&gt;ChartLines.ID), COUNTIFS(ChartLines.ID,ChartLines.ID,   ChartLines.RowNum,"&lt;="&amp;ChartLines.RowNum), "·")</f>
        <v>2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5">
        <f t="shared" ref="H35" si="162" xml:space="preserve"> IF(LEN(ChartLines.Hex6)=6, HEX2DEC(LEFT(ChartLines.Hex6, 2)), "·")</f>
        <v>250</v>
      </c>
      <c r="I35">
        <f t="shared" ref="I35" si="163" xml:space="preserve"> IF(LEN(ChartLines.Hex6)=6, HEX2DEC(MID(ChartLines.Hex6, 3, 2)), "·")</f>
        <v>189</v>
      </c>
      <c r="J35">
        <f t="shared" ref="J35" si="164" xml:space="preserve"> IF(LEN(ChartLines.Hex6)=6, HEX2DEC(RIGHT(ChartLines.Hex6, 2)), "·")</f>
        <v>0</v>
      </c>
      <c r="K35" cm="1">
        <f t="array" ref="K35" xml:space="preserve"> 1 + ROW() - _xlfn.SINGLE(ROW(ChartLines.RowNum))</f>
        <v>33</v>
      </c>
    </row>
    <row r="36" spans="2:11" x14ac:dyDescent="0.2">
      <c r="B36" t="s">
        <v>637</v>
      </c>
      <c r="C36" t="s">
        <v>1864</v>
      </c>
      <c r="E36">
        <f t="shared" ref="E36" si="165" xml:space="preserve"> IF(AND(LEN(ChartLines.ID)&gt;0,"Unused"&lt;&gt;ChartLines.ID), COUNTIFS(ChartLines.ID,ChartLines.ID), "·")</f>
        <v>2</v>
      </c>
      <c r="F36">
        <f t="shared" ref="F36" si="166" xml:space="preserve"> IF(AND(LEN(ChartLines.ID)&gt;0,"Unused"&lt;&gt;ChartLines.ID), COUNTIFS(ChartLines.ID,ChartLines.ID,   ChartLines.RowNum,"&lt;="&amp;ChartLines.RowNum), "·")</f>
        <v>1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6">
        <f t="shared" ref="H36" si="167" xml:space="preserve"> IF(LEN(ChartLines.Hex6)=6, HEX2DEC(LEFT(ChartLines.Hex6, 2)), "·")</f>
        <v>0</v>
      </c>
      <c r="I36">
        <f t="shared" ref="I36" si="168" xml:space="preserve"> IF(LEN(ChartLines.Hex6)=6, HEX2DEC(MID(ChartLines.Hex6, 3, 2)), "·")</f>
        <v>61</v>
      </c>
      <c r="J36">
        <f t="shared" ref="J36" si="169" xml:space="preserve"> IF(LEN(ChartLines.Hex6)=6, HEX2DEC(RIGHT(ChartLines.Hex6, 2)), "·")</f>
        <v>165</v>
      </c>
      <c r="K36" cm="1">
        <f t="array" ref="K36" xml:space="preserve"> 1 + ROW() - _xlfn.SINGLE(ROW(ChartLines.RowNum))</f>
        <v>34</v>
      </c>
    </row>
    <row r="37" spans="2:11" x14ac:dyDescent="0.2">
      <c r="B37" t="s">
        <v>637</v>
      </c>
      <c r="C37" t="s">
        <v>1865</v>
      </c>
      <c r="E37">
        <f t="shared" ref="E37" si="170" xml:space="preserve"> IF(AND(LEN(ChartLines.ID)&gt;0,"Unused"&lt;&gt;ChartLines.ID), COUNTIFS(ChartLines.ID,ChartLines.ID), "·")</f>
        <v>2</v>
      </c>
      <c r="F37">
        <f t="shared" ref="F37" si="171" xml:space="preserve"> IF(AND(LEN(ChartLines.ID)&gt;0,"Unused"&lt;&gt;ChartLines.ID), COUNTIFS(ChartLines.ID,ChartLines.ID,   ChartLines.RowNum,"&lt;="&amp;ChartLines.RowNum), "·")</f>
        <v>2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7">
        <f t="shared" ref="H37" si="172" xml:space="preserve"> IF(LEN(ChartLines.Hex6)=6, HEX2DEC(LEFT(ChartLines.Hex6, 2)), "·")</f>
        <v>250</v>
      </c>
      <c r="I37">
        <f t="shared" ref="I37" si="173" xml:space="preserve"> IF(LEN(ChartLines.Hex6)=6, HEX2DEC(MID(ChartLines.Hex6, 3, 2)), "·")</f>
        <v>155</v>
      </c>
      <c r="J37">
        <f t="shared" ref="J37" si="174" xml:space="preserve"> IF(LEN(ChartLines.Hex6)=6, HEX2DEC(RIGHT(ChartLines.Hex6, 2)), "·")</f>
        <v>30</v>
      </c>
      <c r="K37" cm="1">
        <f t="array" ref="K37" xml:space="preserve"> 1 + ROW() - _xlfn.SINGLE(ROW(ChartLines.RowNum))</f>
        <v>35</v>
      </c>
    </row>
    <row r="38" spans="2:11" x14ac:dyDescent="0.2">
      <c r="B38" t="s">
        <v>656</v>
      </c>
      <c r="C38">
        <v>663319</v>
      </c>
      <c r="E38">
        <f t="shared" ref="E38" si="175" xml:space="preserve"> IF(AND(LEN(ChartLines.ID)&gt;0,"Unused"&lt;&gt;ChartLines.ID), COUNTIFS(ChartLines.ID,ChartLines.ID), "·")</f>
        <v>2</v>
      </c>
      <c r="F38">
        <f t="shared" ref="F38" si="176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" si="177" xml:space="preserve"> IF(LEN(ChartLines.Hex6)=6, HEX2DEC(LEFT(ChartLines.Hex6, 2)), "·")</f>
        <v>102</v>
      </c>
      <c r="I38">
        <f t="shared" ref="I38" si="178" xml:space="preserve"> IF(LEN(ChartLines.Hex6)=6, HEX2DEC(MID(ChartLines.Hex6, 3, 2)), "·")</f>
        <v>51</v>
      </c>
      <c r="J38">
        <f t="shared" ref="J38" si="179" xml:space="preserve"> IF(LEN(ChartLines.Hex6)=6, HEX2DEC(RIGHT(ChartLines.Hex6, 2)), "·")</f>
        <v>25</v>
      </c>
      <c r="K38" cm="1">
        <f t="array" ref="K38" xml:space="preserve"> 1 + ROW() - _xlfn.SINGLE(ROW(ChartLines.RowNum))</f>
        <v>36</v>
      </c>
    </row>
    <row r="39" spans="2:11" x14ac:dyDescent="0.2">
      <c r="B39" t="s">
        <v>656</v>
      </c>
      <c r="C39" t="s">
        <v>1866</v>
      </c>
      <c r="E39">
        <f t="shared" ref="E39" si="180" xml:space="preserve"> IF(AND(LEN(ChartLines.ID)&gt;0,"Unused"&lt;&gt;ChartLines.ID), COUNTIFS(ChartLines.ID,ChartLines.ID), "·")</f>
        <v>2</v>
      </c>
      <c r="F39">
        <f t="shared" ref="F39" si="181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" si="182" xml:space="preserve"> IF(LEN(ChartLines.Hex6)=6, HEX2DEC(LEFT(ChartLines.Hex6, 2)), "·")</f>
        <v>255</v>
      </c>
      <c r="I39">
        <f t="shared" ref="I39" si="183" xml:space="preserve"> IF(LEN(ChartLines.Hex6)=6, HEX2DEC(MID(ChartLines.Hex6, 3, 2)), "·")</f>
        <v>204</v>
      </c>
      <c r="J39">
        <f t="shared" ref="J39" si="184" xml:space="preserve"> IF(LEN(ChartLines.Hex6)=6, HEX2DEC(RIGHT(ChartLines.Hex6, 2)), "·")</f>
        <v>51</v>
      </c>
      <c r="K39" cm="1">
        <f t="array" ref="K39" xml:space="preserve"> 1 + ROW() - _xlfn.SINGLE(ROW(ChartLines.RowNum))</f>
        <v>37</v>
      </c>
    </row>
    <row r="40" spans="2:11" x14ac:dyDescent="0.2">
      <c r="B40" t="s">
        <v>657</v>
      </c>
      <c r="C40" t="s">
        <v>1856</v>
      </c>
      <c r="E40">
        <f t="shared" ref="E40" si="185" xml:space="preserve"> IF(AND(LEN(ChartLines.ID)&gt;0,"Unused"&lt;&gt;ChartLines.ID), COUNTIFS(ChartLines.ID,ChartLines.ID), "·")</f>
        <v>2</v>
      </c>
      <c r="F40">
        <f t="shared" ref="F40" si="186" xml:space="preserve"> IF(AND(LEN(ChartLines.ID)&gt;0,"Unused"&lt;&gt;ChartLines.ID), COUNTIFS(ChartLines.ID,ChartLines.ID,   ChartLines.RowNum,"&lt;="&amp;ChartLines.RowNum), "·")</f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ref="H40" si="187" xml:space="preserve"> IF(LEN(ChartLines.Hex6)=6, HEX2DEC(LEFT(ChartLines.Hex6, 2)), "·")</f>
        <v>200</v>
      </c>
      <c r="I40">
        <f t="shared" ref="I40" si="188" xml:space="preserve"> IF(LEN(ChartLines.Hex6)=6, HEX2DEC(MID(ChartLines.Hex6, 3, 2)), "·")</f>
        <v>16</v>
      </c>
      <c r="J40">
        <f t="shared" ref="J40" si="189" xml:space="preserve"> IF(LEN(ChartLines.Hex6)=6, HEX2DEC(RIGHT(ChartLines.Hex6, 2)), "·")</f>
        <v>46</v>
      </c>
      <c r="K40" cm="1">
        <f t="array" ref="K40" xml:space="preserve"> 1 + ROW() - _xlfn.SINGLE(ROW(ChartLines.RowNum))</f>
        <v>38</v>
      </c>
    </row>
    <row r="41" spans="2:11" x14ac:dyDescent="0.2">
      <c r="B41" t="s">
        <v>657</v>
      </c>
      <c r="C41" t="s">
        <v>1851</v>
      </c>
      <c r="E41">
        <f t="shared" ref="E41" si="190" xml:space="preserve"> IF(AND(LEN(ChartLines.ID)&gt;0,"Unused"&lt;&gt;ChartLines.ID), COUNTIFS(ChartLines.ID,ChartLines.ID), "·")</f>
        <v>2</v>
      </c>
      <c r="F41">
        <f t="shared" ref="F41" si="191" xml:space="preserve"> IF(AND(LEN(ChartLines.ID)&gt;0,"Unused"&lt;&gt;ChartLines.ID), COUNTIFS(ChartLines.ID,ChartLines.ID,   ChartLines.RowNum,"&lt;="&amp;ChartLines.RowNum), "·")</f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ref="H41" si="192" xml:space="preserve"> IF(LEN(ChartLines.Hex6)=6, HEX2DEC(LEFT(ChartLines.Hex6, 2)), "·")</f>
        <v>255</v>
      </c>
      <c r="I41">
        <f t="shared" ref="I41" si="193" xml:space="preserve"> IF(LEN(ChartLines.Hex6)=6, HEX2DEC(MID(ChartLines.Hex6, 3, 2)), "·")</f>
        <v>255</v>
      </c>
      <c r="J41">
        <f t="shared" ref="J41" si="194" xml:space="preserve"> IF(LEN(ChartLines.Hex6)=6, HEX2DEC(RIGHT(ChartLines.Hex6, 2)), "·")</f>
        <v>255</v>
      </c>
      <c r="K41" cm="1">
        <f t="array" ref="K41" xml:space="preserve"> 1 + ROW() - _xlfn.SINGLE(ROW(ChartLines.RowNum))</f>
        <v>39</v>
      </c>
    </row>
    <row r="42" spans="2:11" x14ac:dyDescent="0.2">
      <c r="B42" t="s">
        <v>658</v>
      </c>
      <c r="C42" t="s">
        <v>1867</v>
      </c>
      <c r="E42">
        <f t="shared" ref="E42" si="195" xml:space="preserve"> IF(AND(LEN(ChartLines.ID)&gt;0,"Unused"&lt;&gt;ChartLines.ID), COUNTIFS(ChartLines.ID,ChartLines.ID), "·")</f>
        <v>1</v>
      </c>
      <c r="F42">
        <f t="shared" ref="F42" si="196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42">
        <f t="shared" ref="H42" si="197" xml:space="preserve"> IF(LEN(ChartLines.Hex6)=6, HEX2DEC(LEFT(ChartLines.Hex6, 2)), "·")</f>
        <v>0</v>
      </c>
      <c r="I42">
        <f t="shared" ref="I42" si="198" xml:space="preserve"> IF(LEN(ChartLines.Hex6)=6, HEX2DEC(MID(ChartLines.Hex6, 3, 2)), "·")</f>
        <v>47</v>
      </c>
      <c r="J42">
        <f t="shared" ref="J42" si="199" xml:space="preserve"> IF(LEN(ChartLines.Hex6)=6, HEX2DEC(RIGHT(ChartLines.Hex6, 2)), "·")</f>
        <v>108</v>
      </c>
      <c r="K42" cm="1">
        <f t="array" ref="K42" xml:space="preserve"> 1 + ROW() - _xlfn.SINGLE(ROW(ChartLines.RowNum))</f>
        <v>40</v>
      </c>
    </row>
    <row r="43" spans="2:11" x14ac:dyDescent="0.2">
      <c r="B43" t="s">
        <v>1847</v>
      </c>
      <c r="E43" t="str">
        <f t="shared" ref="E43" si="200" xml:space="preserve"> IF(AND(LEN(ChartLines.ID)&gt;0,"Unused"&lt;&gt;ChartLines.ID), COUNTIFS(ChartLines.ID,ChartLines.ID), "·")</f>
        <v>·</v>
      </c>
      <c r="F43" t="str">
        <f t="shared" ref="F43" si="201" xml:space="preserve"> IF(AND(LEN(ChartLines.ID)&gt;0,"Unused"&lt;&gt;ChartLines.ID), COUNTIFS(ChartLines.ID,ChartLines.ID,   ChartLines.RowNum,"&lt;="&amp;ChartLines.RowNum), "·")</f>
        <v>·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3" t="str">
        <f t="shared" ref="H43" si="202" xml:space="preserve"> IF(LEN(ChartLines.Hex6)=6, HEX2DEC(LEFT(ChartLines.Hex6, 2)), "·")</f>
        <v>·</v>
      </c>
      <c r="I43" t="str">
        <f t="shared" ref="I43" si="203" xml:space="preserve"> IF(LEN(ChartLines.Hex6)=6, HEX2DEC(MID(ChartLines.Hex6, 3, 2)), "·")</f>
        <v>·</v>
      </c>
      <c r="J43" t="str">
        <f t="shared" ref="J43" si="204" xml:space="preserve"> IF(LEN(ChartLines.Hex6)=6, HEX2DEC(RIGHT(ChartLines.Hex6, 2)), "·")</f>
        <v>·</v>
      </c>
      <c r="K43" cm="1">
        <f t="array" ref="K43" xml:space="preserve"> 1 + ROW() - _xlfn.SINGLE(ROW(ChartLines.RowNum))</f>
        <v>41</v>
      </c>
    </row>
    <row r="44" spans="2:11" x14ac:dyDescent="0.2">
      <c r="B44" t="s">
        <v>172</v>
      </c>
      <c r="C44" t="s">
        <v>1868</v>
      </c>
      <c r="E44">
        <f t="shared" ref="E44" si="205" xml:space="preserve"> IF(AND(LEN(ChartLines.ID)&gt;0,"Unused"&lt;&gt;ChartLines.ID), COUNTIFS(ChartLines.ID,ChartLines.ID), "·")</f>
        <v>2</v>
      </c>
      <c r="F44">
        <f t="shared" ref="F44" si="206" xml:space="preserve"> IF(AND(LEN(ChartLines.ID)&gt;0,"Unused"&lt;&gt;ChartLines.ID), COUNTIFS(ChartLines.ID,ChartLines.ID,   ChartLines.RowNum,"&lt;="&amp;ChartLines.RowNum), "·")</f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ref="H44" si="207" xml:space="preserve"> IF(LEN(ChartLines.Hex6)=6, HEX2DEC(LEFT(ChartLines.Hex6, 2)), "·")</f>
        <v>0</v>
      </c>
      <c r="I44">
        <f t="shared" ref="I44" si="208" xml:space="preserve"> IF(LEN(ChartLines.Hex6)=6, HEX2DEC(MID(ChartLines.Hex6, 3, 2)), "·")</f>
        <v>76</v>
      </c>
      <c r="J44">
        <f t="shared" ref="J44" si="209" xml:space="preserve"> IF(LEN(ChartLines.Hex6)=6, HEX2DEC(RIGHT(ChartLines.Hex6, 2)), "·")</f>
        <v>152</v>
      </c>
      <c r="K44" cm="1">
        <f t="array" ref="K44" xml:space="preserve"> 1 + ROW() - _xlfn.SINGLE(ROW(ChartLines.RowNum))</f>
        <v>42</v>
      </c>
    </row>
    <row r="45" spans="2:11" x14ac:dyDescent="0.2">
      <c r="B45" t="s">
        <v>172</v>
      </c>
      <c r="C45" t="s">
        <v>1851</v>
      </c>
      <c r="E45">
        <f t="shared" ref="E45" si="210" xml:space="preserve"> IF(AND(LEN(ChartLines.ID)&gt;0,"Unused"&lt;&gt;ChartLines.ID), COUNTIFS(ChartLines.ID,ChartLines.ID), "·")</f>
        <v>2</v>
      </c>
      <c r="F45">
        <f t="shared" ref="F45" si="211" xml:space="preserve"> IF(AND(LEN(ChartLines.ID)&gt;0,"Unused"&lt;&gt;ChartLines.ID), COUNTIFS(ChartLines.ID,ChartLines.ID,   ChartLines.RowNum,"&lt;="&amp;ChartLines.RowNum), "·")</f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ref="H45" si="212" xml:space="preserve"> IF(LEN(ChartLines.Hex6)=6, HEX2DEC(LEFT(ChartLines.Hex6, 2)), "·")</f>
        <v>255</v>
      </c>
      <c r="I45">
        <f t="shared" ref="I45" si="213" xml:space="preserve"> IF(LEN(ChartLines.Hex6)=6, HEX2DEC(MID(ChartLines.Hex6, 3, 2)), "·")</f>
        <v>255</v>
      </c>
      <c r="J45">
        <f t="shared" ref="J45" si="214" xml:space="preserve"> IF(LEN(ChartLines.Hex6)=6, HEX2DEC(RIGHT(ChartLines.Hex6, 2)), "·")</f>
        <v>255</v>
      </c>
      <c r="K45" cm="1">
        <f t="array" ref="K45" xml:space="preserve"> 1 + ROW() - _xlfn.SINGLE(ROW(ChartLines.RowNum))</f>
        <v>43</v>
      </c>
    </row>
    <row r="46" spans="2:11" x14ac:dyDescent="0.2">
      <c r="B46" t="s">
        <v>103</v>
      </c>
      <c r="C46" t="s">
        <v>1869</v>
      </c>
      <c r="E46">
        <f t="shared" ref="E46" si="215" xml:space="preserve"> IF(AND(LEN(ChartLines.ID)&gt;0,"Unused"&lt;&gt;ChartLines.ID), COUNTIFS(ChartLines.ID,ChartLines.ID), "·")</f>
        <v>2</v>
      </c>
      <c r="F46">
        <f t="shared" ref="F46" si="216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6">
        <f t="shared" ref="H46" si="217" xml:space="preserve"> IF(LEN(ChartLines.Hex6)=6, HEX2DEC(LEFT(ChartLines.Hex6, 2)), "·")</f>
        <v>218</v>
      </c>
      <c r="I46">
        <f t="shared" ref="I46" si="218" xml:space="preserve"> IF(LEN(ChartLines.Hex6)=6, HEX2DEC(MID(ChartLines.Hex6, 3, 2)), "·")</f>
        <v>41</v>
      </c>
      <c r="J46">
        <f t="shared" ref="J46" si="219" xml:space="preserve"> IF(LEN(ChartLines.Hex6)=6, HEX2DEC(RIGHT(ChartLines.Hex6, 2)), "·")</f>
        <v>28</v>
      </c>
      <c r="K46" cm="1">
        <f t="array" ref="K46" xml:space="preserve"> 1 + ROW() - _xlfn.SINGLE(ROW(ChartLines.RowNum))</f>
        <v>44</v>
      </c>
    </row>
    <row r="47" spans="2:11" x14ac:dyDescent="0.2">
      <c r="B47" t="s">
        <v>103</v>
      </c>
      <c r="C47" t="s">
        <v>1870</v>
      </c>
      <c r="E47">
        <f t="shared" ref="E47" si="220" xml:space="preserve"> IF(AND(LEN(ChartLines.ID)&gt;0,"Unused"&lt;&gt;ChartLines.ID), COUNTIFS(ChartLines.ID,ChartLines.ID), "·")</f>
        <v>2</v>
      </c>
      <c r="F47">
        <f t="shared" ref="F47" si="221" xml:space="preserve"> IF(AND(LEN(ChartLines.ID)&gt;0,"Unused"&lt;&gt;ChartLines.ID), COUNTIFS(ChartLines.ID,ChartLines.ID,   ChartLines.RowNum,"&lt;="&amp;ChartLines.RowNum), "·")</f>
        <v>2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7">
        <f t="shared" ref="H47" si="222" xml:space="preserve"> IF(LEN(ChartLines.Hex6)=6, HEX2DEC(LEFT(ChartLines.Hex6, 2)), "·")</f>
        <v>4</v>
      </c>
      <c r="I47">
        <f t="shared" ref="I47" si="223" xml:space="preserve"> IF(LEN(ChartLines.Hex6)=6, HEX2DEC(MID(ChartLines.Hex6, 3, 2)), "·")</f>
        <v>106</v>
      </c>
      <c r="J47">
        <f t="shared" ref="J47" si="224" xml:space="preserve"> IF(LEN(ChartLines.Hex6)=6, HEX2DEC(RIGHT(ChartLines.Hex6, 2)), "·")</f>
        <v>56</v>
      </c>
      <c r="K47" cm="1">
        <f t="array" ref="K47" xml:space="preserve"> 1 + ROW() - _xlfn.SINGLE(ROW(ChartLines.RowNum))</f>
        <v>45</v>
      </c>
    </row>
    <row r="48" spans="2:11" x14ac:dyDescent="0.2">
      <c r="B48" t="s">
        <v>676</v>
      </c>
      <c r="C48" t="s">
        <v>1871</v>
      </c>
      <c r="E48">
        <f t="shared" ref="E48" si="225" xml:space="preserve"> IF(AND(LEN(ChartLines.ID)&gt;0,"Unused"&lt;&gt;ChartLines.ID), COUNTIFS(ChartLines.ID,ChartLines.ID), "·")</f>
        <v>2</v>
      </c>
      <c r="F48">
        <f t="shared" ref="F48" si="226" xml:space="preserve"> IF(AND(LEN(ChartLines.ID)&gt;0,"Unused"&lt;&gt;ChartLines.ID), COUNTIFS(ChartLines.ID,ChartLines.ID,   ChartLines.RowNum,"&lt;="&amp;ChartLines.RowNum), "·")</f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ref="H48" si="227" xml:space="preserve"> IF(LEN(ChartLines.Hex6)=6, HEX2DEC(LEFT(ChartLines.Hex6, 2)), "·")</f>
        <v>255</v>
      </c>
      <c r="I48">
        <f t="shared" ref="I48" si="228" xml:space="preserve"> IF(LEN(ChartLines.Hex6)=6, HEX2DEC(MID(ChartLines.Hex6, 3, 2)), "·")</f>
        <v>136</v>
      </c>
      <c r="J48">
        <f t="shared" ref="J48" si="229" xml:space="preserve"> IF(LEN(ChartLines.Hex6)=6, HEX2DEC(RIGHT(ChartLines.Hex6, 2)), "·")</f>
        <v>62</v>
      </c>
      <c r="K48" cm="1">
        <f t="array" ref="K48" xml:space="preserve"> 1 + ROW() - _xlfn.SINGLE(ROW(ChartLines.RowNum))</f>
        <v>46</v>
      </c>
    </row>
    <row r="49" spans="2:11" x14ac:dyDescent="0.2">
      <c r="B49" t="s">
        <v>676</v>
      </c>
      <c r="C49" t="s">
        <v>1872</v>
      </c>
      <c r="E49">
        <f t="shared" ref="E49" si="230" xml:space="preserve"> IF(AND(LEN(ChartLines.ID)&gt;0,"Unused"&lt;&gt;ChartLines.ID), COUNTIFS(ChartLines.ID,ChartLines.ID), "·")</f>
        <v>2</v>
      </c>
      <c r="F49">
        <f t="shared" ref="F49" si="231" xml:space="preserve"> IF(AND(LEN(ChartLines.ID)&gt;0,"Unused"&lt;&gt;ChartLines.ID), COUNTIFS(ChartLines.ID,ChartLines.ID,   ChartLines.RowNum,"&lt;="&amp;ChartLines.RowNum), "·")</f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ref="H49" si="232" xml:space="preserve"> IF(LEN(ChartLines.Hex6)=6, HEX2DEC(LEFT(ChartLines.Hex6, 2)), "·")</f>
        <v>22</v>
      </c>
      <c r="I49">
        <f t="shared" ref="I49" si="233" xml:space="preserve"> IF(LEN(ChartLines.Hex6)=6, HEX2DEC(MID(ChartLines.Hex6, 3, 2)), "·")</f>
        <v>155</v>
      </c>
      <c r="J49">
        <f t="shared" ref="J49" si="234" xml:space="preserve"> IF(LEN(ChartLines.Hex6)=6, HEX2DEC(RIGHT(ChartLines.Hex6, 2)), "·")</f>
        <v>98</v>
      </c>
      <c r="K49" cm="1">
        <f t="array" ref="K49" xml:space="preserve"> 1 + ROW() - _xlfn.SINGLE(ROW(ChartLines.RowNum))</f>
        <v>47</v>
      </c>
    </row>
    <row r="50" spans="2:11" x14ac:dyDescent="0.2">
      <c r="B50" t="s">
        <v>359</v>
      </c>
      <c r="C50" t="s">
        <v>1849</v>
      </c>
      <c r="E50">
        <f t="shared" ref="E50" si="235" xml:space="preserve"> IF(AND(LEN(ChartLines.ID)&gt;0,"Unused"&lt;&gt;ChartLines.ID), COUNTIFS(ChartLines.ID,ChartLines.ID), "·")</f>
        <v>2</v>
      </c>
      <c r="F50">
        <f t="shared" ref="F50" si="236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" si="237" xml:space="preserve"> IF(LEN(ChartLines.Hex6)=6, HEX2DEC(LEFT(ChartLines.Hex6, 2)), "·")</f>
        <v>239</v>
      </c>
      <c r="I50">
        <f t="shared" ref="I50" si="238" xml:space="preserve"> IF(LEN(ChartLines.Hex6)=6, HEX2DEC(MID(ChartLines.Hex6, 3, 2)), "·")</f>
        <v>51</v>
      </c>
      <c r="J50">
        <f t="shared" ref="J50" si="239" xml:space="preserve"> IF(LEN(ChartLines.Hex6)=6, HEX2DEC(RIGHT(ChartLines.Hex6, 2)), "·")</f>
        <v>64</v>
      </c>
      <c r="K50" cm="1">
        <f t="array" ref="K50" xml:space="preserve"> 1 + ROW() - _xlfn.SINGLE(ROW(ChartLines.RowNum))</f>
        <v>48</v>
      </c>
    </row>
    <row r="51" spans="2:11" x14ac:dyDescent="0.2">
      <c r="B51" t="s">
        <v>359</v>
      </c>
      <c r="C51" t="s">
        <v>1873</v>
      </c>
      <c r="E51">
        <f t="shared" ref="E51" si="240" xml:space="preserve"> IF(AND(LEN(ChartLines.ID)&gt;0,"Unused"&lt;&gt;ChartLines.ID), COUNTIFS(ChartLines.ID,ChartLines.ID), "·")</f>
        <v>2</v>
      </c>
      <c r="F51">
        <f t="shared" ref="F51" si="241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" si="242" xml:space="preserve"> IF(LEN(ChartLines.Hex6)=6, HEX2DEC(LEFT(ChartLines.Hex6, 2)), "·")</f>
        <v>3</v>
      </c>
      <c r="I51">
        <f t="shared" ref="I51" si="243" xml:space="preserve"> IF(LEN(ChartLines.Hex6)=6, HEX2DEC(MID(ChartLines.Hex6, 3, 2)), "·")</f>
        <v>77</v>
      </c>
      <c r="J51">
        <f t="shared" ref="J51" si="244" xml:space="preserve"> IF(LEN(ChartLines.Hex6)=6, HEX2DEC(RIGHT(ChartLines.Hex6, 2)), "·")</f>
        <v>163</v>
      </c>
      <c r="K51" cm="1">
        <f t="array" ref="K51" xml:space="preserve"> 1 + ROW() - _xlfn.SINGLE(ROW(ChartLines.RowNum))</f>
        <v>49</v>
      </c>
    </row>
    <row r="52" spans="2:11" x14ac:dyDescent="0.2">
      <c r="B52" t="s">
        <v>615</v>
      </c>
      <c r="C52" t="s">
        <v>1874</v>
      </c>
      <c r="E52">
        <f t="shared" ref="E52" si="245" xml:space="preserve"> IF(AND(LEN(ChartLines.ID)&gt;0,"Unused"&lt;&gt;ChartLines.ID), COUNTIFS(ChartLines.ID,ChartLines.ID), "·")</f>
        <v>2</v>
      </c>
      <c r="F52">
        <f t="shared" ref="F52" si="246" xml:space="preserve"> IF(AND(LEN(ChartLines.ID)&gt;0,"Unused"&lt;&gt;ChartLines.ID), COUNTIFS(ChartLines.ID,ChartLines.ID,   ChartLines.RowNum,"&lt;="&amp;ChartLines.RowNum), "·")</f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2">
        <f t="shared" ref="H52" si="247" xml:space="preserve"> IF(LEN(ChartLines.Hex6)=6, HEX2DEC(LEFT(ChartLines.Hex6, 2)), "·")</f>
        <v>0</v>
      </c>
      <c r="I52">
        <f t="shared" ref="I52" si="248" xml:space="preserve"> IF(LEN(ChartLines.Hex6)=6, HEX2DEC(MID(ChartLines.Hex6, 3, 2)), "·")</f>
        <v>92</v>
      </c>
      <c r="J52">
        <f t="shared" ref="J52" si="249" xml:space="preserve"> IF(LEN(ChartLines.Hex6)=6, HEX2DEC(RIGHT(ChartLines.Hex6, 2)), "·")</f>
        <v>230</v>
      </c>
      <c r="K52" cm="1">
        <f t="array" ref="K52" xml:space="preserve"> 1 + ROW() - _xlfn.SINGLE(ROW(ChartLines.RowNum))</f>
        <v>50</v>
      </c>
    </row>
    <row r="53" spans="2:11" x14ac:dyDescent="0.2">
      <c r="B53" t="s">
        <v>615</v>
      </c>
      <c r="C53" t="s">
        <v>1875</v>
      </c>
      <c r="E53">
        <f t="shared" ref="E53" si="250" xml:space="preserve"> IF(AND(LEN(ChartLines.ID)&gt;0,"Unused"&lt;&gt;ChartLines.ID), COUNTIFS(ChartLines.ID,ChartLines.ID), "·")</f>
        <v>2</v>
      </c>
      <c r="F53">
        <f t="shared" ref="F53" si="251" xml:space="preserve"> IF(AND(LEN(ChartLines.ID)&gt;0,"Unused"&lt;&gt;ChartLines.ID), COUNTIFS(ChartLines.ID,ChartLines.ID,   ChartLines.RowNum,"&lt;="&amp;ChartLines.RowNum), "·")</f>
        <v>2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3">
        <f t="shared" ref="H53" si="252" xml:space="preserve"> IF(LEN(ChartLines.Hex6)=6, HEX2DEC(LEFT(ChartLines.Hex6, 2)), "·")</f>
        <v>255</v>
      </c>
      <c r="I53">
        <f t="shared" ref="I53" si="253" xml:space="preserve"> IF(LEN(ChartLines.Hex6)=6, HEX2DEC(MID(ChartLines.Hex6, 3, 2)), "·")</f>
        <v>230</v>
      </c>
      <c r="J53">
        <f t="shared" ref="J53" si="254" xml:space="preserve"> IF(LEN(ChartLines.Hex6)=6, HEX2DEC(RIGHT(ChartLines.Hex6, 2)), "·")</f>
        <v>0</v>
      </c>
      <c r="K53" cm="1">
        <f t="array" ref="K53" xml:space="preserve"> 1 + ROW() - _xlfn.SINGLE(ROW(ChartLines.RowNum))</f>
        <v>51</v>
      </c>
    </row>
    <row r="54" spans="2:11" x14ac:dyDescent="0.2">
      <c r="B54" t="s">
        <v>104</v>
      </c>
      <c r="C54" t="s">
        <v>1849</v>
      </c>
      <c r="E54">
        <f t="shared" ref="E54" si="255" xml:space="preserve"> IF(AND(LEN(ChartLines.ID)&gt;0,"Unused"&lt;&gt;ChartLines.ID), COUNTIFS(ChartLines.ID,ChartLines.ID), "·")</f>
        <v>2</v>
      </c>
      <c r="F54">
        <f t="shared" ref="F54" si="256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4">
        <f t="shared" ref="H54" si="257" xml:space="preserve"> IF(LEN(ChartLines.Hex6)=6, HEX2DEC(LEFT(ChartLines.Hex6, 2)), "·")</f>
        <v>239</v>
      </c>
      <c r="I54">
        <f t="shared" ref="I54" si="258" xml:space="preserve"> IF(LEN(ChartLines.Hex6)=6, HEX2DEC(MID(ChartLines.Hex6, 3, 2)), "·")</f>
        <v>51</v>
      </c>
      <c r="J54">
        <f t="shared" ref="J54" si="259" xml:space="preserve"> IF(LEN(ChartLines.Hex6)=6, HEX2DEC(RIGHT(ChartLines.Hex6, 2)), "·")</f>
        <v>64</v>
      </c>
      <c r="K54" cm="1">
        <f t="array" ref="K54" xml:space="preserve"> 1 + ROW() - _xlfn.SINGLE(ROW(ChartLines.RowNum))</f>
        <v>52</v>
      </c>
    </row>
    <row r="55" spans="2:11" x14ac:dyDescent="0.2">
      <c r="B55" t="s">
        <v>104</v>
      </c>
      <c r="C55" t="s">
        <v>1876</v>
      </c>
      <c r="E55">
        <f t="shared" ref="E55" si="260" xml:space="preserve"> IF(AND(LEN(ChartLines.ID)&gt;0,"Unused"&lt;&gt;ChartLines.ID), COUNTIFS(ChartLines.ID,ChartLines.ID), "·")</f>
        <v>2</v>
      </c>
      <c r="F55">
        <f t="shared" ref="F55" si="261" xml:space="preserve"> IF(AND(LEN(ChartLines.ID)&gt;0,"Unused"&lt;&gt;ChartLines.ID), COUNTIFS(ChartLines.ID,ChartLines.ID,   ChartLines.RowNum,"&lt;="&amp;ChartLines.RowNum), "·")</f>
        <v>2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5">
        <f t="shared" ref="H55" si="262" xml:space="preserve"> IF(LEN(ChartLines.Hex6)=6, HEX2DEC(LEFT(ChartLines.Hex6, 2)), "·")</f>
        <v>0</v>
      </c>
      <c r="I55">
        <f t="shared" ref="I55" si="263" xml:space="preserve"> IF(LEN(ChartLines.Hex6)=6, HEX2DEC(MID(ChartLines.Hex6, 3, 2)), "·")</f>
        <v>163</v>
      </c>
      <c r="J55">
        <f t="shared" ref="J55" si="264" xml:space="preserve"> IF(LEN(ChartLines.Hex6)=6, HEX2DEC(RIGHT(ChartLines.Hex6, 2)), "·")</f>
        <v>224</v>
      </c>
      <c r="K55" cm="1">
        <f t="array" ref="K55" xml:space="preserve"> 1 + ROW() - _xlfn.SINGLE(ROW(ChartLines.RowNum))</f>
        <v>53</v>
      </c>
    </row>
    <row r="56" spans="2:11" x14ac:dyDescent="0.2">
      <c r="B56" t="s">
        <v>1676</v>
      </c>
      <c r="C56" t="s">
        <v>1850</v>
      </c>
      <c r="E56">
        <f t="shared" ref="E56" si="265" xml:space="preserve"> IF(AND(LEN(ChartLines.ID)&gt;0,"Unused"&lt;&gt;ChartLines.ID), COUNTIFS(ChartLines.ID,ChartLines.ID), "·")</f>
        <v>2</v>
      </c>
      <c r="F56">
        <f t="shared" ref="F56" si="266" xml:space="preserve"> IF(AND(LEN(ChartLines.ID)&gt;0,"Unused"&lt;&gt;ChartLines.ID), COUNTIFS(ChartLines.ID,ChartLines.ID,   ChartLines.RowNum,"&lt;="&amp;ChartLines.RowNum), "·")</f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6">
        <f t="shared" ref="H56" si="267" xml:space="preserve"> IF(LEN(ChartLines.Hex6)=6, HEX2DEC(LEFT(ChartLines.Hex6, 2)), "·")</f>
        <v>255</v>
      </c>
      <c r="I56">
        <f t="shared" ref="I56" si="268" xml:space="preserve"> IF(LEN(ChartLines.Hex6)=6, HEX2DEC(MID(ChartLines.Hex6, 3, 2)), "·")</f>
        <v>0</v>
      </c>
      <c r="J56">
        <f t="shared" ref="J56" si="269" xml:space="preserve"> IF(LEN(ChartLines.Hex6)=6, HEX2DEC(RIGHT(ChartLines.Hex6, 2)), "·")</f>
        <v>0</v>
      </c>
      <c r="K56" cm="1">
        <f t="array" ref="K56" xml:space="preserve"> 1 + ROW() - _xlfn.SINGLE(ROW(ChartLines.RowNum))</f>
        <v>54</v>
      </c>
    </row>
    <row r="57" spans="2:11" x14ac:dyDescent="0.2">
      <c r="B57" t="s">
        <v>1676</v>
      </c>
      <c r="C57" t="str">
        <f xml:space="preserve"> "000000"</f>
        <v>000000</v>
      </c>
      <c r="E57">
        <f t="shared" ref="E57" si="270" xml:space="preserve"> IF(AND(LEN(ChartLines.ID)&gt;0,"Unused"&lt;&gt;ChartLines.ID), COUNTIFS(ChartLines.ID,ChartLines.ID), "·")</f>
        <v>2</v>
      </c>
      <c r="F57">
        <f t="shared" ref="F57" si="271" xml:space="preserve"> IF(AND(LEN(ChartLines.ID)&gt;0,"Unused"&lt;&gt;ChartLines.ID), COUNTIFS(ChartLines.ID,ChartLines.ID,   ChartLines.RowNum,"&lt;="&amp;ChartLines.RowNum), "·")</f>
        <v>2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7">
        <f t="shared" ref="H57" si="272" xml:space="preserve"> IF(LEN(ChartLines.Hex6)=6, HEX2DEC(LEFT(ChartLines.Hex6, 2)), "·")</f>
        <v>0</v>
      </c>
      <c r="I57">
        <f t="shared" ref="I57" si="273" xml:space="preserve"> IF(LEN(ChartLines.Hex6)=6, HEX2DEC(MID(ChartLines.Hex6, 3, 2)), "·")</f>
        <v>0</v>
      </c>
      <c r="J57">
        <f t="shared" ref="J57" si="274" xml:space="preserve"> IF(LEN(ChartLines.Hex6)=6, HEX2DEC(RIGHT(ChartLines.Hex6, 2)), "·")</f>
        <v>0</v>
      </c>
      <c r="K57" cm="1">
        <f t="array" ref="K57" xml:space="preserve"> 1 + ROW() - _xlfn.SINGLE(ROW(ChartLines.RowNum))</f>
        <v>55</v>
      </c>
    </row>
    <row r="58" spans="2:11" x14ac:dyDescent="0.2">
      <c r="B58" t="s">
        <v>360</v>
      </c>
      <c r="C58" t="s">
        <v>1877</v>
      </c>
      <c r="E58">
        <f t="shared" ref="E58" si="275" xml:space="preserve"> IF(AND(LEN(ChartLines.ID)&gt;0,"Unused"&lt;&gt;ChartLines.ID), COUNTIFS(ChartLines.ID,ChartLines.ID), "·")</f>
        <v>2</v>
      </c>
      <c r="F58">
        <f t="shared" ref="F58" si="276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8">
        <f t="shared" ref="H58" si="277" xml:space="preserve"> IF(LEN(ChartLines.Hex6)=6, HEX2DEC(LEFT(ChartLines.Hex6, 2)), "·")</f>
        <v>0</v>
      </c>
      <c r="I58">
        <f t="shared" ref="I58" si="278" xml:space="preserve"> IF(LEN(ChartLines.Hex6)=6, HEX2DEC(MID(ChartLines.Hex6, 3, 2)), "·")</f>
        <v>106</v>
      </c>
      <c r="J58">
        <f t="shared" ref="J58" si="279" xml:space="preserve"> IF(LEN(ChartLines.Hex6)=6, HEX2DEC(RIGHT(ChartLines.Hex6, 2)), "·")</f>
        <v>68</v>
      </c>
      <c r="K58" cm="1">
        <f t="array" ref="K58" xml:space="preserve"> 1 + ROW() - _xlfn.SINGLE(ROW(ChartLines.RowNum))</f>
        <v>56</v>
      </c>
    </row>
    <row r="59" spans="2:11" x14ac:dyDescent="0.2">
      <c r="B59" t="s">
        <v>360</v>
      </c>
      <c r="C59" t="s">
        <v>1878</v>
      </c>
      <c r="E59">
        <f t="shared" ref="E59" si="280" xml:space="preserve"> IF(AND(LEN(ChartLines.ID)&gt;0,"Unused"&lt;&gt;ChartLines.ID), COUNTIFS(ChartLines.ID,ChartLines.ID), "·")</f>
        <v>2</v>
      </c>
      <c r="F59">
        <f t="shared" ref="F59" si="281" xml:space="preserve"> IF(AND(LEN(ChartLines.ID)&gt;0,"Unused"&lt;&gt;ChartLines.ID), COUNTIFS(ChartLines.ID,ChartLines.ID,   ChartLines.RowNum,"&lt;="&amp;ChartLines.RowNum), "·")</f>
        <v>2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9">
        <f t="shared" ref="H59" si="282" xml:space="preserve"> IF(LEN(ChartLines.Hex6)=6, HEX2DEC(LEFT(ChartLines.Hex6, 2)), "·")</f>
        <v>253</v>
      </c>
      <c r="I59">
        <f t="shared" ref="I59" si="283" xml:space="preserve"> IF(LEN(ChartLines.Hex6)=6, HEX2DEC(MID(ChartLines.Hex6, 3, 2)), "·")</f>
        <v>185</v>
      </c>
      <c r="J59">
        <f t="shared" ref="J59" si="284" xml:space="preserve"> IF(LEN(ChartLines.Hex6)=6, HEX2DEC(RIGHT(ChartLines.Hex6, 2)), "·")</f>
        <v>19</v>
      </c>
      <c r="K59" cm="1">
        <f t="array" ref="K59" xml:space="preserve"> 1 + ROW() - _xlfn.SINGLE(ROW(ChartLines.RowNum))</f>
        <v>57</v>
      </c>
    </row>
    <row r="60" spans="2:11" x14ac:dyDescent="0.2">
      <c r="B60" t="s">
        <v>677</v>
      </c>
      <c r="C60" t="s">
        <v>1879</v>
      </c>
      <c r="E60">
        <f t="shared" ref="E60" si="285" xml:space="preserve"> IF(AND(LEN(ChartLines.ID)&gt;0,"Unused"&lt;&gt;ChartLines.ID), COUNTIFS(ChartLines.ID,ChartLines.ID), "·")</f>
        <v>2</v>
      </c>
      <c r="F60">
        <f t="shared" ref="F60" si="286" xml:space="preserve"> IF(AND(LEN(ChartLines.ID)&gt;0,"Unused"&lt;&gt;ChartLines.ID), COUNTIFS(ChartLines.ID,ChartLines.ID,   ChartLines.RowNum,"&lt;="&amp;ChartLines.RowNum), "·")</f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ref="H60" si="287" xml:space="preserve"> IF(LEN(ChartLines.Hex6)=6, HEX2DEC(LEFT(ChartLines.Hex6, 2)), "·")</f>
        <v>157</v>
      </c>
      <c r="I60">
        <f t="shared" ref="I60" si="288" xml:space="preserve"> IF(LEN(ChartLines.Hex6)=6, HEX2DEC(MID(ChartLines.Hex6, 3, 2)), "·")</f>
        <v>34</v>
      </c>
      <c r="J60">
        <f t="shared" ref="J60" si="289" xml:space="preserve"> IF(LEN(ChartLines.Hex6)=6, HEX2DEC(RIGHT(ChartLines.Hex6, 2)), "·")</f>
        <v>53</v>
      </c>
      <c r="K60" cm="1">
        <f t="array" ref="K60" xml:space="preserve"> 1 + ROW() - _xlfn.SINGLE(ROW(ChartLines.RowNum))</f>
        <v>58</v>
      </c>
    </row>
    <row r="61" spans="2:11" x14ac:dyDescent="0.2">
      <c r="B61" t="s">
        <v>677</v>
      </c>
      <c r="C61" t="s">
        <v>1851</v>
      </c>
      <c r="E61">
        <f t="shared" ref="E61" si="290" xml:space="preserve"> IF(AND(LEN(ChartLines.ID)&gt;0,"Unused"&lt;&gt;ChartLines.ID), COUNTIFS(ChartLines.ID,ChartLines.ID), "·")</f>
        <v>2</v>
      </c>
      <c r="F61">
        <f t="shared" ref="F61" si="291" xml:space="preserve"> IF(AND(LEN(ChartLines.ID)&gt;0,"Unused"&lt;&gt;ChartLines.ID), COUNTIFS(ChartLines.ID,ChartLines.ID,   ChartLines.RowNum,"&lt;="&amp;ChartLines.RowNum), "·")</f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ref="H61" si="292" xml:space="preserve"> IF(LEN(ChartLines.Hex6)=6, HEX2DEC(LEFT(ChartLines.Hex6, 2)), "·")</f>
        <v>255</v>
      </c>
      <c r="I61">
        <f t="shared" ref="I61" si="293" xml:space="preserve"> IF(LEN(ChartLines.Hex6)=6, HEX2DEC(MID(ChartLines.Hex6, 3, 2)), "·")</f>
        <v>255</v>
      </c>
      <c r="J61">
        <f t="shared" ref="J61" si="294" xml:space="preserve"> IF(LEN(ChartLines.Hex6)=6, HEX2DEC(RIGHT(ChartLines.Hex6, 2)), "·")</f>
        <v>255</v>
      </c>
      <c r="K61" cm="1">
        <f t="array" ref="K61" xml:space="preserve"> 1 + ROW() - _xlfn.SINGLE(ROW(ChartLines.RowNum))</f>
        <v>59</v>
      </c>
    </row>
    <row r="62" spans="2:11" x14ac:dyDescent="0.2">
      <c r="B62" t="s">
        <v>105</v>
      </c>
      <c r="C62" t="s">
        <v>1880</v>
      </c>
      <c r="E62">
        <f t="shared" ref="E62" si="295" xml:space="preserve"> IF(AND(LEN(ChartLines.ID)&gt;0,"Unused"&lt;&gt;ChartLines.ID), COUNTIFS(ChartLines.ID,ChartLines.ID), "·")</f>
        <v>2</v>
      </c>
      <c r="F62">
        <f t="shared" ref="F62" si="296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2">
        <f t="shared" ref="H62" si="297" xml:space="preserve"> IF(LEN(ChartLines.Hex6)=6, HEX2DEC(LEFT(ChartLines.Hex6, 2)), "·")</f>
        <v>0</v>
      </c>
      <c r="I62">
        <f t="shared" ref="I62" si="298" xml:space="preserve"> IF(LEN(ChartLines.Hex6)=6, HEX2DEC(MID(ChartLines.Hex6, 3, 2)), "·")</f>
        <v>114</v>
      </c>
      <c r="J62">
        <f t="shared" ref="J62" si="299" xml:space="preserve"> IF(LEN(ChartLines.Hex6)=6, HEX2DEC(RIGHT(ChartLines.Hex6, 2)), "·")</f>
        <v>206</v>
      </c>
      <c r="K62" cm="1">
        <f t="array" ref="K62" xml:space="preserve"> 1 + ROW() - _xlfn.SINGLE(ROW(ChartLines.RowNum))</f>
        <v>60</v>
      </c>
    </row>
    <row r="63" spans="2:11" x14ac:dyDescent="0.2">
      <c r="B63" t="s">
        <v>105</v>
      </c>
      <c r="C63" t="str">
        <f xml:space="preserve"> "000000"</f>
        <v>000000</v>
      </c>
      <c r="E63">
        <f t="shared" ref="E63" si="300" xml:space="preserve"> IF(AND(LEN(ChartLines.ID)&gt;0,"Unused"&lt;&gt;ChartLines.ID), COUNTIFS(ChartLines.ID,ChartLines.ID), "·")</f>
        <v>2</v>
      </c>
      <c r="F63">
        <f t="shared" ref="F63" si="301" xml:space="preserve"> IF(AND(LEN(ChartLines.ID)&gt;0,"Unused"&lt;&gt;ChartLines.ID), COUNTIFS(ChartLines.ID,ChartLines.ID,   ChartLines.RowNum,"&lt;="&amp;ChartLines.RowNum), "·")</f>
        <v>2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3">
        <f t="shared" ref="H63" si="302" xml:space="preserve"> IF(LEN(ChartLines.Hex6)=6, HEX2DEC(LEFT(ChartLines.Hex6, 2)), "·")</f>
        <v>0</v>
      </c>
      <c r="I63">
        <f t="shared" ref="I63" si="303" xml:space="preserve"> IF(LEN(ChartLines.Hex6)=6, HEX2DEC(MID(ChartLines.Hex6, 3, 2)), "·")</f>
        <v>0</v>
      </c>
      <c r="J63">
        <f t="shared" ref="J63" si="304" xml:space="preserve"> IF(LEN(ChartLines.Hex6)=6, HEX2DEC(RIGHT(ChartLines.Hex6, 2)), "·")</f>
        <v>0</v>
      </c>
      <c r="K63" cm="1">
        <f t="array" ref="K63" xml:space="preserve"> 1 + ROW() - _xlfn.SINGLE(ROW(ChartLines.RowNum))</f>
        <v>61</v>
      </c>
    </row>
    <row r="64" spans="2:11" x14ac:dyDescent="0.2">
      <c r="B64" t="s">
        <v>695</v>
      </c>
      <c r="C64" t="s">
        <v>1881</v>
      </c>
      <c r="E64">
        <f t="shared" ref="E64" si="305" xml:space="preserve"> IF(AND(LEN(ChartLines.ID)&gt;0,"Unused"&lt;&gt;ChartLines.ID), COUNTIFS(ChartLines.ID,ChartLines.ID), "·")</f>
        <v>2</v>
      </c>
      <c r="F64">
        <f t="shared" ref="F64" si="306" xml:space="preserve"> IF(AND(LEN(ChartLines.ID)&gt;0,"Unused"&lt;&gt;ChartLines.ID), COUNTIFS(ChartLines.ID,ChartLines.ID,   ChartLines.RowNum,"&lt;="&amp;ChartLines.RowNum), "·")</f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4">
        <f t="shared" ref="H64" si="307" xml:space="preserve"> IF(LEN(ChartLines.Hex6)=6, HEX2DEC(LEFT(ChartLines.Hex6, 2)), "·")</f>
        <v>213</v>
      </c>
      <c r="I64">
        <f t="shared" ref="I64" si="308" xml:space="preserve"> IF(LEN(ChartLines.Hex6)=6, HEX2DEC(MID(ChartLines.Hex6, 3, 2)), "·")</f>
        <v>120</v>
      </c>
      <c r="J64">
        <f t="shared" ref="J64" si="309" xml:space="preserve"> IF(LEN(ChartLines.Hex6)=6, HEX2DEC(RIGHT(ChartLines.Hex6, 2)), "·")</f>
        <v>0</v>
      </c>
      <c r="K64" cm="1">
        <f t="array" ref="K64" xml:space="preserve"> 1 + ROW() - _xlfn.SINGLE(ROW(ChartLines.RowNum))</f>
        <v>62</v>
      </c>
    </row>
    <row r="65" spans="2:11" x14ac:dyDescent="0.2">
      <c r="B65" t="s">
        <v>695</v>
      </c>
      <c r="C65" t="s">
        <v>1882</v>
      </c>
      <c r="E65">
        <f t="shared" ref="E65" si="310" xml:space="preserve"> IF(AND(LEN(ChartLines.ID)&gt;0,"Unused"&lt;&gt;ChartLines.ID), COUNTIFS(ChartLines.ID,ChartLines.ID), "·")</f>
        <v>2</v>
      </c>
      <c r="F65">
        <f t="shared" ref="F65" si="311" xml:space="preserve"> IF(AND(LEN(ChartLines.ID)&gt;0,"Unused"&lt;&gt;ChartLines.ID), COUNTIFS(ChartLines.ID,ChartLines.ID,   ChartLines.RowNum,"&lt;="&amp;ChartLines.RowNum), "·")</f>
        <v>2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5">
        <f t="shared" ref="H65" si="312" xml:space="preserve"> IF(LEN(ChartLines.Hex6)=6, HEX2DEC(LEFT(ChartLines.Hex6, 2)), "·")</f>
        <v>78</v>
      </c>
      <c r="I65">
        <f t="shared" ref="I65" si="313" xml:space="preserve"> IF(LEN(ChartLines.Hex6)=6, HEX2DEC(MID(ChartLines.Hex6, 3, 2)), "·")</f>
        <v>91</v>
      </c>
      <c r="J65">
        <f t="shared" ref="J65" si="314" xml:space="preserve"> IF(LEN(ChartLines.Hex6)=6, HEX2DEC(RIGHT(ChartLines.Hex6, 2)), "·")</f>
        <v>49</v>
      </c>
      <c r="K65" cm="1">
        <f t="array" ref="K65" xml:space="preserve"> 1 + ROW() - _xlfn.SINGLE(ROW(ChartLines.RowNum))</f>
        <v>63</v>
      </c>
    </row>
    <row r="66" spans="2:11" x14ac:dyDescent="0.2">
      <c r="B66" t="s">
        <v>715</v>
      </c>
      <c r="C66" t="s">
        <v>1883</v>
      </c>
      <c r="E66">
        <f t="shared" ref="E66" si="315" xml:space="preserve"> IF(AND(LEN(ChartLines.ID)&gt;0,"Unused"&lt;&gt;ChartLines.ID), COUNTIFS(ChartLines.ID,ChartLines.ID), "·")</f>
        <v>2</v>
      </c>
      <c r="F66">
        <f t="shared" ref="F66" si="316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6">
        <f t="shared" ref="H66" si="317" xml:space="preserve"> IF(LEN(ChartLines.Hex6)=6, HEX2DEC(LEFT(ChartLines.Hex6, 2)), "·")</f>
        <v>207</v>
      </c>
      <c r="I66">
        <f t="shared" ref="I66" si="318" xml:space="preserve"> IF(LEN(ChartLines.Hex6)=6, HEX2DEC(MID(ChartLines.Hex6, 3, 2)), "·")</f>
        <v>20</v>
      </c>
      <c r="J66">
        <f t="shared" ref="J66" si="319" xml:space="preserve"> IF(LEN(ChartLines.Hex6)=6, HEX2DEC(RIGHT(ChartLines.Hex6, 2)), "·")</f>
        <v>43</v>
      </c>
      <c r="K66" cm="1">
        <f t="array" ref="K66" xml:space="preserve"> 1 + ROW() - _xlfn.SINGLE(ROW(ChartLines.RowNum))</f>
        <v>64</v>
      </c>
    </row>
    <row r="67" spans="2:11" x14ac:dyDescent="0.2">
      <c r="B67" t="s">
        <v>715</v>
      </c>
      <c r="C67" t="s">
        <v>2176</v>
      </c>
      <c r="E67">
        <f t="shared" ref="E67" si="320" xml:space="preserve"> IF(AND(LEN(ChartLines.ID)&gt;0,"Unused"&lt;&gt;ChartLines.ID), COUNTIFS(ChartLines.ID,ChartLines.ID), "·")</f>
        <v>2</v>
      </c>
      <c r="F67">
        <f t="shared" ref="F67" si="321" xml:space="preserve"> IF(AND(LEN(ChartLines.ID)&gt;0,"Unused"&lt;&gt;ChartLines.ID), COUNTIFS(ChartLines.ID,ChartLines.ID,   ChartLines.RowNum,"&lt;="&amp;ChartLines.RowNum), "·")</f>
        <v>2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7">
        <f t="shared" ref="H67" si="322" xml:space="preserve"> IF(LEN(ChartLines.Hex6)=6, HEX2DEC(LEFT(ChartLines.Hex6, 2)), "·")</f>
        <v>192</v>
      </c>
      <c r="I67">
        <f t="shared" ref="I67" si="323" xml:space="preserve"> IF(LEN(ChartLines.Hex6)=6, HEX2DEC(MID(ChartLines.Hex6, 3, 2)), "·")</f>
        <v>192</v>
      </c>
      <c r="J67">
        <f t="shared" ref="J67" si="324" xml:space="preserve"> IF(LEN(ChartLines.Hex6)=6, HEX2DEC(RIGHT(ChartLines.Hex6, 2)), "·")</f>
        <v>192</v>
      </c>
      <c r="K67" cm="1">
        <f t="array" ref="K67" xml:space="preserve"> 1 + ROW() - _xlfn.SINGLE(ROW(ChartLines.RowNum))</f>
        <v>65</v>
      </c>
    </row>
    <row r="68" spans="2:11" x14ac:dyDescent="0.2">
      <c r="B68" t="s">
        <v>716</v>
      </c>
      <c r="C68" t="s">
        <v>1884</v>
      </c>
      <c r="E68">
        <f t="shared" ref="E68" si="325" xml:space="preserve"> IF(AND(LEN(ChartLines.ID)&gt;0,"Unused"&lt;&gt;ChartLines.ID), COUNTIFS(ChartLines.ID,ChartLines.ID), "·")</f>
        <v>2</v>
      </c>
      <c r="F68">
        <f t="shared" ref="F68" si="326" xml:space="preserve"> IF(AND(LEN(ChartLines.ID)&gt;0,"Unused"&lt;&gt;ChartLines.ID), COUNTIFS(ChartLines.ID,ChartLines.ID,   ChartLines.RowNum,"&lt;="&amp;ChartLines.RowNum), "·")</f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ref="H68" si="327" xml:space="preserve"> IF(LEN(ChartLines.Hex6)=6, HEX2DEC(LEFT(ChartLines.Hex6, 2)), "·")</f>
        <v>33</v>
      </c>
      <c r="I68">
        <f t="shared" ref="I68" si="328" xml:space="preserve"> IF(LEN(ChartLines.Hex6)=6, HEX2DEC(MID(ChartLines.Hex6, 3, 2)), "·")</f>
        <v>95</v>
      </c>
      <c r="J68">
        <f t="shared" ref="J68" si="329" xml:space="preserve"> IF(LEN(ChartLines.Hex6)=6, HEX2DEC(RIGHT(ChartLines.Hex6, 2)), "·")</f>
        <v>143</v>
      </c>
      <c r="K68" cm="1">
        <f t="array" ref="K68" xml:space="preserve"> 1 + ROW() - _xlfn.SINGLE(ROW(ChartLines.RowNum))</f>
        <v>66</v>
      </c>
    </row>
    <row r="69" spans="2:11" x14ac:dyDescent="0.2">
      <c r="B69" t="s">
        <v>716</v>
      </c>
      <c r="C69" t="s">
        <v>1885</v>
      </c>
      <c r="E69">
        <f t="shared" ref="E69" si="330" xml:space="preserve"> IF(AND(LEN(ChartLines.ID)&gt;0,"Unused"&lt;&gt;ChartLines.ID), COUNTIFS(ChartLines.ID,ChartLines.ID), "·")</f>
        <v>2</v>
      </c>
      <c r="F69">
        <f t="shared" ref="F69" si="331" xml:space="preserve"> IF(AND(LEN(ChartLines.ID)&gt;0,"Unused"&lt;&gt;ChartLines.ID), COUNTIFS(ChartLines.ID,ChartLines.ID,   ChartLines.RowNum,"&lt;="&amp;ChartLines.RowNum), "·")</f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ref="H69" si="332" xml:space="preserve"> IF(LEN(ChartLines.Hex6)=6, HEX2DEC(LEFT(ChartLines.Hex6, 2)), "·")</f>
        <v>211</v>
      </c>
      <c r="I69">
        <f t="shared" ref="I69" si="333" xml:space="preserve"> IF(LEN(ChartLines.Hex6)=6, HEX2DEC(MID(ChartLines.Hex6, 3, 2)), "·")</f>
        <v>174</v>
      </c>
      <c r="J69">
        <f t="shared" ref="J69" si="334" xml:space="preserve"> IF(LEN(ChartLines.Hex6)=6, HEX2DEC(RIGHT(ChartLines.Hex6, 2)), "·")</f>
        <v>69</v>
      </c>
      <c r="K69" cm="1">
        <f t="array" ref="K69" xml:space="preserve"> 1 + ROW() - _xlfn.SINGLE(ROW(ChartLines.RowNum))</f>
        <v>67</v>
      </c>
    </row>
    <row r="70" spans="2:11" x14ac:dyDescent="0.2">
      <c r="B70" t="s">
        <v>1716</v>
      </c>
      <c r="C70" t="str">
        <f xml:space="preserve"> "000000"</f>
        <v>000000</v>
      </c>
      <c r="E70">
        <f t="shared" ref="E70" si="335" xml:space="preserve"> IF(AND(LEN(ChartLines.ID)&gt;0,"Unused"&lt;&gt;ChartLines.ID), COUNTIFS(ChartLines.ID,ChartLines.ID), "·")</f>
        <v>2</v>
      </c>
      <c r="F70">
        <f t="shared" ref="F70" si="336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0">
        <f t="shared" ref="H70" si="337" xml:space="preserve"> IF(LEN(ChartLines.Hex6)=6, HEX2DEC(LEFT(ChartLines.Hex6, 2)), "·")</f>
        <v>0</v>
      </c>
      <c r="I70">
        <f t="shared" ref="I70" si="338" xml:space="preserve"> IF(LEN(ChartLines.Hex6)=6, HEX2DEC(MID(ChartLines.Hex6, 3, 2)), "·")</f>
        <v>0</v>
      </c>
      <c r="J70">
        <f t="shared" ref="J70" si="339" xml:space="preserve"> IF(LEN(ChartLines.Hex6)=6, HEX2DEC(RIGHT(ChartLines.Hex6, 2)), "·")</f>
        <v>0</v>
      </c>
      <c r="K70" cm="1">
        <f t="array" ref="K70" xml:space="preserve"> 1 + ROW() - _xlfn.SINGLE(ROW(ChartLines.RowNum))</f>
        <v>68</v>
      </c>
    </row>
    <row r="71" spans="2:11" x14ac:dyDescent="0.2">
      <c r="B71" t="s">
        <v>1716</v>
      </c>
      <c r="C71" t="s">
        <v>1886</v>
      </c>
      <c r="E71">
        <f t="shared" ref="E71:E99" si="340" xml:space="preserve"> IF(AND(LEN(ChartLines.ID)&gt;0,"Unused"&lt;&gt;ChartLines.ID), COUNTIFS(ChartLines.ID,ChartLines.ID), "·")</f>
        <v>2</v>
      </c>
      <c r="F71">
        <f t="shared" ref="F71:F99" si="341" xml:space="preserve"> IF(AND(LEN(ChartLines.ID)&gt;0,"Unused"&lt;&gt;ChartLines.ID), COUNTIFS(ChartLines.ID,ChartLines.ID,   ChartLines.RowNum,"&lt;="&amp;ChartLines.RowNum), "·")</f>
        <v>2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1">
        <f t="shared" ref="H71:H99" si="342" xml:space="preserve"> IF(LEN(ChartLines.Hex6)=6, HEX2DEC(LEFT(ChartLines.Hex6, 2)), "·")</f>
        <v>208</v>
      </c>
      <c r="I71">
        <f t="shared" ref="I71:I99" si="343" xml:space="preserve"> IF(LEN(ChartLines.Hex6)=6, HEX2DEC(MID(ChartLines.Hex6, 3, 2)), "·")</f>
        <v>166</v>
      </c>
      <c r="J71">
        <f t="shared" ref="J71:J99" si="344" xml:space="preserve"> IF(LEN(ChartLines.Hex6)=6, HEX2DEC(RIGHT(ChartLines.Hex6, 2)), "·")</f>
        <v>80</v>
      </c>
      <c r="K71" cm="1">
        <f t="array" ref="K71" xml:space="preserve"> 1 + ROW() - _xlfn.SINGLE(ROW(ChartLines.RowNum))</f>
        <v>69</v>
      </c>
    </row>
    <row r="72" spans="2:11" x14ac:dyDescent="0.2">
      <c r="B72" t="s">
        <v>799</v>
      </c>
      <c r="C72" t="s">
        <v>1887</v>
      </c>
      <c r="E72">
        <f t="shared" si="340"/>
        <v>2</v>
      </c>
      <c r="F72">
        <f t="shared" si="341"/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2">
        <f t="shared" si="342"/>
        <v>255</v>
      </c>
      <c r="I72">
        <f t="shared" si="343"/>
        <v>213</v>
      </c>
      <c r="J72">
        <f t="shared" si="344"/>
        <v>0</v>
      </c>
      <c r="K72" cm="1">
        <f t="array" ref="K72" xml:space="preserve"> 1 + ROW() - _xlfn.SINGLE(ROW(ChartLines.RowNum))</f>
        <v>70</v>
      </c>
    </row>
    <row r="73" spans="2:11" x14ac:dyDescent="0.2">
      <c r="B73" t="s">
        <v>799</v>
      </c>
      <c r="C73" t="str">
        <f xml:space="preserve"> "004494"</f>
        <v>004494</v>
      </c>
      <c r="E73">
        <f t="shared" si="340"/>
        <v>2</v>
      </c>
      <c r="F73">
        <f t="shared" si="341"/>
        <v>2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3">
        <f t="shared" si="342"/>
        <v>0</v>
      </c>
      <c r="I73">
        <f t="shared" si="343"/>
        <v>68</v>
      </c>
      <c r="J73">
        <f t="shared" si="344"/>
        <v>148</v>
      </c>
      <c r="K73" cm="1">
        <f t="array" ref="K73" xml:space="preserve"> 1 + ROW() - _xlfn.SINGLE(ROW(ChartLines.RowNum))</f>
        <v>71</v>
      </c>
    </row>
    <row r="74" spans="2:11" x14ac:dyDescent="0.2">
      <c r="B74" t="s">
        <v>2147</v>
      </c>
      <c r="C74" t="s">
        <v>1876</v>
      </c>
      <c r="E74">
        <f t="shared" si="340"/>
        <v>2</v>
      </c>
      <c r="F74">
        <f t="shared" si="341"/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si="342"/>
        <v>0</v>
      </c>
      <c r="I74">
        <f t="shared" si="343"/>
        <v>163</v>
      </c>
      <c r="J74">
        <f t="shared" si="344"/>
        <v>224</v>
      </c>
      <c r="K74" cm="1">
        <f t="array" ref="K74" xml:space="preserve"> 1 + ROW() - _xlfn.SINGLE(ROW(ChartLines.RowNum))</f>
        <v>72</v>
      </c>
    </row>
    <row r="75" spans="2:11" x14ac:dyDescent="0.2">
      <c r="B75" t="s">
        <v>2147</v>
      </c>
      <c r="C75" t="s">
        <v>1849</v>
      </c>
      <c r="E75">
        <f t="shared" si="340"/>
        <v>2</v>
      </c>
      <c r="F75">
        <f t="shared" si="341"/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si="342"/>
        <v>239</v>
      </c>
      <c r="I75">
        <f t="shared" si="343"/>
        <v>51</v>
      </c>
      <c r="J75">
        <f t="shared" si="344"/>
        <v>64</v>
      </c>
      <c r="K75" cm="1">
        <f t="array" ref="K75" xml:space="preserve"> 1 + ROW() - _xlfn.SINGLE(ROW(ChartLines.RowNum))</f>
        <v>73</v>
      </c>
    </row>
    <row r="76" spans="2:11" x14ac:dyDescent="0.2">
      <c r="E76" t="str">
        <f t="shared" si="340"/>
        <v>·</v>
      </c>
      <c r="F76" t="str">
        <f t="shared" si="341"/>
        <v>·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6" t="str">
        <f t="shared" si="342"/>
        <v>·</v>
      </c>
      <c r="I76" t="str">
        <f t="shared" si="343"/>
        <v>·</v>
      </c>
      <c r="J76" t="str">
        <f t="shared" si="344"/>
        <v>·</v>
      </c>
      <c r="K76" cm="1">
        <f t="array" ref="K76" xml:space="preserve"> 1 + ROW() - _xlfn.SINGLE(ROW(ChartLines.RowNum))</f>
        <v>74</v>
      </c>
    </row>
    <row r="77" spans="2:11" x14ac:dyDescent="0.2">
      <c r="B77" t="s">
        <v>132</v>
      </c>
      <c r="C77" t="s">
        <v>1869</v>
      </c>
      <c r="E77">
        <f t="shared" si="340"/>
        <v>2</v>
      </c>
      <c r="F77">
        <f t="shared" si="341"/>
        <v>1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7">
        <f t="shared" si="342"/>
        <v>218</v>
      </c>
      <c r="I77">
        <f t="shared" si="343"/>
        <v>41</v>
      </c>
      <c r="J77">
        <f t="shared" si="344"/>
        <v>28</v>
      </c>
      <c r="K77" cm="1">
        <f t="array" ref="K77" xml:space="preserve"> 1 + ROW() - _xlfn.SINGLE(ROW(ChartLines.RowNum))</f>
        <v>75</v>
      </c>
    </row>
    <row r="78" spans="2:11" x14ac:dyDescent="0.2">
      <c r="B78" t="s">
        <v>132</v>
      </c>
      <c r="C78" t="s">
        <v>1851</v>
      </c>
      <c r="E78">
        <f t="shared" si="340"/>
        <v>2</v>
      </c>
      <c r="F78">
        <f t="shared" si="341"/>
        <v>2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8">
        <f t="shared" si="342"/>
        <v>255</v>
      </c>
      <c r="I78">
        <f t="shared" si="343"/>
        <v>255</v>
      </c>
      <c r="J78">
        <f t="shared" si="344"/>
        <v>255</v>
      </c>
      <c r="K78" cm="1">
        <f t="array" ref="K78" xml:space="preserve"> 1 + ROW() - _xlfn.SINGLE(ROW(ChartLines.RowNum))</f>
        <v>76</v>
      </c>
    </row>
    <row r="79" spans="2:11" x14ac:dyDescent="0.2">
      <c r="B79" t="s">
        <v>1544</v>
      </c>
      <c r="C79" t="s">
        <v>1888</v>
      </c>
      <c r="E79">
        <f t="shared" si="340"/>
        <v>2</v>
      </c>
      <c r="F79">
        <f t="shared" si="341"/>
        <v>1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9">
        <f t="shared" si="342"/>
        <v>2</v>
      </c>
      <c r="I79">
        <f t="shared" si="343"/>
        <v>82</v>
      </c>
      <c r="J79">
        <f t="shared" si="344"/>
        <v>156</v>
      </c>
      <c r="K79" cm="1">
        <f t="array" ref="K79" xml:space="preserve"> 1 + ROW() - _xlfn.SINGLE(ROW(ChartLines.RowNum))</f>
        <v>77</v>
      </c>
    </row>
    <row r="80" spans="2:11" x14ac:dyDescent="0.2">
      <c r="B80" t="s">
        <v>1544</v>
      </c>
      <c r="C80" t="s">
        <v>1889</v>
      </c>
      <c r="E80">
        <f t="shared" si="340"/>
        <v>2</v>
      </c>
      <c r="F80">
        <f t="shared" si="341"/>
        <v>2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0">
        <f t="shared" si="342"/>
        <v>220</v>
      </c>
      <c r="I80">
        <f t="shared" si="343"/>
        <v>30</v>
      </c>
      <c r="J80">
        <f t="shared" si="344"/>
        <v>53</v>
      </c>
      <c r="K80" cm="1">
        <f t="array" ref="K80" xml:space="preserve"> 1 + ROW() - _xlfn.SINGLE(ROW(ChartLines.RowNum))</f>
        <v>78</v>
      </c>
    </row>
    <row r="81" spans="2:11" x14ac:dyDescent="0.2">
      <c r="B81" t="s">
        <v>327</v>
      </c>
      <c r="C81" t="s">
        <v>1996</v>
      </c>
      <c r="E81">
        <f t="shared" si="340"/>
        <v>1</v>
      </c>
      <c r="F81">
        <f t="shared" si="341"/>
        <v>1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81">
        <f t="shared" si="342"/>
        <v>210</v>
      </c>
      <c r="I81">
        <f t="shared" si="343"/>
        <v>38</v>
      </c>
      <c r="J81">
        <f t="shared" si="344"/>
        <v>48</v>
      </c>
      <c r="K81" cm="1">
        <f t="array" ref="K81" xml:space="preserve"> 1 + ROW() - _xlfn.SINGLE(ROW(ChartLines.RowNum))</f>
        <v>79</v>
      </c>
    </row>
    <row r="82" spans="2:11" x14ac:dyDescent="0.2">
      <c r="B82" t="s">
        <v>1847</v>
      </c>
      <c r="E82" t="str">
        <f t="shared" si="340"/>
        <v>·</v>
      </c>
      <c r="F82" t="str">
        <f t="shared" si="341"/>
        <v>·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2" t="str">
        <f t="shared" si="342"/>
        <v>·</v>
      </c>
      <c r="I82" t="str">
        <f t="shared" si="343"/>
        <v>·</v>
      </c>
      <c r="J82" t="str">
        <f t="shared" si="344"/>
        <v>·</v>
      </c>
      <c r="K82" cm="1">
        <f t="array" ref="K82" xml:space="preserve"> 1 + ROW() - _xlfn.SINGLE(ROW(ChartLines.RowNum))</f>
        <v>80</v>
      </c>
    </row>
    <row r="83" spans="2:11" x14ac:dyDescent="0.2">
      <c r="B83" t="s">
        <v>373</v>
      </c>
      <c r="C83" t="s">
        <v>1890</v>
      </c>
      <c r="E83">
        <f t="shared" si="340"/>
        <v>2</v>
      </c>
      <c r="F83">
        <f t="shared" si="341"/>
        <v>1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3">
        <f t="shared" si="342"/>
        <v>17</v>
      </c>
      <c r="I83">
        <f t="shared" si="343"/>
        <v>69</v>
      </c>
      <c r="J83">
        <f t="shared" si="344"/>
        <v>126</v>
      </c>
      <c r="K83" cm="1">
        <f t="array" ref="K83" xml:space="preserve"> 1 + ROW() - _xlfn.SINGLE(ROW(ChartLines.RowNum))</f>
        <v>81</v>
      </c>
    </row>
    <row r="84" spans="2:11" x14ac:dyDescent="0.2">
      <c r="B84" t="s">
        <v>373</v>
      </c>
      <c r="C84" t="s">
        <v>1891</v>
      </c>
      <c r="E84">
        <f t="shared" si="340"/>
        <v>2</v>
      </c>
      <c r="F84">
        <f t="shared" si="341"/>
        <v>2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4">
        <f t="shared" si="342"/>
        <v>215</v>
      </c>
      <c r="I84">
        <f t="shared" si="343"/>
        <v>20</v>
      </c>
      <c r="J84">
        <f t="shared" si="344"/>
        <v>26</v>
      </c>
      <c r="K84" cm="1">
        <f t="array" ref="K84" xml:space="preserve"> 1 + ROW() - _xlfn.SINGLE(ROW(ChartLines.RowNum))</f>
        <v>82</v>
      </c>
    </row>
    <row r="85" spans="2:11" x14ac:dyDescent="0.2">
      <c r="B85" t="s">
        <v>358</v>
      </c>
      <c r="C85" t="s">
        <v>1854</v>
      </c>
      <c r="E85">
        <f t="shared" si="340"/>
        <v>2</v>
      </c>
      <c r="F85">
        <f t="shared" si="341"/>
        <v>1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5">
        <f t="shared" si="342"/>
        <v>0</v>
      </c>
      <c r="I85">
        <f t="shared" si="343"/>
        <v>132</v>
      </c>
      <c r="J85">
        <f t="shared" si="344"/>
        <v>61</v>
      </c>
      <c r="K85" cm="1">
        <f t="array" ref="K85" xml:space="preserve"> 1 + ROW() - _xlfn.SINGLE(ROW(ChartLines.RowNum))</f>
        <v>83</v>
      </c>
    </row>
    <row r="86" spans="2:11" x14ac:dyDescent="0.2">
      <c r="B86" t="s">
        <v>358</v>
      </c>
      <c r="C86" t="s">
        <v>1892</v>
      </c>
      <c r="E86">
        <f t="shared" si="340"/>
        <v>2</v>
      </c>
      <c r="F86">
        <f t="shared" si="341"/>
        <v>2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6">
        <f t="shared" si="342"/>
        <v>206</v>
      </c>
      <c r="I86">
        <f t="shared" si="343"/>
        <v>41</v>
      </c>
      <c r="J86">
        <f t="shared" si="344"/>
        <v>57</v>
      </c>
      <c r="K86" cm="1">
        <f t="array" ref="K86" xml:space="preserve"> 1 + ROW() - _xlfn.SINGLE(ROW(ChartLines.RowNum))</f>
        <v>84</v>
      </c>
    </row>
    <row r="87" spans="2:11" x14ac:dyDescent="0.2">
      <c r="B87" t="s">
        <v>377</v>
      </c>
      <c r="C87" t="s">
        <v>1893</v>
      </c>
      <c r="E87">
        <f t="shared" si="340"/>
        <v>2</v>
      </c>
      <c r="F87">
        <f t="shared" si="341"/>
        <v>1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7">
        <f t="shared" si="342"/>
        <v>0</v>
      </c>
      <c r="I87">
        <f t="shared" si="343"/>
        <v>43</v>
      </c>
      <c r="J87">
        <f t="shared" si="344"/>
        <v>127</v>
      </c>
      <c r="K87" cm="1">
        <f t="array" ref="K87" xml:space="preserve"> 1 + ROW() - _xlfn.SINGLE(ROW(ChartLines.RowNum))</f>
        <v>85</v>
      </c>
    </row>
    <row r="88" spans="2:11" x14ac:dyDescent="0.2">
      <c r="B88" t="s">
        <v>377</v>
      </c>
      <c r="C88" t="s">
        <v>1894</v>
      </c>
      <c r="E88">
        <f t="shared" si="340"/>
        <v>2</v>
      </c>
      <c r="F88">
        <f t="shared" si="341"/>
        <v>2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8">
        <f t="shared" si="342"/>
        <v>252</v>
      </c>
      <c r="I88">
        <f t="shared" si="343"/>
        <v>209</v>
      </c>
      <c r="J88">
        <f t="shared" si="344"/>
        <v>22</v>
      </c>
      <c r="K88" cm="1">
        <f t="array" ref="K88" xml:space="preserve"> 1 + ROW() - _xlfn.SINGLE(ROW(ChartLines.RowNum))</f>
        <v>86</v>
      </c>
    </row>
    <row r="89" spans="2:11" x14ac:dyDescent="0.2">
      <c r="B89" t="s">
        <v>394</v>
      </c>
      <c r="C89" t="s">
        <v>1895</v>
      </c>
      <c r="E89">
        <f t="shared" si="340"/>
        <v>2</v>
      </c>
      <c r="F89">
        <f t="shared" si="341"/>
        <v>1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9">
        <f t="shared" si="342"/>
        <v>0</v>
      </c>
      <c r="I89">
        <f t="shared" si="343"/>
        <v>175</v>
      </c>
      <c r="J89">
        <f t="shared" si="344"/>
        <v>102</v>
      </c>
      <c r="K89" cm="1">
        <f t="array" ref="K89" xml:space="preserve"> 1 + ROW() - _xlfn.SINGLE(ROW(ChartLines.RowNum))</f>
        <v>87</v>
      </c>
    </row>
    <row r="90" spans="2:11" x14ac:dyDescent="0.2">
      <c r="B90" t="s">
        <v>394</v>
      </c>
      <c r="C90" t="s">
        <v>1851</v>
      </c>
      <c r="E90">
        <f t="shared" si="340"/>
        <v>2</v>
      </c>
      <c r="F90">
        <f t="shared" si="341"/>
        <v>2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0">
        <f t="shared" si="342"/>
        <v>255</v>
      </c>
      <c r="I90">
        <f t="shared" si="343"/>
        <v>255</v>
      </c>
      <c r="J90">
        <f t="shared" si="344"/>
        <v>255</v>
      </c>
      <c r="K90" cm="1">
        <f t="array" ref="K90" xml:space="preserve"> 1 + ROW() - _xlfn.SINGLE(ROW(ChartLines.RowNum))</f>
        <v>88</v>
      </c>
    </row>
    <row r="91" spans="2:11" x14ac:dyDescent="0.2">
      <c r="E91" t="str">
        <f t="shared" si="340"/>
        <v>·</v>
      </c>
      <c r="F91" t="str">
        <f t="shared" si="341"/>
        <v>·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1" t="str">
        <f t="shared" si="342"/>
        <v>·</v>
      </c>
      <c r="I91" t="str">
        <f t="shared" si="343"/>
        <v>·</v>
      </c>
      <c r="J91" t="str">
        <f t="shared" si="344"/>
        <v>·</v>
      </c>
      <c r="K91" cm="1">
        <f t="array" ref="K91" xml:space="preserve"> 1 + ROW() - _xlfn.SINGLE(ROW(ChartLines.RowNum))</f>
        <v>89</v>
      </c>
    </row>
    <row r="92" spans="2:11" x14ac:dyDescent="0.2">
      <c r="B92" t="s">
        <v>133</v>
      </c>
      <c r="C92" t="s">
        <v>1896</v>
      </c>
      <c r="E92">
        <f t="shared" si="340"/>
        <v>2</v>
      </c>
      <c r="F92">
        <f t="shared" si="341"/>
        <v>1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2">
        <f t="shared" si="342"/>
        <v>222</v>
      </c>
      <c r="I92">
        <f t="shared" si="343"/>
        <v>41</v>
      </c>
      <c r="J92">
        <f t="shared" si="344"/>
        <v>16</v>
      </c>
      <c r="K92" cm="1">
        <f t="array" ref="K92" xml:space="preserve"> 1 + ROW() - _xlfn.SINGLE(ROW(ChartLines.RowNum))</f>
        <v>90</v>
      </c>
    </row>
    <row r="93" spans="2:11" x14ac:dyDescent="0.2">
      <c r="B93" t="s">
        <v>133</v>
      </c>
      <c r="C93" t="s">
        <v>1897</v>
      </c>
      <c r="E93">
        <f t="shared" si="340"/>
        <v>2</v>
      </c>
      <c r="F93">
        <f t="shared" si="341"/>
        <v>2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3">
        <f t="shared" si="342"/>
        <v>255</v>
      </c>
      <c r="I93">
        <f t="shared" si="343"/>
        <v>222</v>
      </c>
      <c r="J93">
        <f t="shared" si="344"/>
        <v>0</v>
      </c>
      <c r="K93" cm="1">
        <f t="array" ref="K93" xml:space="preserve"> 1 + ROW() - _xlfn.SINGLE(ROW(ChartLines.RowNum))</f>
        <v>91</v>
      </c>
    </row>
    <row r="94" spans="2:11" x14ac:dyDescent="0.2">
      <c r="B94" t="s">
        <v>1898</v>
      </c>
      <c r="C94" t="s">
        <v>1850</v>
      </c>
      <c r="E94">
        <f t="shared" si="340"/>
        <v>1</v>
      </c>
      <c r="F94">
        <f t="shared" si="341"/>
        <v>1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4">
        <f t="shared" si="342"/>
        <v>255</v>
      </c>
      <c r="I94">
        <f t="shared" si="343"/>
        <v>0</v>
      </c>
      <c r="J94">
        <f t="shared" si="344"/>
        <v>0</v>
      </c>
      <c r="K94" cm="1">
        <f t="array" ref="K94" xml:space="preserve"> 1 + ROW() - _xlfn.SINGLE(ROW(ChartLines.RowNum))</f>
        <v>92</v>
      </c>
    </row>
    <row r="95" spans="2:11" x14ac:dyDescent="0.2">
      <c r="B95" t="s">
        <v>1847</v>
      </c>
      <c r="E95" t="str">
        <f t="shared" si="340"/>
        <v>·</v>
      </c>
      <c r="F95" t="str">
        <f t="shared" si="341"/>
        <v>·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5" t="str">
        <f t="shared" si="342"/>
        <v>·</v>
      </c>
      <c r="I95" t="str">
        <f t="shared" si="343"/>
        <v>·</v>
      </c>
      <c r="J95" t="str">
        <f t="shared" si="344"/>
        <v>·</v>
      </c>
      <c r="K95" cm="1">
        <f t="array" ref="K95" xml:space="preserve"> 1 + ROW() - _xlfn.SINGLE(ROW(ChartLines.RowNum))</f>
        <v>93</v>
      </c>
    </row>
    <row r="96" spans="2:11" x14ac:dyDescent="0.2">
      <c r="B96" t="s">
        <v>204</v>
      </c>
      <c r="C96" t="s">
        <v>1899</v>
      </c>
      <c r="E96">
        <f t="shared" si="340"/>
        <v>2</v>
      </c>
      <c r="F96">
        <f t="shared" si="341"/>
        <v>1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6">
        <f t="shared" si="342"/>
        <v>0</v>
      </c>
      <c r="I96">
        <f t="shared" si="343"/>
        <v>41</v>
      </c>
      <c r="J96">
        <f t="shared" si="344"/>
        <v>204</v>
      </c>
      <c r="K96" cm="1">
        <f t="array" ref="K96" xml:space="preserve"> 1 + ROW() - _xlfn.SINGLE(ROW(ChartLines.RowNum))</f>
        <v>94</v>
      </c>
    </row>
    <row r="97" spans="2:11" x14ac:dyDescent="0.2">
      <c r="B97" t="s">
        <v>204</v>
      </c>
      <c r="C97" t="s">
        <v>1851</v>
      </c>
      <c r="E97">
        <f t="shared" si="340"/>
        <v>2</v>
      </c>
      <c r="F97">
        <f t="shared" si="341"/>
        <v>2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7">
        <f t="shared" si="342"/>
        <v>255</v>
      </c>
      <c r="I97">
        <f t="shared" si="343"/>
        <v>255</v>
      </c>
      <c r="J97">
        <f t="shared" si="344"/>
        <v>255</v>
      </c>
      <c r="K97" cm="1">
        <f t="array" ref="K97" xml:space="preserve"> 1 + ROW() - _xlfn.SINGLE(ROW(ChartLines.RowNum))</f>
        <v>95</v>
      </c>
    </row>
    <row r="98" spans="2:11" x14ac:dyDescent="0.2">
      <c r="B98" t="s">
        <v>1900</v>
      </c>
      <c r="C98" t="s">
        <v>1901</v>
      </c>
      <c r="E98">
        <f t="shared" si="340"/>
        <v>2</v>
      </c>
      <c r="F98">
        <f t="shared" si="341"/>
        <v>1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8">
        <f t="shared" si="342"/>
        <v>205</v>
      </c>
      <c r="I98">
        <f t="shared" si="343"/>
        <v>46</v>
      </c>
      <c r="J98">
        <f t="shared" si="344"/>
        <v>58</v>
      </c>
      <c r="K98" cm="1">
        <f t="array" ref="K98" xml:space="preserve"> 1 + ROW() - _xlfn.SINGLE(ROW(ChartLines.RowNum))</f>
        <v>96</v>
      </c>
    </row>
    <row r="99" spans="2:11" x14ac:dyDescent="0.2">
      <c r="B99" t="s">
        <v>1900</v>
      </c>
      <c r="C99" t="s">
        <v>1902</v>
      </c>
      <c r="E99">
        <f t="shared" si="340"/>
        <v>2</v>
      </c>
      <c r="F99">
        <f t="shared" si="341"/>
        <v>2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9">
        <f t="shared" si="342"/>
        <v>0</v>
      </c>
      <c r="I99">
        <f t="shared" si="343"/>
        <v>71</v>
      </c>
      <c r="J99">
        <f t="shared" si="344"/>
        <v>160</v>
      </c>
      <c r="K99" cm="1">
        <f t="array" ref="K99" xml:space="preserve"> 1 + ROW() - _xlfn.SINGLE(ROW(ChartLines.RowNum))</f>
        <v>97</v>
      </c>
    </row>
    <row r="100" spans="2:11" x14ac:dyDescent="0.2">
      <c r="B100" t="s">
        <v>136</v>
      </c>
      <c r="C100" t="s">
        <v>1903</v>
      </c>
      <c r="E100">
        <f t="shared" ref="E100" si="345" xml:space="preserve"> IF(AND(LEN(ChartLines.ID)&gt;0,"Unused"&lt;&gt;ChartLines.ID), COUNTIFS(ChartLines.ID,ChartLines.ID), "·")</f>
        <v>1</v>
      </c>
      <c r="F100">
        <f t="shared" ref="F100" si="346" xml:space="preserve"> IF(AND(LEN(ChartLines.ID)&gt;0,"Unused"&lt;&gt;ChartLines.ID), COUNTIFS(ChartLines.ID,ChartLines.ID,   ChartLines.RowNum,"&lt;="&amp;ChartLines.RowNum), "·")</f>
        <v>1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00">
        <f t="shared" ref="H100" si="347" xml:space="preserve"> IF(LEN(ChartLines.Hex6)=6, HEX2DEC(LEFT(ChartLines.Hex6, 2)), "·")</f>
        <v>167</v>
      </c>
      <c r="I100">
        <f t="shared" ref="I100" si="348" xml:space="preserve"> IF(LEN(ChartLines.Hex6)=6, HEX2DEC(MID(ChartLines.Hex6, 3, 2)), "·")</f>
        <v>131</v>
      </c>
      <c r="J100">
        <f t="shared" ref="J100" si="349" xml:space="preserve"> IF(LEN(ChartLines.Hex6)=6, HEX2DEC(RIGHT(ChartLines.Hex6, 2)), "·")</f>
        <v>55</v>
      </c>
      <c r="K100" cm="1">
        <f t="array" ref="K100" xml:space="preserve"> 1 + ROW() - _xlfn.SINGLE(ROW(ChartLines.RowNum))</f>
        <v>98</v>
      </c>
    </row>
    <row r="101" spans="2:11" x14ac:dyDescent="0.2">
      <c r="B101" t="s">
        <v>1847</v>
      </c>
      <c r="E101" t="str">
        <f t="shared" ref="E101" si="350" xml:space="preserve"> IF(AND(LEN(ChartLines.ID)&gt;0,"Unused"&lt;&gt;ChartLines.ID), COUNTIFS(ChartLines.ID,ChartLines.ID), "·")</f>
        <v>·</v>
      </c>
      <c r="F101" t="str">
        <f t="shared" ref="F101" si="351" xml:space="preserve"> IF(AND(LEN(ChartLines.ID)&gt;0,"Unused"&lt;&gt;ChartLines.ID), COUNTIFS(ChartLines.ID,ChartLines.ID,   ChartLines.RowNum,"&lt;="&amp;ChartLines.RowNum), "·")</f>
        <v>·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1" t="str">
        <f t="shared" ref="H101" si="352" xml:space="preserve"> IF(LEN(ChartLines.Hex6)=6, HEX2DEC(LEFT(ChartLines.Hex6, 2)), "·")</f>
        <v>·</v>
      </c>
      <c r="I101" t="str">
        <f t="shared" ref="I101" si="353" xml:space="preserve"> IF(LEN(ChartLines.Hex6)=6, HEX2DEC(MID(ChartLines.Hex6, 3, 2)), "·")</f>
        <v>·</v>
      </c>
      <c r="J101" t="str">
        <f t="shared" ref="J101" si="354" xml:space="preserve"> IF(LEN(ChartLines.Hex6)=6, HEX2DEC(RIGHT(ChartLines.Hex6, 2)), "·")</f>
        <v>·</v>
      </c>
      <c r="K101" cm="1">
        <f t="array" ref="K101" xml:space="preserve"> 1 + ROW() - _xlfn.SINGLE(ROW(ChartLines.RowNum))</f>
        <v>99</v>
      </c>
    </row>
    <row r="102" spans="2:11" x14ac:dyDescent="0.2">
      <c r="B102" t="s">
        <v>236</v>
      </c>
      <c r="C102" t="s">
        <v>1904</v>
      </c>
      <c r="E102">
        <f t="shared" ref="E102" si="355" xml:space="preserve"> IF(AND(LEN(ChartLines.ID)&gt;0,"Unused"&lt;&gt;ChartLines.ID), COUNTIFS(ChartLines.ID,ChartLines.ID), "·")</f>
        <v>2</v>
      </c>
      <c r="F102">
        <f t="shared" ref="F102" si="356" xml:space="preserve"> IF(AND(LEN(ChartLines.ID)&gt;0,"Unused"&lt;&gt;ChartLines.ID), COUNTIFS(ChartLines.ID,ChartLines.ID,   ChartLines.RowNum,"&lt;="&amp;ChartLines.RowNum), "·")</f>
        <v>1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2">
        <f t="shared" ref="H102" si="357" xml:space="preserve"> IF(LEN(ChartLines.Hex6)=6, HEX2DEC(LEFT(ChartLines.Hex6, 2)), "·")</f>
        <v>0</v>
      </c>
      <c r="I102">
        <f t="shared" ref="I102" si="358" xml:space="preserve"> IF(LEN(ChartLines.Hex6)=6, HEX2DEC(MID(ChartLines.Hex6, 3, 2)), "·")</f>
        <v>50</v>
      </c>
      <c r="J102">
        <f t="shared" ref="J102" si="359" xml:space="preserve"> IF(LEN(ChartLines.Hex6)=6, HEX2DEC(RIGHT(ChartLines.Hex6, 2)), "·")</f>
        <v>106</v>
      </c>
      <c r="K102" cm="1">
        <f t="array" ref="K102" xml:space="preserve"> 1 + ROW() - _xlfn.SINGLE(ROW(ChartLines.RowNum))</f>
        <v>100</v>
      </c>
    </row>
    <row r="103" spans="2:11" x14ac:dyDescent="0.2">
      <c r="B103" t="s">
        <v>236</v>
      </c>
      <c r="C103" t="str">
        <f xml:space="preserve"> "DECE05"</f>
        <v>DECE05</v>
      </c>
      <c r="E103">
        <f t="shared" ref="E103" si="360" xml:space="preserve"> IF(AND(LEN(ChartLines.ID)&gt;0,"Unused"&lt;&gt;ChartLines.ID), COUNTIFS(ChartLines.ID,ChartLines.ID), "·")</f>
        <v>2</v>
      </c>
      <c r="F103">
        <f t="shared" ref="F103" si="361" xml:space="preserve"> IF(AND(LEN(ChartLines.ID)&gt;0,"Unused"&lt;&gt;ChartLines.ID), COUNTIFS(ChartLines.ID,ChartLines.ID,   ChartLines.RowNum,"&lt;="&amp;ChartLines.RowNum), "·")</f>
        <v>2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3">
        <f t="shared" ref="H103" si="362" xml:space="preserve"> IF(LEN(ChartLines.Hex6)=6, HEX2DEC(LEFT(ChartLines.Hex6, 2)), "·")</f>
        <v>222</v>
      </c>
      <c r="I103">
        <f t="shared" ref="I103" si="363" xml:space="preserve"> IF(LEN(ChartLines.Hex6)=6, HEX2DEC(MID(ChartLines.Hex6, 3, 2)), "·")</f>
        <v>206</v>
      </c>
      <c r="J103">
        <f t="shared" ref="J103" si="364" xml:space="preserve"> IF(LEN(ChartLines.Hex6)=6, HEX2DEC(RIGHT(ChartLines.Hex6, 2)), "·")</f>
        <v>5</v>
      </c>
      <c r="K103" cm="1">
        <f t="array" ref="K103" xml:space="preserve"> 1 + ROW() - _xlfn.SINGLE(ROW(ChartLines.RowNum))</f>
        <v>101</v>
      </c>
    </row>
    <row r="104" spans="2:11" x14ac:dyDescent="0.2">
      <c r="B104" t="s">
        <v>163</v>
      </c>
      <c r="C104" t="s">
        <v>1850</v>
      </c>
      <c r="E104">
        <f t="shared" ref="E104" si="365" xml:space="preserve"> IF(AND(LEN(ChartLines.ID)&gt;0,"Unused"&lt;&gt;ChartLines.ID), COUNTIFS(ChartLines.ID,ChartLines.ID), "·")</f>
        <v>2</v>
      </c>
      <c r="F104">
        <f t="shared" ref="F104" si="366" xml:space="preserve"> IF(AND(LEN(ChartLines.ID)&gt;0,"Unused"&lt;&gt;ChartLines.ID), COUNTIFS(ChartLines.ID,ChartLines.ID,   ChartLines.RowNum,"&lt;="&amp;ChartLines.RowNum), "·")</f>
        <v>1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4">
        <f t="shared" ref="H104" si="367" xml:space="preserve"> IF(LEN(ChartLines.Hex6)=6, HEX2DEC(LEFT(ChartLines.Hex6, 2)), "·")</f>
        <v>255</v>
      </c>
      <c r="I104">
        <f t="shared" ref="I104" si="368" xml:space="preserve"> IF(LEN(ChartLines.Hex6)=6, HEX2DEC(MID(ChartLines.Hex6, 3, 2)), "·")</f>
        <v>0</v>
      </c>
      <c r="J104">
        <f t="shared" ref="J104" si="369" xml:space="preserve"> IF(LEN(ChartLines.Hex6)=6, HEX2DEC(RIGHT(ChartLines.Hex6, 2)), "·")</f>
        <v>0</v>
      </c>
      <c r="K104" cm="1">
        <f t="array" ref="K104" xml:space="preserve"> 1 + ROW() - _xlfn.SINGLE(ROW(ChartLines.RowNum))</f>
        <v>102</v>
      </c>
    </row>
    <row r="105" spans="2:11" x14ac:dyDescent="0.2">
      <c r="B105" t="s">
        <v>163</v>
      </c>
      <c r="C105" t="s">
        <v>1851</v>
      </c>
      <c r="E105">
        <f t="shared" ref="E105" si="370" xml:space="preserve"> IF(AND(LEN(ChartLines.ID)&gt;0,"Unused"&lt;&gt;ChartLines.ID), COUNTIFS(ChartLines.ID,ChartLines.ID), "·")</f>
        <v>2</v>
      </c>
      <c r="F105">
        <f t="shared" ref="F105" si="371" xml:space="preserve"> IF(AND(LEN(ChartLines.ID)&gt;0,"Unused"&lt;&gt;ChartLines.ID), COUNTIFS(ChartLines.ID,ChartLines.ID,   ChartLines.RowNum,"&lt;="&amp;ChartLines.RowNum), "·")</f>
        <v>2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5">
        <f t="shared" ref="H105" si="372" xml:space="preserve"> IF(LEN(ChartLines.Hex6)=6, HEX2DEC(LEFT(ChartLines.Hex6, 2)), "·")</f>
        <v>255</v>
      </c>
      <c r="I105">
        <f t="shared" ref="I105" si="373" xml:space="preserve"> IF(LEN(ChartLines.Hex6)=6, HEX2DEC(MID(ChartLines.Hex6, 3, 2)), "·")</f>
        <v>255</v>
      </c>
      <c r="J105">
        <f t="shared" ref="J105" si="374" xml:space="preserve"> IF(LEN(ChartLines.Hex6)=6, HEX2DEC(RIGHT(ChartLines.Hex6, 2)), "·")</f>
        <v>255</v>
      </c>
      <c r="K105" cm="1">
        <f t="array" ref="K105" xml:space="preserve"> 1 + ROW() - _xlfn.SINGLE(ROW(ChartLines.RowNum))</f>
        <v>103</v>
      </c>
    </row>
    <row r="106" spans="2:11" x14ac:dyDescent="0.2">
      <c r="B106" t="s">
        <v>164</v>
      </c>
      <c r="C106" t="s">
        <v>1905</v>
      </c>
      <c r="E106">
        <f t="shared" ref="E106" si="375" xml:space="preserve"> IF(AND(LEN(ChartLines.ID)&gt;0,"Unused"&lt;&gt;ChartLines.ID), COUNTIFS(ChartLines.ID,ChartLines.ID), "·")</f>
        <v>2</v>
      </c>
      <c r="F106">
        <f t="shared" ref="F106" si="376" xml:space="preserve"> IF(AND(LEN(ChartLines.ID)&gt;0,"Unused"&lt;&gt;ChartLines.ID), COUNTIFS(ChartLines.ID,ChartLines.ID,   ChartLines.RowNum,"&lt;="&amp;ChartLines.RowNum), "·")</f>
        <v>1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6">
        <f t="shared" ref="H106" si="377" xml:space="preserve"> IF(LEN(ChartLines.Hex6)=6, HEX2DEC(LEFT(ChartLines.Hex6, 2)), "·")</f>
        <v>254</v>
      </c>
      <c r="I106">
        <f t="shared" ref="I106" si="378" xml:space="preserve"> IF(LEN(ChartLines.Hex6)=6, HEX2DEC(MID(ChartLines.Hex6, 3, 2)), "·")</f>
        <v>0</v>
      </c>
      <c r="J106">
        <f t="shared" ref="J106" si="379" xml:space="preserve"> IF(LEN(ChartLines.Hex6)=6, HEX2DEC(RIGHT(ChartLines.Hex6, 2)), "·")</f>
        <v>0</v>
      </c>
      <c r="K106" cm="1">
        <f t="array" ref="K106" xml:space="preserve"> 1 + ROW() - _xlfn.SINGLE(ROW(ChartLines.RowNum))</f>
        <v>104</v>
      </c>
    </row>
    <row r="107" spans="2:11" x14ac:dyDescent="0.2">
      <c r="B107" t="s">
        <v>164</v>
      </c>
      <c r="C107" t="str">
        <f xml:space="preserve"> "010080"</f>
        <v>010080</v>
      </c>
      <c r="E107">
        <f t="shared" ref="E107" si="380" xml:space="preserve"> IF(AND(LEN(ChartLines.ID)&gt;0,"Unused"&lt;&gt;ChartLines.ID), COUNTIFS(ChartLines.ID,ChartLines.ID), "·")</f>
        <v>2</v>
      </c>
      <c r="F107">
        <f t="shared" ref="F107" si="381" xml:space="preserve"> IF(AND(LEN(ChartLines.ID)&gt;0,"Unused"&lt;&gt;ChartLines.ID), COUNTIFS(ChartLines.ID,ChartLines.ID,   ChartLines.RowNum,"&lt;="&amp;ChartLines.RowNum), "·")</f>
        <v>2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7">
        <f t="shared" ref="H107" si="382" xml:space="preserve"> IF(LEN(ChartLines.Hex6)=6, HEX2DEC(LEFT(ChartLines.Hex6, 2)), "·")</f>
        <v>1</v>
      </c>
      <c r="I107">
        <f t="shared" ref="I107" si="383" xml:space="preserve"> IF(LEN(ChartLines.Hex6)=6, HEX2DEC(MID(ChartLines.Hex6, 3, 2)), "·")</f>
        <v>0</v>
      </c>
      <c r="J107">
        <f t="shared" ref="J107" si="384" xml:space="preserve"> IF(LEN(ChartLines.Hex6)=6, HEX2DEC(RIGHT(ChartLines.Hex6, 2)), "·")</f>
        <v>128</v>
      </c>
      <c r="K107" cm="1">
        <f t="array" ref="K107" xml:space="preserve"> 1 + ROW() - _xlfn.SINGLE(ROW(ChartLines.RowNum))</f>
        <v>105</v>
      </c>
    </row>
    <row r="108" spans="2:11" x14ac:dyDescent="0.2">
      <c r="B108" t="s">
        <v>249</v>
      </c>
      <c r="C108" t="s">
        <v>1906</v>
      </c>
      <c r="E108">
        <f t="shared" ref="E108" si="385" xml:space="preserve"> IF(AND(LEN(ChartLines.ID)&gt;0,"Unused"&lt;&gt;ChartLines.ID), COUNTIFS(ChartLines.ID,ChartLines.ID), "·")</f>
        <v>2</v>
      </c>
      <c r="F108">
        <f t="shared" ref="F108" si="386" xml:space="preserve"> IF(AND(LEN(ChartLines.ID)&gt;0,"Unused"&lt;&gt;ChartLines.ID), COUNTIFS(ChartLines.ID,ChartLines.ID,   ChartLines.RowNum,"&lt;="&amp;ChartLines.RowNum), "·")</f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ref="H108" si="387" xml:space="preserve"> IF(LEN(ChartLines.Hex6)=6, HEX2DEC(LEFT(ChartLines.Hex6, 2)), "·")</f>
        <v>0</v>
      </c>
      <c r="I108">
        <f t="shared" ref="I108" si="388" xml:space="preserve"> IF(LEN(ChartLines.Hex6)=6, HEX2DEC(MID(ChartLines.Hex6, 3, 2)), "·")</f>
        <v>56</v>
      </c>
      <c r="J108">
        <f t="shared" ref="J108" si="389" xml:space="preserve"> IF(LEN(ChartLines.Hex6)=6, HEX2DEC(RIGHT(ChartLines.Hex6, 2)), "·")</f>
        <v>168</v>
      </c>
      <c r="K108" cm="1">
        <f t="array" ref="K108" xml:space="preserve"> 1 + ROW() - _xlfn.SINGLE(ROW(ChartLines.RowNum))</f>
        <v>106</v>
      </c>
    </row>
    <row r="109" spans="2:11" x14ac:dyDescent="0.2">
      <c r="B109" t="s">
        <v>249</v>
      </c>
      <c r="C109" t="s">
        <v>1894</v>
      </c>
      <c r="E109">
        <f t="shared" ref="E109" si="390" xml:space="preserve"> IF(AND(LEN(ChartLines.ID)&gt;0,"Unused"&lt;&gt;ChartLines.ID), COUNTIFS(ChartLines.ID,ChartLines.ID), "·")</f>
        <v>2</v>
      </c>
      <c r="F109">
        <f t="shared" ref="F109" si="391" xml:space="preserve"> IF(AND(LEN(ChartLines.ID)&gt;0,"Unused"&lt;&gt;ChartLines.ID), COUNTIFS(ChartLines.ID,ChartLines.ID,   ChartLines.RowNum,"&lt;="&amp;ChartLines.RowNum), "·")</f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ref="H109" si="392" xml:space="preserve"> IF(LEN(ChartLines.Hex6)=6, HEX2DEC(LEFT(ChartLines.Hex6, 2)), "·")</f>
        <v>252</v>
      </c>
      <c r="I109">
        <f t="shared" ref="I109" si="393" xml:space="preserve"> IF(LEN(ChartLines.Hex6)=6, HEX2DEC(MID(ChartLines.Hex6, 3, 2)), "·")</f>
        <v>209</v>
      </c>
      <c r="J109">
        <f t="shared" ref="J109" si="394" xml:space="preserve"> IF(LEN(ChartLines.Hex6)=6, HEX2DEC(RIGHT(ChartLines.Hex6, 2)), "·")</f>
        <v>22</v>
      </c>
      <c r="K109" cm="1">
        <f t="array" ref="K109" xml:space="preserve"> 1 + ROW() - _xlfn.SINGLE(ROW(ChartLines.RowNum))</f>
        <v>107</v>
      </c>
    </row>
    <row r="110" spans="2:11" x14ac:dyDescent="0.2">
      <c r="B110" t="s">
        <v>262</v>
      </c>
      <c r="C110" t="s">
        <v>1907</v>
      </c>
      <c r="E110">
        <f t="shared" ref="E110" si="395" xml:space="preserve"> IF(AND(LEN(ChartLines.ID)&gt;0,"Unused"&lt;&gt;ChartLines.ID), COUNTIFS(ChartLines.ID,ChartLines.ID), "·")</f>
        <v>2</v>
      </c>
      <c r="F110">
        <f t="shared" ref="F110" si="396" xml:space="preserve"> IF(AND(LEN(ChartLines.ID)&gt;0,"Unused"&lt;&gt;ChartLines.ID), COUNTIFS(ChartLines.ID,ChartLines.ID,   ChartLines.RowNum,"&lt;="&amp;ChartLines.RowNum), "·")</f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0">
        <f t="shared" ref="H110" si="397" xml:space="preserve"> IF(LEN(ChartLines.Hex6)=6, HEX2DEC(LEFT(ChartLines.Hex6, 2)), "·")</f>
        <v>255</v>
      </c>
      <c r="I110">
        <f t="shared" ref="I110" si="398" xml:space="preserve"> IF(LEN(ChartLines.Hex6)=6, HEX2DEC(MID(ChartLines.Hex6, 3, 2)), "·")</f>
        <v>255</v>
      </c>
      <c r="J110">
        <f t="shared" ref="J110" si="399" xml:space="preserve"> IF(LEN(ChartLines.Hex6)=6, HEX2DEC(RIGHT(ChartLines.Hex6, 2)), "·")</f>
        <v>0</v>
      </c>
      <c r="K110" cm="1">
        <f t="array" ref="K110" xml:space="preserve"> 1 + ROW() - _xlfn.SINGLE(ROW(ChartLines.RowNum))</f>
        <v>108</v>
      </c>
    </row>
    <row r="111" spans="2:11" x14ac:dyDescent="0.2">
      <c r="B111" t="s">
        <v>262</v>
      </c>
      <c r="C111" t="s">
        <v>1908</v>
      </c>
      <c r="E111">
        <f t="shared" ref="E111" si="400" xml:space="preserve"> IF(AND(LEN(ChartLines.ID)&gt;0,"Unused"&lt;&gt;ChartLines.ID), COUNTIFS(ChartLines.ID,ChartLines.ID), "·")</f>
        <v>2</v>
      </c>
      <c r="F111">
        <f t="shared" ref="F111" si="401" xml:space="preserve"> IF(AND(LEN(ChartLines.ID)&gt;0,"Unused"&lt;&gt;ChartLines.ID), COUNTIFS(ChartLines.ID,ChartLines.ID,   ChartLines.RowNum,"&lt;="&amp;ChartLines.RowNum), "·")</f>
        <v>2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1">
        <f t="shared" ref="H111" si="402" xml:space="preserve"> IF(LEN(ChartLines.Hex6)=6, HEX2DEC(LEFT(ChartLines.Hex6, 2)), "·")</f>
        <v>218</v>
      </c>
      <c r="I111">
        <f t="shared" ref="I111" si="403" xml:space="preserve"> IF(LEN(ChartLines.Hex6)=6, HEX2DEC(MID(ChartLines.Hex6, 3, 2)), "·")</f>
        <v>37</v>
      </c>
      <c r="J111">
        <f t="shared" ref="J111" si="404" xml:space="preserve"> IF(LEN(ChartLines.Hex6)=6, HEX2DEC(RIGHT(ChartLines.Hex6, 2)), "·")</f>
        <v>29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297</v>
      </c>
      <c r="C112" t="str">
        <f xml:space="preserve"> "250E62"</f>
        <v>250E62</v>
      </c>
      <c r="E112">
        <f t="shared" ref="E112" si="405" xml:space="preserve"> IF(AND(LEN(ChartLines.ID)&gt;0,"Unused"&lt;&gt;ChartLines.ID), COUNTIFS(ChartLines.ID,ChartLines.ID), "·")</f>
        <v>2</v>
      </c>
      <c r="F112">
        <f t="shared" ref="F112" si="406" xml:space="preserve"> IF(AND(LEN(ChartLines.ID)&gt;0,"Unused"&lt;&gt;ChartLines.ID), COUNTIFS(ChartLines.ID,ChartLines.ID,   ChartLines.RowNum,"&lt;="&amp;ChartLines.RowNum), "·")</f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ref="H112" si="407" xml:space="preserve"> IF(LEN(ChartLines.Hex6)=6, HEX2DEC(LEFT(ChartLines.Hex6, 2)), "·")</f>
        <v>37</v>
      </c>
      <c r="I112">
        <f t="shared" ref="I112" si="408" xml:space="preserve"> IF(LEN(ChartLines.Hex6)=6, HEX2DEC(MID(ChartLines.Hex6, 3, 2)), "·")</f>
        <v>14</v>
      </c>
      <c r="J112">
        <f t="shared" ref="J112" si="409" xml:space="preserve"> IF(LEN(ChartLines.Hex6)=6, HEX2DEC(RIGHT(ChartLines.Hex6, 2)), "·")</f>
        <v>98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297</v>
      </c>
      <c r="C113" t="s">
        <v>1851</v>
      </c>
      <c r="E113">
        <f t="shared" ref="E113" si="410" xml:space="preserve"> IF(AND(LEN(ChartLines.ID)&gt;0,"Unused"&lt;&gt;ChartLines.ID), COUNTIFS(ChartLines.ID,ChartLines.ID), "·")</f>
        <v>2</v>
      </c>
      <c r="F113">
        <f t="shared" ref="F113" si="411" xml:space="preserve"> IF(AND(LEN(ChartLines.ID)&gt;0,"Unused"&lt;&gt;ChartLines.ID), COUNTIFS(ChartLines.ID,ChartLines.ID,   ChartLines.RowNum,"&lt;="&amp;ChartLines.RowNum), "·")</f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ref="H113" si="412" xml:space="preserve"> IF(LEN(ChartLines.Hex6)=6, HEX2DEC(LEFT(ChartLines.Hex6, 2)), "·")</f>
        <v>255</v>
      </c>
      <c r="I113">
        <f t="shared" ref="I113" si="413" xml:space="preserve"> IF(LEN(ChartLines.Hex6)=6, HEX2DEC(MID(ChartLines.Hex6, 3, 2)), "·")</f>
        <v>255</v>
      </c>
      <c r="J113">
        <f t="shared" ref="J113" si="414" xml:space="preserve"> IF(LEN(ChartLines.Hex6)=6, HEX2DEC(RIGHT(ChartLines.Hex6, 2)), "·")</f>
        <v>255</v>
      </c>
      <c r="K113" cm="1">
        <f t="array" ref="K113" xml:space="preserve"> 1 + ROW() - _xlfn.SINGLE(ROW(ChartLines.RowNum))</f>
        <v>111</v>
      </c>
    </row>
    <row r="114" spans="2:11" x14ac:dyDescent="0.2">
      <c r="B114" t="s">
        <v>135</v>
      </c>
      <c r="C114" t="s">
        <v>1909</v>
      </c>
      <c r="E114">
        <f t="shared" ref="E114" si="415" xml:space="preserve"> IF(AND(LEN(ChartLines.ID)&gt;0,"Unused"&lt;&gt;ChartLines.ID), COUNTIFS(ChartLines.ID,ChartLines.ID), "·")</f>
        <v>2</v>
      </c>
      <c r="F114">
        <f t="shared" ref="F114" si="416" xml:space="preserve"> IF(AND(LEN(ChartLines.ID)&gt;0,"Unused"&lt;&gt;ChartLines.ID), COUNTIFS(ChartLines.ID,ChartLines.ID,   ChartLines.RowNum,"&lt;="&amp;ChartLines.RowNum), "·")</f>
        <v>1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4">
        <f t="shared" ref="H114" si="417" xml:space="preserve"> IF(LEN(ChartLines.Hex6)=6, HEX2DEC(LEFT(ChartLines.Hex6, 2)), "·")</f>
        <v>1</v>
      </c>
      <c r="I114">
        <f t="shared" ref="I114" si="418" xml:space="preserve"> IF(LEN(ChartLines.Hex6)=6, HEX2DEC(MID(ChartLines.Hex6, 3, 2)), "·")</f>
        <v>65</v>
      </c>
      <c r="J114">
        <f t="shared" ref="J114" si="419" xml:space="preserve"> IF(LEN(ChartLines.Hex6)=6, HEX2DEC(RIGHT(ChartLines.Hex6, 2)), "·")</f>
        <v>28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135</v>
      </c>
      <c r="C115" t="s">
        <v>1851</v>
      </c>
      <c r="E115">
        <f t="shared" ref="E115" si="420" xml:space="preserve"> IF(AND(LEN(ChartLines.ID)&gt;0,"Unused"&lt;&gt;ChartLines.ID), COUNTIFS(ChartLines.ID,ChartLines.ID), "·")</f>
        <v>2</v>
      </c>
      <c r="F115">
        <f t="shared" ref="F115" si="421" xml:space="preserve"> IF(AND(LEN(ChartLines.ID)&gt;0,"Unused"&lt;&gt;ChartLines.ID), COUNTIFS(ChartLines.ID,ChartLines.ID,   ChartLines.RowNum,"&lt;="&amp;ChartLines.RowNum), "·")</f>
        <v>2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5">
        <f t="shared" ref="H115" si="422" xml:space="preserve"> IF(LEN(ChartLines.Hex6)=6, HEX2DEC(LEFT(ChartLines.Hex6, 2)), "·")</f>
        <v>255</v>
      </c>
      <c r="I115">
        <f t="shared" ref="I115" si="423" xml:space="preserve"> IF(LEN(ChartLines.Hex6)=6, HEX2DEC(MID(ChartLines.Hex6, 3, 2)), "·")</f>
        <v>255</v>
      </c>
      <c r="J115">
        <f t="shared" ref="J115" si="424" xml:space="preserve"> IF(LEN(ChartLines.Hex6)=6, HEX2DEC(RIGHT(ChartLines.Hex6, 2)), "·")</f>
        <v>255</v>
      </c>
      <c r="K115" cm="1">
        <f t="array" ref="K115" xml:space="preserve"> 1 + ROW() - _xlfn.SINGLE(ROW(ChartLines.RowNum))</f>
        <v>113</v>
      </c>
    </row>
    <row r="116" spans="2:11" x14ac:dyDescent="0.2">
      <c r="B116" t="s">
        <v>97</v>
      </c>
      <c r="C116" t="s">
        <v>1910</v>
      </c>
      <c r="E116">
        <f t="shared" ref="E116" si="425" xml:space="preserve"> IF(AND(LEN(ChartLines.ID)&gt;0,"Unused"&lt;&gt;ChartLines.ID), COUNTIFS(ChartLines.ID,ChartLines.ID), "·")</f>
        <v>2</v>
      </c>
      <c r="F116">
        <f t="shared" ref="F116" si="426" xml:space="preserve"> IF(AND(LEN(ChartLines.ID)&gt;0,"Unused"&lt;&gt;ChartLines.ID), COUNTIFS(ChartLines.ID,ChartLines.ID,   ChartLines.RowNum,"&lt;="&amp;ChartLines.RowNum), "·")</f>
        <v>1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6">
        <f t="shared" ref="H116" si="427" xml:space="preserve"> IF(LEN(ChartLines.Hex6)=6, HEX2DEC(LEFT(ChartLines.Hex6, 2)), "·")</f>
        <v>0</v>
      </c>
      <c r="I116">
        <f t="shared" ref="I116" si="428" xml:space="preserve"> IF(LEN(ChartLines.Hex6)=6, HEX2DEC(MID(ChartLines.Hex6, 3, 2)), "·")</f>
        <v>106</v>
      </c>
      <c r="J116">
        <f t="shared" ref="J116" si="429" xml:space="preserve"> IF(LEN(ChartLines.Hex6)=6, HEX2DEC(RIGHT(ChartLines.Hex6, 2)), "·")</f>
        <v>78</v>
      </c>
      <c r="K116" cm="1">
        <f t="array" ref="K116" xml:space="preserve"> 1 + ROW() - _xlfn.SINGLE(ROW(ChartLines.RowNum))</f>
        <v>114</v>
      </c>
    </row>
    <row r="117" spans="2:11" x14ac:dyDescent="0.2">
      <c r="B117" t="s">
        <v>97</v>
      </c>
      <c r="C117" t="s">
        <v>1911</v>
      </c>
      <c r="E117">
        <f t="shared" ref="E117" si="430" xml:space="preserve"> IF(AND(LEN(ChartLines.ID)&gt;0,"Unused"&lt;&gt;ChartLines.ID), COUNTIFS(ChartLines.ID,ChartLines.ID), "·")</f>
        <v>2</v>
      </c>
      <c r="F117">
        <f t="shared" ref="F117" si="431" xml:space="preserve"> IF(AND(LEN(ChartLines.ID)&gt;0,"Unused"&lt;&gt;ChartLines.ID), COUNTIFS(ChartLines.ID,ChartLines.ID,   ChartLines.RowNum,"&lt;="&amp;ChartLines.RowNum), "·")</f>
        <v>2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7">
        <f t="shared" ref="H117" si="432" xml:space="preserve"> IF(LEN(ChartLines.Hex6)=6, HEX2DEC(LEFT(ChartLines.Hex6, 2)), "·")</f>
        <v>244</v>
      </c>
      <c r="I117">
        <f t="shared" ref="I117" si="433" xml:space="preserve"> IF(LEN(ChartLines.Hex6)=6, HEX2DEC(MID(ChartLines.Hex6, 3, 2)), "·")</f>
        <v>42</v>
      </c>
      <c r="J117">
        <f t="shared" ref="J117" si="434" xml:space="preserve"> IF(LEN(ChartLines.Hex6)=6, HEX2DEC(RIGHT(ChartLines.Hex6, 2)), "·")</f>
        <v>65</v>
      </c>
      <c r="K117" cm="1">
        <f t="array" ref="K117" xml:space="preserve"> 1 + ROW() - _xlfn.SINGLE(ROW(ChartLines.RowNum))</f>
        <v>115</v>
      </c>
    </row>
    <row r="118" spans="2:11" x14ac:dyDescent="0.2">
      <c r="B118" t="s">
        <v>165</v>
      </c>
      <c r="C118" t="s">
        <v>1912</v>
      </c>
      <c r="E118">
        <f t="shared" ref="E118" si="435" xml:space="preserve"> IF(AND(LEN(ChartLines.ID)&gt;0,"Unused"&lt;&gt;ChartLines.ID), COUNTIFS(ChartLines.ID,ChartLines.ID), "·")</f>
        <v>2</v>
      </c>
      <c r="F118">
        <f t="shared" ref="F118" si="436" xml:space="preserve"> IF(AND(LEN(ChartLines.ID)&gt;0,"Unused"&lt;&gt;ChartLines.ID), COUNTIFS(ChartLines.ID,ChartLines.ID,   ChartLines.RowNum,"&lt;="&amp;ChartLines.RowNum), "·")</f>
        <v>1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8">
        <f t="shared" ref="H118" si="437" xml:space="preserve"> IF(LEN(ChartLines.Hex6)=6, HEX2DEC(LEFT(ChartLines.Hex6, 2)), "·")</f>
        <v>121</v>
      </c>
      <c r="I118">
        <f t="shared" ref="I118" si="438" xml:space="preserve"> IF(LEN(ChartLines.Hex6)=6, HEX2DEC(MID(ChartLines.Hex6, 3, 2)), "·")</f>
        <v>5</v>
      </c>
      <c r="J118">
        <f t="shared" ref="J118" si="439" xml:space="preserve"> IF(LEN(ChartLines.Hex6)=6, HEX2DEC(RIGHT(ChartLines.Hex6, 2)), "·")</f>
        <v>44</v>
      </c>
      <c r="K118" cm="1">
        <f t="array" ref="K118" xml:space="preserve"> 1 + ROW() - _xlfn.SINGLE(ROW(ChartLines.RowNum))</f>
        <v>116</v>
      </c>
    </row>
    <row r="119" spans="2:11" x14ac:dyDescent="0.2">
      <c r="B119" t="s">
        <v>165</v>
      </c>
      <c r="C119" t="s">
        <v>1913</v>
      </c>
      <c r="E119">
        <f t="shared" ref="E119" si="440" xml:space="preserve"> IF(AND(LEN(ChartLines.ID)&gt;0,"Unused"&lt;&gt;ChartLines.ID), COUNTIFS(ChartLines.ID,ChartLines.ID), "·")</f>
        <v>2</v>
      </c>
      <c r="F119">
        <f t="shared" ref="F119" si="441" xml:space="preserve"> IF(AND(LEN(ChartLines.ID)&gt;0,"Unused"&lt;&gt;ChartLines.ID), COUNTIFS(ChartLines.ID,ChartLines.ID,   ChartLines.RowNum,"&lt;="&amp;ChartLines.RowNum), "·")</f>
        <v>2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9">
        <f t="shared" ref="H119" si="442" xml:space="preserve"> IF(LEN(ChartLines.Hex6)=6, HEX2DEC(LEFT(ChartLines.Hex6, 2)), "·")</f>
        <v>253</v>
      </c>
      <c r="I119">
        <f t="shared" ref="I119" si="443" xml:space="preserve"> IF(LEN(ChartLines.Hex6)=6, HEX2DEC(MID(ChartLines.Hex6, 3, 2)), "·")</f>
        <v>178</v>
      </c>
      <c r="J119">
        <f t="shared" ref="J119" si="444" xml:space="preserve"> IF(LEN(ChartLines.Hex6)=6, HEX2DEC(RIGHT(ChartLines.Hex6, 2)), "·")</f>
        <v>33</v>
      </c>
      <c r="K119" cm="1">
        <f t="array" ref="K119" xml:space="preserve"> 1 + ROW() - _xlfn.SINGLE(ROW(ChartLines.RowNum))</f>
        <v>117</v>
      </c>
    </row>
    <row r="120" spans="2:11" x14ac:dyDescent="0.2">
      <c r="B120" t="s">
        <v>1914</v>
      </c>
      <c r="C120" t="s">
        <v>1915</v>
      </c>
      <c r="E120">
        <f t="shared" ref="E120" si="445" xml:space="preserve"> IF(AND(LEN(ChartLines.ID)&gt;0,"Unused"&lt;&gt;ChartLines.ID), COUNTIFS(ChartLines.ID,ChartLines.ID), "·")</f>
        <v>2</v>
      </c>
      <c r="F120">
        <f t="shared" ref="F120" si="446" xml:space="preserve"> IF(AND(LEN(ChartLines.ID)&gt;0,"Unused"&lt;&gt;ChartLines.ID), COUNTIFS(ChartLines.ID,ChartLines.ID,   ChartLines.RowNum,"&lt;="&amp;ChartLines.RowNum), "·")</f>
        <v>1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0">
        <f t="shared" ref="H120" si="447" xml:space="preserve"> IF(LEN(ChartLines.Hex6)=6, HEX2DEC(LEFT(ChartLines.Hex6, 2)), "·")</f>
        <v>0</v>
      </c>
      <c r="I120">
        <f t="shared" ref="I120" si="448" xml:space="preserve"> IF(LEN(ChartLines.Hex6)=6, HEX2DEC(MID(ChartLines.Hex6, 3, 2)), "·")</f>
        <v>174</v>
      </c>
      <c r="J120">
        <f t="shared" ref="J120" si="449" xml:space="preserve"> IF(LEN(ChartLines.Hex6)=6, HEX2DEC(RIGHT(ChartLines.Hex6, 2)), "·")</f>
        <v>199</v>
      </c>
      <c r="K120" cm="1">
        <f t="array" ref="K120" xml:space="preserve"> 1 + ROW() - _xlfn.SINGLE(ROW(ChartLines.RowNum))</f>
        <v>118</v>
      </c>
    </row>
    <row r="121" spans="2:11" x14ac:dyDescent="0.2">
      <c r="B121" t="s">
        <v>1914</v>
      </c>
      <c r="C121" t="s">
        <v>1916</v>
      </c>
      <c r="E121">
        <f t="shared" ref="E121" si="450" xml:space="preserve"> IF(AND(LEN(ChartLines.ID)&gt;0,"Unused"&lt;&gt;ChartLines.ID), COUNTIFS(ChartLines.ID,ChartLines.ID), "·")</f>
        <v>2</v>
      </c>
      <c r="F121">
        <f t="shared" ref="F121" si="451" xml:space="preserve"> IF(AND(LEN(ChartLines.ID)&gt;0,"Unused"&lt;&gt;ChartLines.ID), COUNTIFS(ChartLines.ID,ChartLines.ID,   ChartLines.RowNum,"&lt;="&amp;ChartLines.RowNum), "·")</f>
        <v>2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1">
        <f t="shared" ref="H121" si="452" xml:space="preserve"> IF(LEN(ChartLines.Hex6)=6, HEX2DEC(LEFT(ChartLines.Hex6, 2)), "·")</f>
        <v>246</v>
      </c>
      <c r="I121">
        <f t="shared" ref="I121" si="453" xml:space="preserve"> IF(LEN(ChartLines.Hex6)=6, HEX2DEC(MID(ChartLines.Hex6, 3, 2)), "·")</f>
        <v>229</v>
      </c>
      <c r="J121">
        <f t="shared" ref="J121" si="454" xml:space="preserve"> IF(LEN(ChartLines.Hex6)=6, HEX2DEC(RIGHT(ChartLines.Hex6, 2)), "·")</f>
        <v>0</v>
      </c>
      <c r="K121" cm="1">
        <f t="array" ref="K121" xml:space="preserve"> 1 + ROW() - _xlfn.SINGLE(ROW(ChartLines.RowNum))</f>
        <v>119</v>
      </c>
    </row>
    <row r="122" spans="2:11" x14ac:dyDescent="0.2">
      <c r="B122" t="s">
        <v>1618</v>
      </c>
      <c r="C122" t="s">
        <v>1917</v>
      </c>
      <c r="E122">
        <f t="shared" ref="E122" si="455" xml:space="preserve"> IF(AND(LEN(ChartLines.ID)&gt;0,"Unused"&lt;&gt;ChartLines.ID), COUNTIFS(ChartLines.ID,ChartLines.ID), "·")</f>
        <v>2</v>
      </c>
      <c r="F122">
        <f t="shared" ref="F122" si="456" xml:space="preserve"> IF(AND(LEN(ChartLines.ID)&gt;0,"Unused"&lt;&gt;ChartLines.ID), COUNTIFS(ChartLines.ID,ChartLines.ID,   ChartLines.RowNum,"&lt;="&amp;ChartLines.RowNum), "·")</f>
        <v>1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2">
        <f t="shared" ref="H122" si="457" xml:space="preserve"> IF(LEN(ChartLines.Hex6)=6, HEX2DEC(LEFT(ChartLines.Hex6, 2)), "·")</f>
        <v>0</v>
      </c>
      <c r="I122">
        <f t="shared" ref="I122" si="458" xml:space="preserve"> IF(LEN(ChartLines.Hex6)=6, HEX2DEC(MID(ChartLines.Hex6, 3, 2)), "·")</f>
        <v>102</v>
      </c>
      <c r="J122">
        <f t="shared" ref="J122" si="459" xml:space="preserve"> IF(LEN(ChartLines.Hex6)=6, HEX2DEC(RIGHT(ChartLines.Hex6, 2)), "·")</f>
        <v>179</v>
      </c>
      <c r="K122" cm="1">
        <f t="array" ref="K122" xml:space="preserve"> 1 + ROW() - _xlfn.SINGLE(ROW(ChartLines.RowNum))</f>
        <v>120</v>
      </c>
    </row>
    <row r="123" spans="2:11" x14ac:dyDescent="0.2">
      <c r="B123" t="s">
        <v>1618</v>
      </c>
      <c r="C123" t="s">
        <v>1918</v>
      </c>
      <c r="E123">
        <f t="shared" ref="E123" si="460" xml:space="preserve"> IF(AND(LEN(ChartLines.ID)&gt;0,"Unused"&lt;&gt;ChartLines.ID), COUNTIFS(ChartLines.ID,ChartLines.ID), "·")</f>
        <v>2</v>
      </c>
      <c r="F123">
        <f t="shared" ref="F123" si="461" xml:space="preserve"> IF(AND(LEN(ChartLines.ID)&gt;0,"Unused"&lt;&gt;ChartLines.ID), COUNTIFS(ChartLines.ID,ChartLines.ID,   ChartLines.RowNum,"&lt;="&amp;ChartLines.RowNum), "·")</f>
        <v>2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3">
        <f t="shared" ref="H123" si="462" xml:space="preserve"> IF(LEN(ChartLines.Hex6)=6, HEX2DEC(LEFT(ChartLines.Hex6, 2)), "·")</f>
        <v>218</v>
      </c>
      <c r="I123">
        <f t="shared" ref="I123" si="463" xml:space="preserve"> IF(LEN(ChartLines.Hex6)=6, HEX2DEC(MID(ChartLines.Hex6, 3, 2)), "·")</f>
        <v>32</v>
      </c>
      <c r="J123">
        <f t="shared" ref="J123" si="464" xml:space="preserve"> IF(LEN(ChartLines.Hex6)=6, HEX2DEC(RIGHT(ChartLines.Hex6, 2)), "·")</f>
        <v>50</v>
      </c>
      <c r="K123" cm="1">
        <f t="array" ref="K123" xml:space="preserve"> 1 + ROW() - _xlfn.SINGLE(ROW(ChartLines.RowNum))</f>
        <v>121</v>
      </c>
    </row>
    <row r="124" spans="2:11" x14ac:dyDescent="0.2">
      <c r="E124" t="str">
        <f t="shared" ref="E124" si="465" xml:space="preserve"> IF(AND(LEN(ChartLines.ID)&gt;0,"Unused"&lt;&gt;ChartLines.ID), COUNTIFS(ChartLines.ID,ChartLines.ID), "·")</f>
        <v>·</v>
      </c>
      <c r="F124" t="str">
        <f t="shared" ref="F124" si="466" xml:space="preserve"> IF(AND(LEN(ChartLines.ID)&gt;0,"Unused"&lt;&gt;ChartLines.ID), COUNTIFS(ChartLines.ID,ChartLines.ID,   ChartLines.RowNum,"&lt;="&amp;ChartLines.RowNum), "·")</f>
        <v>·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4" t="str">
        <f t="shared" ref="H124" si="467" xml:space="preserve"> IF(LEN(ChartLines.Hex6)=6, HEX2DEC(LEFT(ChartLines.Hex6, 2)), "·")</f>
        <v>·</v>
      </c>
      <c r="I124" t="str">
        <f t="shared" ref="I124" si="468" xml:space="preserve"> IF(LEN(ChartLines.Hex6)=6, HEX2DEC(MID(ChartLines.Hex6, 3, 2)), "·")</f>
        <v>·</v>
      </c>
      <c r="J124" t="str">
        <f t="shared" ref="J124" si="469" xml:space="preserve"> IF(LEN(ChartLines.Hex6)=6, HEX2DEC(RIGHT(ChartLines.Hex6, 2)), "·")</f>
        <v>·</v>
      </c>
      <c r="K124" cm="1">
        <f t="array" ref="K124" xml:space="preserve"> 1 + ROW() - _xlfn.SINGLE(ROW(ChartLines.RowNum))</f>
        <v>122</v>
      </c>
    </row>
    <row r="125" spans="2:11" x14ac:dyDescent="0.2">
      <c r="B125" t="s">
        <v>883</v>
      </c>
      <c r="C125" t="s">
        <v>1919</v>
      </c>
      <c r="E125">
        <f t="shared" ref="E125" si="470" xml:space="preserve"> IF(AND(LEN(ChartLines.ID)&gt;0,"Unused"&lt;&gt;ChartLines.ID), COUNTIFS(ChartLines.ID,ChartLines.ID), "·")</f>
        <v>2</v>
      </c>
      <c r="F125">
        <f t="shared" ref="F125" si="471" xml:space="preserve"> IF(AND(LEN(ChartLines.ID)&gt;0,"Unused"&lt;&gt;ChartLines.ID), COUNTIFS(ChartLines.ID,ChartLines.ID,   ChartLines.RowNum,"&lt;="&amp;ChartLines.RowNum), "·")</f>
        <v>1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5">
        <f t="shared" ref="H125" si="472" xml:space="preserve"> IF(LEN(ChartLines.Hex6)=6, HEX2DEC(LEFT(ChartLines.Hex6, 2)), "·")</f>
        <v>199</v>
      </c>
      <c r="I125">
        <f t="shared" ref="I125" si="473" xml:space="preserve"> IF(LEN(ChartLines.Hex6)=6, HEX2DEC(MID(ChartLines.Hex6, 3, 2)), "·")</f>
        <v>54</v>
      </c>
      <c r="J125">
        <f t="shared" ref="J125" si="474" xml:space="preserve"> IF(LEN(ChartLines.Hex6)=6, HEX2DEC(RIGHT(ChartLines.Hex6, 2)), "·")</f>
        <v>61</v>
      </c>
      <c r="K125" cm="1">
        <f t="array" ref="K125" xml:space="preserve"> 1 + ROW() - _xlfn.SINGLE(ROW(ChartLines.RowNum))</f>
        <v>123</v>
      </c>
    </row>
    <row r="126" spans="2:11" x14ac:dyDescent="0.2">
      <c r="B126" t="s">
        <v>883</v>
      </c>
      <c r="C126" t="s">
        <v>1920</v>
      </c>
      <c r="E126">
        <f t="shared" ref="E126" si="475" xml:space="preserve"> IF(AND(LEN(ChartLines.ID)&gt;0,"Unused"&lt;&gt;ChartLines.ID), COUNTIFS(ChartLines.ID,ChartLines.ID), "·")</f>
        <v>2</v>
      </c>
      <c r="F126">
        <f t="shared" ref="F126" si="476" xml:space="preserve"> IF(AND(LEN(ChartLines.ID)&gt;0,"Unused"&lt;&gt;ChartLines.ID), COUNTIFS(ChartLines.ID,ChartLines.ID,   ChartLines.RowNum,"&lt;="&amp;ChartLines.RowNum), "·")</f>
        <v>2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6">
        <f t="shared" ref="H126" si="477" xml:space="preserve"> IF(LEN(ChartLines.Hex6)=6, HEX2DEC(LEFT(ChartLines.Hex6, 2)), "·")</f>
        <v>12</v>
      </c>
      <c r="I126">
        <f t="shared" ref="I126" si="478" xml:space="preserve"> IF(LEN(ChartLines.Hex6)=6, HEX2DEC(MID(ChartLines.Hex6, 3, 2)), "·")</f>
        <v>64</v>
      </c>
      <c r="J126">
        <f t="shared" ref="J126" si="479" xml:space="preserve"> IF(LEN(ChartLines.Hex6)=6, HEX2DEC(RIGHT(ChartLines.Hex6, 2)), "·")</f>
        <v>119</v>
      </c>
      <c r="K126" cm="1">
        <f t="array" ref="K126" xml:space="preserve"> 1 + ROW() - _xlfn.SINGLE(ROW(ChartLines.RowNum))</f>
        <v>124</v>
      </c>
    </row>
    <row r="127" spans="2:11" x14ac:dyDescent="0.2">
      <c r="B127" t="s">
        <v>395</v>
      </c>
      <c r="C127" t="str">
        <f xml:space="preserve"> "000000"</f>
        <v>000000</v>
      </c>
      <c r="E127">
        <f t="shared" ref="E127" si="480" xml:space="preserve"> IF(AND(LEN(ChartLines.ID)&gt;0,"Unused"&lt;&gt;ChartLines.ID), COUNTIFS(ChartLines.ID,ChartLines.ID), "·")</f>
        <v>2</v>
      </c>
      <c r="F127">
        <f t="shared" ref="F127" si="481" xml:space="preserve"> IF(AND(LEN(ChartLines.ID)&gt;0,"Unused"&lt;&gt;ChartLines.ID), COUNTIFS(ChartLines.ID,ChartLines.ID,   ChartLines.RowNum,"&lt;="&amp;ChartLines.RowNum), "·")</f>
        <v>1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7">
        <f t="shared" ref="H127" si="482" xml:space="preserve"> IF(LEN(ChartLines.Hex6)=6, HEX2DEC(LEFT(ChartLines.Hex6, 2)), "·")</f>
        <v>0</v>
      </c>
      <c r="I127">
        <f t="shared" ref="I127" si="483" xml:space="preserve"> IF(LEN(ChartLines.Hex6)=6, HEX2DEC(MID(ChartLines.Hex6, 3, 2)), "·")</f>
        <v>0</v>
      </c>
      <c r="J127">
        <f t="shared" ref="J127" si="484" xml:space="preserve"> IF(LEN(ChartLines.Hex6)=6, HEX2DEC(RIGHT(ChartLines.Hex6, 2)), "·")</f>
        <v>0</v>
      </c>
      <c r="K127" cm="1">
        <f t="array" ref="K127" xml:space="preserve"> 1 + ROW() - _xlfn.SINGLE(ROW(ChartLines.RowNum))</f>
        <v>125</v>
      </c>
    </row>
    <row r="128" spans="2:11" x14ac:dyDescent="0.2">
      <c r="B128" t="s">
        <v>395</v>
      </c>
      <c r="C128" t="s">
        <v>1869</v>
      </c>
      <c r="E128">
        <f t="shared" ref="E128" si="485" xml:space="preserve"> IF(AND(LEN(ChartLines.ID)&gt;0,"Unused"&lt;&gt;ChartLines.ID), COUNTIFS(ChartLines.ID,ChartLines.ID), "·")</f>
        <v>2</v>
      </c>
      <c r="F128">
        <f t="shared" ref="F128" si="486" xml:space="preserve"> IF(AND(LEN(ChartLines.ID)&gt;0,"Unused"&lt;&gt;ChartLines.ID), COUNTIFS(ChartLines.ID,ChartLines.ID,   ChartLines.RowNum,"&lt;="&amp;ChartLines.RowNum), "·")</f>
        <v>2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8">
        <f t="shared" ref="H128" si="487" xml:space="preserve"> IF(LEN(ChartLines.Hex6)=6, HEX2DEC(LEFT(ChartLines.Hex6, 2)), "·")</f>
        <v>218</v>
      </c>
      <c r="I128">
        <f t="shared" ref="I128" si="488" xml:space="preserve"> IF(LEN(ChartLines.Hex6)=6, HEX2DEC(MID(ChartLines.Hex6, 3, 2)), "·")</f>
        <v>41</v>
      </c>
      <c r="J128">
        <f t="shared" ref="J128" si="489" xml:space="preserve"> IF(LEN(ChartLines.Hex6)=6, HEX2DEC(RIGHT(ChartLines.Hex6, 2)), "·")</f>
        <v>28</v>
      </c>
      <c r="K128" cm="1">
        <f t="array" ref="K128" xml:space="preserve"> 1 + ROW() - _xlfn.SINGLE(ROW(ChartLines.RowNum))</f>
        <v>126</v>
      </c>
    </row>
    <row r="129" spans="2:11" x14ac:dyDescent="0.2">
      <c r="B129" t="s">
        <v>407</v>
      </c>
      <c r="C129" t="s">
        <v>1921</v>
      </c>
      <c r="E129">
        <f t="shared" ref="E129" si="490" xml:space="preserve"> IF(AND(LEN(ChartLines.ID)&gt;0,"Unused"&lt;&gt;ChartLines.ID), COUNTIFS(ChartLines.ID,ChartLines.ID), "·")</f>
        <v>2</v>
      </c>
      <c r="F129">
        <f t="shared" ref="F129" si="491" xml:space="preserve"> IF(AND(LEN(ChartLines.ID)&gt;0,"Unused"&lt;&gt;ChartLines.ID), COUNTIFS(ChartLines.ID,ChartLines.ID,   ChartLines.RowNum,"&lt;="&amp;ChartLines.RowNum), "·")</f>
        <v>1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9">
        <f t="shared" ref="H129" si="492" xml:space="preserve"> IF(LEN(ChartLines.Hex6)=6, HEX2DEC(LEFT(ChartLines.Hex6, 2)), "·")</f>
        <v>206</v>
      </c>
      <c r="I129">
        <f t="shared" ref="I129" si="493" xml:space="preserve"> IF(LEN(ChartLines.Hex6)=6, HEX2DEC(MID(ChartLines.Hex6, 3, 2)), "·")</f>
        <v>32</v>
      </c>
      <c r="J129">
        <f t="shared" ref="J129" si="494" xml:space="preserve"> IF(LEN(ChartLines.Hex6)=6, HEX2DEC(RIGHT(ChartLines.Hex6, 2)), "·")</f>
        <v>40</v>
      </c>
      <c r="K129" cm="1">
        <f t="array" ref="K129" xml:space="preserve"> 1 + ROW() - _xlfn.SINGLE(ROW(ChartLines.RowNum))</f>
        <v>127</v>
      </c>
    </row>
    <row r="130" spans="2:11" x14ac:dyDescent="0.2">
      <c r="B130" t="s">
        <v>407</v>
      </c>
      <c r="C130" t="s">
        <v>1922</v>
      </c>
      <c r="E130">
        <f t="shared" ref="E130" si="495" xml:space="preserve"> IF(AND(LEN(ChartLines.ID)&gt;0,"Unused"&lt;&gt;ChartLines.ID), COUNTIFS(ChartLines.ID,ChartLines.ID), "·")</f>
        <v>2</v>
      </c>
      <c r="F130">
        <f t="shared" ref="F130" si="496" xml:space="preserve"> IF(AND(LEN(ChartLines.ID)&gt;0,"Unused"&lt;&gt;ChartLines.ID), COUNTIFS(ChartLines.ID,ChartLines.ID,   ChartLines.RowNum,"&lt;="&amp;ChartLines.RowNum), "·")</f>
        <v>2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0">
        <f t="shared" ref="H130" si="497" xml:space="preserve"> IF(LEN(ChartLines.Hex6)=6, HEX2DEC(LEFT(ChartLines.Hex6, 2)), "·")</f>
        <v>249</v>
      </c>
      <c r="I130">
        <f t="shared" ref="I130" si="498" xml:space="preserve"> IF(LEN(ChartLines.Hex6)=6, HEX2DEC(MID(ChartLines.Hex6, 3, 2)), "·")</f>
        <v>214</v>
      </c>
      <c r="J130">
        <f t="shared" ref="J130" si="499" xml:space="preserve"> IF(LEN(ChartLines.Hex6)=6, HEX2DEC(RIGHT(ChartLines.Hex6, 2)), "·")</f>
        <v>22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1680</v>
      </c>
      <c r="C131" t="s">
        <v>1923</v>
      </c>
      <c r="E131">
        <f t="shared" ref="E131" si="500" xml:space="preserve"> IF(AND(LEN(ChartLines.ID)&gt;0,"Unused"&lt;&gt;ChartLines.ID), COUNTIFS(ChartLines.ID,ChartLines.ID), "·")</f>
        <v>2</v>
      </c>
      <c r="F131">
        <f t="shared" ref="F131" si="501" xml:space="preserve"> IF(AND(LEN(ChartLines.ID)&gt;0,"Unused"&lt;&gt;ChartLines.ID), COUNTIFS(ChartLines.ID,ChartLines.ID,   ChartLines.RowNum,"&lt;="&amp;ChartLines.RowNum), "·")</f>
        <v>1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1">
        <f t="shared" ref="H131" si="502" xml:space="preserve"> IF(LEN(ChartLines.Hex6)=6, HEX2DEC(LEFT(ChartLines.Hex6, 2)), "·")</f>
        <v>255</v>
      </c>
      <c r="I131">
        <f t="shared" ref="I131" si="503" xml:space="preserve"> IF(LEN(ChartLines.Hex6)=6, HEX2DEC(MID(ChartLines.Hex6, 3, 2)), "·")</f>
        <v>210</v>
      </c>
      <c r="J131">
        <f t="shared" ref="J131" si="504" xml:space="preserve"> IF(LEN(ChartLines.Hex6)=6, HEX2DEC(RIGHT(ChartLines.Hex6, 2)), "·")</f>
        <v>0</v>
      </c>
      <c r="K131" cm="1">
        <f t="array" ref="K131" xml:space="preserve"> 1 + ROW() - _xlfn.SINGLE(ROW(ChartLines.RowNum))</f>
        <v>129</v>
      </c>
    </row>
    <row r="132" spans="2:11" x14ac:dyDescent="0.2">
      <c r="B132" t="s">
        <v>1680</v>
      </c>
      <c r="C132" t="s">
        <v>1924</v>
      </c>
      <c r="E132">
        <f t="shared" ref="E132" si="505" xml:space="preserve"> IF(AND(LEN(ChartLines.ID)&gt;0,"Unused"&lt;&gt;ChartLines.ID), COUNTIFS(ChartLines.ID,ChartLines.ID), "·")</f>
        <v>2</v>
      </c>
      <c r="F132">
        <f t="shared" ref="F132" si="506" xml:space="preserve"> IF(AND(LEN(ChartLines.ID)&gt;0,"Unused"&lt;&gt;ChartLines.ID), COUNTIFS(ChartLines.ID,ChartLines.ID,   ChartLines.RowNum,"&lt;="&amp;ChartLines.RowNum), "·")</f>
        <v>2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2">
        <f t="shared" ref="H132" si="507" xml:space="preserve"> IF(LEN(ChartLines.Hex6)=6, HEX2DEC(LEFT(ChartLines.Hex6, 2)), "·")</f>
        <v>204</v>
      </c>
      <c r="I132">
        <f t="shared" ref="I132" si="508" xml:space="preserve"> IF(LEN(ChartLines.Hex6)=6, HEX2DEC(MID(ChartLines.Hex6, 3, 2)), "·")</f>
        <v>9</v>
      </c>
      <c r="J132">
        <f t="shared" ref="J132" si="509" xml:space="preserve"> IF(LEN(ChartLines.Hex6)=6, HEX2DEC(RIGHT(ChartLines.Hex6, 2)), "·")</f>
        <v>47</v>
      </c>
      <c r="K132" cm="1">
        <f t="array" ref="K132" xml:space="preserve"> 1 + ROW() - _xlfn.SINGLE(ROW(ChartLines.RowNum))</f>
        <v>130</v>
      </c>
    </row>
    <row r="133" spans="2:11" x14ac:dyDescent="0.2">
      <c r="B133" t="s">
        <v>166</v>
      </c>
      <c r="C133" t="s">
        <v>1925</v>
      </c>
      <c r="E133">
        <f t="shared" ref="E133" si="510" xml:space="preserve"> IF(AND(LEN(ChartLines.ID)&gt;0,"Unused"&lt;&gt;ChartLines.ID), COUNTIFS(ChartLines.ID,ChartLines.ID), "·")</f>
        <v>2</v>
      </c>
      <c r="F133">
        <f t="shared" ref="F133" si="511" xml:space="preserve"> IF(AND(LEN(ChartLines.ID)&gt;0,"Unused"&lt;&gt;ChartLines.ID), COUNTIFS(ChartLines.ID,ChartLines.ID,   ChartLines.RowNum,"&lt;="&amp;ChartLines.RowNum), "·")</f>
        <v>1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3">
        <f t="shared" ref="H133" si="512" xml:space="preserve"> IF(LEN(ChartLines.Hex6)=6, HEX2DEC(LEFT(ChartLines.Hex6, 2)), "·")</f>
        <v>0</v>
      </c>
      <c r="I133">
        <f t="shared" ref="I133" si="513" xml:space="preserve"> IF(LEN(ChartLines.Hex6)=6, HEX2DEC(MID(ChartLines.Hex6, 3, 2)), "·")</f>
        <v>87</v>
      </c>
      <c r="J133">
        <f t="shared" ref="J133" si="514" xml:space="preserve"> IF(LEN(ChartLines.Hex6)=6, HEX2DEC(RIGHT(ChartLines.Hex6, 2)), "·")</f>
        <v>183</v>
      </c>
      <c r="K133" cm="1">
        <f t="array" ref="K133" xml:space="preserve"> 1 + ROW() - _xlfn.SINGLE(ROW(ChartLines.RowNum))</f>
        <v>131</v>
      </c>
    </row>
    <row r="134" spans="2:11" x14ac:dyDescent="0.2">
      <c r="B134" t="s">
        <v>166</v>
      </c>
      <c r="C134" t="s">
        <v>1995</v>
      </c>
      <c r="E134">
        <f t="shared" ref="E134" si="515" xml:space="preserve"> IF(AND(LEN(ChartLines.ID)&gt;0,"Unused"&lt;&gt;ChartLines.ID), COUNTIFS(ChartLines.ID,ChartLines.ID), "·")</f>
        <v>2</v>
      </c>
      <c r="F134">
        <f t="shared" ref="F134" si="516" xml:space="preserve"> IF(AND(LEN(ChartLines.ID)&gt;0,"Unused"&lt;&gt;ChartLines.ID), COUNTIFS(ChartLines.ID,ChartLines.ID,   ChartLines.RowNum,"&lt;="&amp;ChartLines.RowNum), "·")</f>
        <v>2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4">
        <f t="shared" ref="H134" si="517" xml:space="preserve"> IF(LEN(ChartLines.Hex6)=6, HEX2DEC(LEFT(ChartLines.Hex6, 2)), "·")</f>
        <v>255</v>
      </c>
      <c r="I134">
        <f t="shared" ref="I134" si="518" xml:space="preserve"> IF(LEN(ChartLines.Hex6)=6, HEX2DEC(MID(ChartLines.Hex6, 3, 2)), "·")</f>
        <v>215</v>
      </c>
      <c r="J134">
        <f t="shared" ref="J134" si="519" xml:space="preserve"> IF(LEN(ChartLines.Hex6)=6, HEX2DEC(RIGHT(ChartLines.Hex6, 2)), "·")</f>
        <v>0</v>
      </c>
      <c r="K134" cm="1">
        <f t="array" ref="K134" xml:space="preserve"> 1 + ROW() - _xlfn.SINGLE(ROW(ChartLines.RowNum))</f>
        <v>132</v>
      </c>
    </row>
    <row r="135" spans="2:11" x14ac:dyDescent="0.2">
      <c r="B135" t="s">
        <v>1926</v>
      </c>
      <c r="C135" t="s">
        <v>1850</v>
      </c>
      <c r="E135">
        <f t="shared" ref="E135" si="520" xml:space="preserve"> IF(AND(LEN(ChartLines.ID)&gt;0,"Unused"&lt;&gt;ChartLines.ID), COUNTIFS(ChartLines.ID,ChartLines.ID), "·")</f>
        <v>2</v>
      </c>
      <c r="F135">
        <f t="shared" ref="F135" si="521" xml:space="preserve"> IF(AND(LEN(ChartLines.ID)&gt;0,"Unused"&lt;&gt;ChartLines.ID), COUNTIFS(ChartLines.ID,ChartLines.ID,   ChartLines.RowNum,"&lt;="&amp;ChartLines.RowNum), "·")</f>
        <v>1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5">
        <f t="shared" ref="H135" si="522" xml:space="preserve"> IF(LEN(ChartLines.Hex6)=6, HEX2DEC(LEFT(ChartLines.Hex6, 2)), "·")</f>
        <v>255</v>
      </c>
      <c r="I135">
        <f t="shared" ref="I135" si="523" xml:space="preserve"> IF(LEN(ChartLines.Hex6)=6, HEX2DEC(MID(ChartLines.Hex6, 3, 2)), "·")</f>
        <v>0</v>
      </c>
      <c r="J135">
        <f t="shared" ref="J135" si="524" xml:space="preserve"> IF(LEN(ChartLines.Hex6)=6, HEX2DEC(RIGHT(ChartLines.Hex6, 2)), "·")</f>
        <v>0</v>
      </c>
      <c r="K135" cm="1">
        <f t="array" ref="K135" xml:space="preserve"> 1 + ROW() - _xlfn.SINGLE(ROW(ChartLines.RowNum))</f>
        <v>133</v>
      </c>
    </row>
    <row r="136" spans="2:11" x14ac:dyDescent="0.2">
      <c r="B136" t="s">
        <v>1926</v>
      </c>
      <c r="C136" t="s">
        <v>1851</v>
      </c>
      <c r="E136">
        <f t="shared" ref="E136" si="525" xml:space="preserve"> IF(AND(LEN(ChartLines.ID)&gt;0,"Unused"&lt;&gt;ChartLines.ID), COUNTIFS(ChartLines.ID,ChartLines.ID), "·")</f>
        <v>2</v>
      </c>
      <c r="F136">
        <f t="shared" ref="F136" si="526" xml:space="preserve"> IF(AND(LEN(ChartLines.ID)&gt;0,"Unused"&lt;&gt;ChartLines.ID), COUNTIFS(ChartLines.ID,ChartLines.ID,   ChartLines.RowNum,"&lt;="&amp;ChartLines.RowNum), "·")</f>
        <v>2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6">
        <f t="shared" ref="H136" si="527" xml:space="preserve"> IF(LEN(ChartLines.Hex6)=6, HEX2DEC(LEFT(ChartLines.Hex6, 2)), "·")</f>
        <v>255</v>
      </c>
      <c r="I136">
        <f t="shared" ref="I136" si="528" xml:space="preserve"> IF(LEN(ChartLines.Hex6)=6, HEX2DEC(MID(ChartLines.Hex6, 3, 2)), "·")</f>
        <v>255</v>
      </c>
      <c r="J136">
        <f t="shared" ref="J136" si="529" xml:space="preserve"> IF(LEN(ChartLines.Hex6)=6, HEX2DEC(RIGHT(ChartLines.Hex6, 2)), "·")</f>
        <v>255</v>
      </c>
      <c r="K136" cm="1">
        <f t="array" ref="K136" xml:space="preserve"> 1 + ROW() - _xlfn.SINGLE(ROW(ChartLines.RowNum))</f>
        <v>134</v>
      </c>
    </row>
    <row r="137" spans="2:11" x14ac:dyDescent="0.2">
      <c r="B137" t="s">
        <v>2170</v>
      </c>
      <c r="C137" t="s">
        <v>1927</v>
      </c>
      <c r="E137">
        <f t="shared" ref="E137" si="530" xml:space="preserve"> IF(AND(LEN(ChartLines.ID)&gt;0,"Unused"&lt;&gt;ChartLines.ID), COUNTIFS(ChartLines.ID,ChartLines.ID), "·")</f>
        <v>2</v>
      </c>
      <c r="F137">
        <f t="shared" ref="F137" si="531" xml:space="preserve"> IF(AND(LEN(ChartLines.ID)&gt;0,"Unused"&lt;&gt;ChartLines.ID), COUNTIFS(ChartLines.ID,ChartLines.ID,   ChartLines.RowNum,"&lt;="&amp;ChartLines.RowNum), "·")</f>
        <v>1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7">
        <f t="shared" ref="H137" si="532" xml:space="preserve"> IF(LEN(ChartLines.Hex6)=6, HEX2DEC(LEFT(ChartLines.Hex6, 2)), "·")</f>
        <v>207</v>
      </c>
      <c r="I137">
        <f t="shared" ref="I137" si="533" xml:space="preserve"> IF(LEN(ChartLines.Hex6)=6, HEX2DEC(MID(ChartLines.Hex6, 3, 2)), "·")</f>
        <v>16</v>
      </c>
      <c r="J137">
        <f t="shared" ref="J137" si="534" xml:space="preserve"> IF(LEN(ChartLines.Hex6)=6, HEX2DEC(RIGHT(ChartLines.Hex6, 2)), "·")</f>
        <v>26</v>
      </c>
      <c r="K137" cm="1">
        <f t="array" ref="K137" xml:space="preserve"> 1 + ROW() - _xlfn.SINGLE(ROW(ChartLines.RowNum))</f>
        <v>135</v>
      </c>
    </row>
    <row r="138" spans="2:11" x14ac:dyDescent="0.2">
      <c r="B138" t="s">
        <v>2170</v>
      </c>
      <c r="C138" t="s">
        <v>1851</v>
      </c>
      <c r="E138">
        <f t="shared" ref="E138" si="535" xml:space="preserve"> IF(AND(LEN(ChartLines.ID)&gt;0,"Unused"&lt;&gt;ChartLines.ID), COUNTIFS(ChartLines.ID,ChartLines.ID), "·")</f>
        <v>2</v>
      </c>
      <c r="F138">
        <f t="shared" ref="F138" si="536" xml:space="preserve"> IF(AND(LEN(ChartLines.ID)&gt;0,"Unused"&lt;&gt;ChartLines.ID), COUNTIFS(ChartLines.ID,ChartLines.ID,   ChartLines.RowNum,"&lt;="&amp;ChartLines.RowNum), "·")</f>
        <v>2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8">
        <f t="shared" ref="H138" si="537" xml:space="preserve"> IF(LEN(ChartLines.Hex6)=6, HEX2DEC(LEFT(ChartLines.Hex6, 2)), "·")</f>
        <v>255</v>
      </c>
      <c r="I138">
        <f t="shared" ref="I138" si="538" xml:space="preserve"> IF(LEN(ChartLines.Hex6)=6, HEX2DEC(MID(ChartLines.Hex6, 3, 2)), "·")</f>
        <v>255</v>
      </c>
      <c r="J138">
        <f t="shared" ref="J138" si="539" xml:space="preserve"> IF(LEN(ChartLines.Hex6)=6, HEX2DEC(RIGHT(ChartLines.Hex6, 2)), "·")</f>
        <v>255</v>
      </c>
      <c r="K138" cm="1">
        <f t="array" ref="K138" xml:space="preserve"> 1 + ROW() - _xlfn.SINGLE(ROW(ChartLines.RowNum))</f>
        <v>136</v>
      </c>
    </row>
    <row r="139" spans="2:11" x14ac:dyDescent="0.2">
      <c r="B139" t="s">
        <v>408</v>
      </c>
      <c r="C139" t="s">
        <v>2093</v>
      </c>
      <c r="E139">
        <f t="shared" ref="E139" si="540" xml:space="preserve"> IF(AND(LEN(ChartLines.ID)&gt;0,"Unused"&lt;&gt;ChartLines.ID), COUNTIFS(ChartLines.ID,ChartLines.ID), "·")</f>
        <v>2</v>
      </c>
      <c r="F139">
        <f t="shared" ref="F139" si="541" xml:space="preserve"> IF(AND(LEN(ChartLines.ID)&gt;0,"Unused"&lt;&gt;ChartLines.ID), COUNTIFS(ChartLines.ID,ChartLines.ID,   ChartLines.RowNum,"&lt;="&amp;ChartLines.RowNum), "·")</f>
        <v>1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9">
        <f t="shared" ref="H139" si="542" xml:space="preserve"> IF(LEN(ChartLines.Hex6)=6, HEX2DEC(LEFT(ChartLines.Hex6, 2)), "·")</f>
        <v>106</v>
      </c>
      <c r="I139">
        <f t="shared" ref="I139" si="543" xml:space="preserve"> IF(LEN(ChartLines.Hex6)=6, HEX2DEC(MID(ChartLines.Hex6, 3, 2)), "·")</f>
        <v>87</v>
      </c>
      <c r="J139">
        <f t="shared" ref="J139" si="544" xml:space="preserve"> IF(LEN(ChartLines.Hex6)=6, HEX2DEC(RIGHT(ChartLines.Hex6, 2)), "·")</f>
        <v>27</v>
      </c>
      <c r="K139" cm="1">
        <f t="array" ref="K139" xml:space="preserve"> 1 + ROW() - _xlfn.SINGLE(ROW(ChartLines.RowNum))</f>
        <v>137</v>
      </c>
    </row>
    <row r="140" spans="2:11" x14ac:dyDescent="0.2">
      <c r="B140" t="s">
        <v>408</v>
      </c>
      <c r="C140" t="s">
        <v>2084</v>
      </c>
      <c r="E140">
        <f t="shared" ref="E140" si="545" xml:space="preserve"> IF(AND(LEN(ChartLines.ID)&gt;0,"Unused"&lt;&gt;ChartLines.ID), COUNTIFS(ChartLines.ID,ChartLines.ID), "·")</f>
        <v>2</v>
      </c>
      <c r="F140">
        <f t="shared" ref="F140" si="546" xml:space="preserve"> IF(AND(LEN(ChartLines.ID)&gt;0,"Unused"&lt;&gt;ChartLines.ID), COUNTIFS(ChartLines.ID,ChartLines.ID,   ChartLines.RowNum,"&lt;="&amp;ChartLines.RowNum), "·")</f>
        <v>2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0">
        <f t="shared" ref="H140" si="547" xml:space="preserve"> IF(LEN(ChartLines.Hex6)=6, HEX2DEC(LEFT(ChartLines.Hex6, 2)), "·")</f>
        <v>212</v>
      </c>
      <c r="I140">
        <f t="shared" ref="I140" si="548" xml:space="preserve"> IF(LEN(ChartLines.Hex6)=6, HEX2DEC(MID(ChartLines.Hex6, 3, 2)), "·")</f>
        <v>175</v>
      </c>
      <c r="J140">
        <f t="shared" ref="J140" si="549" xml:space="preserve"> IF(LEN(ChartLines.Hex6)=6, HEX2DEC(RIGHT(ChartLines.Hex6, 2)), "·")</f>
        <v>55</v>
      </c>
      <c r="K140" cm="1">
        <f t="array" ref="K140" xml:space="preserve"> 1 + ROW() - _xlfn.SINGLE(ROW(ChartLines.RowNum))</f>
        <v>138</v>
      </c>
    </row>
    <row r="141" spans="2:11" x14ac:dyDescent="0.2">
      <c r="E141" t="str">
        <f t="shared" ref="E141" si="550" xml:space="preserve"> IF(AND(LEN(ChartLines.ID)&gt;0,"Unused"&lt;&gt;ChartLines.ID), COUNTIFS(ChartLines.ID,ChartLines.ID), "·")</f>
        <v>·</v>
      </c>
      <c r="F141" t="str">
        <f t="shared" ref="F141" si="551" xml:space="preserve"> IF(AND(LEN(ChartLines.ID)&gt;0,"Unused"&lt;&gt;ChartLines.ID), COUNTIFS(ChartLines.ID,ChartLines.ID,   ChartLines.RowNum,"&lt;="&amp;ChartLines.RowNum), "·")</f>
        <v>·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1" t="str">
        <f t="shared" ref="H141" si="552" xml:space="preserve"> IF(LEN(ChartLines.Hex6)=6, HEX2DEC(LEFT(ChartLines.Hex6, 2)), "·")</f>
        <v>·</v>
      </c>
      <c r="I141" t="str">
        <f t="shared" ref="I141" si="553" xml:space="preserve"> IF(LEN(ChartLines.Hex6)=6, HEX2DEC(MID(ChartLines.Hex6, 3, 2)), "·")</f>
        <v>·</v>
      </c>
      <c r="J141" t="str">
        <f t="shared" ref="J141" si="554" xml:space="preserve"> IF(LEN(ChartLines.Hex6)=6, HEX2DEC(RIGHT(ChartLines.Hex6, 2)), "·")</f>
        <v>·</v>
      </c>
      <c r="K141" cm="1">
        <f t="array" ref="K141" xml:space="preserve"> 1 + ROW() - _xlfn.SINGLE(ROW(ChartLines.RowNum))</f>
        <v>139</v>
      </c>
    </row>
    <row r="142" spans="2:11" x14ac:dyDescent="0.2">
      <c r="B142" t="s">
        <v>134</v>
      </c>
      <c r="C142" t="s">
        <v>1928</v>
      </c>
      <c r="E142">
        <f t="shared" ref="E142" si="555" xml:space="preserve"> IF(AND(LEN(ChartLines.ID)&gt;0,"Unused"&lt;&gt;ChartLines.ID), COUNTIFS(ChartLines.ID,ChartLines.ID), "·")</f>
        <v>1</v>
      </c>
      <c r="F142">
        <f t="shared" ref="F142" si="556" xml:space="preserve"> IF(AND(LEN(ChartLines.ID)&gt;0,"Unused"&lt;&gt;ChartLines.ID), COUNTIFS(ChartLines.ID,ChartLines.ID,   ChartLines.RowNum,"&lt;="&amp;ChartLines.RowNum), "·")</f>
        <v>1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42">
        <f t="shared" ref="H142" si="557" xml:space="preserve"> IF(LEN(ChartLines.Hex6)=6, HEX2DEC(LEFT(ChartLines.Hex6, 2)), "·")</f>
        <v>227</v>
      </c>
      <c r="I142">
        <f t="shared" ref="I142" si="558" xml:space="preserve"> IF(LEN(ChartLines.Hex6)=6, HEX2DEC(MID(ChartLines.Hex6, 3, 2)), "·")</f>
        <v>10</v>
      </c>
      <c r="J142">
        <f t="shared" ref="J142" si="559" xml:space="preserve"> IF(LEN(ChartLines.Hex6)=6, HEX2DEC(RIGHT(ChartLines.Hex6, 2)), "·")</f>
        <v>23</v>
      </c>
      <c r="K142" cm="1">
        <f t="array" ref="K142" xml:space="preserve"> 1 + ROW() - _xlfn.SINGLE(ROW(ChartLines.RowNum))</f>
        <v>140</v>
      </c>
    </row>
    <row r="143" spans="2:11" x14ac:dyDescent="0.2">
      <c r="B143" t="s">
        <v>1847</v>
      </c>
      <c r="E143" t="str">
        <f t="shared" ref="E143" si="560" xml:space="preserve"> IF(AND(LEN(ChartLines.ID)&gt;0,"Unused"&lt;&gt;ChartLines.ID), COUNTIFS(ChartLines.ID,ChartLines.ID), "·")</f>
        <v>·</v>
      </c>
      <c r="F143" t="str">
        <f t="shared" ref="F143" si="561" xml:space="preserve"> IF(AND(LEN(ChartLines.ID)&gt;0,"Unused"&lt;&gt;ChartLines.ID), COUNTIFS(ChartLines.ID,ChartLines.ID,   ChartLines.RowNum,"&lt;="&amp;ChartLines.RowNum), "·")</f>
        <v>·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3" t="str">
        <f t="shared" ref="H143" si="562" xml:space="preserve"> IF(LEN(ChartLines.Hex6)=6, HEX2DEC(LEFT(ChartLines.Hex6, 2)), "·")</f>
        <v>·</v>
      </c>
      <c r="I143" t="str">
        <f t="shared" ref="I143" si="563" xml:space="preserve"> IF(LEN(ChartLines.Hex6)=6, HEX2DEC(MID(ChartLines.Hex6, 3, 2)), "·")</f>
        <v>·</v>
      </c>
      <c r="J143" t="str">
        <f t="shared" ref="J143" si="564" xml:space="preserve"> IF(LEN(ChartLines.Hex6)=6, HEX2DEC(RIGHT(ChartLines.Hex6, 2)), "·")</f>
        <v>·</v>
      </c>
      <c r="K143" cm="1">
        <f t="array" ref="K143" xml:space="preserve"> 1 + ROW() - _xlfn.SINGLE(ROW(ChartLines.RowNum))</f>
        <v>141</v>
      </c>
    </row>
    <row r="144" spans="2:11" x14ac:dyDescent="0.2">
      <c r="B144" t="s">
        <v>167</v>
      </c>
      <c r="C144" t="str">
        <f xml:space="preserve"> "009639"</f>
        <v>009639</v>
      </c>
      <c r="E144">
        <f t="shared" ref="E144" si="565" xml:space="preserve"> IF(AND(LEN(ChartLines.ID)&gt;0,"Unused"&lt;&gt;ChartLines.ID), COUNTIFS(ChartLines.ID,ChartLines.ID), "·")</f>
        <v>2</v>
      </c>
      <c r="F144">
        <f t="shared" ref="F144" si="566" xml:space="preserve"> IF(AND(LEN(ChartLines.ID)&gt;0,"Unused"&lt;&gt;ChartLines.ID), COUNTIFS(ChartLines.ID,ChartLines.ID,   ChartLines.RowNum,"&lt;="&amp;ChartLines.RowNum), "·")</f>
        <v>1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4">
        <f t="shared" ref="H144" si="567" xml:space="preserve"> IF(LEN(ChartLines.Hex6)=6, HEX2DEC(LEFT(ChartLines.Hex6, 2)), "·")</f>
        <v>0</v>
      </c>
      <c r="I144">
        <f t="shared" ref="I144" si="568" xml:space="preserve"> IF(LEN(ChartLines.Hex6)=6, HEX2DEC(MID(ChartLines.Hex6, 3, 2)), "·")</f>
        <v>150</v>
      </c>
      <c r="J144">
        <f t="shared" ref="J144" si="569" xml:space="preserve"> IF(LEN(ChartLines.Hex6)=6, HEX2DEC(RIGHT(ChartLines.Hex6, 2)), "·")</f>
        <v>57</v>
      </c>
      <c r="K144" cm="1">
        <f t="array" ref="K144" xml:space="preserve"> 1 + ROW() - _xlfn.SINGLE(ROW(ChartLines.RowNum))</f>
        <v>142</v>
      </c>
    </row>
    <row r="145" spans="2:11" x14ac:dyDescent="0.2">
      <c r="B145" t="s">
        <v>167</v>
      </c>
      <c r="C145" t="s">
        <v>1851</v>
      </c>
      <c r="E145">
        <f t="shared" ref="E145" si="570" xml:space="preserve"> IF(AND(LEN(ChartLines.ID)&gt;0,"Unused"&lt;&gt;ChartLines.ID), COUNTIFS(ChartLines.ID,ChartLines.ID), "·")</f>
        <v>2</v>
      </c>
      <c r="F145">
        <f t="shared" ref="F145" si="571" xml:space="preserve"> IF(AND(LEN(ChartLines.ID)&gt;0,"Unused"&lt;&gt;ChartLines.ID), COUNTIFS(ChartLines.ID,ChartLines.ID,   ChartLines.RowNum,"&lt;="&amp;ChartLines.RowNum), "·")</f>
        <v>2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5">
        <f t="shared" ref="H145" si="572" xml:space="preserve"> IF(LEN(ChartLines.Hex6)=6, HEX2DEC(LEFT(ChartLines.Hex6, 2)), "·")</f>
        <v>255</v>
      </c>
      <c r="I145">
        <f t="shared" ref="I145" si="573" xml:space="preserve"> IF(LEN(ChartLines.Hex6)=6, HEX2DEC(MID(ChartLines.Hex6, 3, 2)), "·")</f>
        <v>255</v>
      </c>
      <c r="J145">
        <f t="shared" ref="J145" si="574" xml:space="preserve"> IF(LEN(ChartLines.Hex6)=6, HEX2DEC(RIGHT(ChartLines.Hex6, 2)), "·")</f>
        <v>255</v>
      </c>
      <c r="K145" cm="1">
        <f t="array" ref="K145" xml:space="preserve"> 1 + ROW() - _xlfn.SINGLE(ROW(ChartLines.RowNum))</f>
        <v>143</v>
      </c>
    </row>
    <row r="146" spans="2:11" x14ac:dyDescent="0.2">
      <c r="B146" t="s">
        <v>460</v>
      </c>
      <c r="C146" t="str">
        <f xml:space="preserve"> "009639"</f>
        <v>009639</v>
      </c>
      <c r="E146">
        <f t="shared" ref="E146" si="575" xml:space="preserve"> IF(AND(LEN(ChartLines.ID)&gt;0,"Unused"&lt;&gt;ChartLines.ID), COUNTIFS(ChartLines.ID,ChartLines.ID), "·")</f>
        <v>2</v>
      </c>
      <c r="F146">
        <f t="shared" ref="F146" si="576" xml:space="preserve"> IF(AND(LEN(ChartLines.ID)&gt;0,"Unused"&lt;&gt;ChartLines.ID), COUNTIFS(ChartLines.ID,ChartLines.ID,   ChartLines.RowNum,"&lt;="&amp;ChartLines.RowNum), "·")</f>
        <v>1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6">
        <f t="shared" ref="H146" si="577" xml:space="preserve"> IF(LEN(ChartLines.Hex6)=6, HEX2DEC(LEFT(ChartLines.Hex6, 2)), "·")</f>
        <v>0</v>
      </c>
      <c r="I146">
        <f t="shared" ref="I146" si="578" xml:space="preserve"> IF(LEN(ChartLines.Hex6)=6, HEX2DEC(MID(ChartLines.Hex6, 3, 2)), "·")</f>
        <v>150</v>
      </c>
      <c r="J146">
        <f t="shared" ref="J146" si="579" xml:space="preserve"> IF(LEN(ChartLines.Hex6)=6, HEX2DEC(RIGHT(ChartLines.Hex6, 2)), "·")</f>
        <v>57</v>
      </c>
      <c r="K146" cm="1">
        <f t="array" ref="K146" xml:space="preserve"> 1 + ROW() - _xlfn.SINGLE(ROW(ChartLines.RowNum))</f>
        <v>144</v>
      </c>
    </row>
    <row r="147" spans="2:11" x14ac:dyDescent="0.2">
      <c r="B147" t="s">
        <v>460</v>
      </c>
      <c r="C147" t="s">
        <v>1849</v>
      </c>
      <c r="E147">
        <f t="shared" ref="E147:E149" si="580" xml:space="preserve"> IF(AND(LEN(ChartLines.ID)&gt;0,"Unused"&lt;&gt;ChartLines.ID), COUNTIFS(ChartLines.ID,ChartLines.ID), "·")</f>
        <v>2</v>
      </c>
      <c r="F147">
        <f t="shared" ref="F147:F149" si="581" xml:space="preserve"> IF(AND(LEN(ChartLines.ID)&gt;0,"Unused"&lt;&gt;ChartLines.ID), COUNTIFS(ChartLines.ID,ChartLines.ID,   ChartLines.RowNum,"&lt;="&amp;ChartLines.RowNum), "·")</f>
        <v>2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7">
        <f t="shared" ref="H147:H149" si="582" xml:space="preserve"> IF(LEN(ChartLines.Hex6)=6, HEX2DEC(LEFT(ChartLines.Hex6, 2)), "·")</f>
        <v>239</v>
      </c>
      <c r="I147">
        <f t="shared" ref="I147:I149" si="583" xml:space="preserve"> IF(LEN(ChartLines.Hex6)=6, HEX2DEC(MID(ChartLines.Hex6, 3, 2)), "·")</f>
        <v>51</v>
      </c>
      <c r="J147">
        <f t="shared" ref="J147:J149" si="584" xml:space="preserve"> IF(LEN(ChartLines.Hex6)=6, HEX2DEC(RIGHT(ChartLines.Hex6, 2)), "·")</f>
        <v>64</v>
      </c>
      <c r="K147" cm="1">
        <f t="array" ref="K147" xml:space="preserve"> 1 + ROW() - _xlfn.SINGLE(ROW(ChartLines.RowNum))</f>
        <v>145</v>
      </c>
    </row>
    <row r="148" spans="2:11" x14ac:dyDescent="0.2">
      <c r="B148" t="s">
        <v>1994</v>
      </c>
      <c r="C148" t="s">
        <v>1856</v>
      </c>
      <c r="E148">
        <f t="shared" si="580"/>
        <v>2</v>
      </c>
      <c r="F148">
        <f t="shared" si="581"/>
        <v>1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8">
        <f t="shared" si="582"/>
        <v>200</v>
      </c>
      <c r="I148">
        <f t="shared" si="583"/>
        <v>16</v>
      </c>
      <c r="J148">
        <f t="shared" si="584"/>
        <v>46</v>
      </c>
      <c r="K148" cm="1">
        <f t="array" ref="K148" xml:space="preserve"> 1 + ROW() - _xlfn.SINGLE(ROW(ChartLines.RowNum))</f>
        <v>146</v>
      </c>
    </row>
    <row r="149" spans="2:11" x14ac:dyDescent="0.2">
      <c r="B149" t="s">
        <v>1994</v>
      </c>
      <c r="C149" t="s">
        <v>1995</v>
      </c>
      <c r="E149">
        <f t="shared" si="580"/>
        <v>2</v>
      </c>
      <c r="F149">
        <f t="shared" si="581"/>
        <v>2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9">
        <f t="shared" si="582"/>
        <v>255</v>
      </c>
      <c r="I149">
        <f t="shared" si="583"/>
        <v>215</v>
      </c>
      <c r="J149">
        <f t="shared" si="584"/>
        <v>0</v>
      </c>
      <c r="K149" cm="1">
        <f t="array" ref="K149" xml:space="preserve"> 1 + ROW() - _xlfn.SINGLE(ROW(ChartLines.RowNum))</f>
        <v>147</v>
      </c>
    </row>
    <row r="150" spans="2:11" x14ac:dyDescent="0.2">
      <c r="B150" t="s">
        <v>474</v>
      </c>
      <c r="C150" t="s">
        <v>1929</v>
      </c>
      <c r="E150">
        <f t="shared" ref="E150" si="585" xml:space="preserve"> IF(AND(LEN(ChartLines.ID)&gt;0,"Unused"&lt;&gt;ChartLines.ID), COUNTIFS(ChartLines.ID,ChartLines.ID), "·")</f>
        <v>2</v>
      </c>
      <c r="F150">
        <f t="shared" ref="F150" si="586" xml:space="preserve"> IF(AND(LEN(ChartLines.ID)&gt;0,"Unused"&lt;&gt;ChartLines.ID), COUNTIFS(ChartLines.ID,ChartLines.ID,   ChartLines.RowNum,"&lt;="&amp;ChartLines.RowNum), "·")</f>
        <v>1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0">
        <f t="shared" ref="H150" si="587" xml:space="preserve"> IF(LEN(ChartLines.Hex6)=6, HEX2DEC(LEFT(ChartLines.Hex6, 2)), "·")</f>
        <v>108</v>
      </c>
      <c r="I150">
        <f t="shared" ref="I150" si="588" xml:space="preserve"> IF(LEN(ChartLines.Hex6)=6, HEX2DEC(MID(ChartLines.Hex6, 3, 2)), "·")</f>
        <v>29</v>
      </c>
      <c r="J150">
        <f t="shared" ref="J150" si="589" xml:space="preserve"> IF(LEN(ChartLines.Hex6)=6, HEX2DEC(RIGHT(ChartLines.Hex6, 2)), "·")</f>
        <v>69</v>
      </c>
      <c r="K150" cm="1">
        <f t="array" ref="K150" xml:space="preserve"> 1 + ROW() - _xlfn.SINGLE(ROW(ChartLines.RowNum))</f>
        <v>148</v>
      </c>
    </row>
    <row r="151" spans="2:11" x14ac:dyDescent="0.2">
      <c r="B151" t="s">
        <v>474</v>
      </c>
      <c r="C151" t="s">
        <v>1851</v>
      </c>
      <c r="E151">
        <f t="shared" ref="E151" si="590" xml:space="preserve"> IF(AND(LEN(ChartLines.ID)&gt;0,"Unused"&lt;&gt;ChartLines.ID), COUNTIFS(ChartLines.ID,ChartLines.ID), "·")</f>
        <v>2</v>
      </c>
      <c r="F151">
        <f t="shared" ref="F151" si="591" xml:space="preserve"> IF(AND(LEN(ChartLines.ID)&gt;0,"Unused"&lt;&gt;ChartLines.ID), COUNTIFS(ChartLines.ID,ChartLines.ID,   ChartLines.RowNum,"&lt;="&amp;ChartLines.RowNum), "·")</f>
        <v>2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1">
        <f t="shared" ref="H151" si="592" xml:space="preserve"> IF(LEN(ChartLines.Hex6)=6, HEX2DEC(LEFT(ChartLines.Hex6, 2)), "·")</f>
        <v>255</v>
      </c>
      <c r="I151">
        <f t="shared" ref="I151" si="593" xml:space="preserve"> IF(LEN(ChartLines.Hex6)=6, HEX2DEC(MID(ChartLines.Hex6, 3, 2)), "·")</f>
        <v>255</v>
      </c>
      <c r="J151">
        <f t="shared" ref="J151" si="594" xml:space="preserve"> IF(LEN(ChartLines.Hex6)=6, HEX2DEC(RIGHT(ChartLines.Hex6, 2)), "·")</f>
        <v>255</v>
      </c>
      <c r="K151" cm="1">
        <f t="array" ref="K151" xml:space="preserve"> 1 + ROW() - _xlfn.SINGLE(ROW(ChartLines.RowNum))</f>
        <v>149</v>
      </c>
    </row>
    <row r="152" spans="2:11" x14ac:dyDescent="0.2">
      <c r="B152" t="s">
        <v>1930</v>
      </c>
      <c r="C152" t="str">
        <f xml:space="preserve"> "000000"</f>
        <v>000000</v>
      </c>
      <c r="E152">
        <f t="shared" ref="E152" si="595" xml:space="preserve"> IF(AND(LEN(ChartLines.ID)&gt;0,"Unused"&lt;&gt;ChartLines.ID), COUNTIFS(ChartLines.ID,ChartLines.ID), "·")</f>
        <v>2</v>
      </c>
      <c r="F152">
        <f t="shared" ref="F152" si="596" xml:space="preserve"> IF(AND(LEN(ChartLines.ID)&gt;0,"Unused"&lt;&gt;ChartLines.ID), COUNTIFS(ChartLines.ID,ChartLines.ID,   ChartLines.RowNum,"&lt;="&amp;ChartLines.RowNum), "·")</f>
        <v>1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2">
        <f t="shared" ref="H152" si="597" xml:space="preserve"> IF(LEN(ChartLines.Hex6)=6, HEX2DEC(LEFT(ChartLines.Hex6, 2)), "·")</f>
        <v>0</v>
      </c>
      <c r="I152">
        <f t="shared" ref="I152" si="598" xml:space="preserve"> IF(LEN(ChartLines.Hex6)=6, HEX2DEC(MID(ChartLines.Hex6, 3, 2)), "·")</f>
        <v>0</v>
      </c>
      <c r="J152">
        <f t="shared" ref="J152" si="599" xml:space="preserve"> IF(LEN(ChartLines.Hex6)=6, HEX2DEC(RIGHT(ChartLines.Hex6, 2)), "·")</f>
        <v>0</v>
      </c>
      <c r="K152" cm="1">
        <f t="array" ref="K152" xml:space="preserve"> 1 + ROW() - _xlfn.SINGLE(ROW(ChartLines.RowNum))</f>
        <v>150</v>
      </c>
    </row>
    <row r="153" spans="2:11" x14ac:dyDescent="0.2">
      <c r="B153" t="s">
        <v>1930</v>
      </c>
      <c r="C153" t="s">
        <v>1931</v>
      </c>
      <c r="E153">
        <f t="shared" ref="E153:E155" si="600" xml:space="preserve"> IF(AND(LEN(ChartLines.ID)&gt;0,"Unused"&lt;&gt;ChartLines.ID), COUNTIFS(ChartLines.ID,ChartLines.ID), "·")</f>
        <v>2</v>
      </c>
      <c r="F153">
        <f t="shared" ref="F153:F155" si="601" xml:space="preserve"> IF(AND(LEN(ChartLines.ID)&gt;0,"Unused"&lt;&gt;ChartLines.ID), COUNTIFS(ChartLines.ID,ChartLines.ID,   ChartLines.RowNum,"&lt;="&amp;ChartLines.RowNum), "·")</f>
        <v>2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3">
        <f t="shared" ref="H153:H155" si="602" xml:space="preserve"> IF(LEN(ChartLines.Hex6)=6, HEX2DEC(LEFT(ChartLines.Hex6, 2)), "·")</f>
        <v>206</v>
      </c>
      <c r="I153">
        <f t="shared" ref="I153:I155" si="603" xml:space="preserve"> IF(LEN(ChartLines.Hex6)=6, HEX2DEC(MID(ChartLines.Hex6, 3, 2)), "·")</f>
        <v>17</v>
      </c>
      <c r="J153">
        <f t="shared" ref="J153:J155" si="604" xml:space="preserve"> IF(LEN(ChartLines.Hex6)=6, HEX2DEC(RIGHT(ChartLines.Hex6, 2)), "·")</f>
        <v>38</v>
      </c>
      <c r="K153" cm="1">
        <f t="array" ref="K153" xml:space="preserve"> 1 + ROW() - _xlfn.SINGLE(ROW(ChartLines.RowNum))</f>
        <v>151</v>
      </c>
    </row>
    <row r="154" spans="2:11" x14ac:dyDescent="0.2">
      <c r="B154" t="s">
        <v>2042</v>
      </c>
      <c r="C154" t="s">
        <v>2041</v>
      </c>
      <c r="E154">
        <f t="shared" si="600"/>
        <v>2</v>
      </c>
      <c r="F154">
        <f t="shared" si="601"/>
        <v>1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4">
        <f t="shared" si="602"/>
        <v>196</v>
      </c>
      <c r="I154">
        <f t="shared" si="603"/>
        <v>156</v>
      </c>
      <c r="J154">
        <f t="shared" si="604"/>
        <v>91</v>
      </c>
      <c r="K154" cm="1">
        <f t="array" ref="K154" xml:space="preserve"> 1 + ROW() - _xlfn.SINGLE(ROW(ChartLines.RowNum))</f>
        <v>152</v>
      </c>
    </row>
    <row r="155" spans="2:11" x14ac:dyDescent="0.2">
      <c r="B155" t="s">
        <v>2042</v>
      </c>
      <c r="C155" t="str">
        <f xml:space="preserve"> "000000"</f>
        <v>000000</v>
      </c>
      <c r="E155">
        <f t="shared" si="600"/>
        <v>2</v>
      </c>
      <c r="F155">
        <f t="shared" si="601"/>
        <v>2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5">
        <f t="shared" si="602"/>
        <v>0</v>
      </c>
      <c r="I155">
        <f t="shared" si="603"/>
        <v>0</v>
      </c>
      <c r="J155">
        <f t="shared" si="604"/>
        <v>0</v>
      </c>
      <c r="K155" cm="1">
        <f t="array" ref="K155" xml:space="preserve"> 1 + ROW() - _xlfn.SINGLE(ROW(ChartLines.RowNum))</f>
        <v>153</v>
      </c>
    </row>
    <row r="156" spans="2:11" x14ac:dyDescent="0.2">
      <c r="B156" t="s">
        <v>492</v>
      </c>
      <c r="C156" t="s">
        <v>1931</v>
      </c>
      <c r="E156">
        <f t="shared" ref="E156" si="605" xml:space="preserve"> IF(AND(LEN(ChartLines.ID)&gt;0,"Unused"&lt;&gt;ChartLines.ID), COUNTIFS(ChartLines.ID,ChartLines.ID), "·")</f>
        <v>2</v>
      </c>
      <c r="F156">
        <f t="shared" ref="F156" si="606" xml:space="preserve"> IF(AND(LEN(ChartLines.ID)&gt;0,"Unused"&lt;&gt;ChartLines.ID), COUNTIFS(ChartLines.ID,ChartLines.ID,   ChartLines.RowNum,"&lt;="&amp;ChartLines.RowNum), "·")</f>
        <v>1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6">
        <f t="shared" ref="H156" si="607" xml:space="preserve"> IF(LEN(ChartLines.Hex6)=6, HEX2DEC(LEFT(ChartLines.Hex6, 2)), "·")</f>
        <v>206</v>
      </c>
      <c r="I156">
        <f t="shared" ref="I156" si="608" xml:space="preserve"> IF(LEN(ChartLines.Hex6)=6, HEX2DEC(MID(ChartLines.Hex6, 3, 2)), "·")</f>
        <v>17</v>
      </c>
      <c r="J156">
        <f t="shared" ref="J156" si="609" xml:space="preserve"> IF(LEN(ChartLines.Hex6)=6, HEX2DEC(RIGHT(ChartLines.Hex6, 2)), "·")</f>
        <v>38</v>
      </c>
      <c r="K156" cm="1">
        <f t="array" ref="K156" xml:space="preserve"> 1 + ROW() - _xlfn.SINGLE(ROW(ChartLines.RowNum))</f>
        <v>154</v>
      </c>
    </row>
    <row r="157" spans="2:11" x14ac:dyDescent="0.2">
      <c r="B157" t="s">
        <v>492</v>
      </c>
      <c r="C157" t="str">
        <f xml:space="preserve"> "000000"</f>
        <v>000000</v>
      </c>
      <c r="E157">
        <f t="shared" ref="E157" si="610" xml:space="preserve"> IF(AND(LEN(ChartLines.ID)&gt;0,"Unused"&lt;&gt;ChartLines.ID), COUNTIFS(ChartLines.ID,ChartLines.ID), "·")</f>
        <v>2</v>
      </c>
      <c r="F157">
        <f t="shared" ref="F157" si="611" xml:space="preserve"> IF(AND(LEN(ChartLines.ID)&gt;0,"Unused"&lt;&gt;ChartLines.ID), COUNTIFS(ChartLines.ID,ChartLines.ID,   ChartLines.RowNum,"&lt;="&amp;ChartLines.RowNum), "·")</f>
        <v>2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7">
        <f t="shared" ref="H157" si="612" xml:space="preserve"> IF(LEN(ChartLines.Hex6)=6, HEX2DEC(LEFT(ChartLines.Hex6, 2)), "·")</f>
        <v>0</v>
      </c>
      <c r="I157">
        <f t="shared" ref="I157" si="613" xml:space="preserve"> IF(LEN(ChartLines.Hex6)=6, HEX2DEC(MID(ChartLines.Hex6, 3, 2)), "·")</f>
        <v>0</v>
      </c>
      <c r="J157">
        <f t="shared" ref="J157" si="614" xml:space="preserve"> IF(LEN(ChartLines.Hex6)=6, HEX2DEC(RIGHT(ChartLines.Hex6, 2)), "·")</f>
        <v>0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168</v>
      </c>
      <c r="C158" t="s">
        <v>1849</v>
      </c>
      <c r="E158">
        <f t="shared" ref="E158" si="615" xml:space="preserve"> IF(AND(LEN(ChartLines.ID)&gt;0,"Unused"&lt;&gt;ChartLines.ID), COUNTIFS(ChartLines.ID,ChartLines.ID), "·")</f>
        <v>2</v>
      </c>
      <c r="F158">
        <f t="shared" ref="F158" si="616" xml:space="preserve"> IF(AND(LEN(ChartLines.ID)&gt;0,"Unused"&lt;&gt;ChartLines.ID), COUNTIFS(ChartLines.ID,ChartLines.ID,   ChartLines.RowNum,"&lt;="&amp;ChartLines.RowNum), "·")</f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8">
        <f t="shared" ref="H158" si="617" xml:space="preserve"> IF(LEN(ChartLines.Hex6)=6, HEX2DEC(LEFT(ChartLines.Hex6, 2)), "·")</f>
        <v>239</v>
      </c>
      <c r="I158">
        <f t="shared" ref="I158" si="618" xml:space="preserve"> IF(LEN(ChartLines.Hex6)=6, HEX2DEC(MID(ChartLines.Hex6, 3, 2)), "·")</f>
        <v>51</v>
      </c>
      <c r="J158">
        <f t="shared" ref="J158" si="619" xml:space="preserve"> IF(LEN(ChartLines.Hex6)=6, HEX2DEC(RIGHT(ChartLines.Hex6, 2)), "·")</f>
        <v>64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168</v>
      </c>
      <c r="C159" t="str">
        <f xml:space="preserve"> "009639"</f>
        <v>009639</v>
      </c>
      <c r="E159">
        <f t="shared" ref="E159" si="620" xml:space="preserve"> IF(AND(LEN(ChartLines.ID)&gt;0,"Unused"&lt;&gt;ChartLines.ID), COUNTIFS(ChartLines.ID,ChartLines.ID), "·")</f>
        <v>2</v>
      </c>
      <c r="F159">
        <f t="shared" ref="F159" si="621" xml:space="preserve"> IF(AND(LEN(ChartLines.ID)&gt;0,"Unused"&lt;&gt;ChartLines.ID), COUNTIFS(ChartLines.ID,ChartLines.ID,   ChartLines.RowNum,"&lt;="&amp;ChartLines.RowNum), "·")</f>
        <v>2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9">
        <f t="shared" ref="H159" si="622" xml:space="preserve"> IF(LEN(ChartLines.Hex6)=6, HEX2DEC(LEFT(ChartLines.Hex6, 2)), "·")</f>
        <v>0</v>
      </c>
      <c r="I159">
        <f t="shared" ref="I159" si="623" xml:space="preserve"> IF(LEN(ChartLines.Hex6)=6, HEX2DEC(MID(ChartLines.Hex6, 3, 2)), "·")</f>
        <v>150</v>
      </c>
      <c r="J159">
        <f t="shared" ref="J159" si="624" xml:space="preserve"> IF(LEN(ChartLines.Hex6)=6, HEX2DEC(RIGHT(ChartLines.Hex6, 2)), "·")</f>
        <v>57</v>
      </c>
      <c r="K159" cm="1">
        <f t="array" ref="K159" xml:space="preserve"> 1 + ROW() - _xlfn.SINGLE(ROW(ChartLines.RowNum))</f>
        <v>157</v>
      </c>
    </row>
    <row r="160" spans="2:11" x14ac:dyDescent="0.2">
      <c r="B160" t="s">
        <v>1932</v>
      </c>
      <c r="C160" t="str">
        <f xml:space="preserve"> "000000"</f>
        <v>000000</v>
      </c>
      <c r="E160">
        <f t="shared" ref="E160" si="625" xml:space="preserve"> IF(AND(LEN(ChartLines.ID)&gt;0,"Unused"&lt;&gt;ChartLines.ID), COUNTIFS(ChartLines.ID,ChartLines.ID), "·")</f>
        <v>2</v>
      </c>
      <c r="F160">
        <f t="shared" ref="F160" si="626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" si="627" xml:space="preserve"> IF(LEN(ChartLines.Hex6)=6, HEX2DEC(LEFT(ChartLines.Hex6, 2)), "·")</f>
        <v>0</v>
      </c>
      <c r="I160">
        <f t="shared" ref="I160" si="628" xml:space="preserve"> IF(LEN(ChartLines.Hex6)=6, HEX2DEC(MID(ChartLines.Hex6, 3, 2)), "·")</f>
        <v>0</v>
      </c>
      <c r="J160">
        <f t="shared" ref="J160" si="629" xml:space="preserve"> IF(LEN(ChartLines.Hex6)=6, HEX2DEC(RIGHT(ChartLines.Hex6, 2)), "·")</f>
        <v>0</v>
      </c>
      <c r="K160" cm="1">
        <f t="array" ref="K160" xml:space="preserve"> 1 + ROW() - _xlfn.SINGLE(ROW(ChartLines.RowNum))</f>
        <v>158</v>
      </c>
    </row>
    <row r="161" spans="2:11" x14ac:dyDescent="0.2">
      <c r="B161" t="s">
        <v>1932</v>
      </c>
      <c r="C161" t="s">
        <v>1851</v>
      </c>
      <c r="E161">
        <f t="shared" ref="E161" si="630" xml:space="preserve"> IF(AND(LEN(ChartLines.ID)&gt;0,"Unused"&lt;&gt;ChartLines.ID), COUNTIFS(ChartLines.ID,ChartLines.ID), "·")</f>
        <v>2</v>
      </c>
      <c r="F161">
        <f t="shared" ref="F161" si="631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" si="632" xml:space="preserve"> IF(LEN(ChartLines.Hex6)=6, HEX2DEC(LEFT(ChartLines.Hex6, 2)), "·")</f>
        <v>255</v>
      </c>
      <c r="I161">
        <f t="shared" ref="I161" si="633" xml:space="preserve"> IF(LEN(ChartLines.Hex6)=6, HEX2DEC(MID(ChartLines.Hex6, 3, 2)), "·")</f>
        <v>255</v>
      </c>
      <c r="J161">
        <f t="shared" ref="J161" si="634" xml:space="preserve"> IF(LEN(ChartLines.Hex6)=6, HEX2DEC(RIGHT(ChartLines.Hex6, 2)), "·")</f>
        <v>255</v>
      </c>
      <c r="K161" cm="1">
        <f t="array" ref="K161" xml:space="preserve"> 1 + ROW() - _xlfn.SINGLE(ROW(ChartLines.RowNum))</f>
        <v>159</v>
      </c>
    </row>
    <row r="162" spans="2:11" x14ac:dyDescent="0.2">
      <c r="B162" t="s">
        <v>137</v>
      </c>
      <c r="C162" t="s">
        <v>1933</v>
      </c>
      <c r="E162">
        <f t="shared" ref="E162" si="635" xml:space="preserve"> IF(AND(LEN(ChartLines.ID)&gt;0,"Unused"&lt;&gt;ChartLines.ID), COUNTIFS(ChartLines.ID,ChartLines.ID), "·")</f>
        <v>2</v>
      </c>
      <c r="F162">
        <f t="shared" ref="F162" si="636" xml:space="preserve"> IF(AND(LEN(ChartLines.ID)&gt;0,"Unused"&lt;&gt;ChartLines.ID), COUNTIFS(ChartLines.ID,ChartLines.ID,   ChartLines.RowNum,"&lt;="&amp;ChartLines.RowNum), "·")</f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ref="H162" si="637" xml:space="preserve"> IF(LEN(ChartLines.Hex6)=6, HEX2DEC(LEFT(ChartLines.Hex6, 2)), "·")</f>
        <v>231</v>
      </c>
      <c r="I162">
        <f t="shared" ref="I162" si="638" xml:space="preserve"> IF(LEN(ChartLines.Hex6)=6, HEX2DEC(MID(ChartLines.Hex6, 3, 2)), "·")</f>
        <v>0</v>
      </c>
      <c r="J162">
        <f t="shared" ref="J162" si="639" xml:space="preserve"> IF(LEN(ChartLines.Hex6)=6, HEX2DEC(RIGHT(ChartLines.Hex6, 2)), "·")</f>
        <v>19</v>
      </c>
      <c r="K162" cm="1">
        <f t="array" ref="K162" xml:space="preserve"> 1 + ROW() - _xlfn.SINGLE(ROW(ChartLines.RowNum))</f>
        <v>160</v>
      </c>
    </row>
    <row r="163" spans="2:11" x14ac:dyDescent="0.2">
      <c r="B163" t="s">
        <v>137</v>
      </c>
      <c r="C163" t="s">
        <v>1851</v>
      </c>
      <c r="E163">
        <f t="shared" ref="E163" si="640" xml:space="preserve"> IF(AND(LEN(ChartLines.ID)&gt;0,"Unused"&lt;&gt;ChartLines.ID), COUNTIFS(ChartLines.ID,ChartLines.ID), "·")</f>
        <v>2</v>
      </c>
      <c r="F163">
        <f t="shared" ref="F163" si="641" xml:space="preserve"> IF(AND(LEN(ChartLines.ID)&gt;0,"Unused"&lt;&gt;ChartLines.ID), COUNTIFS(ChartLines.ID,ChartLines.ID,   ChartLines.RowNum,"&lt;="&amp;ChartLines.RowNum), "·")</f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ref="H163" si="642" xml:space="preserve"> IF(LEN(ChartLines.Hex6)=6, HEX2DEC(LEFT(ChartLines.Hex6, 2)), "·")</f>
        <v>255</v>
      </c>
      <c r="I163">
        <f t="shared" ref="I163" si="643" xml:space="preserve"> IF(LEN(ChartLines.Hex6)=6, HEX2DEC(MID(ChartLines.Hex6, 3, 2)), "·")</f>
        <v>255</v>
      </c>
      <c r="J163">
        <f t="shared" ref="J163" si="644" xml:space="preserve"> IF(LEN(ChartLines.Hex6)=6, HEX2DEC(RIGHT(ChartLines.Hex6, 2)), "·")</f>
        <v>255</v>
      </c>
      <c r="K163" cm="1">
        <f t="array" ref="K163" xml:space="preserve"> 1 + ROW() - _xlfn.SINGLE(ROW(ChartLines.RowNum))</f>
        <v>161</v>
      </c>
    </row>
    <row r="164" spans="2:11" x14ac:dyDescent="0.2">
      <c r="B164" t="s">
        <v>138</v>
      </c>
      <c r="C164" t="str">
        <f xml:space="preserve"> "006233"</f>
        <v>006233</v>
      </c>
      <c r="E164">
        <f t="shared" ref="E164" si="645" xml:space="preserve"> IF(AND(LEN(ChartLines.ID)&gt;0,"Unused"&lt;&gt;ChartLines.ID), COUNTIFS(ChartLines.ID,ChartLines.ID), "·")</f>
        <v>2</v>
      </c>
      <c r="F164">
        <f t="shared" ref="F164" si="646" xml:space="preserve"> IF(AND(LEN(ChartLines.ID)&gt;0,"Unused"&lt;&gt;ChartLines.ID), COUNTIFS(ChartLines.ID,ChartLines.ID,   ChartLines.RowNum,"&lt;="&amp;ChartLines.RowNum), "·")</f>
        <v>1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4">
        <f t="shared" ref="H164" si="647" xml:space="preserve"> IF(LEN(ChartLines.Hex6)=6, HEX2DEC(LEFT(ChartLines.Hex6, 2)), "·")</f>
        <v>0</v>
      </c>
      <c r="I164">
        <f t="shared" ref="I164" si="648" xml:space="preserve"> IF(LEN(ChartLines.Hex6)=6, HEX2DEC(MID(ChartLines.Hex6, 3, 2)), "·")</f>
        <v>98</v>
      </c>
      <c r="J164">
        <f t="shared" ref="J164" si="649" xml:space="preserve"> IF(LEN(ChartLines.Hex6)=6, HEX2DEC(RIGHT(ChartLines.Hex6, 2)), "·")</f>
        <v>51</v>
      </c>
      <c r="K164" cm="1">
        <f t="array" ref="K164" xml:space="preserve"> 1 + ROW() - _xlfn.SINGLE(ROW(ChartLines.RowNum))</f>
        <v>162</v>
      </c>
    </row>
    <row r="165" spans="2:11" x14ac:dyDescent="0.2">
      <c r="B165" t="s">
        <v>138</v>
      </c>
      <c r="C165" t="s">
        <v>1934</v>
      </c>
      <c r="E165">
        <f t="shared" ref="E165" si="650" xml:space="preserve"> IF(AND(LEN(ChartLines.ID)&gt;0,"Unused"&lt;&gt;ChartLines.ID), COUNTIFS(ChartLines.ID,ChartLines.ID), "·")</f>
        <v>2</v>
      </c>
      <c r="F165">
        <f t="shared" ref="F165" si="651" xml:space="preserve"> IF(AND(LEN(ChartLines.ID)&gt;0,"Unused"&lt;&gt;ChartLines.ID), COUNTIFS(ChartLines.ID,ChartLines.ID,   ChartLines.RowNum,"&lt;="&amp;ChartLines.RowNum), "·")</f>
        <v>2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5">
        <f t="shared" ref="H165" si="652" xml:space="preserve"> IF(LEN(ChartLines.Hex6)=6, HEX2DEC(LEFT(ChartLines.Hex6, 2)), "·")</f>
        <v>251</v>
      </c>
      <c r="I165">
        <f t="shared" ref="I165" si="653" xml:space="preserve"> IF(LEN(ChartLines.Hex6)=6, HEX2DEC(MID(ChartLines.Hex6, 3, 2)), "·")</f>
        <v>15</v>
      </c>
      <c r="J165">
        <f t="shared" ref="J165" si="654" xml:space="preserve"> IF(LEN(ChartLines.Hex6)=6, HEX2DEC(RIGHT(ChartLines.Hex6, 2)), "·")</f>
        <v>12</v>
      </c>
      <c r="K165" cm="1">
        <f t="array" ref="K165" xml:space="preserve"> 1 + ROW() - _xlfn.SINGLE(ROW(ChartLines.RowNum))</f>
        <v>163</v>
      </c>
    </row>
    <row r="166" spans="2:11" x14ac:dyDescent="0.2">
      <c r="B166" t="s">
        <v>1628</v>
      </c>
      <c r="C166" t="str">
        <f xml:space="preserve"> "006633"</f>
        <v>006633</v>
      </c>
      <c r="E166">
        <f t="shared" ref="E166" si="655" xml:space="preserve"> IF(AND(LEN(ChartLines.ID)&gt;0,"Unused"&lt;&gt;ChartLines.ID), COUNTIFS(ChartLines.ID,ChartLines.ID), "·")</f>
        <v>2</v>
      </c>
      <c r="F166">
        <f t="shared" ref="F166" si="656" xml:space="preserve"> IF(AND(LEN(ChartLines.ID)&gt;0,"Unused"&lt;&gt;ChartLines.ID), COUNTIFS(ChartLines.ID,ChartLines.ID,   ChartLines.RowNum,"&lt;="&amp;ChartLines.RowNum), "·")</f>
        <v>1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6">
        <f t="shared" ref="H166" si="657" xml:space="preserve"> IF(LEN(ChartLines.Hex6)=6, HEX2DEC(LEFT(ChartLines.Hex6, 2)), "·")</f>
        <v>0</v>
      </c>
      <c r="I166">
        <f t="shared" ref="I166" si="658" xml:space="preserve"> IF(LEN(ChartLines.Hex6)=6, HEX2DEC(MID(ChartLines.Hex6, 3, 2)), "·")</f>
        <v>102</v>
      </c>
      <c r="J166">
        <f t="shared" ref="J166" si="659" xml:space="preserve"> IF(LEN(ChartLines.Hex6)=6, HEX2DEC(RIGHT(ChartLines.Hex6, 2)), "·")</f>
        <v>51</v>
      </c>
      <c r="K166" cm="1">
        <f t="array" ref="K166" xml:space="preserve"> 1 + ROW() - _xlfn.SINGLE(ROW(ChartLines.RowNum))</f>
        <v>164</v>
      </c>
    </row>
    <row r="167" spans="2:11" x14ac:dyDescent="0.2">
      <c r="B167" t="s">
        <v>1628</v>
      </c>
      <c r="C167" t="s">
        <v>1851</v>
      </c>
      <c r="E167">
        <f t="shared" ref="E167" si="660" xml:space="preserve"> IF(AND(LEN(ChartLines.ID)&gt;0,"Unused"&lt;&gt;ChartLines.ID), COUNTIFS(ChartLines.ID,ChartLines.ID), "·")</f>
        <v>2</v>
      </c>
      <c r="F167">
        <f t="shared" ref="F167" si="661" xml:space="preserve"> IF(AND(LEN(ChartLines.ID)&gt;0,"Unused"&lt;&gt;ChartLines.ID), COUNTIFS(ChartLines.ID,ChartLines.ID,   ChartLines.RowNum,"&lt;="&amp;ChartLines.RowNum), "·")</f>
        <v>2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7">
        <f t="shared" ref="H167" si="662" xml:space="preserve"> IF(LEN(ChartLines.Hex6)=6, HEX2DEC(LEFT(ChartLines.Hex6, 2)), "·")</f>
        <v>255</v>
      </c>
      <c r="I167">
        <f t="shared" ref="I167" si="663" xml:space="preserve"> IF(LEN(ChartLines.Hex6)=6, HEX2DEC(MID(ChartLines.Hex6, 3, 2)), "·")</f>
        <v>255</v>
      </c>
      <c r="J167">
        <f t="shared" ref="J167" si="664" xml:space="preserve"> IF(LEN(ChartLines.Hex6)=6, HEX2DEC(RIGHT(ChartLines.Hex6, 2)), "·")</f>
        <v>255</v>
      </c>
      <c r="K167" cm="1">
        <f t="array" ref="K167" xml:space="preserve"> 1 + ROW() - _xlfn.SINGLE(ROW(ChartLines.RowNum))</f>
        <v>165</v>
      </c>
    </row>
    <row r="168" spans="2:11" x14ac:dyDescent="0.2">
      <c r="B168" t="s">
        <v>493</v>
      </c>
      <c r="C168" t="s">
        <v>1935</v>
      </c>
      <c r="E168">
        <f t="shared" ref="E168" si="665" xml:space="preserve"> IF(AND(LEN(ChartLines.ID)&gt;0,"Unused"&lt;&gt;ChartLines.ID), COUNTIFS(ChartLines.ID,ChartLines.ID), "·")</f>
        <v>2</v>
      </c>
      <c r="F168">
        <f t="shared" ref="F168" si="666" xml:space="preserve"> IF(AND(LEN(ChartLines.ID)&gt;0,"Unused"&lt;&gt;ChartLines.ID), COUNTIFS(ChartLines.ID,ChartLines.ID,   ChartLines.RowNum,"&lt;="&amp;ChartLines.RowNum), "·")</f>
        <v>1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8">
        <f t="shared" ref="H168" si="667" xml:space="preserve"> IF(LEN(ChartLines.Hex6)=6, HEX2DEC(LEFT(ChartLines.Hex6, 2)), "·")</f>
        <v>35</v>
      </c>
      <c r="I168">
        <f t="shared" ref="I168" si="668" xml:space="preserve"> IF(LEN(ChartLines.Hex6)=6, HEX2DEC(MID(ChartLines.Hex6, 3, 2)), "·")</f>
        <v>159</v>
      </c>
      <c r="J168">
        <f t="shared" ref="J168" si="669" xml:space="preserve"> IF(LEN(ChartLines.Hex6)=6, HEX2DEC(RIGHT(ChartLines.Hex6, 2)), "·")</f>
        <v>64</v>
      </c>
      <c r="K168" cm="1">
        <f t="array" ref="K168" xml:space="preserve"> 1 + ROW() - _xlfn.SINGLE(ROW(ChartLines.RowNum))</f>
        <v>166</v>
      </c>
    </row>
    <row r="169" spans="2:11" x14ac:dyDescent="0.2">
      <c r="B169" t="s">
        <v>493</v>
      </c>
      <c r="C169" t="s">
        <v>1851</v>
      </c>
      <c r="E169">
        <f t="shared" ref="E169" si="670" xml:space="preserve"> IF(AND(LEN(ChartLines.ID)&gt;0,"Unused"&lt;&gt;ChartLines.ID), COUNTIFS(ChartLines.ID,ChartLines.ID), "·")</f>
        <v>2</v>
      </c>
      <c r="F169">
        <f t="shared" ref="F169" si="671" xml:space="preserve"> IF(AND(LEN(ChartLines.ID)&gt;0,"Unused"&lt;&gt;ChartLines.ID), COUNTIFS(ChartLines.ID,ChartLines.ID,   ChartLines.RowNum,"&lt;="&amp;ChartLines.RowNum), "·")</f>
        <v>2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9">
        <f t="shared" ref="H169" si="672" xml:space="preserve"> IF(LEN(ChartLines.Hex6)=6, HEX2DEC(LEFT(ChartLines.Hex6, 2)), "·")</f>
        <v>255</v>
      </c>
      <c r="I169">
        <f t="shared" ref="I169" si="673" xml:space="preserve"> IF(LEN(ChartLines.Hex6)=6, HEX2DEC(MID(ChartLines.Hex6, 3, 2)), "·")</f>
        <v>255</v>
      </c>
      <c r="J169">
        <f t="shared" ref="J169" si="674" xml:space="preserve"> IF(LEN(ChartLines.Hex6)=6, HEX2DEC(RIGHT(ChartLines.Hex6, 2)), "·")</f>
        <v>255</v>
      </c>
      <c r="K169" cm="1">
        <f t="array" ref="K169" xml:space="preserve"> 1 + ROW() - _xlfn.SINGLE(ROW(ChartLines.RowNum))</f>
        <v>167</v>
      </c>
    </row>
    <row r="170" spans="2:11" x14ac:dyDescent="0.2">
      <c r="B170" t="s">
        <v>904</v>
      </c>
      <c r="C170" t="str">
        <f xml:space="preserve"> "000000"</f>
        <v>000000</v>
      </c>
      <c r="E170">
        <f t="shared" ref="E170" si="675" xml:space="preserve"> IF(AND(LEN(ChartLines.ID)&gt;0,"Unused"&lt;&gt;ChartLines.ID), COUNTIFS(ChartLines.ID,ChartLines.ID), "·")</f>
        <v>2</v>
      </c>
      <c r="F170">
        <f t="shared" ref="F170" si="676" xml:space="preserve"> IF(AND(LEN(ChartLines.ID)&gt;0,"Unused"&lt;&gt;ChartLines.ID), COUNTIFS(ChartLines.ID,ChartLines.ID,   ChartLines.RowNum,"&lt;="&amp;ChartLines.RowNum), "·")</f>
        <v>1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0">
        <f t="shared" ref="H170" si="677" xml:space="preserve"> IF(LEN(ChartLines.Hex6)=6, HEX2DEC(LEFT(ChartLines.Hex6, 2)), "·")</f>
        <v>0</v>
      </c>
      <c r="I170">
        <f t="shared" ref="I170" si="678" xml:space="preserve"> IF(LEN(ChartLines.Hex6)=6, HEX2DEC(MID(ChartLines.Hex6, 3, 2)), "·")</f>
        <v>0</v>
      </c>
      <c r="J170">
        <f t="shared" ref="J170" si="679" xml:space="preserve"> IF(LEN(ChartLines.Hex6)=6, HEX2DEC(RIGHT(ChartLines.Hex6, 2)), "·")</f>
        <v>0</v>
      </c>
      <c r="K170" cm="1">
        <f t="array" ref="K170" xml:space="preserve"> 1 + ROW() - _xlfn.SINGLE(ROW(ChartLines.RowNum))</f>
        <v>168</v>
      </c>
    </row>
    <row r="171" spans="2:11" x14ac:dyDescent="0.2">
      <c r="B171" t="s">
        <v>904</v>
      </c>
      <c r="C171" t="s">
        <v>1936</v>
      </c>
      <c r="E171">
        <f t="shared" ref="E171" si="680" xml:space="preserve"> IF(AND(LEN(ChartLines.ID)&gt;0,"Unused"&lt;&gt;ChartLines.ID), COUNTIFS(ChartLines.ID,ChartLines.ID), "·")</f>
        <v>2</v>
      </c>
      <c r="F171">
        <f t="shared" ref="F171" si="681" xml:space="preserve"> IF(AND(LEN(ChartLines.ID)&gt;0,"Unused"&lt;&gt;ChartLines.ID), COUNTIFS(ChartLines.ID,ChartLines.ID,   ChartLines.RowNum,"&lt;="&amp;ChartLines.RowNum), "·")</f>
        <v>2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1">
        <f t="shared" ref="H171" si="682" xml:space="preserve"> IF(LEN(ChartLines.Hex6)=6, HEX2DEC(LEFT(ChartLines.Hex6, 2)), "·")</f>
        <v>227</v>
      </c>
      <c r="I171">
        <f t="shared" ref="I171" si="683" xml:space="preserve"> IF(LEN(ChartLines.Hex6)=6, HEX2DEC(MID(ChartLines.Hex6, 3, 2)), "·")</f>
        <v>179</v>
      </c>
      <c r="J171">
        <f t="shared" ref="J171" si="684" xml:space="preserve"> IF(LEN(ChartLines.Hex6)=6, HEX2DEC(RIGHT(ChartLines.Hex6, 2)), "·")</f>
        <v>41</v>
      </c>
      <c r="K171" cm="1">
        <f t="array" ref="K171" xml:space="preserve"> 1 + ROW() - _xlfn.SINGLE(ROW(ChartLines.RowNum))</f>
        <v>169</v>
      </c>
    </row>
    <row r="172" spans="2:11" x14ac:dyDescent="0.2">
      <c r="B172" t="s">
        <v>511</v>
      </c>
      <c r="C172" t="s">
        <v>1937</v>
      </c>
      <c r="E172">
        <f t="shared" ref="E172" si="685" xml:space="preserve"> IF(AND(LEN(ChartLines.ID)&gt;0,"Unused"&lt;&gt;ChartLines.ID), COUNTIFS(ChartLines.ID,ChartLines.ID), "·")</f>
        <v>2</v>
      </c>
      <c r="F172">
        <f t="shared" ref="F172" si="686" xml:space="preserve"> IF(AND(LEN(ChartLines.ID)&gt;0,"Unused"&lt;&gt;ChartLines.ID), COUNTIFS(ChartLines.ID,ChartLines.ID,   ChartLines.RowNum,"&lt;="&amp;ChartLines.RowNum), "·")</f>
        <v>1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2">
        <f t="shared" ref="H172" si="687" xml:space="preserve"> IF(LEN(ChartLines.Hex6)=6, HEX2DEC(LEFT(ChartLines.Hex6, 2)), "·")</f>
        <v>0</v>
      </c>
      <c r="I172">
        <f t="shared" ref="I172" si="688" xml:space="preserve"> IF(LEN(ChartLines.Hex6)=6, HEX2DEC(MID(ChartLines.Hex6, 3, 2)), "·")</f>
        <v>94</v>
      </c>
      <c r="J172">
        <f t="shared" ref="J172" si="689" xml:space="preserve"> IF(LEN(ChartLines.Hex6)=6, HEX2DEC(RIGHT(ChartLines.Hex6, 2)), "·")</f>
        <v>184</v>
      </c>
      <c r="K172" cm="1">
        <f t="array" ref="K172" xml:space="preserve"> 1 + ROW() - _xlfn.SINGLE(ROW(ChartLines.RowNum))</f>
        <v>170</v>
      </c>
    </row>
    <row r="173" spans="2:11" x14ac:dyDescent="0.2">
      <c r="B173" t="s">
        <v>511</v>
      </c>
      <c r="C173" t="s">
        <v>1851</v>
      </c>
      <c r="E173">
        <f t="shared" ref="E173" si="690" xml:space="preserve"> IF(AND(LEN(ChartLines.ID)&gt;0,"Unused"&lt;&gt;ChartLines.ID), COUNTIFS(ChartLines.ID,ChartLines.ID), "·")</f>
        <v>2</v>
      </c>
      <c r="F173">
        <f t="shared" ref="F173" si="691" xml:space="preserve"> IF(AND(LEN(ChartLines.ID)&gt;0,"Unused"&lt;&gt;ChartLines.ID), COUNTIFS(ChartLines.ID,ChartLines.ID,   ChartLines.RowNum,"&lt;="&amp;ChartLines.RowNum), "·")</f>
        <v>2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3">
        <f t="shared" ref="H173" si="692" xml:space="preserve"> IF(LEN(ChartLines.Hex6)=6, HEX2DEC(LEFT(ChartLines.Hex6, 2)), "·")</f>
        <v>255</v>
      </c>
      <c r="I173">
        <f t="shared" ref="I173" si="693" xml:space="preserve"> IF(LEN(ChartLines.Hex6)=6, HEX2DEC(MID(ChartLines.Hex6, 3, 2)), "·")</f>
        <v>255</v>
      </c>
      <c r="J173">
        <f t="shared" ref="J173" si="694" xml:space="preserve"> IF(LEN(ChartLines.Hex6)=6, HEX2DEC(RIGHT(ChartLines.Hex6, 2)), "·")</f>
        <v>255</v>
      </c>
      <c r="K173" cm="1">
        <f t="array" ref="K173" xml:space="preserve"> 1 + ROW() - _xlfn.SINGLE(ROW(ChartLines.RowNum))</f>
        <v>171</v>
      </c>
    </row>
    <row r="174" spans="2:11" x14ac:dyDescent="0.2">
      <c r="E174" t="str">
        <f t="shared" ref="E174" si="695" xml:space="preserve"> IF(AND(LEN(ChartLines.ID)&gt;0,"Unused"&lt;&gt;ChartLines.ID), COUNTIFS(ChartLines.ID,ChartLines.ID), "·")</f>
        <v>·</v>
      </c>
      <c r="F174" t="str">
        <f t="shared" ref="F174" si="696" xml:space="preserve"> IF(AND(LEN(ChartLines.ID)&gt;0,"Unused"&lt;&gt;ChartLines.ID), COUNTIFS(ChartLines.ID,ChartLines.ID,   ChartLines.RowNum,"&lt;="&amp;ChartLines.RowNum), "·")</f>
        <v>·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74" t="str">
        <f t="shared" ref="H174" si="697" xml:space="preserve"> IF(LEN(ChartLines.Hex6)=6, HEX2DEC(LEFT(ChartLines.Hex6, 2)), "·")</f>
        <v>·</v>
      </c>
      <c r="I174" t="str">
        <f t="shared" ref="I174" si="698" xml:space="preserve"> IF(LEN(ChartLines.Hex6)=6, HEX2DEC(MID(ChartLines.Hex6, 3, 2)), "·")</f>
        <v>·</v>
      </c>
      <c r="J174" t="str">
        <f t="shared" ref="J174" si="699" xml:space="preserve"> IF(LEN(ChartLines.Hex6)=6, HEX2DEC(RIGHT(ChartLines.Hex6, 2)), "·")</f>
        <v>·</v>
      </c>
      <c r="K174" cm="1">
        <f t="array" ref="K174" xml:space="preserve"> 1 + ROW() - _xlfn.SINGLE(ROW(ChartLines.RowNum))</f>
        <v>172</v>
      </c>
    </row>
    <row r="175" spans="2:11" x14ac:dyDescent="0.2">
      <c r="B175" t="s">
        <v>434</v>
      </c>
      <c r="C175" t="str">
        <f xml:space="preserve"> "007749"</f>
        <v>007749</v>
      </c>
      <c r="E175">
        <f t="shared" ref="E175" si="700" xml:space="preserve"> IF(AND(LEN(ChartLines.ID)&gt;0,"Unused"&lt;&gt;ChartLines.ID), COUNTIFS(ChartLines.ID,ChartLines.ID), "·")</f>
        <v>2</v>
      </c>
      <c r="F175">
        <f t="shared" ref="F175" si="701" xml:space="preserve"> IF(AND(LEN(ChartLines.ID)&gt;0,"Unused"&lt;&gt;ChartLines.ID), COUNTIFS(ChartLines.ID,ChartLines.ID,   ChartLines.RowNum,"&lt;="&amp;ChartLines.RowNum), "·")</f>
        <v>1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5">
        <f t="shared" ref="H175" si="702" xml:space="preserve"> IF(LEN(ChartLines.Hex6)=6, HEX2DEC(LEFT(ChartLines.Hex6, 2)), "·")</f>
        <v>0</v>
      </c>
      <c r="I175">
        <f t="shared" ref="I175" si="703" xml:space="preserve"> IF(LEN(ChartLines.Hex6)=6, HEX2DEC(MID(ChartLines.Hex6, 3, 2)), "·")</f>
        <v>119</v>
      </c>
      <c r="J175">
        <f t="shared" ref="J175" si="704" xml:space="preserve"> IF(LEN(ChartLines.Hex6)=6, HEX2DEC(RIGHT(ChartLines.Hex6, 2)), "·")</f>
        <v>73</v>
      </c>
      <c r="K175" cm="1">
        <f t="array" ref="K175" xml:space="preserve"> 1 + ROW() - _xlfn.SINGLE(ROW(ChartLines.RowNum))</f>
        <v>173</v>
      </c>
    </row>
    <row r="176" spans="2:11" x14ac:dyDescent="0.2">
      <c r="B176" t="s">
        <v>434</v>
      </c>
      <c r="C176" t="str">
        <f xml:space="preserve"> "FFA500"</f>
        <v>FFA500</v>
      </c>
      <c r="E176">
        <f t="shared" ref="E176" si="705" xml:space="preserve"> IF(AND(LEN(ChartLines.ID)&gt;0,"Unused"&lt;&gt;ChartLines.ID), COUNTIFS(ChartLines.ID,ChartLines.ID), "·")</f>
        <v>2</v>
      </c>
      <c r="F176">
        <f t="shared" ref="F176" si="706" xml:space="preserve"> IF(AND(LEN(ChartLines.ID)&gt;0,"Unused"&lt;&gt;ChartLines.ID), COUNTIFS(ChartLines.ID,ChartLines.ID,   ChartLines.RowNum,"&lt;="&amp;ChartLines.RowNum), "·")</f>
        <v>2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6">
        <f t="shared" ref="H176" si="707" xml:space="preserve"> IF(LEN(ChartLines.Hex6)=6, HEX2DEC(LEFT(ChartLines.Hex6, 2)), "·")</f>
        <v>255</v>
      </c>
      <c r="I176">
        <f t="shared" ref="I176" si="708" xml:space="preserve"> IF(LEN(ChartLines.Hex6)=6, HEX2DEC(MID(ChartLines.Hex6, 3, 2)), "·")</f>
        <v>165</v>
      </c>
      <c r="J176">
        <f t="shared" ref="J176" si="709" xml:space="preserve"> IF(LEN(ChartLines.Hex6)=6, HEX2DEC(RIGHT(ChartLines.Hex6, 2)), "·")</f>
        <v>0</v>
      </c>
      <c r="K176" cm="1">
        <f t="array" ref="K176" xml:space="preserve"> 1 + ROW() - _xlfn.SINGLE(ROW(ChartLines.RowNum))</f>
        <v>174</v>
      </c>
    </row>
    <row r="177" spans="2:11" x14ac:dyDescent="0.2">
      <c r="B177" t="s">
        <v>169</v>
      </c>
      <c r="C177" t="str">
        <f xml:space="preserve"> "009639"</f>
        <v>009639</v>
      </c>
      <c r="E177">
        <f t="shared" ref="E177" si="710" xml:space="preserve"> IF(AND(LEN(ChartLines.ID)&gt;0,"Unused"&lt;&gt;ChartLines.ID), COUNTIFS(ChartLines.ID,ChartLines.ID), "·")</f>
        <v>2</v>
      </c>
      <c r="F177">
        <f t="shared" ref="F177" si="711" xml:space="preserve"> IF(AND(LEN(ChartLines.ID)&gt;0,"Unused"&lt;&gt;ChartLines.ID), COUNTIFS(ChartLines.ID,ChartLines.ID,   ChartLines.RowNum,"&lt;="&amp;ChartLines.RowNum), "·")</f>
        <v>1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7">
        <f t="shared" ref="H177" si="712" xml:space="preserve"> IF(LEN(ChartLines.Hex6)=6, HEX2DEC(LEFT(ChartLines.Hex6, 2)), "·")</f>
        <v>0</v>
      </c>
      <c r="I177">
        <f t="shared" ref="I177" si="713" xml:space="preserve"> IF(LEN(ChartLines.Hex6)=6, HEX2DEC(MID(ChartLines.Hex6, 3, 2)), "·")</f>
        <v>150</v>
      </c>
      <c r="J177">
        <f t="shared" ref="J177" si="714" xml:space="preserve"> IF(LEN(ChartLines.Hex6)=6, HEX2DEC(RIGHT(ChartLines.Hex6, 2)), "·")</f>
        <v>57</v>
      </c>
      <c r="K177" cm="1">
        <f t="array" ref="K177" xml:space="preserve"> 1 + ROW() - _xlfn.SINGLE(ROW(ChartLines.RowNum))</f>
        <v>175</v>
      </c>
    </row>
    <row r="178" spans="2:11" x14ac:dyDescent="0.2">
      <c r="B178" t="s">
        <v>169</v>
      </c>
      <c r="C178" t="s">
        <v>1851</v>
      </c>
      <c r="E178">
        <f t="shared" ref="E178" si="715" xml:space="preserve"> IF(AND(LEN(ChartLines.ID)&gt;0,"Unused"&lt;&gt;ChartLines.ID), COUNTIFS(ChartLines.ID,ChartLines.ID), "·")</f>
        <v>2</v>
      </c>
      <c r="F178">
        <f t="shared" ref="F178" si="716" xml:space="preserve"> IF(AND(LEN(ChartLines.ID)&gt;0,"Unused"&lt;&gt;ChartLines.ID), COUNTIFS(ChartLines.ID,ChartLines.ID,   ChartLines.RowNum,"&lt;="&amp;ChartLines.RowNum), "·")</f>
        <v>2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8">
        <f t="shared" ref="H178" si="717" xml:space="preserve"> IF(LEN(ChartLines.Hex6)=6, HEX2DEC(LEFT(ChartLines.Hex6, 2)), "·")</f>
        <v>255</v>
      </c>
      <c r="I178">
        <f t="shared" ref="I178" si="718" xml:space="preserve"> IF(LEN(ChartLines.Hex6)=6, HEX2DEC(MID(ChartLines.Hex6, 3, 2)), "·")</f>
        <v>255</v>
      </c>
      <c r="J178">
        <f t="shared" ref="J178" si="719" xml:space="preserve"> IF(LEN(ChartLines.Hex6)=6, HEX2DEC(RIGHT(ChartLines.Hex6, 2)), "·")</f>
        <v>255</v>
      </c>
      <c r="K178" cm="1">
        <f t="array" ref="K178" xml:space="preserve"> 1 + ROW() - _xlfn.SINGLE(ROW(ChartLines.RowNum))</f>
        <v>176</v>
      </c>
    </row>
    <row r="179" spans="2:11" x14ac:dyDescent="0.2">
      <c r="B179" t="s">
        <v>1621</v>
      </c>
      <c r="C179" t="str">
        <f xml:space="preserve"> "0F47AF"</f>
        <v>0F47AF</v>
      </c>
      <c r="E179">
        <f t="shared" ref="E179" si="720" xml:space="preserve"> IF(AND(LEN(ChartLines.ID)&gt;0,"Unused"&lt;&gt;ChartLines.ID), COUNTIFS(ChartLines.ID,ChartLines.ID), "·")</f>
        <v>2</v>
      </c>
      <c r="F179">
        <f t="shared" ref="F179" si="721" xml:space="preserve"> IF(AND(LEN(ChartLines.ID)&gt;0,"Unused"&lt;&gt;ChartLines.ID), COUNTIFS(ChartLines.ID,ChartLines.ID,   ChartLines.RowNum,"&lt;="&amp;ChartLines.RowNum), "·")</f>
        <v>1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9">
        <f t="shared" ref="H179" si="722" xml:space="preserve"> IF(LEN(ChartLines.Hex6)=6, HEX2DEC(LEFT(ChartLines.Hex6, 2)), "·")</f>
        <v>15</v>
      </c>
      <c r="I179">
        <f t="shared" ref="I179" si="723" xml:space="preserve"> IF(LEN(ChartLines.Hex6)=6, HEX2DEC(MID(ChartLines.Hex6, 3, 2)), "·")</f>
        <v>71</v>
      </c>
      <c r="J179">
        <f t="shared" ref="J179" si="724" xml:space="preserve"> IF(LEN(ChartLines.Hex6)=6, HEX2DEC(RIGHT(ChartLines.Hex6, 2)), "·")</f>
        <v>175</v>
      </c>
      <c r="K179" cm="1">
        <f t="array" ref="K179" xml:space="preserve"> 1 + ROW() - _xlfn.SINGLE(ROW(ChartLines.RowNum))</f>
        <v>177</v>
      </c>
    </row>
    <row r="180" spans="2:11" x14ac:dyDescent="0.2">
      <c r="B180" t="s">
        <v>1621</v>
      </c>
      <c r="C180" t="s">
        <v>1938</v>
      </c>
      <c r="E180">
        <f t="shared" ref="E180:E182" si="725" xml:space="preserve"> IF(AND(LEN(ChartLines.ID)&gt;0,"Unused"&lt;&gt;ChartLines.ID), COUNTIFS(ChartLines.ID,ChartLines.ID), "·")</f>
        <v>2</v>
      </c>
      <c r="F180">
        <f t="shared" ref="F180:F182" si="726" xml:space="preserve"> IF(AND(LEN(ChartLines.ID)&gt;0,"Unused"&lt;&gt;ChartLines.ID), COUNTIFS(ChartLines.ID,ChartLines.ID,   ChartLines.RowNum,"&lt;="&amp;ChartLines.RowNum), "·")</f>
        <v>2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0">
        <f t="shared" ref="H180:H182" si="727" xml:space="preserve"> IF(LEN(ChartLines.Hex6)=6, HEX2DEC(LEFT(ChartLines.Hex6, 2)), "·")</f>
        <v>252</v>
      </c>
      <c r="I180">
        <f t="shared" ref="I180:I182" si="728" xml:space="preserve"> IF(LEN(ChartLines.Hex6)=6, HEX2DEC(MID(ChartLines.Hex6, 3, 2)), "·")</f>
        <v>221</v>
      </c>
      <c r="J180">
        <f t="shared" ref="J180:J182" si="729" xml:space="preserve"> IF(LEN(ChartLines.Hex6)=6, HEX2DEC(RIGHT(ChartLines.Hex6, 2)), "·")</f>
        <v>9</v>
      </c>
      <c r="K180" cm="1">
        <f t="array" ref="K180" xml:space="preserve"> 1 + ROW() - _xlfn.SINGLE(ROW(ChartLines.RowNum))</f>
        <v>178</v>
      </c>
    </row>
    <row r="181" spans="2:11" x14ac:dyDescent="0.2">
      <c r="B181" t="s">
        <v>2021</v>
      </c>
      <c r="C181" t="str">
        <f xml:space="preserve"> "000000"</f>
        <v>000000</v>
      </c>
      <c r="E181">
        <f t="shared" si="725"/>
        <v>2</v>
      </c>
      <c r="F181">
        <f t="shared" si="726"/>
        <v>1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1">
        <f t="shared" si="727"/>
        <v>0</v>
      </c>
      <c r="I181">
        <f t="shared" si="728"/>
        <v>0</v>
      </c>
      <c r="J181">
        <f t="shared" si="729"/>
        <v>0</v>
      </c>
      <c r="K181" cm="1">
        <f t="array" ref="K181" xml:space="preserve"> 1 + ROW() - _xlfn.SINGLE(ROW(ChartLines.RowNum))</f>
        <v>179</v>
      </c>
    </row>
    <row r="182" spans="2:11" x14ac:dyDescent="0.2">
      <c r="B182" t="s">
        <v>2021</v>
      </c>
      <c r="C182" t="s">
        <v>1851</v>
      </c>
      <c r="E182">
        <f t="shared" si="725"/>
        <v>2</v>
      </c>
      <c r="F182">
        <f t="shared" si="726"/>
        <v>2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2">
        <f t="shared" si="727"/>
        <v>255</v>
      </c>
      <c r="I182">
        <f t="shared" si="728"/>
        <v>255</v>
      </c>
      <c r="J182">
        <f t="shared" si="729"/>
        <v>255</v>
      </c>
      <c r="K182" cm="1">
        <f t="array" ref="K182" xml:space="preserve"> 1 + ROW() - _xlfn.SINGLE(ROW(ChartLines.RowNum))</f>
        <v>180</v>
      </c>
    </row>
    <row r="183" spans="2:11" x14ac:dyDescent="0.2">
      <c r="B183" t="s">
        <v>1637</v>
      </c>
      <c r="C183" t="s">
        <v>1939</v>
      </c>
      <c r="E183">
        <f t="shared" ref="E183" si="730" xml:space="preserve"> IF(AND(LEN(ChartLines.ID)&gt;0,"Unused"&lt;&gt;ChartLines.ID), COUNTIFS(ChartLines.ID,ChartLines.ID), "·")</f>
        <v>2</v>
      </c>
      <c r="F183">
        <f t="shared" ref="F183" si="731" xml:space="preserve"> IF(AND(LEN(ChartLines.ID)&gt;0,"Unused"&lt;&gt;ChartLines.ID), COUNTIFS(ChartLines.ID,ChartLines.ID,   ChartLines.RowNum,"&lt;="&amp;ChartLines.RowNum), "·")</f>
        <v>1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3">
        <f t="shared" ref="H183" si="732" xml:space="preserve"> IF(LEN(ChartLines.Hex6)=6, HEX2DEC(LEFT(ChartLines.Hex6, 2)), "·")</f>
        <v>187</v>
      </c>
      <c r="I183">
        <f t="shared" ref="I183" si="733" xml:space="preserve"> IF(LEN(ChartLines.Hex6)=6, HEX2DEC(MID(ChartLines.Hex6, 3, 2)), "·")</f>
        <v>0</v>
      </c>
      <c r="J183">
        <f t="shared" ref="J183" si="734" xml:space="preserve"> IF(LEN(ChartLines.Hex6)=6, HEX2DEC(RIGHT(ChartLines.Hex6, 2)), "·")</f>
        <v>0</v>
      </c>
      <c r="K183" cm="1">
        <f t="array" ref="K183" xml:space="preserve"> 1 + ROW() - _xlfn.SINGLE(ROW(ChartLines.RowNum))</f>
        <v>181</v>
      </c>
    </row>
    <row r="184" spans="2:11" x14ac:dyDescent="0.2">
      <c r="B184" t="s">
        <v>1637</v>
      </c>
      <c r="C184" t="str">
        <f xml:space="preserve"> "000000"</f>
        <v>000000</v>
      </c>
      <c r="E184">
        <f t="shared" ref="E184" si="735" xml:space="preserve"> IF(AND(LEN(ChartLines.ID)&gt;0,"Unused"&lt;&gt;ChartLines.ID), COUNTIFS(ChartLines.ID,ChartLines.ID), "·")</f>
        <v>2</v>
      </c>
      <c r="F184">
        <f t="shared" ref="F184" si="736" xml:space="preserve"> IF(AND(LEN(ChartLines.ID)&gt;0,"Unused"&lt;&gt;ChartLines.ID), COUNTIFS(ChartLines.ID,ChartLines.ID,   ChartLines.RowNum,"&lt;="&amp;ChartLines.RowNum), "·")</f>
        <v>2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4">
        <f t="shared" ref="H184" si="737" xml:space="preserve"> IF(LEN(ChartLines.Hex6)=6, HEX2DEC(LEFT(ChartLines.Hex6, 2)), "·")</f>
        <v>0</v>
      </c>
      <c r="I184">
        <f t="shared" ref="I184" si="738" xml:space="preserve"> IF(LEN(ChartLines.Hex6)=6, HEX2DEC(MID(ChartLines.Hex6, 3, 2)), "·")</f>
        <v>0</v>
      </c>
      <c r="J184">
        <f t="shared" ref="J184" si="739" xml:space="preserve"> IF(LEN(ChartLines.Hex6)=6, HEX2DEC(RIGHT(ChartLines.Hex6, 2)), "·")</f>
        <v>0</v>
      </c>
      <c r="K184" cm="1">
        <f t="array" ref="K184" xml:space="preserve"> 1 + ROW() - _xlfn.SINGLE(ROW(ChartLines.RowNum))</f>
        <v>182</v>
      </c>
    </row>
    <row r="185" spans="2:11" x14ac:dyDescent="0.2">
      <c r="B185" t="s">
        <v>1627</v>
      </c>
      <c r="C185" t="s">
        <v>1894</v>
      </c>
      <c r="E185">
        <f t="shared" ref="E185" si="740" xml:space="preserve"> IF(AND(LEN(ChartLines.ID)&gt;0,"Unused"&lt;&gt;ChartLines.ID), COUNTIFS(ChartLines.ID,ChartLines.ID), "·")</f>
        <v>2</v>
      </c>
      <c r="F185">
        <f t="shared" ref="F185" si="741" xml:space="preserve"> IF(AND(LEN(ChartLines.ID)&gt;0,"Unused"&lt;&gt;ChartLines.ID), COUNTIFS(ChartLines.ID,ChartLines.ID,   ChartLines.RowNum,"&lt;="&amp;ChartLines.RowNum), "·")</f>
        <v>1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5">
        <f t="shared" ref="H185" si="742" xml:space="preserve"> IF(LEN(ChartLines.Hex6)=6, HEX2DEC(LEFT(ChartLines.Hex6, 2)), "·")</f>
        <v>252</v>
      </c>
      <c r="I185">
        <f t="shared" ref="I185" si="743" xml:space="preserve"> IF(LEN(ChartLines.Hex6)=6, HEX2DEC(MID(ChartLines.Hex6, 3, 2)), "·")</f>
        <v>209</v>
      </c>
      <c r="J185">
        <f t="shared" ref="J185" si="744" xml:space="preserve"> IF(LEN(ChartLines.Hex6)=6, HEX2DEC(RIGHT(ChartLines.Hex6, 2)), "·")</f>
        <v>22</v>
      </c>
      <c r="K185" cm="1">
        <f t="array" ref="K185" xml:space="preserve"> 1 + ROW() - _xlfn.SINGLE(ROW(ChartLines.RowNum))</f>
        <v>183</v>
      </c>
    </row>
    <row r="186" spans="2:11" x14ac:dyDescent="0.2">
      <c r="B186" t="s">
        <v>1627</v>
      </c>
      <c r="C186" t="str">
        <f xml:space="preserve"> "000000"</f>
        <v>000000</v>
      </c>
      <c r="E186">
        <f t="shared" ref="E186" si="745" xml:space="preserve"> IF(AND(LEN(ChartLines.ID)&gt;0,"Unused"&lt;&gt;ChartLines.ID), COUNTIFS(ChartLines.ID,ChartLines.ID), "·")</f>
        <v>2</v>
      </c>
      <c r="F186">
        <f t="shared" ref="F186" si="746" xml:space="preserve"> IF(AND(LEN(ChartLines.ID)&gt;0,"Unused"&lt;&gt;ChartLines.ID), COUNTIFS(ChartLines.ID,ChartLines.ID,   ChartLines.RowNum,"&lt;="&amp;ChartLines.RowNum), "·")</f>
        <v>2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6">
        <f t="shared" ref="H186" si="747" xml:space="preserve"> IF(LEN(ChartLines.Hex6)=6, HEX2DEC(LEFT(ChartLines.Hex6, 2)), "·")</f>
        <v>0</v>
      </c>
      <c r="I186">
        <f t="shared" ref="I186" si="748" xml:space="preserve"> IF(LEN(ChartLines.Hex6)=6, HEX2DEC(MID(ChartLines.Hex6, 3, 2)), "·")</f>
        <v>0</v>
      </c>
      <c r="J186">
        <f t="shared" ref="J186" si="749" xml:space="preserve"> IF(LEN(ChartLines.Hex6)=6, HEX2DEC(RIGHT(ChartLines.Hex6, 2)), "·")</f>
        <v>0</v>
      </c>
      <c r="K186" cm="1">
        <f t="array" ref="K186" xml:space="preserve"> 1 + ROW() - _xlfn.SINGLE(ROW(ChartLines.RowNum))</f>
        <v>184</v>
      </c>
    </row>
    <row r="187" spans="2:11" x14ac:dyDescent="0.2">
      <c r="B187" t="s">
        <v>1647</v>
      </c>
      <c r="C187" t="str">
        <f xml:space="preserve"> "000000"</f>
        <v>000000</v>
      </c>
      <c r="E187">
        <f t="shared" ref="E187" si="750" xml:space="preserve"> IF(AND(LEN(ChartLines.ID)&gt;0,"Unused"&lt;&gt;ChartLines.ID), COUNTIFS(ChartLines.ID,ChartLines.ID), "·")</f>
        <v>2</v>
      </c>
      <c r="F187">
        <f t="shared" ref="F187" si="751" xml:space="preserve"> IF(AND(LEN(ChartLines.ID)&gt;0,"Unused"&lt;&gt;ChartLines.ID), COUNTIFS(ChartLines.ID,ChartLines.ID,   ChartLines.RowNum,"&lt;="&amp;ChartLines.RowNum), "·")</f>
        <v>1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7">
        <f t="shared" ref="H187" si="752" xml:space="preserve"> IF(LEN(ChartLines.Hex6)=6, HEX2DEC(LEFT(ChartLines.Hex6, 2)), "·")</f>
        <v>0</v>
      </c>
      <c r="I187">
        <f t="shared" ref="I187" si="753" xml:space="preserve"> IF(LEN(ChartLines.Hex6)=6, HEX2DEC(MID(ChartLines.Hex6, 3, 2)), "·")</f>
        <v>0</v>
      </c>
      <c r="J187">
        <f t="shared" ref="J187" si="754" xml:space="preserve"> IF(LEN(ChartLines.Hex6)=6, HEX2DEC(RIGHT(ChartLines.Hex6, 2)), "·")</f>
        <v>0</v>
      </c>
      <c r="K187" cm="1">
        <f t="array" ref="K187" xml:space="preserve"> 1 + ROW() - _xlfn.SINGLE(ROW(ChartLines.RowNum))</f>
        <v>185</v>
      </c>
    </row>
    <row r="188" spans="2:11" x14ac:dyDescent="0.2">
      <c r="B188" t="s">
        <v>1647</v>
      </c>
      <c r="C188" t="s">
        <v>1940</v>
      </c>
      <c r="E188">
        <f t="shared" ref="E188" si="755" xml:space="preserve"> IF(AND(LEN(ChartLines.ID)&gt;0,"Unused"&lt;&gt;ChartLines.ID), COUNTIFS(ChartLines.ID,ChartLines.ID), "·")</f>
        <v>2</v>
      </c>
      <c r="F188">
        <f t="shared" ref="F188" si="756" xml:space="preserve"> IF(AND(LEN(ChartLines.ID)&gt;0,"Unused"&lt;&gt;ChartLines.ID), COUNTIFS(ChartLines.ID,ChartLines.ID,   ChartLines.RowNum,"&lt;="&amp;ChartLines.RowNum), "·")</f>
        <v>2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8">
        <f t="shared" ref="H188" si="757" xml:space="preserve"> IF(LEN(ChartLines.Hex6)=6, HEX2DEC(LEFT(ChartLines.Hex6, 2)), "·")</f>
        <v>217</v>
      </c>
      <c r="I188">
        <f t="shared" ref="I188" si="758" xml:space="preserve"> IF(LEN(ChartLines.Hex6)=6, HEX2DEC(MID(ChartLines.Hex6, 3, 2)), "·")</f>
        <v>0</v>
      </c>
      <c r="J188">
        <f t="shared" ref="J188" si="759" xml:space="preserve"> IF(LEN(ChartLines.Hex6)=6, HEX2DEC(RIGHT(ChartLines.Hex6, 2)), "·")</f>
        <v>0</v>
      </c>
      <c r="K188" cm="1">
        <f t="array" ref="K188" xml:space="preserve"> 1 + ROW() - _xlfn.SINGLE(ROW(ChartLines.RowNum))</f>
        <v>186</v>
      </c>
    </row>
    <row r="189" spans="2:11" x14ac:dyDescent="0.2">
      <c r="B189" t="s">
        <v>1624</v>
      </c>
      <c r="C189" t="str">
        <f xml:space="preserve"> "007FFF"</f>
        <v>007FFF</v>
      </c>
      <c r="E189">
        <f t="shared" ref="E189" si="760" xml:space="preserve"> IF(AND(LEN(ChartLines.ID)&gt;0,"Unused"&lt;&gt;ChartLines.ID), COUNTIFS(ChartLines.ID,ChartLines.ID), "·")</f>
        <v>2</v>
      </c>
      <c r="F189">
        <f t="shared" ref="F189" si="761" xml:space="preserve"> IF(AND(LEN(ChartLines.ID)&gt;0,"Unused"&lt;&gt;ChartLines.ID), COUNTIFS(ChartLines.ID,ChartLines.ID,   ChartLines.RowNum,"&lt;="&amp;ChartLines.RowNum), "·")</f>
        <v>1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9">
        <f t="shared" ref="H189" si="762" xml:space="preserve"> IF(LEN(ChartLines.Hex6)=6, HEX2DEC(LEFT(ChartLines.Hex6, 2)), "·")</f>
        <v>0</v>
      </c>
      <c r="I189">
        <f t="shared" ref="I189" si="763" xml:space="preserve"> IF(LEN(ChartLines.Hex6)=6, HEX2DEC(MID(ChartLines.Hex6, 3, 2)), "·")</f>
        <v>127</v>
      </c>
      <c r="J189">
        <f t="shared" ref="J189" si="764" xml:space="preserve"> IF(LEN(ChartLines.Hex6)=6, HEX2DEC(RIGHT(ChartLines.Hex6, 2)), "·")</f>
        <v>255</v>
      </c>
      <c r="K189" cm="1">
        <f t="array" ref="K189" xml:space="preserve"> 1 + ROW() - _xlfn.SINGLE(ROW(ChartLines.RowNum))</f>
        <v>187</v>
      </c>
    </row>
    <row r="190" spans="2:11" x14ac:dyDescent="0.2">
      <c r="B190" t="s">
        <v>1624</v>
      </c>
      <c r="C190" t="s">
        <v>1941</v>
      </c>
      <c r="E190">
        <f t="shared" ref="E190" si="765" xml:space="preserve"> IF(AND(LEN(ChartLines.ID)&gt;0,"Unused"&lt;&gt;ChartLines.ID), COUNTIFS(ChartLines.ID,ChartLines.ID), "·")</f>
        <v>2</v>
      </c>
      <c r="F190">
        <f t="shared" ref="F190" si="766" xml:space="preserve"> IF(AND(LEN(ChartLines.ID)&gt;0,"Unused"&lt;&gt;ChartLines.ID), COUNTIFS(ChartLines.ID,ChartLines.ID,   ChartLines.RowNum,"&lt;="&amp;ChartLines.RowNum), "·")</f>
        <v>2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0">
        <f t="shared" ref="H190" si="767" xml:space="preserve"> IF(LEN(ChartLines.Hex6)=6, HEX2DEC(LEFT(ChartLines.Hex6, 2)), "·")</f>
        <v>247</v>
      </c>
      <c r="I190">
        <f t="shared" ref="I190" si="768" xml:space="preserve"> IF(LEN(ChartLines.Hex6)=6, HEX2DEC(MID(ChartLines.Hex6, 3, 2)), "·")</f>
        <v>214</v>
      </c>
      <c r="J190">
        <f t="shared" ref="J190" si="769" xml:space="preserve"> IF(LEN(ChartLines.Hex6)=6, HEX2DEC(RIGHT(ChartLines.Hex6, 2)), "·")</f>
        <v>24</v>
      </c>
      <c r="K190" cm="1">
        <f t="array" ref="K190" xml:space="preserve"> 1 + ROW() - _xlfn.SINGLE(ROW(ChartLines.RowNum))</f>
        <v>188</v>
      </c>
    </row>
    <row r="191" spans="2:11" x14ac:dyDescent="0.2">
      <c r="B191" t="s">
        <v>1974</v>
      </c>
      <c r="C191" t="str">
        <f xml:space="preserve"> "000000"</f>
        <v>000000</v>
      </c>
      <c r="E191">
        <f t="shared" ref="E191" si="770" xml:space="preserve"> IF(AND(LEN(ChartLines.ID)&gt;0,"Unused"&lt;&gt;ChartLines.ID), COUNTIFS(ChartLines.ID,ChartLines.ID), "·")</f>
        <v>2</v>
      </c>
      <c r="F191">
        <f t="shared" ref="F191" si="771" xml:space="preserve"> IF(AND(LEN(ChartLines.ID)&gt;0,"Unused"&lt;&gt;ChartLines.ID), COUNTIFS(ChartLines.ID,ChartLines.ID,   ChartLines.RowNum,"&lt;="&amp;ChartLines.RowNum), "·")</f>
        <v>1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1">
        <f t="shared" ref="H191" si="772" xml:space="preserve"> IF(LEN(ChartLines.Hex6)=6, HEX2DEC(LEFT(ChartLines.Hex6, 2)), "·")</f>
        <v>0</v>
      </c>
      <c r="I191">
        <f t="shared" ref="I191" si="773" xml:space="preserve"> IF(LEN(ChartLines.Hex6)=6, HEX2DEC(MID(ChartLines.Hex6, 3, 2)), "·")</f>
        <v>0</v>
      </c>
      <c r="J191">
        <f t="shared" ref="J191" si="774" xml:space="preserve"> IF(LEN(ChartLines.Hex6)=6, HEX2DEC(RIGHT(ChartLines.Hex6, 2)), "·")</f>
        <v>0</v>
      </c>
      <c r="K191" cm="1">
        <f t="array" ref="K191" xml:space="preserve"> 1 + ROW() - _xlfn.SINGLE(ROW(ChartLines.RowNum))</f>
        <v>189</v>
      </c>
    </row>
    <row r="192" spans="2:11" x14ac:dyDescent="0.2">
      <c r="B192" t="s">
        <v>1974</v>
      </c>
      <c r="C192" t="s">
        <v>1857</v>
      </c>
      <c r="E192">
        <f t="shared" ref="E192" si="775" xml:space="preserve"> IF(AND(LEN(ChartLines.ID)&gt;0,"Unused"&lt;&gt;ChartLines.ID), COUNTIFS(ChartLines.ID,ChartLines.ID), "·")</f>
        <v>2</v>
      </c>
      <c r="F192">
        <f t="shared" ref="F192" si="776" xml:space="preserve"> IF(AND(LEN(ChartLines.ID)&gt;0,"Unused"&lt;&gt;ChartLines.ID), COUNTIFS(ChartLines.ID,ChartLines.ID,   ChartLines.RowNum,"&lt;="&amp;ChartLines.RowNum), "·")</f>
        <v>2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2">
        <f t="shared" ref="H192" si="777" xml:space="preserve"> IF(LEN(ChartLines.Hex6)=6, HEX2DEC(LEFT(ChartLines.Hex6, 2)), "·")</f>
        <v>255</v>
      </c>
      <c r="I192">
        <f t="shared" ref="I192" si="778" xml:space="preserve"> IF(LEN(ChartLines.Hex6)=6, HEX2DEC(MID(ChartLines.Hex6, 3, 2)), "·")</f>
        <v>209</v>
      </c>
      <c r="J192">
        <f t="shared" ref="J192" si="779" xml:space="preserve"> IF(LEN(ChartLines.Hex6)=6, HEX2DEC(RIGHT(ChartLines.Hex6, 2)), "·")</f>
        <v>0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139</v>
      </c>
      <c r="C193" t="s">
        <v>1942</v>
      </c>
      <c r="E193">
        <f t="shared" ref="E193" si="780" xml:space="preserve"> IF(AND(LEN(ChartLines.ID)&gt;0,"Unused"&lt;&gt;ChartLines.ID), COUNTIFS(ChartLines.ID,ChartLines.ID), "·")</f>
        <v>2</v>
      </c>
      <c r="F193">
        <f t="shared" ref="F193" si="781" xml:space="preserve"> IF(AND(LEN(ChartLines.ID)&gt;0,"Unused"&lt;&gt;ChartLines.ID), COUNTIFS(ChartLines.ID,ChartLines.ID,   ChartLines.RowNum,"&lt;="&amp;ChartLines.RowNum), "·")</f>
        <v>1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3">
        <f t="shared" ref="H193" si="782" xml:space="preserve"> IF(LEN(ChartLines.Hex6)=6, HEX2DEC(LEFT(ChartLines.Hex6, 2)), "·")</f>
        <v>29</v>
      </c>
      <c r="I193">
        <f t="shared" ref="I193" si="783" xml:space="preserve"> IF(LEN(ChartLines.Hex6)=6, HEX2DEC(MID(ChartLines.Hex6, 3, 2)), "·")</f>
        <v>98</v>
      </c>
      <c r="J193">
        <f t="shared" ref="J193" si="784" xml:space="preserve"> IF(LEN(ChartLines.Hex6)=6, HEX2DEC(RIGHT(ChartLines.Hex6, 2)), "·")</f>
        <v>51</v>
      </c>
      <c r="K193" cm="1">
        <f t="array" ref="K193" xml:space="preserve"> 1 + ROW() - _xlfn.SINGLE(ROW(ChartLines.RowNum))</f>
        <v>191</v>
      </c>
    </row>
    <row r="194" spans="2:11" x14ac:dyDescent="0.2">
      <c r="B194" t="s">
        <v>139</v>
      </c>
      <c r="C194" t="s">
        <v>1943</v>
      </c>
      <c r="E194">
        <f t="shared" ref="E194" si="785" xml:space="preserve"> IF(AND(LEN(ChartLines.ID)&gt;0,"Unused"&lt;&gt;ChartLines.ID), COUNTIFS(ChartLines.ID,ChartLines.ID), "·")</f>
        <v>2</v>
      </c>
      <c r="F194">
        <f t="shared" ref="F194" si="786" xml:space="preserve"> IF(AND(LEN(ChartLines.ID)&gt;0,"Unused"&lt;&gt;ChartLines.ID), COUNTIFS(ChartLines.ID,ChartLines.ID,   ChartLines.RowNum,"&lt;="&amp;ChartLines.RowNum), "·")</f>
        <v>2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4">
        <f t="shared" ref="H194" si="787" xml:space="preserve"> IF(LEN(ChartLines.Hex6)=6, HEX2DEC(LEFT(ChartLines.Hex6, 2)), "·")</f>
        <v>253</v>
      </c>
      <c r="I194">
        <f t="shared" ref="I194" si="788" xml:space="preserve"> IF(LEN(ChartLines.Hex6)=6, HEX2DEC(MID(ChartLines.Hex6, 3, 2)), "·")</f>
        <v>239</v>
      </c>
      <c r="J194">
        <f t="shared" ref="J194" si="789" xml:space="preserve"> IF(LEN(ChartLines.Hex6)=6, HEX2DEC(RIGHT(ChartLines.Hex6, 2)), "·")</f>
        <v>66</v>
      </c>
      <c r="K194" cm="1">
        <f t="array" ref="K194" xml:space="preserve"> 1 + ROW() - _xlfn.SINGLE(ROW(ChartLines.RowNum))</f>
        <v>192</v>
      </c>
    </row>
    <row r="195" spans="2:11" x14ac:dyDescent="0.2">
      <c r="B195" t="s">
        <v>99</v>
      </c>
      <c r="C195" t="s">
        <v>1864</v>
      </c>
      <c r="E195">
        <f t="shared" ref="E195" si="790" xml:space="preserve"> IF(AND(LEN(ChartLines.ID)&gt;0,"Unused"&lt;&gt;ChartLines.ID), COUNTIFS(ChartLines.ID,ChartLines.ID), "·")</f>
        <v>2</v>
      </c>
      <c r="F195">
        <f t="shared" ref="F195" si="791" xml:space="preserve"> IF(AND(LEN(ChartLines.ID)&gt;0,"Unused"&lt;&gt;ChartLines.ID), COUNTIFS(ChartLines.ID,ChartLines.ID,   ChartLines.RowNum,"&lt;="&amp;ChartLines.RowNum), "·")</f>
        <v>1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5">
        <f t="shared" ref="H195" si="792" xml:space="preserve"> IF(LEN(ChartLines.Hex6)=6, HEX2DEC(LEFT(ChartLines.Hex6, 2)), "·")</f>
        <v>0</v>
      </c>
      <c r="I195">
        <f t="shared" ref="I195" si="793" xml:space="preserve"> IF(LEN(ChartLines.Hex6)=6, HEX2DEC(MID(ChartLines.Hex6, 3, 2)), "·")</f>
        <v>61</v>
      </c>
      <c r="J195">
        <f t="shared" ref="J195" si="794" xml:space="preserve"> IF(LEN(ChartLines.Hex6)=6, HEX2DEC(RIGHT(ChartLines.Hex6, 2)), "·")</f>
        <v>165</v>
      </c>
      <c r="K195" cm="1">
        <f t="array" ref="K195" xml:space="preserve"> 1 + ROW() - _xlfn.SINGLE(ROW(ChartLines.RowNum))</f>
        <v>193</v>
      </c>
    </row>
    <row r="196" spans="2:11" x14ac:dyDescent="0.2">
      <c r="B196" t="s">
        <v>99</v>
      </c>
      <c r="C196" t="str">
        <f xml:space="preserve"> "009639"</f>
        <v>009639</v>
      </c>
      <c r="E196">
        <f t="shared" ref="E196" si="795" xml:space="preserve"> IF(AND(LEN(ChartLines.ID)&gt;0,"Unused"&lt;&gt;ChartLines.ID), COUNTIFS(ChartLines.ID,ChartLines.ID), "·")</f>
        <v>2</v>
      </c>
      <c r="F196">
        <f t="shared" ref="F196" si="796" xml:space="preserve"> IF(AND(LEN(ChartLines.ID)&gt;0,"Unused"&lt;&gt;ChartLines.ID), COUNTIFS(ChartLines.ID,ChartLines.ID,   ChartLines.RowNum,"&lt;="&amp;ChartLines.RowNum), "·")</f>
        <v>2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6">
        <f t="shared" ref="H196" si="797" xml:space="preserve"> IF(LEN(ChartLines.Hex6)=6, HEX2DEC(LEFT(ChartLines.Hex6, 2)), "·")</f>
        <v>0</v>
      </c>
      <c r="I196">
        <f t="shared" ref="I196" si="798" xml:space="preserve"> IF(LEN(ChartLines.Hex6)=6, HEX2DEC(MID(ChartLines.Hex6, 3, 2)), "·")</f>
        <v>150</v>
      </c>
      <c r="J196">
        <f t="shared" ref="J196" si="799" xml:space="preserve"> IF(LEN(ChartLines.Hex6)=6, HEX2DEC(RIGHT(ChartLines.Hex6, 2)), "·")</f>
        <v>57</v>
      </c>
      <c r="K196" cm="1">
        <f t="array" ref="K196" xml:space="preserve"> 1 + ROW() - _xlfn.SINGLE(ROW(ChartLines.RowNum))</f>
        <v>194</v>
      </c>
    </row>
    <row r="197" spans="2:11" x14ac:dyDescent="0.2">
      <c r="B197" t="s">
        <v>98</v>
      </c>
      <c r="C197" t="s">
        <v>1944</v>
      </c>
      <c r="E197">
        <f t="shared" ref="E197" si="800" xml:space="preserve"> IF(AND(LEN(ChartLines.ID)&gt;0,"Unused"&lt;&gt;ChartLines.ID), COUNTIFS(ChartLines.ID,ChartLines.ID), "·")</f>
        <v>2</v>
      </c>
      <c r="F197">
        <f t="shared" ref="F197" si="801" xml:space="preserve"> IF(AND(LEN(ChartLines.ID)&gt;0,"Unused"&lt;&gt;ChartLines.ID), COUNTIFS(ChartLines.ID,ChartLines.ID,   ChartLines.RowNum,"&lt;="&amp;ChartLines.RowNum), "·")</f>
        <v>1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7">
        <f t="shared" ref="H197" si="802" xml:space="preserve"> IF(LEN(ChartLines.Hex6)=6, HEX2DEC(LEFT(ChartLines.Hex6, 2)), "·")</f>
        <v>234</v>
      </c>
      <c r="I197">
        <f t="shared" ref="I197" si="803" xml:space="preserve"> IF(LEN(ChartLines.Hex6)=6, HEX2DEC(MID(ChartLines.Hex6, 3, 2)), "·")</f>
        <v>118</v>
      </c>
      <c r="J197">
        <f t="shared" ref="J197" si="804" xml:space="preserve"> IF(LEN(ChartLines.Hex6)=6, HEX2DEC(RIGHT(ChartLines.Hex6, 2)), "·")</f>
        <v>0</v>
      </c>
      <c r="K197" cm="1">
        <f t="array" ref="K197" xml:space="preserve"> 1 + ROW() - _xlfn.SINGLE(ROW(ChartLines.RowNum))</f>
        <v>195</v>
      </c>
    </row>
    <row r="198" spans="2:11" x14ac:dyDescent="0.2">
      <c r="B198" t="s">
        <v>98</v>
      </c>
      <c r="C198" t="s">
        <v>1945</v>
      </c>
      <c r="E198">
        <f t="shared" ref="E198:E202" si="805" xml:space="preserve"> IF(AND(LEN(ChartLines.ID)&gt;0,"Unused"&lt;&gt;ChartLines.ID), COUNTIFS(ChartLines.ID,ChartLines.ID), "·")</f>
        <v>2</v>
      </c>
      <c r="F198">
        <f t="shared" ref="F198:F202" si="806" xml:space="preserve"> IF(AND(LEN(ChartLines.ID)&gt;0,"Unused"&lt;&gt;ChartLines.ID), COUNTIFS(ChartLines.ID,ChartLines.ID,   ChartLines.RowNum,"&lt;="&amp;ChartLines.RowNum), "·")</f>
        <v>2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8">
        <f t="shared" ref="H198:H202" si="807" xml:space="preserve"> IF(LEN(ChartLines.Hex6)=6, HEX2DEC(LEFT(ChartLines.Hex6, 2)), "·")</f>
        <v>0</v>
      </c>
      <c r="I198">
        <f t="shared" ref="I198:I202" si="808" xml:space="preserve"> IF(LEN(ChartLines.Hex6)=6, HEX2DEC(MID(ChartLines.Hex6, 3, 2)), "·")</f>
        <v>154</v>
      </c>
      <c r="J198">
        <f t="shared" ref="J198:J202" si="809" xml:space="preserve"> IF(LEN(ChartLines.Hex6)=6, HEX2DEC(RIGHT(ChartLines.Hex6, 2)), "·")</f>
        <v>68</v>
      </c>
      <c r="K198" cm="1">
        <f t="array" ref="K198" xml:space="preserve"> 1 + ROW() - _xlfn.SINGLE(ROW(ChartLines.RowNum))</f>
        <v>196</v>
      </c>
    </row>
    <row r="199" spans="2:11" x14ac:dyDescent="0.2">
      <c r="B199" t="s">
        <v>2167</v>
      </c>
      <c r="C199" t="s">
        <v>1856</v>
      </c>
      <c r="E199">
        <f t="shared" si="805"/>
        <v>2</v>
      </c>
      <c r="F199">
        <f t="shared" si="806"/>
        <v>1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9">
        <f t="shared" si="807"/>
        <v>200</v>
      </c>
      <c r="I199">
        <f t="shared" si="808"/>
        <v>16</v>
      </c>
      <c r="J199">
        <f t="shared" si="809"/>
        <v>46</v>
      </c>
      <c r="K199" cm="1">
        <f t="array" ref="K199" xml:space="preserve"> 1 + ROW() - _xlfn.SINGLE(ROW(ChartLines.RowNum))</f>
        <v>197</v>
      </c>
    </row>
    <row r="200" spans="2:11" x14ac:dyDescent="0.2">
      <c r="B200" t="s">
        <v>2167</v>
      </c>
      <c r="C200" t="s">
        <v>1855</v>
      </c>
      <c r="E200">
        <f t="shared" si="805"/>
        <v>2</v>
      </c>
      <c r="F200">
        <f t="shared" si="806"/>
        <v>2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0">
        <f t="shared" si="807"/>
        <v>255</v>
      </c>
      <c r="I200">
        <f t="shared" si="808"/>
        <v>205</v>
      </c>
      <c r="J200">
        <f t="shared" si="809"/>
        <v>0</v>
      </c>
      <c r="K200" cm="1">
        <f t="array" ref="K200" xml:space="preserve"> 1 + ROW() - _xlfn.SINGLE(ROW(ChartLines.RowNum))</f>
        <v>198</v>
      </c>
    </row>
    <row r="201" spans="2:11" x14ac:dyDescent="0.2">
      <c r="E201" t="str">
        <f t="shared" si="805"/>
        <v>·</v>
      </c>
      <c r="F201" t="str">
        <f t="shared" si="806"/>
        <v>·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1" t="str">
        <f t="shared" si="807"/>
        <v>·</v>
      </c>
      <c r="I201" t="str">
        <f t="shared" si="808"/>
        <v>·</v>
      </c>
      <c r="J201" t="str">
        <f t="shared" si="809"/>
        <v>·</v>
      </c>
      <c r="K201" cm="1">
        <f t="array" ref="K201" xml:space="preserve"> 1 + ROW() - _xlfn.SINGLE(ROW(ChartLines.RowNum))</f>
        <v>199</v>
      </c>
    </row>
    <row r="202" spans="2:11" x14ac:dyDescent="0.2">
      <c r="B202" t="s">
        <v>527</v>
      </c>
      <c r="C202" t="str">
        <f xml:space="preserve"> "006341"</f>
        <v>006341</v>
      </c>
      <c r="E202">
        <f t="shared" si="805"/>
        <v>2</v>
      </c>
      <c r="F202">
        <f t="shared" si="806"/>
        <v>1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2">
        <f t="shared" si="807"/>
        <v>0</v>
      </c>
      <c r="I202">
        <f t="shared" si="808"/>
        <v>99</v>
      </c>
      <c r="J202">
        <f t="shared" si="809"/>
        <v>65</v>
      </c>
      <c r="K202" cm="1">
        <f t="array" ref="K202" xml:space="preserve"> 1 + ROW() - _xlfn.SINGLE(ROW(ChartLines.RowNum))</f>
        <v>200</v>
      </c>
    </row>
    <row r="203" spans="2:11" x14ac:dyDescent="0.2">
      <c r="B203" t="s">
        <v>527</v>
      </c>
      <c r="C203" t="s">
        <v>1856</v>
      </c>
      <c r="E203">
        <f t="shared" ref="E203" si="810" xml:space="preserve"> IF(AND(LEN(ChartLines.ID)&gt;0,"Unused"&lt;&gt;ChartLines.ID), COUNTIFS(ChartLines.ID,ChartLines.ID), "·")</f>
        <v>2</v>
      </c>
      <c r="F203">
        <f t="shared" ref="F203" si="811" xml:space="preserve"> IF(AND(LEN(ChartLines.ID)&gt;0,"Unused"&lt;&gt;ChartLines.ID), COUNTIFS(ChartLines.ID,ChartLines.ID,   ChartLines.RowNum,"&lt;="&amp;ChartLines.RowNum), "·")</f>
        <v>2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3">
        <f t="shared" ref="H203" si="812" xml:space="preserve"> IF(LEN(ChartLines.Hex6)=6, HEX2DEC(LEFT(ChartLines.Hex6, 2)), "·")</f>
        <v>200</v>
      </c>
      <c r="I203">
        <f t="shared" ref="I203" si="813" xml:space="preserve"> IF(LEN(ChartLines.Hex6)=6, HEX2DEC(MID(ChartLines.Hex6, 3, 2)), "·")</f>
        <v>16</v>
      </c>
      <c r="J203">
        <f t="shared" ref="J203" si="814" xml:space="preserve"> IF(LEN(ChartLines.Hex6)=6, HEX2DEC(RIGHT(ChartLines.Hex6, 2)), "·")</f>
        <v>46</v>
      </c>
      <c r="K203" cm="1">
        <f t="array" ref="K203" xml:space="preserve"> 1 + ROW() - _xlfn.SINGLE(ROW(ChartLines.RowNum))</f>
        <v>201</v>
      </c>
    </row>
    <row r="204" spans="2:11" x14ac:dyDescent="0.2">
      <c r="B204" t="s">
        <v>529</v>
      </c>
      <c r="C204" t="str">
        <f xml:space="preserve"> "009639"</f>
        <v>009639</v>
      </c>
      <c r="E204">
        <f t="shared" ref="E204" si="815" xml:space="preserve"> IF(AND(LEN(ChartLines.ID)&gt;0,"Unused"&lt;&gt;ChartLines.ID), COUNTIFS(ChartLines.ID,ChartLines.ID), "·")</f>
        <v>2</v>
      </c>
      <c r="F204">
        <f t="shared" ref="F204" si="816" xml:space="preserve"> IF(AND(LEN(ChartLines.ID)&gt;0,"Unused"&lt;&gt;ChartLines.ID), COUNTIFS(ChartLines.ID,ChartLines.ID,   ChartLines.RowNum,"&lt;="&amp;ChartLines.RowNum), "·")</f>
        <v>1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4">
        <f t="shared" ref="H204" si="817" xml:space="preserve"> IF(LEN(ChartLines.Hex6)=6, HEX2DEC(LEFT(ChartLines.Hex6, 2)), "·")</f>
        <v>0</v>
      </c>
      <c r="I204">
        <f t="shared" ref="I204" si="818" xml:space="preserve"> IF(LEN(ChartLines.Hex6)=6, HEX2DEC(MID(ChartLines.Hex6, 3, 2)), "·")</f>
        <v>150</v>
      </c>
      <c r="J204">
        <f t="shared" ref="J204" si="819" xml:space="preserve"> IF(LEN(ChartLines.Hex6)=6, HEX2DEC(RIGHT(ChartLines.Hex6, 2)), "·")</f>
        <v>57</v>
      </c>
      <c r="K204" cm="1">
        <f t="array" ref="K204" xml:space="preserve"> 1 + ROW() - _xlfn.SINGLE(ROW(ChartLines.RowNum))</f>
        <v>202</v>
      </c>
    </row>
    <row r="205" spans="2:11" x14ac:dyDescent="0.2">
      <c r="B205" t="s">
        <v>529</v>
      </c>
      <c r="C205" t="s">
        <v>1946</v>
      </c>
      <c r="E205">
        <f t="shared" ref="E205" si="820" xml:space="preserve"> IF(AND(LEN(ChartLines.ID)&gt;0,"Unused"&lt;&gt;ChartLines.ID), COUNTIFS(ChartLines.ID,ChartLines.ID), "·")</f>
        <v>2</v>
      </c>
      <c r="F205">
        <f t="shared" ref="F205" si="821" xml:space="preserve"> IF(AND(LEN(ChartLines.ID)&gt;0,"Unused"&lt;&gt;ChartLines.ID), COUNTIFS(ChartLines.ID,ChartLines.ID,   ChartLines.RowNum,"&lt;="&amp;ChartLines.RowNum), "·")</f>
        <v>2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5">
        <f t="shared" ref="H205" si="822" xml:space="preserve"> IF(LEN(ChartLines.Hex6)=6, HEX2DEC(LEFT(ChartLines.Hex6, 2)), "·")</f>
        <v>254</v>
      </c>
      <c r="I205">
        <f t="shared" ref="I205" si="823" xml:space="preserve"> IF(LEN(ChartLines.Hex6)=6, HEX2DEC(MID(ChartLines.Hex6, 3, 2)), "·")</f>
        <v>221</v>
      </c>
      <c r="J205">
        <f t="shared" ref="J205" si="824" xml:space="preserve"> IF(LEN(ChartLines.Hex6)=6, HEX2DEC(RIGHT(ChartLines.Hex6, 2)), "·")</f>
        <v>0</v>
      </c>
      <c r="K205" cm="1">
        <f t="array" ref="K205" xml:space="preserve"> 1 + ROW() - _xlfn.SINGLE(ROW(ChartLines.RowNum))</f>
        <v>203</v>
      </c>
    </row>
    <row r="206" spans="2:11" x14ac:dyDescent="0.2">
      <c r="B206" t="s">
        <v>140</v>
      </c>
      <c r="C206" t="s">
        <v>1947</v>
      </c>
      <c r="E206">
        <f t="shared" ref="E206" si="825" xml:space="preserve"> IF(AND(LEN(ChartLines.ID)&gt;0,"Unused"&lt;&gt;ChartLines.ID), COUNTIFS(ChartLines.ID,ChartLines.ID), "·")</f>
        <v>2</v>
      </c>
      <c r="F206">
        <f t="shared" ref="F206" si="826" xml:space="preserve"> IF(AND(LEN(ChartLines.ID)&gt;0,"Unused"&lt;&gt;ChartLines.ID), COUNTIFS(ChartLines.ID,ChartLines.ID,   ChartLines.RowNum,"&lt;="&amp;ChartLines.RowNum), "·")</f>
        <v>1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6">
        <f t="shared" ref="H206" si="827" xml:space="preserve"> IF(LEN(ChartLines.Hex6)=6, HEX2DEC(LEFT(ChartLines.Hex6, 2)), "·")</f>
        <v>213</v>
      </c>
      <c r="I206">
        <f t="shared" ref="I206" si="828" xml:space="preserve"> IF(LEN(ChartLines.Hex6)=6, HEX2DEC(MID(ChartLines.Hex6, 3, 2)), "·")</f>
        <v>43</v>
      </c>
      <c r="J206">
        <f t="shared" ref="J206" si="829" xml:space="preserve"> IF(LEN(ChartLines.Hex6)=6, HEX2DEC(RIGHT(ChartLines.Hex6, 2)), "·")</f>
        <v>30</v>
      </c>
      <c r="K206" cm="1">
        <f t="array" ref="K206" xml:space="preserve"> 1 + ROW() - _xlfn.SINGLE(ROW(ChartLines.RowNum))</f>
        <v>204</v>
      </c>
    </row>
    <row r="207" spans="2:11" x14ac:dyDescent="0.2">
      <c r="B207" t="s">
        <v>140</v>
      </c>
      <c r="C207" t="s">
        <v>1948</v>
      </c>
      <c r="E207">
        <f t="shared" ref="E207" si="830" xml:space="preserve"> IF(AND(LEN(ChartLines.ID)&gt;0,"Unused"&lt;&gt;ChartLines.ID), COUNTIFS(ChartLines.ID,ChartLines.ID), "·")</f>
        <v>2</v>
      </c>
      <c r="F207">
        <f t="shared" ref="F207" si="831" xml:space="preserve"> IF(AND(LEN(ChartLines.ID)&gt;0,"Unused"&lt;&gt;ChartLines.ID), COUNTIFS(ChartLines.ID,ChartLines.ID,   ChartLines.RowNum,"&lt;="&amp;ChartLines.RowNum), "·")</f>
        <v>2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7">
        <f t="shared" ref="H207" si="832" xml:space="preserve"> IF(LEN(ChartLines.Hex6)=6, HEX2DEC(LEFT(ChartLines.Hex6, 2)), "·")</f>
        <v>0</v>
      </c>
      <c r="I207">
        <f t="shared" ref="I207" si="833" xml:space="preserve"> IF(LEN(ChartLines.Hex6)=6, HEX2DEC(MID(ChartLines.Hex6, 3, 2)), "·")</f>
        <v>51</v>
      </c>
      <c r="J207">
        <f t="shared" ref="J207" si="834" xml:space="preserve"> IF(LEN(ChartLines.Hex6)=6, HEX2DEC(RIGHT(ChartLines.Hex6, 2)), "·")</f>
        <v>160</v>
      </c>
      <c r="K207" cm="1">
        <f t="array" ref="K207" xml:space="preserve"> 1 + ROW() - _xlfn.SINGLE(ROW(ChartLines.RowNum))</f>
        <v>205</v>
      </c>
    </row>
    <row r="208" spans="2:11" x14ac:dyDescent="0.2">
      <c r="B208" t="s">
        <v>100</v>
      </c>
      <c r="C208" t="str">
        <f xml:space="preserve"> "003087"</f>
        <v>003087</v>
      </c>
      <c r="E208">
        <f t="shared" ref="E208" si="835" xml:space="preserve"> IF(AND(LEN(ChartLines.ID)&gt;0,"Unused"&lt;&gt;ChartLines.ID), COUNTIFS(ChartLines.ID,ChartLines.ID), "·")</f>
        <v>2</v>
      </c>
      <c r="F208">
        <f t="shared" ref="F208" si="836" xml:space="preserve"> IF(AND(LEN(ChartLines.ID)&gt;0,"Unused"&lt;&gt;ChartLines.ID), COUNTIFS(ChartLines.ID,ChartLines.ID,   ChartLines.RowNum,"&lt;="&amp;ChartLines.RowNum), "·")</f>
        <v>1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8">
        <f t="shared" ref="H208" si="837" xml:space="preserve"> IF(LEN(ChartLines.Hex6)=6, HEX2DEC(LEFT(ChartLines.Hex6, 2)), "·")</f>
        <v>0</v>
      </c>
      <c r="I208">
        <f t="shared" ref="I208" si="838" xml:space="preserve"> IF(LEN(ChartLines.Hex6)=6, HEX2DEC(MID(ChartLines.Hex6, 3, 2)), "·")</f>
        <v>48</v>
      </c>
      <c r="J208">
        <f t="shared" ref="J208" si="839" xml:space="preserve"> IF(LEN(ChartLines.Hex6)=6, HEX2DEC(RIGHT(ChartLines.Hex6, 2)), "·")</f>
        <v>135</v>
      </c>
      <c r="K208" cm="1">
        <f t="array" ref="K208" xml:space="preserve"> 1 + ROW() - _xlfn.SINGLE(ROW(ChartLines.RowNum))</f>
        <v>206</v>
      </c>
    </row>
    <row r="209" spans="2:11" x14ac:dyDescent="0.2">
      <c r="B209" t="s">
        <v>100</v>
      </c>
      <c r="C209" t="s">
        <v>1855</v>
      </c>
      <c r="E209">
        <f t="shared" ref="E209" si="840" xml:space="preserve"> IF(AND(LEN(ChartLines.ID)&gt;0,"Unused"&lt;&gt;ChartLines.ID), COUNTIFS(ChartLines.ID,ChartLines.ID), "·")</f>
        <v>2</v>
      </c>
      <c r="F209">
        <f t="shared" ref="F209" si="841" xml:space="preserve"> IF(AND(LEN(ChartLines.ID)&gt;0,"Unused"&lt;&gt;ChartLines.ID), COUNTIFS(ChartLines.ID,ChartLines.ID,   ChartLines.RowNum,"&lt;="&amp;ChartLines.RowNum), "·")</f>
        <v>2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9">
        <f t="shared" ref="H209" si="842" xml:space="preserve"> IF(LEN(ChartLines.Hex6)=6, HEX2DEC(LEFT(ChartLines.Hex6, 2)), "·")</f>
        <v>255</v>
      </c>
      <c r="I209">
        <f t="shared" ref="I209" si="843" xml:space="preserve"> IF(LEN(ChartLines.Hex6)=6, HEX2DEC(MID(ChartLines.Hex6, 3, 2)), "·")</f>
        <v>205</v>
      </c>
      <c r="J209">
        <f t="shared" ref="J209" si="844" xml:space="preserve"> IF(LEN(ChartLines.Hex6)=6, HEX2DEC(RIGHT(ChartLines.Hex6, 2)), "·")</f>
        <v>0</v>
      </c>
      <c r="K209" cm="1">
        <f t="array" ref="K209" xml:space="preserve"> 1 + ROW() - _xlfn.SINGLE(ROW(ChartLines.RowNum))</f>
        <v>207</v>
      </c>
    </row>
    <row r="210" spans="2:11" x14ac:dyDescent="0.2">
      <c r="B210" t="s">
        <v>101</v>
      </c>
      <c r="C210" t="s">
        <v>1856</v>
      </c>
      <c r="E210">
        <f t="shared" ref="E210" si="845" xml:space="preserve"> IF(AND(LEN(ChartLines.ID)&gt;0,"Unused"&lt;&gt;ChartLines.ID), COUNTIFS(ChartLines.ID,ChartLines.ID), "·")</f>
        <v>2</v>
      </c>
      <c r="F210">
        <f t="shared" ref="F210" si="846" xml:space="preserve"> IF(AND(LEN(ChartLines.ID)&gt;0,"Unused"&lt;&gt;ChartLines.ID), COUNTIFS(ChartLines.ID,ChartLines.ID,   ChartLines.RowNum,"&lt;="&amp;ChartLines.RowNum), "·")</f>
        <v>1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0">
        <f t="shared" ref="H210" si="847" xml:space="preserve"> IF(LEN(ChartLines.Hex6)=6, HEX2DEC(LEFT(ChartLines.Hex6, 2)), "·")</f>
        <v>200</v>
      </c>
      <c r="I210">
        <f t="shared" ref="I210" si="848" xml:space="preserve"> IF(LEN(ChartLines.Hex6)=6, HEX2DEC(MID(ChartLines.Hex6, 3, 2)), "·")</f>
        <v>16</v>
      </c>
      <c r="J210">
        <f t="shared" ref="J210" si="849" xml:space="preserve"> IF(LEN(ChartLines.Hex6)=6, HEX2DEC(RIGHT(ChartLines.Hex6, 2)), "·")</f>
        <v>46</v>
      </c>
      <c r="K210" cm="1">
        <f t="array" ref="K210" xml:space="preserve"> 1 + ROW() - _xlfn.SINGLE(ROW(ChartLines.RowNum))</f>
        <v>208</v>
      </c>
    </row>
    <row r="211" spans="2:11" x14ac:dyDescent="0.2">
      <c r="B211" t="s">
        <v>101</v>
      </c>
      <c r="C211" t="s">
        <v>1851</v>
      </c>
      <c r="E211">
        <f t="shared" ref="E211" si="850" xml:space="preserve"> IF(AND(LEN(ChartLines.ID)&gt;0,"Unused"&lt;&gt;ChartLines.ID), COUNTIFS(ChartLines.ID,ChartLines.ID), "·")</f>
        <v>2</v>
      </c>
      <c r="F211">
        <f t="shared" ref="F211" si="851" xml:space="preserve"> IF(AND(LEN(ChartLines.ID)&gt;0,"Unused"&lt;&gt;ChartLines.ID), COUNTIFS(ChartLines.ID,ChartLines.ID,   ChartLines.RowNum,"&lt;="&amp;ChartLines.RowNum), "·")</f>
        <v>2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1">
        <f t="shared" ref="H211" si="852" xml:space="preserve"> IF(LEN(ChartLines.Hex6)=6, HEX2DEC(LEFT(ChartLines.Hex6, 2)), "·")</f>
        <v>255</v>
      </c>
      <c r="I211">
        <f t="shared" ref="I211" si="853" xml:space="preserve"> IF(LEN(ChartLines.Hex6)=6, HEX2DEC(MID(ChartLines.Hex6, 3, 2)), "·")</f>
        <v>255</v>
      </c>
      <c r="J211">
        <f t="shared" ref="J211" si="854" xml:space="preserve"> IF(LEN(ChartLines.Hex6)=6, HEX2DEC(RIGHT(ChartLines.Hex6, 2)), "·")</f>
        <v>255</v>
      </c>
      <c r="K211" cm="1">
        <f t="array" ref="K211" xml:space="preserve"> 1 + ROW() - _xlfn.SINGLE(ROW(ChartLines.RowNum))</f>
        <v>209</v>
      </c>
    </row>
    <row r="212" spans="2:11" x14ac:dyDescent="0.2">
      <c r="B212" t="s">
        <v>545</v>
      </c>
      <c r="C212" t="str">
        <f xml:space="preserve"> "001489"</f>
        <v>001489</v>
      </c>
      <c r="E212">
        <f t="shared" ref="E212" si="855" xml:space="preserve"> IF(AND(LEN(ChartLines.ID)&gt;0,"Unused"&lt;&gt;ChartLines.ID), COUNTIFS(ChartLines.ID,ChartLines.ID), "·")</f>
        <v>2</v>
      </c>
      <c r="F212">
        <f t="shared" ref="F212" si="856" xml:space="preserve"> IF(AND(LEN(ChartLines.ID)&gt;0,"Unused"&lt;&gt;ChartLines.ID), COUNTIFS(ChartLines.ID,ChartLines.ID,   ChartLines.RowNum,"&lt;="&amp;ChartLines.RowNum), "·")</f>
        <v>1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2">
        <f t="shared" ref="H212" si="857" xml:space="preserve"> IF(LEN(ChartLines.Hex6)=6, HEX2DEC(LEFT(ChartLines.Hex6, 2)), "·")</f>
        <v>0</v>
      </c>
      <c r="I212">
        <f t="shared" ref="I212" si="858" xml:space="preserve"> IF(LEN(ChartLines.Hex6)=6, HEX2DEC(MID(ChartLines.Hex6, 3, 2)), "·")</f>
        <v>20</v>
      </c>
      <c r="J212">
        <f t="shared" ref="J212" si="859" xml:space="preserve"> IF(LEN(ChartLines.Hex6)=6, HEX2DEC(RIGHT(ChartLines.Hex6, 2)), "·")</f>
        <v>137</v>
      </c>
      <c r="K212" cm="1">
        <f t="array" ref="K212" xml:space="preserve"> 1 + ROW() - _xlfn.SINGLE(ROW(ChartLines.RowNum))</f>
        <v>210</v>
      </c>
    </row>
    <row r="213" spans="2:11" x14ac:dyDescent="0.2">
      <c r="B213" t="s">
        <v>545</v>
      </c>
      <c r="C213" t="s">
        <v>1851</v>
      </c>
      <c r="E213">
        <f t="shared" ref="E213" si="860" xml:space="preserve"> IF(AND(LEN(ChartLines.ID)&gt;0,"Unused"&lt;&gt;ChartLines.ID), COUNTIFS(ChartLines.ID,ChartLines.ID), "·")</f>
        <v>2</v>
      </c>
      <c r="F213">
        <f t="shared" ref="F213" si="861" xml:space="preserve"> IF(AND(LEN(ChartLines.ID)&gt;0,"Unused"&lt;&gt;ChartLines.ID), COUNTIFS(ChartLines.ID,ChartLines.ID,   ChartLines.RowNum,"&lt;="&amp;ChartLines.RowNum), "·")</f>
        <v>2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3">
        <f t="shared" ref="H213" si="862" xml:space="preserve"> IF(LEN(ChartLines.Hex6)=6, HEX2DEC(LEFT(ChartLines.Hex6, 2)), "·")</f>
        <v>255</v>
      </c>
      <c r="I213">
        <f t="shared" ref="I213" si="863" xml:space="preserve"> IF(LEN(ChartLines.Hex6)=6, HEX2DEC(MID(ChartLines.Hex6, 3, 2)), "·")</f>
        <v>255</v>
      </c>
      <c r="J213">
        <f t="shared" ref="J213" si="864" xml:space="preserve"> IF(LEN(ChartLines.Hex6)=6, HEX2DEC(RIGHT(ChartLines.Hex6, 2)), "·")</f>
        <v>255</v>
      </c>
      <c r="K213" cm="1">
        <f t="array" ref="K213" xml:space="preserve"> 1 + ROW() - _xlfn.SINGLE(ROW(ChartLines.RowNum))</f>
        <v>211</v>
      </c>
    </row>
    <row r="214" spans="2:11" x14ac:dyDescent="0.2">
      <c r="B214" t="s">
        <v>102</v>
      </c>
      <c r="C214" t="s">
        <v>1949</v>
      </c>
      <c r="E214">
        <f t="shared" ref="E214" si="865" xml:space="preserve"> IF(AND(LEN(ChartLines.ID)&gt;0,"Unused"&lt;&gt;ChartLines.ID), COUNTIFS(ChartLines.ID,ChartLines.ID), "·")</f>
        <v>2</v>
      </c>
      <c r="F214">
        <f t="shared" ref="F214" si="866" xml:space="preserve"> IF(AND(LEN(ChartLines.ID)&gt;0,"Unused"&lt;&gt;ChartLines.ID), COUNTIFS(ChartLines.ID,ChartLines.ID,   ChartLines.RowNum,"&lt;="&amp;ChartLines.RowNum), "·")</f>
        <v>1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4">
        <f t="shared" ref="H214" si="867" xml:space="preserve"> IF(LEN(ChartLines.Hex6)=6, HEX2DEC(LEFT(ChartLines.Hex6, 2)), "·")</f>
        <v>108</v>
      </c>
      <c r="I214">
        <f t="shared" ref="I214" si="868" xml:space="preserve"> IF(LEN(ChartLines.Hex6)=6, HEX2DEC(MID(ChartLines.Hex6, 3, 2)), "·")</f>
        <v>172</v>
      </c>
      <c r="J214">
        <f t="shared" ref="J214" si="869" xml:space="preserve"> IF(LEN(ChartLines.Hex6)=6, HEX2DEC(RIGHT(ChartLines.Hex6, 2)), "·")</f>
        <v>228</v>
      </c>
      <c r="K214" cm="1">
        <f t="array" ref="K214" xml:space="preserve"> 1 + ROW() - _xlfn.SINGLE(ROW(ChartLines.RowNum))</f>
        <v>212</v>
      </c>
    </row>
    <row r="215" spans="2:11" x14ac:dyDescent="0.2">
      <c r="B215" t="s">
        <v>102</v>
      </c>
      <c r="C215" t="s">
        <v>1851</v>
      </c>
      <c r="E215">
        <f t="shared" ref="E215" si="870" xml:space="preserve"> IF(AND(LEN(ChartLines.ID)&gt;0,"Unused"&lt;&gt;ChartLines.ID), COUNTIFS(ChartLines.ID,ChartLines.ID), "·")</f>
        <v>2</v>
      </c>
      <c r="F215">
        <f t="shared" ref="F215" si="871" xml:space="preserve"> IF(AND(LEN(ChartLines.ID)&gt;0,"Unused"&lt;&gt;ChartLines.ID), COUNTIFS(ChartLines.ID,ChartLines.ID,   ChartLines.RowNum,"&lt;="&amp;ChartLines.RowNum), "·")</f>
        <v>2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5">
        <f t="shared" ref="H215" si="872" xml:space="preserve"> IF(LEN(ChartLines.Hex6)=6, HEX2DEC(LEFT(ChartLines.Hex6, 2)), "·")</f>
        <v>255</v>
      </c>
      <c r="I215">
        <f t="shared" ref="I215" si="873" xml:space="preserve"> IF(LEN(ChartLines.Hex6)=6, HEX2DEC(MID(ChartLines.Hex6, 3, 2)), "·")</f>
        <v>255</v>
      </c>
      <c r="J215">
        <f t="shared" ref="J215" si="874" xml:space="preserve"> IF(LEN(ChartLines.Hex6)=6, HEX2DEC(RIGHT(ChartLines.Hex6, 2)), "·")</f>
        <v>255</v>
      </c>
      <c r="K215" cm="1">
        <f t="array" ref="K215" xml:space="preserve"> 1 + ROW() - _xlfn.SINGLE(ROW(ChartLines.RowNum))</f>
        <v>213</v>
      </c>
    </row>
    <row r="216" spans="2:11" x14ac:dyDescent="0.2">
      <c r="B216" t="s">
        <v>1950</v>
      </c>
      <c r="C216" t="str">
        <f xml:space="preserve"> "000000"</f>
        <v>000000</v>
      </c>
      <c r="E216">
        <f t="shared" ref="E216" si="875" xml:space="preserve"> IF(AND(LEN(ChartLines.ID)&gt;0,"Unused"&lt;&gt;ChartLines.ID), COUNTIFS(ChartLines.ID,ChartLines.ID), "·")</f>
        <v>2</v>
      </c>
      <c r="F216">
        <f t="shared" ref="F216" si="876" xml:space="preserve"> IF(AND(LEN(ChartLines.ID)&gt;0,"Unused"&lt;&gt;ChartLines.ID), COUNTIFS(ChartLines.ID,ChartLines.ID,   ChartLines.RowNum,"&lt;="&amp;ChartLines.RowNum), "·")</f>
        <v>1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6">
        <f t="shared" ref="H216" si="877" xml:space="preserve"> IF(LEN(ChartLines.Hex6)=6, HEX2DEC(LEFT(ChartLines.Hex6, 2)), "·")</f>
        <v>0</v>
      </c>
      <c r="I216">
        <f t="shared" ref="I216" si="878" xml:space="preserve"> IF(LEN(ChartLines.Hex6)=6, HEX2DEC(MID(ChartLines.Hex6, 3, 2)), "·")</f>
        <v>0</v>
      </c>
      <c r="J216">
        <f t="shared" ref="J216" si="879" xml:space="preserve"> IF(LEN(ChartLines.Hex6)=6, HEX2DEC(RIGHT(ChartLines.Hex6, 2)), "·")</f>
        <v>0</v>
      </c>
      <c r="K216" cm="1">
        <f t="array" ref="K216" xml:space="preserve"> 1 + ROW() - _xlfn.SINGLE(ROW(ChartLines.RowNum))</f>
        <v>214</v>
      </c>
    </row>
    <row r="217" spans="2:11" x14ac:dyDescent="0.2">
      <c r="B217" t="s">
        <v>1950</v>
      </c>
      <c r="C217" t="s">
        <v>1851</v>
      </c>
      <c r="E217">
        <f t="shared" ref="E217" si="880" xml:space="preserve"> IF(AND(LEN(ChartLines.ID)&gt;0,"Unused"&lt;&gt;ChartLines.ID), COUNTIFS(ChartLines.ID,ChartLines.ID), "·")</f>
        <v>2</v>
      </c>
      <c r="F217">
        <f t="shared" ref="F217" si="881" xml:space="preserve"> IF(AND(LEN(ChartLines.ID)&gt;0,"Unused"&lt;&gt;ChartLines.ID), COUNTIFS(ChartLines.ID,ChartLines.ID,   ChartLines.RowNum,"&lt;="&amp;ChartLines.RowNum), "·")</f>
        <v>2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7">
        <f t="shared" ref="H217" si="882" xml:space="preserve"> IF(LEN(ChartLines.Hex6)=6, HEX2DEC(LEFT(ChartLines.Hex6, 2)), "·")</f>
        <v>255</v>
      </c>
      <c r="I217">
        <f t="shared" ref="I217" si="883" xml:space="preserve"> IF(LEN(ChartLines.Hex6)=6, HEX2DEC(MID(ChartLines.Hex6, 3, 2)), "·")</f>
        <v>255</v>
      </c>
      <c r="J217">
        <f t="shared" ref="J217" si="884" xml:space="preserve"> IF(LEN(ChartLines.Hex6)=6, HEX2DEC(RIGHT(ChartLines.Hex6, 2)), "·")</f>
        <v>255</v>
      </c>
      <c r="K217" cm="1">
        <f t="array" ref="K217" xml:space="preserve"> 1 + ROW() - _xlfn.SINGLE(ROW(ChartLines.RowNum))</f>
        <v>215</v>
      </c>
    </row>
    <row r="218" spans="2:11" x14ac:dyDescent="0.2">
      <c r="B218" t="s">
        <v>561</v>
      </c>
      <c r="C218" t="s">
        <v>1951</v>
      </c>
      <c r="E218">
        <f t="shared" ref="E218" si="885" xml:space="preserve"> IF(AND(LEN(ChartLines.ID)&gt;0,"Unused"&lt;&gt;ChartLines.ID), COUNTIFS(ChartLines.ID,ChartLines.ID), "·")</f>
        <v>2</v>
      </c>
      <c r="F218">
        <f t="shared" ref="F218" si="886" xml:space="preserve"> IF(AND(LEN(ChartLines.ID)&gt;0,"Unused"&lt;&gt;ChartLines.ID), COUNTIFS(ChartLines.ID,ChartLines.ID,   ChartLines.RowNum,"&lt;="&amp;ChartLines.RowNum), "·")</f>
        <v>1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8">
        <f t="shared" ref="H218" si="887" xml:space="preserve"> IF(LEN(ChartLines.Hex6)=6, HEX2DEC(LEFT(ChartLines.Hex6, 2)), "·")</f>
        <v>29</v>
      </c>
      <c r="I218">
        <f t="shared" ref="I218" si="888" xml:space="preserve"> IF(LEN(ChartLines.Hex6)=6, HEX2DEC(MID(ChartLines.Hex6, 3, 2)), "·")</f>
        <v>66</v>
      </c>
      <c r="J218">
        <f t="shared" ref="J218" si="889" xml:space="preserve"> IF(LEN(ChartLines.Hex6)=6, HEX2DEC(RIGHT(ChartLines.Hex6, 2)), "·")</f>
        <v>138</v>
      </c>
      <c r="K218" cm="1">
        <f t="array" ref="K218" xml:space="preserve"> 1 + ROW() - _xlfn.SINGLE(ROW(ChartLines.RowNum))</f>
        <v>216</v>
      </c>
    </row>
    <row r="219" spans="2:11" x14ac:dyDescent="0.2">
      <c r="B219" t="s">
        <v>561</v>
      </c>
      <c r="C219" t="s">
        <v>1856</v>
      </c>
      <c r="E219">
        <f t="shared" ref="E219" si="890" xml:space="preserve"> IF(AND(LEN(ChartLines.ID)&gt;0,"Unused"&lt;&gt;ChartLines.ID), COUNTIFS(ChartLines.ID,ChartLines.ID), "·")</f>
        <v>2</v>
      </c>
      <c r="F219">
        <f t="shared" ref="F219" si="891" xml:space="preserve"> IF(AND(LEN(ChartLines.ID)&gt;0,"Unused"&lt;&gt;ChartLines.ID), COUNTIFS(ChartLines.ID,ChartLines.ID,   ChartLines.RowNum,"&lt;="&amp;ChartLines.RowNum), "·")</f>
        <v>2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9">
        <f t="shared" ref="H219" si="892" xml:space="preserve"> IF(LEN(ChartLines.Hex6)=6, HEX2DEC(LEFT(ChartLines.Hex6, 2)), "·")</f>
        <v>200</v>
      </c>
      <c r="I219">
        <f t="shared" ref="I219" si="893" xml:space="preserve"> IF(LEN(ChartLines.Hex6)=6, HEX2DEC(MID(ChartLines.Hex6, 3, 2)), "·")</f>
        <v>16</v>
      </c>
      <c r="J219">
        <f t="shared" ref="J219" si="894" xml:space="preserve"> IF(LEN(ChartLines.Hex6)=6, HEX2DEC(RIGHT(ChartLines.Hex6, 2)), "·")</f>
        <v>46</v>
      </c>
      <c r="K219" cm="1">
        <f t="array" ref="K219" xml:space="preserve"> 1 + ROW() - _xlfn.SINGLE(ROW(ChartLines.RowNum))</f>
        <v>217</v>
      </c>
    </row>
    <row r="220" spans="2:11" x14ac:dyDescent="0.2">
      <c r="B220" t="s">
        <v>564</v>
      </c>
      <c r="C220" t="s">
        <v>1880</v>
      </c>
      <c r="E220">
        <f t="shared" ref="E220" si="895" xml:space="preserve"> IF(AND(LEN(ChartLines.ID)&gt;0,"Unused"&lt;&gt;ChartLines.ID), COUNTIFS(ChartLines.ID,ChartLines.ID), "·")</f>
        <v>2</v>
      </c>
      <c r="F220">
        <f t="shared" ref="F220" si="896" xml:space="preserve"> IF(AND(LEN(ChartLines.ID)&gt;0,"Unused"&lt;&gt;ChartLines.ID), COUNTIFS(ChartLines.ID,ChartLines.ID,   ChartLines.RowNum,"&lt;="&amp;ChartLines.RowNum), "·")</f>
        <v>1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0">
        <f t="shared" ref="H220" si="897" xml:space="preserve"> IF(LEN(ChartLines.Hex6)=6, HEX2DEC(LEFT(ChartLines.Hex6, 2)), "·")</f>
        <v>0</v>
      </c>
      <c r="I220">
        <f t="shared" ref="I220" si="898" xml:space="preserve"> IF(LEN(ChartLines.Hex6)=6, HEX2DEC(MID(ChartLines.Hex6, 3, 2)), "·")</f>
        <v>114</v>
      </c>
      <c r="J220">
        <f t="shared" ref="J220" si="899" xml:space="preserve"> IF(LEN(ChartLines.Hex6)=6, HEX2DEC(RIGHT(ChartLines.Hex6, 2)), "·")</f>
        <v>206</v>
      </c>
      <c r="K220" cm="1">
        <f t="array" ref="K220" xml:space="preserve"> 1 + ROW() - _xlfn.SINGLE(ROW(ChartLines.RowNum))</f>
        <v>218</v>
      </c>
    </row>
    <row r="221" spans="2:11" x14ac:dyDescent="0.2">
      <c r="B221" t="s">
        <v>564</v>
      </c>
      <c r="C221" t="s">
        <v>1857</v>
      </c>
      <c r="E221">
        <f t="shared" ref="E221" si="900" xml:space="preserve"> IF(AND(LEN(ChartLines.ID)&gt;0,"Unused"&lt;&gt;ChartLines.ID), COUNTIFS(ChartLines.ID,ChartLines.ID), "·")</f>
        <v>2</v>
      </c>
      <c r="F221">
        <f t="shared" ref="F221" si="901" xml:space="preserve"> IF(AND(LEN(ChartLines.ID)&gt;0,"Unused"&lt;&gt;ChartLines.ID), COUNTIFS(ChartLines.ID,ChartLines.ID,   ChartLines.RowNum,"&lt;="&amp;ChartLines.RowNum), "·")</f>
        <v>2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1">
        <f t="shared" ref="H221" si="902" xml:space="preserve"> IF(LEN(ChartLines.Hex6)=6, HEX2DEC(LEFT(ChartLines.Hex6, 2)), "·")</f>
        <v>255</v>
      </c>
      <c r="I221">
        <f t="shared" ref="I221" si="903" xml:space="preserve"> IF(LEN(ChartLines.Hex6)=6, HEX2DEC(MID(ChartLines.Hex6, 3, 2)), "·")</f>
        <v>209</v>
      </c>
      <c r="J221">
        <f t="shared" ref="J221" si="904" xml:space="preserve"> IF(LEN(ChartLines.Hex6)=6, HEX2DEC(RIGHT(ChartLines.Hex6, 2)), "·")</f>
        <v>0</v>
      </c>
      <c r="K221" cm="1">
        <f t="array" ref="K221" xml:space="preserve"> 1 + ROW() - _xlfn.SINGLE(ROW(ChartLines.RowNum))</f>
        <v>219</v>
      </c>
    </row>
    <row r="222" spans="2:11" x14ac:dyDescent="0.2">
      <c r="B222" t="s">
        <v>141</v>
      </c>
      <c r="C222" t="s">
        <v>1952</v>
      </c>
      <c r="E222">
        <f t="shared" ref="E222" si="905" xml:space="preserve"> IF(AND(LEN(ChartLines.ID)&gt;0,"Unused"&lt;&gt;ChartLines.ID), COUNTIFS(ChartLines.ID,ChartLines.ID), "·")</f>
        <v>2</v>
      </c>
      <c r="F222">
        <f t="shared" ref="F222" si="906" xml:space="preserve"> IF(AND(LEN(ChartLines.ID)&gt;0,"Unused"&lt;&gt;ChartLines.ID), COUNTIFS(ChartLines.ID,ChartLines.ID,   ChartLines.RowNum,"&lt;="&amp;ChartLines.RowNum), "·")</f>
        <v>1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2">
        <f t="shared" ref="H222" si="907" xml:space="preserve"> IF(LEN(ChartLines.Hex6)=6, HEX2DEC(LEFT(ChartLines.Hex6, 2)), "·")</f>
        <v>252</v>
      </c>
      <c r="I222">
        <f t="shared" ref="I222" si="908" xml:space="preserve"> IF(LEN(ChartLines.Hex6)=6, HEX2DEC(MID(ChartLines.Hex6, 3, 2)), "·")</f>
        <v>227</v>
      </c>
      <c r="J222">
        <f t="shared" ref="J222" si="909" xml:space="preserve"> IF(LEN(ChartLines.Hex6)=6, HEX2DEC(RIGHT(ChartLines.Hex6, 2)), "·")</f>
        <v>0</v>
      </c>
      <c r="K222" cm="1">
        <f t="array" ref="K222" xml:space="preserve"> 1 + ROW() - _xlfn.SINGLE(ROW(ChartLines.RowNum))</f>
        <v>220</v>
      </c>
    </row>
    <row r="223" spans="2:11" x14ac:dyDescent="0.2">
      <c r="B223" t="s">
        <v>141</v>
      </c>
      <c r="C223" t="s">
        <v>1864</v>
      </c>
      <c r="E223">
        <f t="shared" ref="E223" si="910" xml:space="preserve"> IF(AND(LEN(ChartLines.ID)&gt;0,"Unused"&lt;&gt;ChartLines.ID), COUNTIFS(ChartLines.ID,ChartLines.ID), "·")</f>
        <v>2</v>
      </c>
      <c r="F223">
        <f t="shared" ref="F223" si="911" xml:space="preserve"> IF(AND(LEN(ChartLines.ID)&gt;0,"Unused"&lt;&gt;ChartLines.ID), COUNTIFS(ChartLines.ID,ChartLines.ID,   ChartLines.RowNum,"&lt;="&amp;ChartLines.RowNum), "·")</f>
        <v>2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3">
        <f t="shared" ref="H223" si="912" xml:space="preserve"> IF(LEN(ChartLines.Hex6)=6, HEX2DEC(LEFT(ChartLines.Hex6, 2)), "·")</f>
        <v>0</v>
      </c>
      <c r="I223">
        <f t="shared" ref="I223" si="913" xml:space="preserve"> IF(LEN(ChartLines.Hex6)=6, HEX2DEC(MID(ChartLines.Hex6, 3, 2)), "·")</f>
        <v>61</v>
      </c>
      <c r="J223">
        <f t="shared" ref="J223" si="914" xml:space="preserve"> IF(LEN(ChartLines.Hex6)=6, HEX2DEC(RIGHT(ChartLines.Hex6, 2)), "·")</f>
        <v>165</v>
      </c>
      <c r="K223" cm="1">
        <f t="array" ref="K223" xml:space="preserve"> 1 + ROW() - _xlfn.SINGLE(ROW(ChartLines.RowNum))</f>
        <v>221</v>
      </c>
    </row>
    <row r="224" spans="2:11" x14ac:dyDescent="0.2">
      <c r="B224" t="s">
        <v>170</v>
      </c>
      <c r="C224" t="s">
        <v>1937</v>
      </c>
      <c r="E224">
        <f t="shared" ref="E224" si="915" xml:space="preserve"> IF(AND(LEN(ChartLines.ID)&gt;0,"Unused"&lt;&gt;ChartLines.ID), COUNTIFS(ChartLines.ID,ChartLines.ID), "·")</f>
        <v>2</v>
      </c>
      <c r="F224">
        <f t="shared" ref="F224" si="916" xml:space="preserve"> IF(AND(LEN(ChartLines.ID)&gt;0,"Unused"&lt;&gt;ChartLines.ID), COUNTIFS(ChartLines.ID,ChartLines.ID,   ChartLines.RowNum,"&lt;="&amp;ChartLines.RowNum), "·")</f>
        <v>1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4">
        <f t="shared" ref="H224" si="917" xml:space="preserve"> IF(LEN(ChartLines.Hex6)=6, HEX2DEC(LEFT(ChartLines.Hex6, 2)), "·")</f>
        <v>0</v>
      </c>
      <c r="I224">
        <f t="shared" ref="I224" si="918" xml:space="preserve"> IF(LEN(ChartLines.Hex6)=6, HEX2DEC(MID(ChartLines.Hex6, 3, 2)), "·")</f>
        <v>94</v>
      </c>
      <c r="J224">
        <f t="shared" ref="J224" si="919" xml:space="preserve"> IF(LEN(ChartLines.Hex6)=6, HEX2DEC(RIGHT(ChartLines.Hex6, 2)), "·")</f>
        <v>184</v>
      </c>
      <c r="K224" cm="1">
        <f t="array" ref="K224" xml:space="preserve"> 1 + ROW() - _xlfn.SINGLE(ROW(ChartLines.RowNum))</f>
        <v>222</v>
      </c>
    </row>
    <row r="225" spans="2:11" x14ac:dyDescent="0.2">
      <c r="B225" t="s">
        <v>170</v>
      </c>
      <c r="C225" t="s">
        <v>1851</v>
      </c>
      <c r="E225">
        <f t="shared" ref="E225" si="920" xml:space="preserve"> IF(AND(LEN(ChartLines.ID)&gt;0,"Unused"&lt;&gt;ChartLines.ID), COUNTIFS(ChartLines.ID,ChartLines.ID), "·")</f>
        <v>2</v>
      </c>
      <c r="F225">
        <f t="shared" ref="F225" si="921" xml:space="preserve"> IF(AND(LEN(ChartLines.ID)&gt;0,"Unused"&lt;&gt;ChartLines.ID), COUNTIFS(ChartLines.ID,ChartLines.ID,   ChartLines.RowNum,"&lt;="&amp;ChartLines.RowNum), "·")</f>
        <v>2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5">
        <f t="shared" ref="H225" si="922" xml:space="preserve"> IF(LEN(ChartLines.Hex6)=6, HEX2DEC(LEFT(ChartLines.Hex6, 2)), "·")</f>
        <v>255</v>
      </c>
      <c r="I225">
        <f t="shared" ref="I225" si="923" xml:space="preserve"> IF(LEN(ChartLines.Hex6)=6, HEX2DEC(MID(ChartLines.Hex6, 3, 2)), "·")</f>
        <v>255</v>
      </c>
      <c r="J225">
        <f t="shared" ref="J225" si="924" xml:space="preserve"> IF(LEN(ChartLines.Hex6)=6, HEX2DEC(RIGHT(ChartLines.Hex6, 2)), "·")</f>
        <v>255</v>
      </c>
      <c r="K225" cm="1">
        <f t="array" ref="K225" xml:space="preserve"> 1 + ROW() - _xlfn.SINGLE(ROW(ChartLines.RowNum))</f>
        <v>223</v>
      </c>
    </row>
    <row r="226" spans="2:11" x14ac:dyDescent="0.2">
      <c r="B226" t="s">
        <v>1719</v>
      </c>
      <c r="C226" t="str">
        <f xml:space="preserve"> "072357"</f>
        <v>072357</v>
      </c>
      <c r="E226">
        <f t="shared" ref="E226" si="925" xml:space="preserve"> IF(AND(LEN(ChartLines.ID)&gt;0,"Unused"&lt;&gt;ChartLines.ID), COUNTIFS(ChartLines.ID,ChartLines.ID), "·")</f>
        <v>2</v>
      </c>
      <c r="F226">
        <f t="shared" ref="F226" si="926" xml:space="preserve"> IF(AND(LEN(ChartLines.ID)&gt;0,"Unused"&lt;&gt;ChartLines.ID), COUNTIFS(ChartLines.ID,ChartLines.ID,   ChartLines.RowNum,"&lt;="&amp;ChartLines.RowNum), "·")</f>
        <v>1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6">
        <f t="shared" ref="H226" si="927" xml:space="preserve"> IF(LEN(ChartLines.Hex6)=6, HEX2DEC(LEFT(ChartLines.Hex6, 2)), "·")</f>
        <v>7</v>
      </c>
      <c r="I226">
        <f t="shared" ref="I226" si="928" xml:space="preserve"> IF(LEN(ChartLines.Hex6)=6, HEX2DEC(MID(ChartLines.Hex6, 3, 2)), "·")</f>
        <v>35</v>
      </c>
      <c r="J226">
        <f t="shared" ref="J226" si="929" xml:space="preserve"> IF(LEN(ChartLines.Hex6)=6, HEX2DEC(RIGHT(ChartLines.Hex6, 2)), "·")</f>
        <v>87</v>
      </c>
      <c r="K226" cm="1">
        <f t="array" ref="K226" xml:space="preserve"> 1 + ROW() - _xlfn.SINGLE(ROW(ChartLines.RowNum))</f>
        <v>224</v>
      </c>
    </row>
    <row r="227" spans="2:11" x14ac:dyDescent="0.2">
      <c r="B227" t="s">
        <v>1719</v>
      </c>
      <c r="C227" t="s">
        <v>1953</v>
      </c>
      <c r="E227">
        <f t="shared" ref="E227" si="930" xml:space="preserve"> IF(AND(LEN(ChartLines.ID)&gt;0,"Unused"&lt;&gt;ChartLines.ID), COUNTIFS(ChartLines.ID,ChartLines.ID), "·")</f>
        <v>2</v>
      </c>
      <c r="F227">
        <f t="shared" ref="F227" si="931" xml:space="preserve"> IF(AND(LEN(ChartLines.ID)&gt;0,"Unused"&lt;&gt;ChartLines.ID), COUNTIFS(ChartLines.ID,ChartLines.ID,   ChartLines.RowNum,"&lt;="&amp;ChartLines.RowNum), "·")</f>
        <v>2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7">
        <f t="shared" ref="H227" si="932" xml:space="preserve"> IF(LEN(ChartLines.Hex6)=6, HEX2DEC(LEFT(ChartLines.Hex6, 2)), "·")</f>
        <v>218</v>
      </c>
      <c r="I227">
        <f t="shared" ref="I227" si="933" xml:space="preserve"> IF(LEN(ChartLines.Hex6)=6, HEX2DEC(MID(ChartLines.Hex6, 3, 2)), "·")</f>
        <v>18</v>
      </c>
      <c r="J227">
        <f t="shared" ref="J227" si="934" xml:space="preserve"> IF(LEN(ChartLines.Hex6)=6, HEX2DEC(RIGHT(ChartLines.Hex6, 2)), "·")</f>
        <v>26</v>
      </c>
      <c r="K227" cm="1">
        <f t="array" ref="K227" xml:space="preserve"> 1 + ROW() - _xlfn.SINGLE(ROW(ChartLines.RowNum))</f>
        <v>225</v>
      </c>
    </row>
    <row r="228" spans="2:11" x14ac:dyDescent="0.2">
      <c r="B228" t="s">
        <v>579</v>
      </c>
      <c r="C228" t="str">
        <f xml:space="preserve"> "002D62"</f>
        <v>002D62</v>
      </c>
      <c r="E228">
        <f t="shared" ref="E228" si="935" xml:space="preserve"> IF(AND(LEN(ChartLines.ID)&gt;0,"Unused"&lt;&gt;ChartLines.ID), COUNTIFS(ChartLines.ID,ChartLines.ID), "·")</f>
        <v>2</v>
      </c>
      <c r="F228">
        <f t="shared" ref="F228" si="936" xml:space="preserve"> IF(AND(LEN(ChartLines.ID)&gt;0,"Unused"&lt;&gt;ChartLines.ID), COUNTIFS(ChartLines.ID,ChartLines.ID,   ChartLines.RowNum,"&lt;="&amp;ChartLines.RowNum), "·")</f>
        <v>1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8">
        <f t="shared" ref="H228" si="937" xml:space="preserve"> IF(LEN(ChartLines.Hex6)=6, HEX2DEC(LEFT(ChartLines.Hex6, 2)), "·")</f>
        <v>0</v>
      </c>
      <c r="I228">
        <f t="shared" ref="I228" si="938" xml:space="preserve"> IF(LEN(ChartLines.Hex6)=6, HEX2DEC(MID(ChartLines.Hex6, 3, 2)), "·")</f>
        <v>45</v>
      </c>
      <c r="J228">
        <f t="shared" ref="J228" si="939" xml:space="preserve"> IF(LEN(ChartLines.Hex6)=6, HEX2DEC(RIGHT(ChartLines.Hex6, 2)), "·")</f>
        <v>98</v>
      </c>
      <c r="K228" cm="1">
        <f t="array" ref="K228" xml:space="preserve"> 1 + ROW() - _xlfn.SINGLE(ROW(ChartLines.RowNum))</f>
        <v>226</v>
      </c>
    </row>
    <row r="229" spans="2:11" x14ac:dyDescent="0.2">
      <c r="B229" t="s">
        <v>579</v>
      </c>
      <c r="C229" t="s">
        <v>1931</v>
      </c>
      <c r="E229">
        <f t="shared" ref="E229" si="940" xml:space="preserve"> IF(AND(LEN(ChartLines.ID)&gt;0,"Unused"&lt;&gt;ChartLines.ID), COUNTIFS(ChartLines.ID,ChartLines.ID), "·")</f>
        <v>2</v>
      </c>
      <c r="F229">
        <f t="shared" ref="F229" si="941" xml:space="preserve"> IF(AND(LEN(ChartLines.ID)&gt;0,"Unused"&lt;&gt;ChartLines.ID), COUNTIFS(ChartLines.ID,ChartLines.ID,   ChartLines.RowNum,"&lt;="&amp;ChartLines.RowNum), "·")</f>
        <v>2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9">
        <f t="shared" ref="H229" si="942" xml:space="preserve"> IF(LEN(ChartLines.Hex6)=6, HEX2DEC(LEFT(ChartLines.Hex6, 2)), "·")</f>
        <v>206</v>
      </c>
      <c r="I229">
        <f t="shared" ref="I229" si="943" xml:space="preserve"> IF(LEN(ChartLines.Hex6)=6, HEX2DEC(MID(ChartLines.Hex6, 3, 2)), "·")</f>
        <v>17</v>
      </c>
      <c r="J229">
        <f t="shared" ref="J229" si="944" xml:space="preserve"> IF(LEN(ChartLines.Hex6)=6, HEX2DEC(RIGHT(ChartLines.Hex6, 2)), "·")</f>
        <v>38</v>
      </c>
      <c r="K229" cm="1">
        <f t="array" ref="K229" xml:space="preserve"> 1 + ROW() - _xlfn.SINGLE(ROW(ChartLines.RowNum))</f>
        <v>227</v>
      </c>
    </row>
    <row r="230" spans="2:11" x14ac:dyDescent="0.2">
      <c r="B230" t="s">
        <v>580</v>
      </c>
      <c r="C230" t="str">
        <f xml:space="preserve"> "C8102E"</f>
        <v>C8102E</v>
      </c>
      <c r="E230">
        <f t="shared" ref="E230" si="945" xml:space="preserve"> IF(AND(LEN(ChartLines.ID)&gt;0,"Unused"&lt;&gt;ChartLines.ID), COUNTIFS(ChartLines.ID,ChartLines.ID), "·")</f>
        <v>2</v>
      </c>
      <c r="F230">
        <f t="shared" ref="F230" si="946" xml:space="preserve"> IF(AND(LEN(ChartLines.ID)&gt;0,"Unused"&lt;&gt;ChartLines.ID), COUNTIFS(ChartLines.ID,ChartLines.ID,   ChartLines.RowNum,"&lt;="&amp;ChartLines.RowNum), "·")</f>
        <v>1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0">
        <f t="shared" ref="H230" si="947" xml:space="preserve"> IF(LEN(ChartLines.Hex6)=6, HEX2DEC(LEFT(ChartLines.Hex6, 2)), "·")</f>
        <v>200</v>
      </c>
      <c r="I230">
        <f t="shared" ref="I230" si="948" xml:space="preserve"> IF(LEN(ChartLines.Hex6)=6, HEX2DEC(MID(ChartLines.Hex6, 3, 2)), "·")</f>
        <v>16</v>
      </c>
      <c r="J230">
        <f t="shared" ref="J230" si="949" xml:space="preserve"> IF(LEN(ChartLines.Hex6)=6, HEX2DEC(RIGHT(ChartLines.Hex6, 2)), "·")</f>
        <v>46</v>
      </c>
      <c r="K230" cm="1">
        <f t="array" ref="K230" xml:space="preserve"> 1 + ROW() - _xlfn.SINGLE(ROW(ChartLines.RowNum))</f>
        <v>228</v>
      </c>
    </row>
    <row r="231" spans="2:11" x14ac:dyDescent="0.2">
      <c r="B231" t="s">
        <v>580</v>
      </c>
      <c r="C231" t="str">
        <f xml:space="preserve"> "000000"</f>
        <v>000000</v>
      </c>
      <c r="E231">
        <f t="shared" ref="E231" si="950" xml:space="preserve"> IF(AND(LEN(ChartLines.ID)&gt;0,"Unused"&lt;&gt;ChartLines.ID), COUNTIFS(ChartLines.ID,ChartLines.ID), "·")</f>
        <v>2</v>
      </c>
      <c r="F231">
        <f t="shared" ref="F231" si="951" xml:space="preserve"> IF(AND(LEN(ChartLines.ID)&gt;0,"Unused"&lt;&gt;ChartLines.ID), COUNTIFS(ChartLines.ID,ChartLines.ID,   ChartLines.RowNum,"&lt;="&amp;ChartLines.RowNum), "·")</f>
        <v>2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1">
        <f t="shared" ref="H231" si="952" xml:space="preserve"> IF(LEN(ChartLines.Hex6)=6, HEX2DEC(LEFT(ChartLines.Hex6, 2)), "·")</f>
        <v>0</v>
      </c>
      <c r="I231">
        <f t="shared" ref="I231" si="953" xml:space="preserve"> IF(LEN(ChartLines.Hex6)=6, HEX2DEC(MID(ChartLines.Hex6, 3, 2)), "·")</f>
        <v>0</v>
      </c>
      <c r="J231">
        <f t="shared" ref="J231" si="954" xml:space="preserve"> IF(LEN(ChartLines.Hex6)=6, HEX2DEC(RIGHT(ChartLines.Hex6, 2)), "·")</f>
        <v>0</v>
      </c>
      <c r="K231" cm="1">
        <f t="array" ref="K231" xml:space="preserve"> 1 + ROW() - _xlfn.SINGLE(ROW(ChartLines.RowNum))</f>
        <v>229</v>
      </c>
    </row>
    <row r="232" spans="2:11" x14ac:dyDescent="0.2">
      <c r="B232" t="s">
        <v>581</v>
      </c>
      <c r="C232" t="str">
        <f xml:space="preserve"> "009639"</f>
        <v>009639</v>
      </c>
      <c r="E232">
        <f t="shared" ref="E232" si="955" xml:space="preserve"> IF(AND(LEN(ChartLines.ID)&gt;0,"Unused"&lt;&gt;ChartLines.ID), COUNTIFS(ChartLines.ID,ChartLines.ID), "·")</f>
        <v>2</v>
      </c>
      <c r="F232">
        <f t="shared" ref="F232" si="956" xml:space="preserve"> IF(AND(LEN(ChartLines.ID)&gt;0,"Unused"&lt;&gt;ChartLines.ID), COUNTIFS(ChartLines.ID,ChartLines.ID,   ChartLines.RowNum,"&lt;="&amp;ChartLines.RowNum), "·")</f>
        <v>1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2">
        <f t="shared" ref="H232" si="957" xml:space="preserve"> IF(LEN(ChartLines.Hex6)=6, HEX2DEC(LEFT(ChartLines.Hex6, 2)), "·")</f>
        <v>0</v>
      </c>
      <c r="I232">
        <f t="shared" ref="I232" si="958" xml:space="preserve"> IF(LEN(ChartLines.Hex6)=6, HEX2DEC(MID(ChartLines.Hex6, 3, 2)), "·")</f>
        <v>150</v>
      </c>
      <c r="J232">
        <f t="shared" ref="J232" si="959" xml:space="preserve"> IF(LEN(ChartLines.Hex6)=6, HEX2DEC(RIGHT(ChartLines.Hex6, 2)), "·")</f>
        <v>57</v>
      </c>
      <c r="K232" cm="1">
        <f t="array" ref="K232" xml:space="preserve"> 1 + ROW() - _xlfn.SINGLE(ROW(ChartLines.RowNum))</f>
        <v>230</v>
      </c>
    </row>
    <row r="233" spans="2:11" x14ac:dyDescent="0.2">
      <c r="B233" t="s">
        <v>581</v>
      </c>
      <c r="C233" t="str">
        <f xml:space="preserve"> "000000"</f>
        <v>000000</v>
      </c>
      <c r="E233">
        <f t="shared" ref="E233" si="960" xml:space="preserve"> IF(AND(LEN(ChartLines.ID)&gt;0,"Unused"&lt;&gt;ChartLines.ID), COUNTIFS(ChartLines.ID,ChartLines.ID), "·")</f>
        <v>2</v>
      </c>
      <c r="F233">
        <f t="shared" ref="F233" si="961" xml:space="preserve"> IF(AND(LEN(ChartLines.ID)&gt;0,"Unused"&lt;&gt;ChartLines.ID), COUNTIFS(ChartLines.ID,ChartLines.ID,   ChartLines.RowNum,"&lt;="&amp;ChartLines.RowNum), "·")</f>
        <v>2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3">
        <f t="shared" ref="H233" si="962" xml:space="preserve"> IF(LEN(ChartLines.Hex6)=6, HEX2DEC(LEFT(ChartLines.Hex6, 2)), "·")</f>
        <v>0</v>
      </c>
      <c r="I233">
        <f t="shared" ref="I233" si="963" xml:space="preserve"> IF(LEN(ChartLines.Hex6)=6, HEX2DEC(MID(ChartLines.Hex6, 3, 2)), "·")</f>
        <v>0</v>
      </c>
      <c r="J233">
        <f t="shared" ref="J233" si="964" xml:space="preserve"> IF(LEN(ChartLines.Hex6)=6, HEX2DEC(RIGHT(ChartLines.Hex6, 2)), "·")</f>
        <v>0</v>
      </c>
      <c r="K233" cm="1">
        <f t="array" ref="K233" xml:space="preserve"> 1 + ROW() - _xlfn.SINGLE(ROW(ChartLines.RowNum))</f>
        <v>231</v>
      </c>
    </row>
    <row r="234" spans="2:11" x14ac:dyDescent="0.2">
      <c r="B234" t="s">
        <v>1788</v>
      </c>
      <c r="C234" t="s">
        <v>1954</v>
      </c>
      <c r="E234">
        <f t="shared" ref="E234" si="965" xml:space="preserve"> IF(AND(LEN(ChartLines.ID)&gt;0,"Unused"&lt;&gt;ChartLines.ID), COUNTIFS(ChartLines.ID,ChartLines.ID), "·")</f>
        <v>2</v>
      </c>
      <c r="F234">
        <f t="shared" ref="F234" si="966" xml:space="preserve"> IF(AND(LEN(ChartLines.ID)&gt;0,"Unused"&lt;&gt;ChartLines.ID), COUNTIFS(ChartLines.ID,ChartLines.ID,   ChartLines.RowNum,"&lt;="&amp;ChartLines.RowNum), "·")</f>
        <v>1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4">
        <f t="shared" ref="H234" si="967" xml:space="preserve"> IF(LEN(ChartLines.Hex6)=6, HEX2DEC(LEFT(ChartLines.Hex6, 2)), "·")</f>
        <v>255</v>
      </c>
      <c r="I234">
        <f t="shared" ref="I234" si="968" xml:space="preserve"> IF(LEN(ChartLines.Hex6)=6, HEX2DEC(MID(ChartLines.Hex6, 3, 2)), "·")</f>
        <v>199</v>
      </c>
      <c r="J234">
        <f t="shared" ref="J234" si="969" xml:space="preserve"> IF(LEN(ChartLines.Hex6)=6, HEX2DEC(RIGHT(ChartLines.Hex6, 2)), "·")</f>
        <v>44</v>
      </c>
      <c r="K234" cm="1">
        <f t="array" ref="K234" xml:space="preserve"> 1 + ROW() - _xlfn.SINGLE(ROW(ChartLines.RowNum))</f>
        <v>232</v>
      </c>
    </row>
    <row r="235" spans="2:11" x14ac:dyDescent="0.2">
      <c r="B235" t="s">
        <v>1788</v>
      </c>
      <c r="C235" t="str">
        <f xml:space="preserve"> "00778B"</f>
        <v>00778B</v>
      </c>
      <c r="E235">
        <f t="shared" ref="E235" si="970" xml:space="preserve"> IF(AND(LEN(ChartLines.ID)&gt;0,"Unused"&lt;&gt;ChartLines.ID), COUNTIFS(ChartLines.ID,ChartLines.ID), "·")</f>
        <v>2</v>
      </c>
      <c r="F235">
        <f t="shared" ref="F235" si="971" xml:space="preserve"> IF(AND(LEN(ChartLines.ID)&gt;0,"Unused"&lt;&gt;ChartLines.ID), COUNTIFS(ChartLines.ID,ChartLines.ID,   ChartLines.RowNum,"&lt;="&amp;ChartLines.RowNum), "·")</f>
        <v>2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5">
        <f t="shared" ref="H235" si="972" xml:space="preserve"> IF(LEN(ChartLines.Hex6)=6, HEX2DEC(LEFT(ChartLines.Hex6, 2)), "·")</f>
        <v>0</v>
      </c>
      <c r="I235">
        <f t="shared" ref="I235" si="973" xml:space="preserve"> IF(LEN(ChartLines.Hex6)=6, HEX2DEC(MID(ChartLines.Hex6, 3, 2)), "·")</f>
        <v>119</v>
      </c>
      <c r="J235">
        <f t="shared" ref="J235" si="974" xml:space="preserve"> IF(LEN(ChartLines.Hex6)=6, HEX2DEC(RIGHT(ChartLines.Hex6, 2)), "·")</f>
        <v>139</v>
      </c>
      <c r="K235" cm="1">
        <f t="array" ref="K235" xml:space="preserve"> 1 + ROW() - _xlfn.SINGLE(ROW(ChartLines.RowNum))</f>
        <v>233</v>
      </c>
    </row>
    <row r="236" spans="2:11" x14ac:dyDescent="0.2">
      <c r="E236" t="str">
        <f t="shared" ref="E236" si="975" xml:space="preserve"> IF(AND(LEN(ChartLines.ID)&gt;0,"Unused"&lt;&gt;ChartLines.ID), COUNTIFS(ChartLines.ID,ChartLines.ID), "·")</f>
        <v>·</v>
      </c>
      <c r="F236" t="str">
        <f t="shared" ref="F236" si="976" xml:space="preserve"> IF(AND(LEN(ChartLines.ID)&gt;0,"Unused"&lt;&gt;ChartLines.ID), COUNTIFS(ChartLines.ID,ChartLines.ID,   ChartLines.RowNum,"&lt;="&amp;ChartLines.RowNum), "·")</f>
        <v>·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36" t="str">
        <f t="shared" ref="H236" si="977" xml:space="preserve"> IF(LEN(ChartLines.Hex6)=6, HEX2DEC(LEFT(ChartLines.Hex6, 2)), "·")</f>
        <v>·</v>
      </c>
      <c r="I236" t="str">
        <f t="shared" ref="I236" si="978" xml:space="preserve"> IF(LEN(ChartLines.Hex6)=6, HEX2DEC(MID(ChartLines.Hex6, 3, 2)), "·")</f>
        <v>·</v>
      </c>
      <c r="J236" t="str">
        <f t="shared" ref="J236" si="979" xml:space="preserve"> IF(LEN(ChartLines.Hex6)=6, HEX2DEC(RIGHT(ChartLines.Hex6, 2)), "·")</f>
        <v>·</v>
      </c>
      <c r="K236" cm="1">
        <f t="array" ref="K236" xml:space="preserve"> 1 + ROW() - _xlfn.SINGLE(ROW(ChartLines.RowNum))</f>
        <v>234</v>
      </c>
    </row>
    <row r="237" spans="2:11" x14ac:dyDescent="0.2">
      <c r="B237" t="s">
        <v>173</v>
      </c>
      <c r="C237" t="s">
        <v>1955</v>
      </c>
      <c r="E237">
        <f t="shared" ref="E237" si="980" xml:space="preserve"> IF(AND(LEN(ChartLines.ID)&gt;0,"Unused"&lt;&gt;ChartLines.ID), COUNTIFS(ChartLines.ID,ChartLines.ID), "·")</f>
        <v>2</v>
      </c>
      <c r="F237">
        <f t="shared" ref="F237" si="981" xml:space="preserve"> IF(AND(LEN(ChartLines.ID)&gt;0,"Unused"&lt;&gt;ChartLines.ID), COUNTIFS(ChartLines.ID,ChartLines.ID,   ChartLines.RowNum,"&lt;="&amp;ChartLines.RowNum), "·")</f>
        <v>1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7">
        <f t="shared" ref="H237" si="982" xml:space="preserve"> IF(LEN(ChartLines.Hex6)=6, HEX2DEC(LEFT(ChartLines.Hex6, 2)), "·")</f>
        <v>8</v>
      </c>
      <c r="I237">
        <f t="shared" ref="I237" si="983" xml:space="preserve"> IF(LEN(ChartLines.Hex6)=6, HEX2DEC(MID(ChartLines.Hex6, 3, 2)), "·")</f>
        <v>82</v>
      </c>
      <c r="J237">
        <f t="shared" ref="J237" si="984" xml:space="preserve"> IF(LEN(ChartLines.Hex6)=6, HEX2DEC(RIGHT(ChartLines.Hex6, 2)), "·")</f>
        <v>140</v>
      </c>
      <c r="K237" cm="1">
        <f t="array" ref="K237" xml:space="preserve"> 1 + ROW() - _xlfn.SINGLE(ROW(ChartLines.RowNum))</f>
        <v>235</v>
      </c>
    </row>
    <row r="238" spans="2:11" x14ac:dyDescent="0.2">
      <c r="B238" t="s">
        <v>173</v>
      </c>
      <c r="C238" t="str">
        <f xml:space="preserve"> "949494"</f>
        <v>949494</v>
      </c>
      <c r="E238">
        <f t="shared" ref="E238" si="985" xml:space="preserve"> IF(AND(LEN(ChartLines.ID)&gt;0,"Unused"&lt;&gt;ChartLines.ID), COUNTIFS(ChartLines.ID,ChartLines.ID), "·")</f>
        <v>2</v>
      </c>
      <c r="F238">
        <f t="shared" ref="F238" si="986" xml:space="preserve"> IF(AND(LEN(ChartLines.ID)&gt;0,"Unused"&lt;&gt;ChartLines.ID), COUNTIFS(ChartLines.ID,ChartLines.ID,   ChartLines.RowNum,"&lt;="&amp;ChartLines.RowNum), "·")</f>
        <v>2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8">
        <f t="shared" ref="H238" si="987" xml:space="preserve"> IF(LEN(ChartLines.Hex6)=6, HEX2DEC(LEFT(ChartLines.Hex6, 2)), "·")</f>
        <v>148</v>
      </c>
      <c r="I238">
        <f t="shared" ref="I238" si="988" xml:space="preserve"> IF(LEN(ChartLines.Hex6)=6, HEX2DEC(MID(ChartLines.Hex6, 3, 2)), "·")</f>
        <v>148</v>
      </c>
      <c r="J238">
        <f t="shared" ref="J238" si="989" xml:space="preserve"> IF(LEN(ChartLines.Hex6)=6, HEX2DEC(RIGHT(ChartLines.Hex6, 2)), "·")</f>
        <v>148</v>
      </c>
      <c r="K238" cm="1">
        <f t="array" ref="K238" xml:space="preserve"> 1 + ROW() - _xlfn.SINGLE(ROW(ChartLines.RowNum))</f>
        <v>236</v>
      </c>
    </row>
    <row r="239" spans="2:11" x14ac:dyDescent="0.2">
      <c r="B239" t="s">
        <v>975</v>
      </c>
      <c r="C239" t="str">
        <f xml:space="preserve"> "0A6AAA"</f>
        <v>0A6AAA</v>
      </c>
      <c r="E239">
        <f t="shared" ref="E239" si="990" xml:space="preserve"> IF(AND(LEN(ChartLines.ID)&gt;0,"Unused"&lt;&gt;ChartLines.ID), COUNTIFS(ChartLines.ID,ChartLines.ID), "·")</f>
        <v>2</v>
      </c>
      <c r="F239">
        <f t="shared" ref="F239" si="991" xml:space="preserve"> IF(AND(LEN(ChartLines.ID)&gt;0,"Unused"&lt;&gt;ChartLines.ID), COUNTIFS(ChartLines.ID,ChartLines.ID,   ChartLines.RowNum,"&lt;="&amp;ChartLines.RowNum), "·")</f>
        <v>1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9">
        <f t="shared" ref="H239" si="992" xml:space="preserve"> IF(LEN(ChartLines.Hex6)=6, HEX2DEC(LEFT(ChartLines.Hex6, 2)), "·")</f>
        <v>10</v>
      </c>
      <c r="I239">
        <f t="shared" ref="I239" si="993" xml:space="preserve"> IF(LEN(ChartLines.Hex6)=6, HEX2DEC(MID(ChartLines.Hex6, 3, 2)), "·")</f>
        <v>106</v>
      </c>
      <c r="J239">
        <f t="shared" ref="J239" si="994" xml:space="preserve"> IF(LEN(ChartLines.Hex6)=6, HEX2DEC(RIGHT(ChartLines.Hex6, 2)), "·")</f>
        <v>170</v>
      </c>
      <c r="K239" cm="1">
        <f t="array" ref="K239" xml:space="preserve"> 1 + ROW() - _xlfn.SINGLE(ROW(ChartLines.RowNum))</f>
        <v>237</v>
      </c>
    </row>
    <row r="240" spans="2:11" x14ac:dyDescent="0.2">
      <c r="B240" t="s">
        <v>975</v>
      </c>
      <c r="C240" t="s">
        <v>1851</v>
      </c>
      <c r="E240">
        <f t="shared" ref="E240" si="995" xml:space="preserve"> IF(AND(LEN(ChartLines.ID)&gt;0,"Unused"&lt;&gt;ChartLines.ID), COUNTIFS(ChartLines.ID,ChartLines.ID), "·")</f>
        <v>2</v>
      </c>
      <c r="F240">
        <f t="shared" ref="F240" si="996" xml:space="preserve"> IF(AND(LEN(ChartLines.ID)&gt;0,"Unused"&lt;&gt;ChartLines.ID), COUNTIFS(ChartLines.ID,ChartLines.ID,   ChartLines.RowNum,"&lt;="&amp;ChartLines.RowNum), "·")</f>
        <v>2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0">
        <f t="shared" ref="H240" si="997" xml:space="preserve"> IF(LEN(ChartLines.Hex6)=6, HEX2DEC(LEFT(ChartLines.Hex6, 2)), "·")</f>
        <v>255</v>
      </c>
      <c r="I240">
        <f t="shared" ref="I240" si="998" xml:space="preserve"> IF(LEN(ChartLines.Hex6)=6, HEX2DEC(MID(ChartLines.Hex6, 3, 2)), "·")</f>
        <v>255</v>
      </c>
      <c r="J240">
        <f t="shared" ref="J240" si="999" xml:space="preserve"> IF(LEN(ChartLines.Hex6)=6, HEX2DEC(RIGHT(ChartLines.Hex6, 2)), "·")</f>
        <v>255</v>
      </c>
      <c r="K240" cm="1">
        <f t="array" ref="K240" xml:space="preserve"> 1 + ROW() - _xlfn.SINGLE(ROW(ChartLines.RowNum))</f>
        <v>238</v>
      </c>
    </row>
    <row r="241" spans="2:11" x14ac:dyDescent="0.2">
      <c r="B241" t="s">
        <v>1956</v>
      </c>
      <c r="C241" t="str">
        <f xml:space="preserve"> "165788"</f>
        <v>165788</v>
      </c>
      <c r="E241">
        <f t="shared" ref="E241" si="1000" xml:space="preserve"> IF(AND(LEN(ChartLines.ID)&gt;0,"Unused"&lt;&gt;ChartLines.ID), COUNTIFS(ChartLines.ID,ChartLines.ID), "·")</f>
        <v>2</v>
      </c>
      <c r="F241">
        <f t="shared" ref="F241" si="1001" xml:space="preserve"> IF(AND(LEN(ChartLines.ID)&gt;0,"Unused"&lt;&gt;ChartLines.ID), COUNTIFS(ChartLines.ID,ChartLines.ID,   ChartLines.RowNum,"&lt;="&amp;ChartLines.RowNum), "·")</f>
        <v>1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1">
        <f t="shared" ref="H241" si="1002" xml:space="preserve"> IF(LEN(ChartLines.Hex6)=6, HEX2DEC(LEFT(ChartLines.Hex6, 2)), "·")</f>
        <v>22</v>
      </c>
      <c r="I241">
        <f t="shared" ref="I241" si="1003" xml:space="preserve"> IF(LEN(ChartLines.Hex6)=6, HEX2DEC(MID(ChartLines.Hex6, 3, 2)), "·")</f>
        <v>87</v>
      </c>
      <c r="J241">
        <f t="shared" ref="J241" si="1004" xml:space="preserve"> IF(LEN(ChartLines.Hex6)=6, HEX2DEC(RIGHT(ChartLines.Hex6, 2)), "·")</f>
        <v>136</v>
      </c>
      <c r="K241" cm="1">
        <f t="array" ref="K241" xml:space="preserve"> 1 + ROW() - _xlfn.SINGLE(ROW(ChartLines.RowNum))</f>
        <v>239</v>
      </c>
    </row>
    <row r="242" spans="2:11" x14ac:dyDescent="0.2">
      <c r="B242" t="s">
        <v>1956</v>
      </c>
      <c r="C242" t="str">
        <f xml:space="preserve"> "C3DCF4"</f>
        <v>C3DCF4</v>
      </c>
      <c r="E242">
        <f t="shared" ref="E242" si="1005" xml:space="preserve"> IF(AND(LEN(ChartLines.ID)&gt;0,"Unused"&lt;&gt;ChartLines.ID), COUNTIFS(ChartLines.ID,ChartLines.ID), "·")</f>
        <v>2</v>
      </c>
      <c r="F242">
        <f t="shared" ref="F242" si="1006" xml:space="preserve"> IF(AND(LEN(ChartLines.ID)&gt;0,"Unused"&lt;&gt;ChartLines.ID), COUNTIFS(ChartLines.ID,ChartLines.ID,   ChartLines.RowNum,"&lt;="&amp;ChartLines.RowNum), "·")</f>
        <v>2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2">
        <f t="shared" ref="H242" si="1007" xml:space="preserve"> IF(LEN(ChartLines.Hex6)=6, HEX2DEC(LEFT(ChartLines.Hex6, 2)), "·")</f>
        <v>195</v>
      </c>
      <c r="I242">
        <f t="shared" ref="I242" si="1008" xml:space="preserve"> IF(LEN(ChartLines.Hex6)=6, HEX2DEC(MID(ChartLines.Hex6, 3, 2)), "·")</f>
        <v>220</v>
      </c>
      <c r="J242">
        <f t="shared" ref="J242" si="1009" xml:space="preserve"> IF(LEN(ChartLines.Hex6)=6, HEX2DEC(RIGHT(ChartLines.Hex6, 2)), "·")</f>
        <v>244</v>
      </c>
      <c r="K242" cm="1">
        <f t="array" ref="K242" xml:space="preserve"> 1 + ROW() - _xlfn.SINGLE(ROW(ChartLines.RowNum))</f>
        <v>240</v>
      </c>
    </row>
    <row r="243" spans="2:11" x14ac:dyDescent="0.2">
      <c r="B243" t="s">
        <v>802</v>
      </c>
      <c r="C243" t="s">
        <v>2146</v>
      </c>
      <c r="E243">
        <f t="shared" ref="E243" si="1010" xml:space="preserve"> IF(AND(LEN(ChartLines.ID)&gt;0,"Unused"&lt;&gt;ChartLines.ID), COUNTIFS(ChartLines.ID,ChartLines.ID), "·")</f>
        <v>1</v>
      </c>
      <c r="F243">
        <f t="shared" ref="F243" si="1011" xml:space="preserve"> IF(AND(LEN(ChartLines.ID)&gt;0,"Unused"&lt;&gt;ChartLines.ID), COUNTIFS(ChartLines.ID,ChartLines.ID,   ChartLines.RowNum,"&lt;="&amp;ChartLines.RowNum), "·")</f>
        <v>1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43">
        <f t="shared" ref="H243" si="1012" xml:space="preserve"> IF(LEN(ChartLines.Hex6)=6, HEX2DEC(LEFT(ChartLines.Hex6, 2)), "·")</f>
        <v>27</v>
      </c>
      <c r="I243">
        <f t="shared" ref="I243" si="1013" xml:space="preserve"> IF(LEN(ChartLines.Hex6)=6, HEX2DEC(MID(ChartLines.Hex6, 3, 2)), "·")</f>
        <v>97</v>
      </c>
      <c r="J243">
        <f t="shared" ref="J243" si="1014" xml:space="preserve"> IF(LEN(ChartLines.Hex6)=6, HEX2DEC(RIGHT(ChartLines.Hex6, 2)), "·")</f>
        <v>140</v>
      </c>
      <c r="K243" cm="1">
        <f t="array" ref="K243" xml:space="preserve"> 1 + ROW() - _xlfn.SINGLE(ROW(ChartLines.RowNum))</f>
        <v>241</v>
      </c>
    </row>
    <row r="244" spans="2:11" x14ac:dyDescent="0.2">
      <c r="B244" t="s">
        <v>1847</v>
      </c>
      <c r="E244" t="str">
        <f t="shared" ref="E244" si="1015" xml:space="preserve"> IF(AND(LEN(ChartLines.ID)&gt;0,"Unused"&lt;&gt;ChartLines.ID), COUNTIFS(ChartLines.ID,ChartLines.ID), "·")</f>
        <v>·</v>
      </c>
      <c r="F244" t="str">
        <f t="shared" ref="F244" si="1016" xml:space="preserve"> IF(AND(LEN(ChartLines.ID)&gt;0,"Unused"&lt;&gt;ChartLines.ID), COUNTIFS(ChartLines.ID,ChartLines.ID,   ChartLines.RowNum,"&lt;="&amp;ChartLines.RowNum), "·")</f>
        <v>·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4" t="str">
        <f t="shared" ref="H244" si="1017" xml:space="preserve"> IF(LEN(ChartLines.Hex6)=6, HEX2DEC(LEFT(ChartLines.Hex6, 2)), "·")</f>
        <v>·</v>
      </c>
      <c r="I244" t="str">
        <f t="shared" ref="I244" si="1018" xml:space="preserve"> IF(LEN(ChartLines.Hex6)=6, HEX2DEC(MID(ChartLines.Hex6, 3, 2)), "·")</f>
        <v>·</v>
      </c>
      <c r="J244" t="str">
        <f t="shared" ref="J244" si="1019" xml:space="preserve"> IF(LEN(ChartLines.Hex6)=6, HEX2DEC(RIGHT(ChartLines.Hex6, 2)), "·")</f>
        <v>·</v>
      </c>
      <c r="K244" cm="1">
        <f t="array" ref="K244" xml:space="preserve"> 1 + ROW() - _xlfn.SINGLE(ROW(ChartLines.RowNum))</f>
        <v>242</v>
      </c>
    </row>
    <row r="245" spans="2:11" x14ac:dyDescent="0.2">
      <c r="B245" t="s">
        <v>174</v>
      </c>
      <c r="C245" t="s">
        <v>1957</v>
      </c>
      <c r="E245">
        <f t="shared" ref="E245" si="1020" xml:space="preserve"> IF(AND(LEN(ChartLines.ID)&gt;0,"Unused"&lt;&gt;ChartLines.ID), COUNTIFS(ChartLines.ID,ChartLines.ID), "·")</f>
        <v>1</v>
      </c>
      <c r="F245">
        <f t="shared" ref="F245" si="1021" xml:space="preserve"> IF(AND(LEN(ChartLines.ID)&gt;0,"Unused"&lt;&gt;ChartLines.ID), COUNTIFS(ChartLines.ID,ChartLines.ID,   ChartLines.RowNum,"&lt;="&amp;ChartLines.RowNum), "·")</f>
        <v>1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45">
        <f t="shared" ref="H245" si="1022" xml:space="preserve"> IF(LEN(ChartLines.Hex6)=6, HEX2DEC(LEFT(ChartLines.Hex6, 2)), "·")</f>
        <v>28</v>
      </c>
      <c r="I245">
        <f t="shared" ref="I245" si="1023" xml:space="preserve"> IF(LEN(ChartLines.Hex6)=6, HEX2DEC(MID(ChartLines.Hex6, 3, 2)), "·")</f>
        <v>48</v>
      </c>
      <c r="J245">
        <f t="shared" ref="J245" si="1024" xml:space="preserve"> IF(LEN(ChartLines.Hex6)=6, HEX2DEC(RIGHT(ChartLines.Hex6, 2)), "·")</f>
        <v>96</v>
      </c>
      <c r="K245" cm="1">
        <f t="array" ref="K245" xml:space="preserve"> 1 + ROW() - _xlfn.SINGLE(ROW(ChartLines.RowNum))</f>
        <v>243</v>
      </c>
    </row>
    <row r="246" spans="2:11" x14ac:dyDescent="0.2">
      <c r="B246" t="s">
        <v>1847</v>
      </c>
      <c r="E246" t="str">
        <f t="shared" ref="E246" si="1025" xml:space="preserve"> IF(AND(LEN(ChartLines.ID)&gt;0,"Unused"&lt;&gt;ChartLines.ID), COUNTIFS(ChartLines.ID,ChartLines.ID), "·")</f>
        <v>·</v>
      </c>
      <c r="F246" t="str">
        <f t="shared" ref="F246" si="1026" xml:space="preserve"> IF(AND(LEN(ChartLines.ID)&gt;0,"Unused"&lt;&gt;ChartLines.ID), COUNTIFS(ChartLines.ID,ChartLines.ID,   ChartLines.RowNum,"&lt;="&amp;ChartLines.RowNum), "·")</f>
        <v>·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6" t="str">
        <f t="shared" ref="H246" si="1027" xml:space="preserve"> IF(LEN(ChartLines.Hex6)=6, HEX2DEC(LEFT(ChartLines.Hex6, 2)), "·")</f>
        <v>·</v>
      </c>
      <c r="I246" t="str">
        <f t="shared" ref="I246" si="1028" xml:space="preserve"> IF(LEN(ChartLines.Hex6)=6, HEX2DEC(MID(ChartLines.Hex6, 3, 2)), "·")</f>
        <v>·</v>
      </c>
      <c r="J246" t="str">
        <f t="shared" ref="J246" si="1029" xml:space="preserve"> IF(LEN(ChartLines.Hex6)=6, HEX2DEC(RIGHT(ChartLines.Hex6, 2)), "·")</f>
        <v>·</v>
      </c>
      <c r="K246" cm="1">
        <f t="array" ref="K246" xml:space="preserve"> 1 + ROW() - _xlfn.SINGLE(ROW(ChartLines.RowNum))</f>
        <v>244</v>
      </c>
    </row>
    <row r="247" spans="2:11" x14ac:dyDescent="0.2">
      <c r="B247" t="s">
        <v>1958</v>
      </c>
      <c r="C247" t="s">
        <v>1959</v>
      </c>
      <c r="E247">
        <f t="shared" ref="E247" si="1030" xml:space="preserve"> IF(AND(LEN(ChartLines.ID)&gt;0,"Unused"&lt;&gt;ChartLines.ID), COUNTIFS(ChartLines.ID,ChartLines.ID), "·")</f>
        <v>2</v>
      </c>
      <c r="F247">
        <f t="shared" ref="F247" si="1031" xml:space="preserve"> IF(AND(LEN(ChartLines.ID)&gt;0,"Unused"&lt;&gt;ChartLines.ID), COUNTIFS(ChartLines.ID,ChartLines.ID,   ChartLines.RowNum,"&lt;="&amp;ChartLines.RowNum), "·")</f>
        <v>1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7">
        <f t="shared" ref="H247" si="1032" xml:space="preserve"> IF(LEN(ChartLines.Hex6)=6, HEX2DEC(LEFT(ChartLines.Hex6, 2)), "·")</f>
        <v>134</v>
      </c>
      <c r="I247">
        <f t="shared" ref="I247" si="1033" xml:space="preserve"> IF(LEN(ChartLines.Hex6)=6, HEX2DEC(MID(ChartLines.Hex6, 3, 2)), "·")</f>
        <v>12</v>
      </c>
      <c r="J247">
        <f t="shared" ref="J247" si="1034" xml:space="preserve"> IF(LEN(ChartLines.Hex6)=6, HEX2DEC(RIGHT(ChartLines.Hex6, 2)), "·")</f>
        <v>20</v>
      </c>
      <c r="K247" cm="1">
        <f t="array" ref="K247" xml:space="preserve"> 1 + ROW() - _xlfn.SINGLE(ROW(ChartLines.RowNum))</f>
        <v>245</v>
      </c>
    </row>
    <row r="248" spans="2:11" x14ac:dyDescent="0.2">
      <c r="B248" t="s">
        <v>1958</v>
      </c>
      <c r="C248" t="s">
        <v>1851</v>
      </c>
      <c r="E248">
        <f t="shared" ref="E248" si="1035" xml:space="preserve"> IF(AND(LEN(ChartLines.ID)&gt;0,"Unused"&lt;&gt;ChartLines.ID), COUNTIFS(ChartLines.ID,ChartLines.ID), "·")</f>
        <v>2</v>
      </c>
      <c r="F248">
        <f t="shared" ref="F248" si="1036" xml:space="preserve"> IF(AND(LEN(ChartLines.ID)&gt;0,"Unused"&lt;&gt;ChartLines.ID), COUNTIFS(ChartLines.ID,ChartLines.ID,   ChartLines.RowNum,"&lt;="&amp;ChartLines.RowNum), "·")</f>
        <v>2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8">
        <f t="shared" ref="H248" si="1037" xml:space="preserve"> IF(LEN(ChartLines.Hex6)=6, HEX2DEC(LEFT(ChartLines.Hex6, 2)), "·")</f>
        <v>255</v>
      </c>
      <c r="I248">
        <f t="shared" ref="I248" si="1038" xml:space="preserve"> IF(LEN(ChartLines.Hex6)=6, HEX2DEC(MID(ChartLines.Hex6, 3, 2)), "·")</f>
        <v>255</v>
      </c>
      <c r="J248">
        <f t="shared" ref="J248" si="1039" xml:space="preserve"> IF(LEN(ChartLines.Hex6)=6, HEX2DEC(RIGHT(ChartLines.Hex6, 2)), "·")</f>
        <v>255</v>
      </c>
      <c r="K248" cm="1">
        <f t="array" ref="K248" xml:space="preserve"> 1 + ROW() - _xlfn.SINGLE(ROW(ChartLines.RowNum))</f>
        <v>246</v>
      </c>
    </row>
    <row r="249" spans="2:11" x14ac:dyDescent="0.2">
      <c r="B249" t="s">
        <v>959</v>
      </c>
      <c r="C249" t="str">
        <f xml:space="preserve"> "039355"</f>
        <v>039355</v>
      </c>
      <c r="E249">
        <f t="shared" ref="E249" si="1040" xml:space="preserve"> IF(AND(LEN(ChartLines.ID)&gt;0,"Unused"&lt;&gt;ChartLines.ID), COUNTIFS(ChartLines.ID,ChartLines.ID), "·")</f>
        <v>2</v>
      </c>
      <c r="F249">
        <f t="shared" ref="F249" si="1041" xml:space="preserve"> IF(AND(LEN(ChartLines.ID)&gt;0,"Unused"&lt;&gt;ChartLines.ID), COUNTIFS(ChartLines.ID,ChartLines.ID,   ChartLines.RowNum,"&lt;="&amp;ChartLines.RowNum), "·")</f>
        <v>1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9">
        <f t="shared" ref="H249" si="1042" xml:space="preserve"> IF(LEN(ChartLines.Hex6)=6, HEX2DEC(LEFT(ChartLines.Hex6, 2)), "·")</f>
        <v>3</v>
      </c>
      <c r="I249">
        <f t="shared" ref="I249" si="1043" xml:space="preserve"> IF(LEN(ChartLines.Hex6)=6, HEX2DEC(MID(ChartLines.Hex6, 3, 2)), "·")</f>
        <v>147</v>
      </c>
      <c r="J249">
        <f t="shared" ref="J249" si="1044" xml:space="preserve"> IF(LEN(ChartLines.Hex6)=6, HEX2DEC(RIGHT(ChartLines.Hex6, 2)), "·")</f>
        <v>85</v>
      </c>
      <c r="K249" cm="1">
        <f t="array" ref="K249" xml:space="preserve"> 1 + ROW() - _xlfn.SINGLE(ROW(ChartLines.RowNum))</f>
        <v>247</v>
      </c>
    </row>
    <row r="250" spans="2:11" x14ac:dyDescent="0.2">
      <c r="B250" t="s">
        <v>959</v>
      </c>
      <c r="C250" t="s">
        <v>1851</v>
      </c>
      <c r="E250">
        <f t="shared" ref="E250" si="1045" xml:space="preserve"> IF(AND(LEN(ChartLines.ID)&gt;0,"Unused"&lt;&gt;ChartLines.ID), COUNTIFS(ChartLines.ID,ChartLines.ID), "·")</f>
        <v>2</v>
      </c>
      <c r="F250">
        <f t="shared" ref="F250" si="1046" xml:space="preserve"> IF(AND(LEN(ChartLines.ID)&gt;0,"Unused"&lt;&gt;ChartLines.ID), COUNTIFS(ChartLines.ID,ChartLines.ID,   ChartLines.RowNum,"&lt;="&amp;ChartLines.RowNum), "·")</f>
        <v>2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0">
        <f t="shared" ref="H250" si="1047" xml:space="preserve"> IF(LEN(ChartLines.Hex6)=6, HEX2DEC(LEFT(ChartLines.Hex6, 2)), "·")</f>
        <v>255</v>
      </c>
      <c r="I250">
        <f t="shared" ref="I250" si="1048" xml:space="preserve"> IF(LEN(ChartLines.Hex6)=6, HEX2DEC(MID(ChartLines.Hex6, 3, 2)), "·")</f>
        <v>255</v>
      </c>
      <c r="J250">
        <f t="shared" ref="J250" si="1049" xml:space="preserve"> IF(LEN(ChartLines.Hex6)=6, HEX2DEC(RIGHT(ChartLines.Hex6, 2)), "·")</f>
        <v>255</v>
      </c>
      <c r="K250" cm="1">
        <f t="array" ref="K250" xml:space="preserve"> 1 + ROW() - _xlfn.SINGLE(ROW(ChartLines.RowNum))</f>
        <v>248</v>
      </c>
    </row>
    <row r="251" spans="2:11" x14ac:dyDescent="0.2">
      <c r="B251" t="s">
        <v>106</v>
      </c>
      <c r="C251" t="str">
        <f xml:space="preserve"> "000000"</f>
        <v>000000</v>
      </c>
      <c r="E251">
        <f t="shared" ref="E251" si="1050" xml:space="preserve"> IF(AND(LEN(ChartLines.ID)&gt;0,"Unused"&lt;&gt;ChartLines.ID), COUNTIFS(ChartLines.ID,ChartLines.ID), "·")</f>
        <v>2</v>
      </c>
      <c r="F251">
        <f t="shared" ref="F251" si="1051" xml:space="preserve"> IF(AND(LEN(ChartLines.ID)&gt;0,"Unused"&lt;&gt;ChartLines.ID), COUNTIFS(ChartLines.ID,ChartLines.ID,   ChartLines.RowNum,"&lt;="&amp;ChartLines.RowNum), "·")</f>
        <v>1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1">
        <f t="shared" ref="H251" si="1052" xml:space="preserve"> IF(LEN(ChartLines.Hex6)=6, HEX2DEC(LEFT(ChartLines.Hex6, 2)), "·")</f>
        <v>0</v>
      </c>
      <c r="I251">
        <f t="shared" ref="I251" si="1053" xml:space="preserve"> IF(LEN(ChartLines.Hex6)=6, HEX2DEC(MID(ChartLines.Hex6, 3, 2)), "·")</f>
        <v>0</v>
      </c>
      <c r="J251">
        <f t="shared" ref="J251" si="1054" xml:space="preserve"> IF(LEN(ChartLines.Hex6)=6, HEX2DEC(RIGHT(ChartLines.Hex6, 2)), "·")</f>
        <v>0</v>
      </c>
      <c r="K251" cm="1">
        <f t="array" ref="K251" xml:space="preserve"> 1 + ROW() - _xlfn.SINGLE(ROW(ChartLines.RowNum))</f>
        <v>249</v>
      </c>
    </row>
    <row r="252" spans="2:11" x14ac:dyDescent="0.2">
      <c r="B252" t="s">
        <v>106</v>
      </c>
      <c r="C252" t="str">
        <f xml:space="preserve"> "039355"</f>
        <v>039355</v>
      </c>
      <c r="E252">
        <f t="shared" ref="E252:E254" si="1055" xml:space="preserve"> IF(AND(LEN(ChartLines.ID)&gt;0,"Unused"&lt;&gt;ChartLines.ID), COUNTIFS(ChartLines.ID,ChartLines.ID), "·")</f>
        <v>2</v>
      </c>
      <c r="F252">
        <f t="shared" ref="F252:F254" si="1056" xml:space="preserve"> IF(AND(LEN(ChartLines.ID)&gt;0,"Unused"&lt;&gt;ChartLines.ID), COUNTIFS(ChartLines.ID,ChartLines.ID,   ChartLines.RowNum,"&lt;="&amp;ChartLines.RowNum), "·")</f>
        <v>2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2">
        <f t="shared" ref="H252:H254" si="1057" xml:space="preserve"> IF(LEN(ChartLines.Hex6)=6, HEX2DEC(LEFT(ChartLines.Hex6, 2)), "·")</f>
        <v>3</v>
      </c>
      <c r="I252">
        <f t="shared" ref="I252:I254" si="1058" xml:space="preserve"> IF(LEN(ChartLines.Hex6)=6, HEX2DEC(MID(ChartLines.Hex6, 3, 2)), "·")</f>
        <v>147</v>
      </c>
      <c r="J252">
        <f t="shared" ref="J252:J254" si="1059" xml:space="preserve"> IF(LEN(ChartLines.Hex6)=6, HEX2DEC(RIGHT(ChartLines.Hex6, 2)), "·")</f>
        <v>85</v>
      </c>
      <c r="K252" cm="1">
        <f t="array" ref="K252" xml:space="preserve"> 1 + ROW() - _xlfn.SINGLE(ROW(ChartLines.RowNum))</f>
        <v>250</v>
      </c>
    </row>
    <row r="253" spans="2:11" x14ac:dyDescent="0.2">
      <c r="B253" t="s">
        <v>2058</v>
      </c>
      <c r="C253" t="s">
        <v>2059</v>
      </c>
      <c r="E253">
        <f t="shared" si="1055"/>
        <v>2</v>
      </c>
      <c r="F253">
        <f t="shared" si="1056"/>
        <v>1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3">
        <f t="shared" si="1057"/>
        <v>25</v>
      </c>
      <c r="I253">
        <f t="shared" si="1058"/>
        <v>141</v>
      </c>
      <c r="J253">
        <f t="shared" si="1059"/>
        <v>102</v>
      </c>
      <c r="K253" cm="1">
        <f t="array" ref="K253" xml:space="preserve"> 1 + ROW() - _xlfn.SINGLE(ROW(ChartLines.RowNum))</f>
        <v>251</v>
      </c>
    </row>
    <row r="254" spans="2:11" x14ac:dyDescent="0.2">
      <c r="B254" t="s">
        <v>2058</v>
      </c>
      <c r="C254" t="s">
        <v>2060</v>
      </c>
      <c r="E254">
        <f t="shared" si="1055"/>
        <v>2</v>
      </c>
      <c r="F254">
        <f t="shared" si="1056"/>
        <v>2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4">
        <f t="shared" si="1057"/>
        <v>252</v>
      </c>
      <c r="I254">
        <f t="shared" si="1058"/>
        <v>185</v>
      </c>
      <c r="J254">
        <f t="shared" si="1059"/>
        <v>14</v>
      </c>
      <c r="K254" cm="1">
        <f t="array" ref="K254" xml:space="preserve"> 1 + ROW() - _xlfn.SINGLE(ROW(ChartLines.RowNum))</f>
        <v>252</v>
      </c>
    </row>
    <row r="255" spans="2:11" x14ac:dyDescent="0.2">
      <c r="B255" t="s">
        <v>996</v>
      </c>
      <c r="C255" t="str">
        <f xml:space="preserve"> "005073"</f>
        <v>005073</v>
      </c>
      <c r="E255">
        <f t="shared" ref="E255" si="1060" xml:space="preserve"> IF(AND(LEN(ChartLines.ID)&gt;0,"Unused"&lt;&gt;ChartLines.ID), COUNTIFS(ChartLines.ID,ChartLines.ID), "·")</f>
        <v>2</v>
      </c>
      <c r="F255">
        <f t="shared" ref="F255" si="1061" xml:space="preserve"> IF(AND(LEN(ChartLines.ID)&gt;0,"Unused"&lt;&gt;ChartLines.ID), COUNTIFS(ChartLines.ID,ChartLines.ID,   ChartLines.RowNum,"&lt;="&amp;ChartLines.RowNum), "·")</f>
        <v>1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5">
        <f t="shared" ref="H255" si="1062" xml:space="preserve"> IF(LEN(ChartLines.Hex6)=6, HEX2DEC(LEFT(ChartLines.Hex6, 2)), "·")</f>
        <v>0</v>
      </c>
      <c r="I255">
        <f t="shared" ref="I255" si="1063" xml:space="preserve"> IF(LEN(ChartLines.Hex6)=6, HEX2DEC(MID(ChartLines.Hex6, 3, 2)), "·")</f>
        <v>80</v>
      </c>
      <c r="J255">
        <f t="shared" ref="J255" si="1064" xml:space="preserve"> IF(LEN(ChartLines.Hex6)=6, HEX2DEC(RIGHT(ChartLines.Hex6, 2)), "·")</f>
        <v>115</v>
      </c>
      <c r="K255" cm="1">
        <f t="array" ref="K255" xml:space="preserve"> 1 + ROW() - _xlfn.SINGLE(ROW(ChartLines.RowNum))</f>
        <v>253</v>
      </c>
    </row>
    <row r="256" spans="2:11" x14ac:dyDescent="0.2">
      <c r="B256" t="s">
        <v>996</v>
      </c>
      <c r="C256" t="s">
        <v>1851</v>
      </c>
      <c r="E256">
        <f t="shared" ref="E256:E260" si="1065" xml:space="preserve"> IF(AND(LEN(ChartLines.ID)&gt;0,"Unused"&lt;&gt;ChartLines.ID), COUNTIFS(ChartLines.ID,ChartLines.ID), "·")</f>
        <v>2</v>
      </c>
      <c r="F256">
        <f t="shared" ref="F256:F260" si="1066" xml:space="preserve"> IF(AND(LEN(ChartLines.ID)&gt;0,"Unused"&lt;&gt;ChartLines.ID), COUNTIFS(ChartLines.ID,ChartLines.ID,   ChartLines.RowNum,"&lt;="&amp;ChartLines.RowNum), "·")</f>
        <v>2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6">
        <f t="shared" ref="H256:H260" si="1067" xml:space="preserve"> IF(LEN(ChartLines.Hex6)=6, HEX2DEC(LEFT(ChartLines.Hex6, 2)), "·")</f>
        <v>255</v>
      </c>
      <c r="I256">
        <f t="shared" ref="I256:I260" si="1068" xml:space="preserve"> IF(LEN(ChartLines.Hex6)=6, HEX2DEC(MID(ChartLines.Hex6, 3, 2)), "·")</f>
        <v>255</v>
      </c>
      <c r="J256">
        <f t="shared" ref="J256:J260" si="1069" xml:space="preserve"> IF(LEN(ChartLines.Hex6)=6, HEX2DEC(RIGHT(ChartLines.Hex6, 2)), "·")</f>
        <v>255</v>
      </c>
      <c r="K256" cm="1">
        <f t="array" ref="K256" xml:space="preserve"> 1 + ROW() - _xlfn.SINGLE(ROW(ChartLines.RowNum))</f>
        <v>254</v>
      </c>
    </row>
    <row r="257" spans="2:11" x14ac:dyDescent="0.2">
      <c r="B257" t="s">
        <v>2048</v>
      </c>
      <c r="C257" t="s">
        <v>2051</v>
      </c>
      <c r="E257">
        <f t="shared" si="1065"/>
        <v>2</v>
      </c>
      <c r="F257">
        <f t="shared" si="1066"/>
        <v>1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7">
        <f t="shared" si="1067"/>
        <v>43</v>
      </c>
      <c r="I257">
        <f t="shared" si="1068"/>
        <v>206</v>
      </c>
      <c r="J257">
        <f t="shared" si="1069"/>
        <v>117</v>
      </c>
      <c r="K257" cm="1">
        <f t="array" ref="K257" xml:space="preserve"> 1 + ROW() - _xlfn.SINGLE(ROW(ChartLines.RowNum))</f>
        <v>255</v>
      </c>
    </row>
    <row r="258" spans="2:11" x14ac:dyDescent="0.2">
      <c r="B258" t="s">
        <v>2048</v>
      </c>
      <c r="C258" t="s">
        <v>2052</v>
      </c>
      <c r="E258">
        <f t="shared" si="1065"/>
        <v>2</v>
      </c>
      <c r="F258">
        <f t="shared" si="1066"/>
        <v>2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8">
        <f t="shared" si="1067"/>
        <v>0</v>
      </c>
      <c r="I258">
        <f t="shared" si="1068"/>
        <v>70</v>
      </c>
      <c r="J258">
        <f t="shared" si="1069"/>
        <v>194</v>
      </c>
      <c r="K258" cm="1">
        <f t="array" ref="K258" xml:space="preserve"> 1 + ROW() - _xlfn.SINGLE(ROW(ChartLines.RowNum))</f>
        <v>256</v>
      </c>
    </row>
    <row r="259" spans="2:11" x14ac:dyDescent="0.2">
      <c r="B259" t="s">
        <v>2053</v>
      </c>
      <c r="C259" t="s">
        <v>2056</v>
      </c>
      <c r="E259">
        <f t="shared" si="1065"/>
        <v>2</v>
      </c>
      <c r="F259">
        <f t="shared" si="1066"/>
        <v>1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9">
        <f t="shared" si="1067"/>
        <v>239</v>
      </c>
      <c r="I259">
        <f t="shared" si="1068"/>
        <v>190</v>
      </c>
      <c r="J259">
        <f t="shared" si="1069"/>
        <v>32</v>
      </c>
      <c r="K259" cm="1">
        <f t="array" ref="K259" xml:space="preserve"> 1 + ROW() - _xlfn.SINGLE(ROW(ChartLines.RowNum))</f>
        <v>257</v>
      </c>
    </row>
    <row r="260" spans="2:11" x14ac:dyDescent="0.2">
      <c r="B260" t="s">
        <v>2053</v>
      </c>
      <c r="C260" t="s">
        <v>2057</v>
      </c>
      <c r="E260">
        <f t="shared" si="1065"/>
        <v>2</v>
      </c>
      <c r="F260">
        <f t="shared" si="1066"/>
        <v>2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0">
        <f t="shared" si="1067"/>
        <v>11</v>
      </c>
      <c r="I260">
        <f t="shared" si="1068"/>
        <v>92</v>
      </c>
      <c r="J260">
        <f t="shared" si="1069"/>
        <v>174</v>
      </c>
      <c r="K260" cm="1">
        <f t="array" ref="K260" xml:space="preserve"> 1 + ROW() - _xlfn.SINGLE(ROW(ChartLines.RowNum))</f>
        <v>258</v>
      </c>
    </row>
    <row r="261" spans="2:11" x14ac:dyDescent="0.2">
      <c r="B261" t="s">
        <v>1054</v>
      </c>
      <c r="C261" t="str">
        <f xml:space="preserve"> "056839"</f>
        <v>056839</v>
      </c>
      <c r="E261">
        <f t="shared" ref="E261" si="1070" xml:space="preserve"> IF(AND(LEN(ChartLines.ID)&gt;0,"Unused"&lt;&gt;ChartLines.ID), COUNTIFS(ChartLines.ID,ChartLines.ID), "·")</f>
        <v>2</v>
      </c>
      <c r="F261">
        <f t="shared" ref="F261" si="1071" xml:space="preserve"> IF(AND(LEN(ChartLines.ID)&gt;0,"Unused"&lt;&gt;ChartLines.ID), COUNTIFS(ChartLines.ID,ChartLines.ID,   ChartLines.RowNum,"&lt;="&amp;ChartLines.RowNum), "·")</f>
        <v>1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1">
        <f t="shared" ref="H261" si="1072" xml:space="preserve"> IF(LEN(ChartLines.Hex6)=6, HEX2DEC(LEFT(ChartLines.Hex6, 2)), "·")</f>
        <v>5</v>
      </c>
      <c r="I261">
        <f t="shared" ref="I261" si="1073" xml:space="preserve"> IF(LEN(ChartLines.Hex6)=6, HEX2DEC(MID(ChartLines.Hex6, 3, 2)), "·")</f>
        <v>104</v>
      </c>
      <c r="J261">
        <f t="shared" ref="J261" si="1074" xml:space="preserve"> IF(LEN(ChartLines.Hex6)=6, HEX2DEC(RIGHT(ChartLines.Hex6, 2)), "·")</f>
        <v>57</v>
      </c>
      <c r="K261" cm="1">
        <f t="array" ref="K261" xml:space="preserve"> 1 + ROW() - _xlfn.SINGLE(ROW(ChartLines.RowNum))</f>
        <v>259</v>
      </c>
    </row>
    <row r="262" spans="2:11" x14ac:dyDescent="0.2">
      <c r="B262" t="s">
        <v>1054</v>
      </c>
      <c r="C262" t="s">
        <v>1960</v>
      </c>
      <c r="E262">
        <f t="shared" ref="E262" si="1075" xml:space="preserve"> IF(AND(LEN(ChartLines.ID)&gt;0,"Unused"&lt;&gt;ChartLines.ID), COUNTIFS(ChartLines.ID,ChartLines.ID), "·")</f>
        <v>2</v>
      </c>
      <c r="F262">
        <f t="shared" ref="F262" si="1076" xml:space="preserve"> IF(AND(LEN(ChartLines.ID)&gt;0,"Unused"&lt;&gt;ChartLines.ID), COUNTIFS(ChartLines.ID,ChartLines.ID,   ChartLines.RowNum,"&lt;="&amp;ChartLines.RowNum), "·")</f>
        <v>2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2">
        <f t="shared" ref="H262" si="1077" xml:space="preserve"> IF(LEN(ChartLines.Hex6)=6, HEX2DEC(LEFT(ChartLines.Hex6, 2)), "·")</f>
        <v>190</v>
      </c>
      <c r="I262">
        <f t="shared" ref="I262" si="1078" xml:space="preserve"> IF(LEN(ChartLines.Hex6)=6, HEX2DEC(MID(ChartLines.Hex6, 3, 2)), "·")</f>
        <v>214</v>
      </c>
      <c r="J262">
        <f t="shared" ref="J262" si="1079" xml:space="preserve"> IF(LEN(ChartLines.Hex6)=6, HEX2DEC(RIGHT(ChartLines.Hex6, 2)), "·")</f>
        <v>47</v>
      </c>
      <c r="K262" cm="1">
        <f t="array" ref="K262" xml:space="preserve"> 1 + ROW() - _xlfn.SINGLE(ROW(ChartLines.RowNum))</f>
        <v>260</v>
      </c>
    </row>
    <row r="263" spans="2:11" x14ac:dyDescent="0.2">
      <c r="B263" t="s">
        <v>1961</v>
      </c>
      <c r="C263" t="str">
        <f xml:space="preserve"> "000000"</f>
        <v>000000</v>
      </c>
      <c r="E263">
        <f t="shared" ref="E263" si="1080" xml:space="preserve"> IF(AND(LEN(ChartLines.ID)&gt;0,"Unused"&lt;&gt;ChartLines.ID), COUNTIFS(ChartLines.ID,ChartLines.ID), "·")</f>
        <v>2</v>
      </c>
      <c r="F263">
        <f t="shared" ref="F263" si="1081" xml:space="preserve"> IF(AND(LEN(ChartLines.ID)&gt;0,"Unused"&lt;&gt;ChartLines.ID), COUNTIFS(ChartLines.ID,ChartLines.ID,   ChartLines.RowNum,"&lt;="&amp;ChartLines.RowNum), "·")</f>
        <v>1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3">
        <f t="shared" ref="H263" si="1082" xml:space="preserve"> IF(LEN(ChartLines.Hex6)=6, HEX2DEC(LEFT(ChartLines.Hex6, 2)), "·")</f>
        <v>0</v>
      </c>
      <c r="I263">
        <f t="shared" ref="I263" si="1083" xml:space="preserve"> IF(LEN(ChartLines.Hex6)=6, HEX2DEC(MID(ChartLines.Hex6, 3, 2)), "·")</f>
        <v>0</v>
      </c>
      <c r="J263">
        <f t="shared" ref="J263" si="1084" xml:space="preserve"> IF(LEN(ChartLines.Hex6)=6, HEX2DEC(RIGHT(ChartLines.Hex6, 2)), "·")</f>
        <v>0</v>
      </c>
      <c r="K263" cm="1">
        <f t="array" ref="K263" xml:space="preserve"> 1 + ROW() - _xlfn.SINGLE(ROW(ChartLines.RowNum))</f>
        <v>261</v>
      </c>
    </row>
    <row r="264" spans="2:11" x14ac:dyDescent="0.2">
      <c r="B264" t="s">
        <v>1961</v>
      </c>
      <c r="C264" t="s">
        <v>1851</v>
      </c>
      <c r="E264">
        <f t="shared" ref="E264" si="1085" xml:space="preserve"> IF(AND(LEN(ChartLines.ID)&gt;0,"Unused"&lt;&gt;ChartLines.ID), COUNTIFS(ChartLines.ID,ChartLines.ID), "·")</f>
        <v>2</v>
      </c>
      <c r="F264">
        <f t="shared" ref="F264" si="1086" xml:space="preserve"> IF(AND(LEN(ChartLines.ID)&gt;0,"Unused"&lt;&gt;ChartLines.ID), COUNTIFS(ChartLines.ID,ChartLines.ID,   ChartLines.RowNum,"&lt;="&amp;ChartLines.RowNum), "·")</f>
        <v>2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4">
        <f t="shared" ref="H264" si="1087" xml:space="preserve"> IF(LEN(ChartLines.Hex6)=6, HEX2DEC(LEFT(ChartLines.Hex6, 2)), "·")</f>
        <v>255</v>
      </c>
      <c r="I264">
        <f t="shared" ref="I264" si="1088" xml:space="preserve"> IF(LEN(ChartLines.Hex6)=6, HEX2DEC(MID(ChartLines.Hex6, 3, 2)), "·")</f>
        <v>255</v>
      </c>
      <c r="J264">
        <f t="shared" ref="J264" si="1089" xml:space="preserve"> IF(LEN(ChartLines.Hex6)=6, HEX2DEC(RIGHT(ChartLines.Hex6, 2)), "·")</f>
        <v>255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1962</v>
      </c>
      <c r="C265" t="s">
        <v>1963</v>
      </c>
      <c r="E265">
        <f t="shared" ref="E265" si="1090" xml:space="preserve"> IF(AND(LEN(ChartLines.ID)&gt;0,"Unused"&lt;&gt;ChartLines.ID), COUNTIFS(ChartLines.ID,ChartLines.ID), "·")</f>
        <v>1</v>
      </c>
      <c r="F265">
        <f t="shared" ref="F265" si="1091" xml:space="preserve"> IF(AND(LEN(ChartLines.ID)&gt;0,"Unused"&lt;&gt;ChartLines.ID), COUNTIFS(ChartLines.ID,ChartLines.ID,   ChartLines.RowNum,"&lt;="&amp;ChartLines.RowNum), "·")</f>
        <v>1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65">
        <f t="shared" ref="H265" si="1092" xml:space="preserve"> IF(LEN(ChartLines.Hex6)=6, HEX2DEC(LEFT(ChartLines.Hex6, 2)), "·")</f>
        <v>0</v>
      </c>
      <c r="I265">
        <f t="shared" ref="I265" si="1093" xml:space="preserve"> IF(LEN(ChartLines.Hex6)=6, HEX2DEC(MID(ChartLines.Hex6, 3, 2)), "·")</f>
        <v>76</v>
      </c>
      <c r="J265">
        <f t="shared" ref="J265" si="1094" xml:space="preserve"> IF(LEN(ChartLines.Hex6)=6, HEX2DEC(RIGHT(ChartLines.Hex6, 2)), "·")</f>
        <v>151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1847</v>
      </c>
      <c r="E266" t="str">
        <f t="shared" ref="E266" si="1095" xml:space="preserve"> IF(AND(LEN(ChartLines.ID)&gt;0,"Unused"&lt;&gt;ChartLines.ID), COUNTIFS(ChartLines.ID,ChartLines.ID), "·")</f>
        <v>·</v>
      </c>
      <c r="F266" t="str">
        <f t="shared" ref="F266" si="1096" xml:space="preserve"> IF(AND(LEN(ChartLines.ID)&gt;0,"Unused"&lt;&gt;ChartLines.ID), COUNTIFS(ChartLines.ID,ChartLines.ID,   ChartLines.RowNum,"&lt;="&amp;ChartLines.RowNum), "·")</f>
        <v>·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66" t="str">
        <f t="shared" ref="H266" si="1097" xml:space="preserve"> IF(LEN(ChartLines.Hex6)=6, HEX2DEC(LEFT(ChartLines.Hex6, 2)), "·")</f>
        <v>·</v>
      </c>
      <c r="I266" t="str">
        <f t="shared" ref="I266" si="1098" xml:space="preserve"> IF(LEN(ChartLines.Hex6)=6, HEX2DEC(MID(ChartLines.Hex6, 3, 2)), "·")</f>
        <v>·</v>
      </c>
      <c r="J266" t="str">
        <f t="shared" ref="J266" si="1099" xml:space="preserve"> IF(LEN(ChartLines.Hex6)=6, HEX2DEC(RIGHT(ChartLines.Hex6, 2)), "·")</f>
        <v>·</v>
      </c>
      <c r="K266" cm="1">
        <f t="array" ref="K266" xml:space="preserve"> 1 + ROW() - _xlfn.SINGLE(ROW(ChartLines.RowNum))</f>
        <v>264</v>
      </c>
    </row>
    <row r="267" spans="2:11" x14ac:dyDescent="0.2">
      <c r="E267" t="str">
        <f t="shared" ref="E267" si="1100" xml:space="preserve"> IF(AND(LEN(ChartLines.ID)&gt;0,"Unused"&lt;&gt;ChartLines.ID), COUNTIFS(ChartLines.ID,ChartLines.ID), "·")</f>
        <v>·</v>
      </c>
      <c r="F267" t="str">
        <f t="shared" ref="F267" si="1101" xml:space="preserve"> IF(AND(LEN(ChartLines.ID)&gt;0,"Unused"&lt;&gt;ChartLines.ID), COUNTIFS(ChartLines.ID,ChartLines.ID,   ChartLines.RowNum,"&lt;="&amp;ChartLines.RowNum), "·")</f>
        <v>·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67" t="str">
        <f t="shared" ref="H267" si="1102" xml:space="preserve"> IF(LEN(ChartLines.Hex6)=6, HEX2DEC(LEFT(ChartLines.Hex6, 2)), "·")</f>
        <v>·</v>
      </c>
      <c r="I267" t="str">
        <f t="shared" ref="I267" si="1103" xml:space="preserve"> IF(LEN(ChartLines.Hex6)=6, HEX2DEC(MID(ChartLines.Hex6, 3, 2)), "·")</f>
        <v>·</v>
      </c>
      <c r="J267" t="str">
        <f t="shared" ref="J267" si="1104" xml:space="preserve"> IF(LEN(ChartLines.Hex6)=6, HEX2DEC(RIGHT(ChartLines.Hex6, 2)), "·")</f>
        <v>·</v>
      </c>
      <c r="K267" cm="1">
        <f t="array" ref="K267" xml:space="preserve"> 1 + ROW() - _xlfn.SINGLE(ROW(ChartLines.RowNum))</f>
        <v>265</v>
      </c>
    </row>
    <row r="268" spans="2:11" x14ac:dyDescent="0.2">
      <c r="B268" t="s">
        <v>1964</v>
      </c>
      <c r="C268" t="str">
        <f xml:space="preserve"> "996515"</f>
        <v>996515</v>
      </c>
      <c r="E268">
        <f t="shared" ref="E268" si="1105" xml:space="preserve"> IF(AND(LEN(ChartLines.ID)&gt;0,"Unused"&lt;&gt;ChartLines.ID), COUNTIFS(ChartLines.ID,ChartLines.ID), "·")</f>
        <v>2</v>
      </c>
      <c r="F268">
        <f t="shared" ref="F268" si="1106" xml:space="preserve"> IF(AND(LEN(ChartLines.ID)&gt;0,"Unused"&lt;&gt;ChartLines.ID), COUNTIFS(ChartLines.ID,ChartLines.ID,   ChartLines.RowNum,"&lt;="&amp;ChartLines.RowNum), "·")</f>
        <v>1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8">
        <f t="shared" ref="H268" si="1107" xml:space="preserve"> IF(LEN(ChartLines.Hex6)=6, HEX2DEC(LEFT(ChartLines.Hex6, 2)), "·")</f>
        <v>153</v>
      </c>
      <c r="I268">
        <f t="shared" ref="I268" si="1108" xml:space="preserve"> IF(LEN(ChartLines.Hex6)=6, HEX2DEC(MID(ChartLines.Hex6, 3, 2)), "·")</f>
        <v>101</v>
      </c>
      <c r="J268">
        <f t="shared" ref="J268" si="1109" xml:space="preserve"> IF(LEN(ChartLines.Hex6)=6, HEX2DEC(RIGHT(ChartLines.Hex6, 2)), "·")</f>
        <v>21</v>
      </c>
      <c r="K268" cm="1">
        <f t="array" ref="K268" xml:space="preserve"> 1 + ROW() - _xlfn.SINGLE(ROW(ChartLines.RowNum))</f>
        <v>266</v>
      </c>
    </row>
    <row r="269" spans="2:11" x14ac:dyDescent="0.2">
      <c r="B269" t="s">
        <v>1964</v>
      </c>
      <c r="C269" t="str">
        <f xml:space="preserve"> "D4AF37"</f>
        <v>D4AF37</v>
      </c>
      <c r="E269">
        <f t="shared" ref="E269" si="1110" xml:space="preserve"> IF(AND(LEN(ChartLines.ID)&gt;0,"Unused"&lt;&gt;ChartLines.ID), COUNTIFS(ChartLines.ID,ChartLines.ID), "·")</f>
        <v>2</v>
      </c>
      <c r="F269">
        <f t="shared" ref="F269" si="1111" xml:space="preserve"> IF(AND(LEN(ChartLines.ID)&gt;0,"Unused"&lt;&gt;ChartLines.ID), COUNTIFS(ChartLines.ID,ChartLines.ID,   ChartLines.RowNum,"&lt;="&amp;ChartLines.RowNum), "·")</f>
        <v>2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9">
        <f t="shared" ref="H269" si="1112" xml:space="preserve"> IF(LEN(ChartLines.Hex6)=6, HEX2DEC(LEFT(ChartLines.Hex6, 2)), "·")</f>
        <v>212</v>
      </c>
      <c r="I269">
        <f t="shared" ref="I269" si="1113" xml:space="preserve"> IF(LEN(ChartLines.Hex6)=6, HEX2DEC(MID(ChartLines.Hex6, 3, 2)), "·")</f>
        <v>175</v>
      </c>
      <c r="J269">
        <f t="shared" ref="J269" si="1114" xml:space="preserve"> IF(LEN(ChartLines.Hex6)=6, HEX2DEC(RIGHT(ChartLines.Hex6, 2)), "·")</f>
        <v>55</v>
      </c>
      <c r="K269" cm="1">
        <f t="array" ref="K269" xml:space="preserve"> 1 + ROW() - _xlfn.SINGLE(ROW(ChartLines.RowNum))</f>
        <v>267</v>
      </c>
    </row>
    <row r="270" spans="2:11" x14ac:dyDescent="0.2">
      <c r="B270" t="s">
        <v>1965</v>
      </c>
      <c r="C270" t="s">
        <v>1966</v>
      </c>
      <c r="E270">
        <f t="shared" ref="E270" si="1115" xml:space="preserve"> IF(AND(LEN(ChartLines.ID)&gt;0,"Unused"&lt;&gt;ChartLines.ID), COUNTIFS(ChartLines.ID,ChartLines.ID), "·")</f>
        <v>2</v>
      </c>
      <c r="F270">
        <f t="shared" ref="F270" si="1116" xml:space="preserve"> IF(AND(LEN(ChartLines.ID)&gt;0,"Unused"&lt;&gt;ChartLines.ID), COUNTIFS(ChartLines.ID,ChartLines.ID,   ChartLines.RowNum,"&lt;="&amp;ChartLines.RowNum), "·")</f>
        <v>1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0">
        <f t="shared" ref="H270" si="1117" xml:space="preserve"> IF(LEN(ChartLines.Hex6)=6, HEX2DEC(LEFT(ChartLines.Hex6, 2)), "·")</f>
        <v>92</v>
      </c>
      <c r="I270">
        <f t="shared" ref="I270" si="1118" xml:space="preserve"> IF(LEN(ChartLines.Hex6)=6, HEX2DEC(MID(ChartLines.Hex6, 3, 2)), "·")</f>
        <v>92</v>
      </c>
      <c r="J270">
        <f t="shared" ref="J270" si="1119" xml:space="preserve"> IF(LEN(ChartLines.Hex6)=6, HEX2DEC(RIGHT(ChartLines.Hex6, 2)), "·")</f>
        <v>92</v>
      </c>
      <c r="K270" cm="1">
        <f t="array" ref="K270" xml:space="preserve"> 1 + ROW() - _xlfn.SINGLE(ROW(ChartLines.RowNum))</f>
        <v>268</v>
      </c>
    </row>
    <row r="271" spans="2:11" x14ac:dyDescent="0.2">
      <c r="B271" t="s">
        <v>1965</v>
      </c>
      <c r="C271" t="str">
        <f xml:space="preserve"> "C0C0C0"</f>
        <v>C0C0C0</v>
      </c>
      <c r="E271">
        <f t="shared" ref="E271" si="1120" xml:space="preserve"> IF(AND(LEN(ChartLines.ID)&gt;0,"Unused"&lt;&gt;ChartLines.ID), COUNTIFS(ChartLines.ID,ChartLines.ID), "·")</f>
        <v>2</v>
      </c>
      <c r="F271">
        <f t="shared" ref="F271" si="1121" xml:space="preserve"> IF(AND(LEN(ChartLines.ID)&gt;0,"Unused"&lt;&gt;ChartLines.ID), COUNTIFS(ChartLines.ID,ChartLines.ID,   ChartLines.RowNum,"&lt;="&amp;ChartLines.RowNum), "·")</f>
        <v>2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1">
        <f t="shared" ref="H271" si="1122" xml:space="preserve"> IF(LEN(ChartLines.Hex6)=6, HEX2DEC(LEFT(ChartLines.Hex6, 2)), "·")</f>
        <v>192</v>
      </c>
      <c r="I271">
        <f t="shared" ref="I271" si="1123" xml:space="preserve"> IF(LEN(ChartLines.Hex6)=6, HEX2DEC(MID(ChartLines.Hex6, 3, 2)), "·")</f>
        <v>192</v>
      </c>
      <c r="J271">
        <f t="shared" ref="J271" si="1124" xml:space="preserve"> IF(LEN(ChartLines.Hex6)=6, HEX2DEC(RIGHT(ChartLines.Hex6, 2)), "·")</f>
        <v>192</v>
      </c>
      <c r="K271" cm="1">
        <f t="array" ref="K271" xml:space="preserve"> 1 + ROW() - _xlfn.SINGLE(ROW(ChartLines.RowNum))</f>
        <v>269</v>
      </c>
    </row>
    <row r="272" spans="2:11" x14ac:dyDescent="0.2">
      <c r="B272" t="s">
        <v>933</v>
      </c>
      <c r="C272" t="s">
        <v>1967</v>
      </c>
      <c r="E272">
        <f t="shared" ref="E272" si="1125" xml:space="preserve"> IF(AND(LEN(ChartLines.ID)&gt;0,"Unused"&lt;&gt;ChartLines.ID), COUNTIFS(ChartLines.ID,ChartLines.ID), "·")</f>
        <v>2</v>
      </c>
      <c r="F272">
        <f t="shared" ref="F272" si="1126" xml:space="preserve"> IF(AND(LEN(ChartLines.ID)&gt;0,"Unused"&lt;&gt;ChartLines.ID), COUNTIFS(ChartLines.ID,ChartLines.ID,   ChartLines.RowNum,"&lt;="&amp;ChartLines.RowNum), "·")</f>
        <v>1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2">
        <f t="shared" ref="H272" si="1127" xml:space="preserve"> IF(LEN(ChartLines.Hex6)=6, HEX2DEC(LEFT(ChartLines.Hex6, 2)), "·")</f>
        <v>217</v>
      </c>
      <c r="I272">
        <f t="shared" ref="I272" si="1128" xml:space="preserve"> IF(LEN(ChartLines.Hex6)=6, HEX2DEC(MID(ChartLines.Hex6, 3, 2)), "·")</f>
        <v>91</v>
      </c>
      <c r="J272">
        <f t="shared" ref="J272" si="1129" xml:space="preserve"> IF(LEN(ChartLines.Hex6)=6, HEX2DEC(RIGHT(ChartLines.Hex6, 2)), "·")</f>
        <v>20</v>
      </c>
      <c r="K272" cm="1">
        <f t="array" ref="K272" xml:space="preserve"> 1 + ROW() - _xlfn.SINGLE(ROW(ChartLines.RowNum))</f>
        <v>270</v>
      </c>
    </row>
    <row r="273" spans="2:11" x14ac:dyDescent="0.2">
      <c r="B273" t="s">
        <v>933</v>
      </c>
      <c r="C273" t="s">
        <v>1968</v>
      </c>
      <c r="E273">
        <f t="shared" ref="E273" si="1130" xml:space="preserve"> IF(AND(LEN(ChartLines.ID)&gt;0,"Unused"&lt;&gt;ChartLines.ID), COUNTIFS(ChartLines.ID,ChartLines.ID), "·")</f>
        <v>2</v>
      </c>
      <c r="F273">
        <f t="shared" ref="F273" si="1131" xml:space="preserve"> IF(AND(LEN(ChartLines.ID)&gt;0,"Unused"&lt;&gt;ChartLines.ID), COUNTIFS(ChartLines.ID,ChartLines.ID,   ChartLines.RowNum,"&lt;="&amp;ChartLines.RowNum), "·")</f>
        <v>2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3">
        <f t="shared" ref="H273" si="1132" xml:space="preserve"> IF(LEN(ChartLines.Hex6)=6, HEX2DEC(LEFT(ChartLines.Hex6, 2)), "·")</f>
        <v>199</v>
      </c>
      <c r="I273">
        <f t="shared" ref="I273" si="1133" xml:space="preserve"> IF(LEN(ChartLines.Hex6)=6, HEX2DEC(MID(ChartLines.Hex6, 3, 2)), "·")</f>
        <v>199</v>
      </c>
      <c r="J273">
        <f t="shared" ref="J273" si="1134" xml:space="preserve"> IF(LEN(ChartLines.Hex6)=6, HEX2DEC(RIGHT(ChartLines.Hex6, 2)), "·")</f>
        <v>199</v>
      </c>
      <c r="K273" cm="1">
        <f t="array" ref="K273" xml:space="preserve"> 1 + ROW() - _xlfn.SINGLE(ROW(ChartLines.RowNum))</f>
        <v>271</v>
      </c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B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8" max="28" width="10.83203125" style="36"/>
  </cols>
  <sheetData>
    <row r="2" spans="2:28" ht="17" thickBot="1" x14ac:dyDescent="0.25">
      <c r="R2" s="3" t="s">
        <v>1078</v>
      </c>
      <c r="S2" s="3" t="s">
        <v>1079</v>
      </c>
      <c r="T2" s="3" t="s">
        <v>1538</v>
      </c>
      <c r="W2" s="3" t="s">
        <v>2172</v>
      </c>
      <c r="Z2" s="3" t="s">
        <v>1835</v>
      </c>
      <c r="AB2" s="40" t="s">
        <v>96</v>
      </c>
    </row>
    <row r="3" spans="2:28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1726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2</v>
      </c>
      <c r="Z3">
        <f xml:space="preserve"> 10^2</f>
        <v>100</v>
      </c>
      <c r="AB3" s="36" t="str" cm="1">
        <f t="array" aca="1" ref="AB3" ca="1" xml:space="preserve"> LEFT(CELL("filename"),FIND("[",CELL("filename"))-1)</f>
        <v>/Users/JDAW/Documents/programming/SVG/CurrencySymbols/</v>
      </c>
    </row>
    <row r="5" spans="2:28" ht="17" thickBot="1" x14ac:dyDescent="0.25">
      <c r="K5" s="3" t="s">
        <v>131</v>
      </c>
      <c r="L5" s="3" t="s">
        <v>129</v>
      </c>
      <c r="M5" s="3" t="s">
        <v>130</v>
      </c>
      <c r="N5" s="3" t="s">
        <v>180</v>
      </c>
      <c r="R5" s="3" t="s">
        <v>1077</v>
      </c>
      <c r="S5" s="3" t="s">
        <v>1080</v>
      </c>
      <c r="T5" s="3" t="s">
        <v>1081</v>
      </c>
      <c r="W5" s="3" t="s">
        <v>936</v>
      </c>
      <c r="X5" s="3" t="s">
        <v>1969</v>
      </c>
      <c r="Y5" s="3" t="s">
        <v>2171</v>
      </c>
      <c r="Z5" s="3" t="s">
        <v>938</v>
      </c>
      <c r="AA5" s="3" t="s">
        <v>939</v>
      </c>
      <c r="AB5" s="40" t="s">
        <v>937</v>
      </c>
    </row>
    <row r="6" spans="2:28" x14ac:dyDescent="0.2">
      <c r="K6" cm="1">
        <f t="array" ref="K6" xml:space="preserve"> 1 + _xlfn.SINGLE(ROW()) - _xlfn.SINGLE(ROW(ExportSubstitutions.RowNum))</f>
        <v>1</v>
      </c>
      <c r="L6" t="s">
        <v>727</v>
      </c>
      <c r="M6" t="str">
        <f xml:space="preserve"> REPT(" ", 1)</f>
        <v xml:space="preserve"> </v>
      </c>
      <c r="N6" t="s">
        <v>1715</v>
      </c>
      <c r="R6" cm="1">
        <f t="array" ref="R6" xml:space="preserve"> 1 + _xlfn.SINGLE(ROW()) - _xlfn.SINGLE(ROW(ExportSubstitutions_Within.RowNum))</f>
        <v>1</v>
      </c>
      <c r="S6" t="s">
        <v>1082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0</v>
      </c>
      <c r="Z6">
        <f xml:space="preserve"> ExportControl.BasicBBoxArea_Base * 8^2</f>
        <v>6400</v>
      </c>
      <c r="AA6" t="str">
        <f xml:space="preserve"> "_line"</f>
        <v>_line</v>
      </c>
      <c r="AB6" s="36" t="str">
        <f ca="1" xml:space="preserve"> Path.ThisWorkbook &amp; "ChartLines/"</f>
        <v>/Users/JDAW/Documents/programming/SVG/CurrencySymbols/ChartLines/</v>
      </c>
    </row>
    <row r="7" spans="2:28" x14ac:dyDescent="0.2">
      <c r="B7" s="4" t="s">
        <v>1063</v>
      </c>
      <c r="C7" s="35">
        <f ca="1" xml:space="preserve"> NOW()</f>
        <v>44938.942441666666</v>
      </c>
      <c r="K7" cm="1">
        <f t="array" ref="K7" xml:space="preserve"> 1 + _xlfn.SINGLE(ROW()) - _xlfn.SINGLE(ROW(ExportSubstitutions.RowNum))</f>
        <v>2</v>
      </c>
      <c r="L7" t="s">
        <v>2143</v>
      </c>
      <c r="N7" t="s">
        <v>1715</v>
      </c>
      <c r="R7" cm="1">
        <f t="array" ref="R7" xml:space="preserve"> 1 + _xlfn.SINGLE(ROW()) - _xlfn.SINGLE(ROW(ExportSubstitutions_Within.RowNum))</f>
        <v>2</v>
      </c>
      <c r="S7" t="s">
        <v>1083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1</v>
      </c>
      <c r="Y7" t="b">
        <v>0</v>
      </c>
      <c r="Z7">
        <f xml:space="preserve"> ExportControl.BasicBBoxArea_Base * 8^2</f>
        <v>6400</v>
      </c>
      <c r="AA7" t="str">
        <f xml:space="preserve"> "_enlarged"</f>
        <v>_enlarged</v>
      </c>
      <c r="AB7" s="36" t="str">
        <f ca="1" xml:space="preserve"> Path.ThisWorkbook &amp; "ChartMarkers_enlarged/"</f>
        <v>/Users/JDAW/Documents/programming/SVG/CurrencySymbols/ChartMarkers_enlarged/</v>
      </c>
    </row>
    <row r="8" spans="2:28" x14ac:dyDescent="0.2">
      <c r="B8" s="4" t="s">
        <v>1064</v>
      </c>
      <c r="C8" s="50">
        <f ca="1" xml:space="preserve"> INT(Now)</f>
        <v>44938</v>
      </c>
      <c r="K8" cm="1">
        <f t="array" ref="K8" xml:space="preserve"> 1 + _xlfn.SINGLE(ROW()) - _xlfn.SINGLE(ROW(ExportSubstitutions.RowNum))</f>
        <v>3</v>
      </c>
      <c r="L8" t="s">
        <v>2144</v>
      </c>
      <c r="N8" t="s">
        <v>1715</v>
      </c>
      <c r="R8" cm="1">
        <f t="array" ref="R8" xml:space="preserve"> 1 + _xlfn.SINGLE(ROW()) - _xlfn.SINGLE(ROW(ExportSubstitutions_Within.RowNum))</f>
        <v>3</v>
      </c>
      <c r="S8" t="s">
        <v>1084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1</v>
      </c>
      <c r="Y8" t="b">
        <v>1</v>
      </c>
      <c r="Z8">
        <f xml:space="preserve"> ExportControl.BasicBBoxArea_Base * 1.5^2</f>
        <v>225</v>
      </c>
      <c r="AA8" t="str">
        <f xml:space="preserve"> "_Excel"</f>
        <v>_Excel</v>
      </c>
      <c r="AB8" s="36" t="str">
        <f ca="1" xml:space="preserve"> Path.ThisWorkbook &amp; "ChartMarkers_Excel/"</f>
        <v>/Users/JDAW/Documents/programming/SVG/CurrencySymbols/ChartMarkers_Excel/</v>
      </c>
    </row>
    <row r="9" spans="2:28" x14ac:dyDescent="0.2">
      <c r="K9" cm="1">
        <f t="array" ref="K9" xml:space="preserve"> 1 + _xlfn.SINGLE(ROW()) - _xlfn.SINGLE(ROW(ExportSubstitutions.RowNum))</f>
        <v>4</v>
      </c>
      <c r="L9" t="s">
        <v>1722</v>
      </c>
      <c r="M9" t="str">
        <f xml:space="preserve"> REPT(" ", 1)</f>
        <v xml:space="preserve"> </v>
      </c>
      <c r="N9" t="s">
        <v>1723</v>
      </c>
      <c r="R9" cm="1">
        <f t="array" ref="R9" xml:space="preserve"> 1 + _xlfn.SINGLE(ROW()) - _xlfn.SINGLE(ROW(ExportSubstitutions_Within.RowNum))</f>
        <v>4</v>
      </c>
      <c r="S9" t="s">
        <v>1085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1</v>
      </c>
      <c r="Y9" t="b">
        <v>0</v>
      </c>
      <c r="Z9">
        <f xml:space="preserve"> ExportControl.BasicBBoxArea_Base</f>
        <v>100</v>
      </c>
      <c r="AA9" t="str">
        <f xml:space="preserve"> ""</f>
        <v/>
      </c>
      <c r="AB9" s="36" t="str">
        <f ca="1" xml:space="preserve"> Path.ThisWorkbook &amp; "ChartMarkers/"</f>
        <v>/Users/JDAW/Documents/programming/SVG/CurrencySymbols/ChartMarkers/</v>
      </c>
    </row>
    <row r="10" spans="2:28" x14ac:dyDescent="0.2">
      <c r="K10" cm="1">
        <f t="array" ref="K10" xml:space="preserve"> 1 + _xlfn.SINGLE(ROW()) - _xlfn.SINGLE(ROW(ExportSubstitutions.RowNum))</f>
        <v>5</v>
      </c>
      <c r="L10" t="s">
        <v>1724</v>
      </c>
      <c r="M10" t="str">
        <f xml:space="preserve"> REPT(" ", 1)</f>
        <v xml:space="preserve"> </v>
      </c>
      <c r="N10" t="s">
        <v>1723</v>
      </c>
      <c r="R10" cm="1">
        <f t="array" ref="R10" xml:space="preserve"> 1 + _xlfn.SINGLE(ROW()) - _xlfn.SINGLE(ROW(ExportSubstitutions_Within.RowNum))</f>
        <v>5</v>
      </c>
      <c r="S10" t="s">
        <v>1086</v>
      </c>
      <c r="T10" t="str">
        <f t="shared" si="2"/>
        <v>4A</v>
      </c>
    </row>
    <row r="11" spans="2:28" x14ac:dyDescent="0.2">
      <c r="B11" s="4" t="s">
        <v>10</v>
      </c>
      <c r="C11" cm="1">
        <f t="array" ref="C11" xml:space="preserve"> INDEX(ExportControl.BasicBBoxArea, ExportControl.Num)</f>
        <v>6400</v>
      </c>
      <c r="K11" cm="1">
        <f t="array" ref="K11" xml:space="preserve"> 1 + _xlfn.SINGLE(ROW()) - _xlfn.SINGLE(ROW(ExportSubstitutions.RowNum))</f>
        <v>6</v>
      </c>
      <c r="L11" t="s">
        <v>1725</v>
      </c>
      <c r="N11" t="s">
        <v>1723</v>
      </c>
      <c r="R11" cm="1">
        <f t="array" ref="R11" xml:space="preserve"> 1 + _xlfn.SINGLE(ROW()) - _xlfn.SINGLE(ROW(ExportSubstitutions_Within.RowNum))</f>
        <v>6</v>
      </c>
      <c r="S11" t="s">
        <v>1087</v>
      </c>
      <c r="T11" t="str">
        <f t="shared" si="2"/>
        <v>5A</v>
      </c>
    </row>
    <row r="12" spans="2:28" x14ac:dyDescent="0.2">
      <c r="B12" s="4" t="s">
        <v>2173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181</v>
      </c>
      <c r="R12" cm="1">
        <f t="array" ref="R12" xml:space="preserve"> 1 + _xlfn.SINGLE(ROW()) - _xlfn.SINGLE(ROW(ExportSubstitutions_Within.RowNum))</f>
        <v>7</v>
      </c>
      <c r="S12" t="s">
        <v>1088</v>
      </c>
      <c r="T12" t="str">
        <f t="shared" si="2"/>
        <v>6A</v>
      </c>
    </row>
    <row r="13" spans="2:28" x14ac:dyDescent="0.2">
      <c r="B13" s="4" t="s">
        <v>2175</v>
      </c>
      <c r="C13" s="6" t="str">
        <f xml:space="preserve"> "&lt;svg width='" &amp;ROUND(SQRT(BasicBBoxArea), svgSizeDecimalPlaces) &amp; "' height='" &amp;ROUND(SQRT(BasicBBoxArea), svgSizeDecimalPlaces) &amp; "' viewBox='"</f>
        <v>&lt;svg width='80' height='80'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182</v>
      </c>
      <c r="R13" cm="1">
        <f t="array" ref="R13" xml:space="preserve"> 1 + _xlfn.SINGLE(ROW()) - _xlfn.SINGLE(ROW(ExportSubstitutions_Within.RowNum))</f>
        <v>8</v>
      </c>
      <c r="S13" t="s">
        <v>1089</v>
      </c>
      <c r="T13" t="str">
        <f t="shared" si="2"/>
        <v>7A</v>
      </c>
    </row>
    <row r="14" spans="2:28" x14ac:dyDescent="0.2">
      <c r="B14" s="4" t="s">
        <v>2174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183</v>
      </c>
      <c r="R14" cm="1">
        <f t="array" ref="R14" xml:space="preserve"> 1 + _xlfn.SINGLE(ROW()) - _xlfn.SINGLE(ROW(ExportSubstitutions_Within.RowNum))</f>
        <v>9</v>
      </c>
      <c r="S14" t="s">
        <v>1090</v>
      </c>
      <c r="T14" t="str">
        <f t="shared" si="2"/>
        <v>8A</v>
      </c>
    </row>
    <row r="15" spans="2:28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184</v>
      </c>
      <c r="R15" cm="1">
        <f t="array" ref="R15" xml:space="preserve"> 1 + _xlfn.SINGLE(ROW()) - _xlfn.SINGLE(ROW(ExportSubstitutions_Within.RowNum))</f>
        <v>10</v>
      </c>
      <c r="S15" t="s">
        <v>1091</v>
      </c>
      <c r="T15" t="str">
        <f t="shared" si="2"/>
        <v>9A</v>
      </c>
    </row>
    <row r="16" spans="2:28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1092</v>
      </c>
      <c r="T16" t="str">
        <f t="shared" si="2"/>
        <v>A0</v>
      </c>
    </row>
    <row r="17" spans="2:28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186</v>
      </c>
      <c r="R17" cm="1">
        <f t="array" ref="R17" xml:space="preserve"> 1 + _xlfn.SINGLE(ROW()) - _xlfn.SINGLE(ROW(ExportSubstitutions_Within.RowNum))</f>
        <v>12</v>
      </c>
      <c r="S17" t="s">
        <v>1093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Z17">
        <f xml:space="preserve"> ExportControl.BasicBBoxArea_Base * 1000^2</f>
        <v>100000000</v>
      </c>
      <c r="AA17" t="str">
        <f xml:space="preserve"> "_hugeForExcel"</f>
        <v>_hugeForExcel</v>
      </c>
      <c r="AB17" s="36" t="str">
        <f ca="1" xml:space="preserve"> Path.ThisWorkbook &amp; "ChartMarkers_hugeForExcel/"</f>
        <v>/Users/JDAW/Documents/programming/SVG/CurrencySymbols/ChartMarkers_hugeForExcel/</v>
      </c>
    </row>
    <row r="18" spans="2:28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186</v>
      </c>
      <c r="R18" cm="1">
        <f t="array" ref="R18" xml:space="preserve"> 1 + _xlfn.SINGLE(ROW()) - _xlfn.SINGLE(ROW(ExportSubstitutions_Within.RowNum))</f>
        <v>13</v>
      </c>
      <c r="S18" t="s">
        <v>1094</v>
      </c>
      <c r="T18" t="str">
        <f t="shared" si="2"/>
        <v>A2</v>
      </c>
    </row>
    <row r="19" spans="2:28" x14ac:dyDescent="0.2">
      <c r="B19" s="4" t="s">
        <v>1509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1095</v>
      </c>
      <c r="T19" t="str">
        <f t="shared" si="2"/>
        <v>A3</v>
      </c>
    </row>
    <row r="20" spans="2:28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1096</v>
      </c>
      <c r="T20" t="str">
        <f t="shared" si="2"/>
        <v>A4</v>
      </c>
    </row>
    <row r="21" spans="2:28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1097</v>
      </c>
      <c r="T21" t="str">
        <f t="shared" si="2"/>
        <v>A5</v>
      </c>
    </row>
    <row r="22" spans="2:28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1098</v>
      </c>
      <c r="T22" t="str">
        <f t="shared" si="2"/>
        <v>A6</v>
      </c>
    </row>
    <row r="23" spans="2:28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1099</v>
      </c>
      <c r="T23" t="str">
        <f t="shared" si="2"/>
        <v>A7</v>
      </c>
    </row>
    <row r="24" spans="2:28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1100</v>
      </c>
      <c r="T24" t="str">
        <f t="shared" si="2"/>
        <v>A8</v>
      </c>
    </row>
    <row r="25" spans="2:28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1101</v>
      </c>
      <c r="T25" t="str">
        <f t="shared" si="2"/>
        <v>A9</v>
      </c>
    </row>
    <row r="26" spans="2:28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1584</v>
      </c>
      <c r="T26" t="str">
        <f t="shared" si="2"/>
        <v>A.</v>
      </c>
    </row>
    <row r="27" spans="2:28" x14ac:dyDescent="0.2">
      <c r="B27" s="4" t="s">
        <v>189</v>
      </c>
      <c r="C27">
        <v>4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1593</v>
      </c>
      <c r="T27" t="str">
        <f t="shared" si="2"/>
        <v>A-</v>
      </c>
    </row>
    <row r="28" spans="2:28" x14ac:dyDescent="0.2">
      <c r="B28" s="4" t="s">
        <v>576</v>
      </c>
      <c r="C28" s="43">
        <v>1353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1102</v>
      </c>
      <c r="T28" t="str">
        <f t="shared" si="2"/>
        <v>0a</v>
      </c>
    </row>
    <row r="29" spans="2:28" x14ac:dyDescent="0.2">
      <c r="B29" s="4" t="s">
        <v>187</v>
      </c>
      <c r="C29" s="6" t="s">
        <v>1975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1103</v>
      </c>
      <c r="T29" t="str">
        <f t="shared" si="2"/>
        <v>1a</v>
      </c>
    </row>
    <row r="30" spans="2:28" x14ac:dyDescent="0.2">
      <c r="B30" s="4" t="s">
        <v>188</v>
      </c>
      <c r="C30" s="35">
        <v>44938.938888888886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185</v>
      </c>
      <c r="R30" cm="1">
        <f t="array" ref="R30" xml:space="preserve"> 1 + _xlfn.SINGLE(ROW()) - _xlfn.SINGLE(ROW(ExportSubstitutions_Within.RowNum))</f>
        <v>25</v>
      </c>
      <c r="S30" t="s">
        <v>1104</v>
      </c>
      <c r="T30" t="str">
        <f t="shared" si="2"/>
        <v>2a</v>
      </c>
    </row>
    <row r="31" spans="2:28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185</v>
      </c>
      <c r="R31" cm="1">
        <f t="array" ref="R31" xml:space="preserve"> 1 + _xlfn.SINGLE(ROW()) - _xlfn.SINGLE(ROW(ExportSubstitutions_Within.RowNum))</f>
        <v>26</v>
      </c>
      <c r="S31" t="s">
        <v>1105</v>
      </c>
      <c r="T31" t="str">
        <f t="shared" si="2"/>
        <v>3a</v>
      </c>
    </row>
    <row r="32" spans="2:28" x14ac:dyDescent="0.2">
      <c r="B32" s="4" t="s">
        <v>361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185</v>
      </c>
      <c r="R32" cm="1">
        <f t="array" ref="R32" xml:space="preserve"> 1 + _xlfn.SINGLE(ROW()) - _xlfn.SINGLE(ROW(ExportSubstitutions_Within.RowNum))</f>
        <v>27</v>
      </c>
      <c r="S32" t="s">
        <v>1106</v>
      </c>
      <c r="T32" t="str">
        <f t="shared" si="2"/>
        <v>4a</v>
      </c>
    </row>
    <row r="33" spans="2:20" x14ac:dyDescent="0.2">
      <c r="B33" s="4" t="s">
        <v>1581</v>
      </c>
      <c r="C33" t="s">
        <v>1580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1022</v>
      </c>
      <c r="R33" cm="1">
        <f t="array" ref="R33" xml:space="preserve"> 1 + _xlfn.SINGLE(ROW()) - _xlfn.SINGLE(ROW(ExportSubstitutions_Within.RowNum))</f>
        <v>28</v>
      </c>
      <c r="S33" t="s">
        <v>1107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1108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59</v>
      </c>
      <c r="M35" t="s">
        <v>58</v>
      </c>
      <c r="N35" t="s">
        <v>2142</v>
      </c>
      <c r="R35" cm="1">
        <f t="array" ref="R35" xml:space="preserve"> 1 + _xlfn.SINGLE(ROW()) - _xlfn.SINGLE(ROW(ExportSubstitutions_Within.RowNum))</f>
        <v>30</v>
      </c>
      <c r="S35" t="s">
        <v>1109</v>
      </c>
      <c r="T35" t="str">
        <f t="shared" si="2"/>
        <v>7a</v>
      </c>
    </row>
    <row r="36" spans="2:20" x14ac:dyDescent="0.2">
      <c r="K36" cm="1">
        <f t="array" ref="K36" xml:space="preserve"> 1 + _xlfn.SINGLE(ROW()) - _xlfn.SINGLE(ROW(ExportSubstitutions.RowNum))</f>
        <v>31</v>
      </c>
      <c r="L36" t="s">
        <v>2106</v>
      </c>
      <c r="M36" t="s">
        <v>2135</v>
      </c>
      <c r="N36" t="s">
        <v>2142</v>
      </c>
      <c r="R36" cm="1">
        <f t="array" ref="R36" xml:space="preserve"> 1 + _xlfn.SINGLE(ROW()) - _xlfn.SINGLE(ROW(ExportSubstitutions_Within.RowNum))</f>
        <v>31</v>
      </c>
      <c r="S36" t="s">
        <v>1110</v>
      </c>
      <c r="T36" t="str">
        <f t="shared" si="2"/>
        <v>8a</v>
      </c>
    </row>
    <row r="37" spans="2:20" x14ac:dyDescent="0.2">
      <c r="C37">
        <v>1</v>
      </c>
      <c r="K37" cm="1">
        <f t="array" ref="K37" xml:space="preserve"> 1 + _xlfn.SINGLE(ROW()) - _xlfn.SINGLE(ROW(ExportSubstitutions.RowNum))</f>
        <v>32</v>
      </c>
      <c r="L37" t="s">
        <v>47</v>
      </c>
      <c r="M37" t="s">
        <v>46</v>
      </c>
      <c r="N37" t="s">
        <v>2142</v>
      </c>
      <c r="R37" cm="1">
        <f t="array" ref="R37" xml:space="preserve"> 1 + _xlfn.SINGLE(ROW()) - _xlfn.SINGLE(ROW(ExportSubstitutions_Within.RowNum))</f>
        <v>32</v>
      </c>
      <c r="S37" t="s">
        <v>1111</v>
      </c>
      <c r="T37" t="str">
        <f t="shared" si="2"/>
        <v>9a</v>
      </c>
    </row>
    <row r="38" spans="2:20" x14ac:dyDescent="0.2">
      <c r="B38" s="4" t="s">
        <v>1706</v>
      </c>
      <c r="C38">
        <f xml:space="preserve"> 2 * Thirds_M - Thirds_I - C$37</f>
        <v>27</v>
      </c>
      <c r="K38" cm="1">
        <f t="array" ref="K38" xml:space="preserve"> 1 + _xlfn.SINGLE(ROW()) - _xlfn.SINGLE(ROW(ExportSubstitutions.RowNum))</f>
        <v>33</v>
      </c>
      <c r="L38" t="s">
        <v>2107</v>
      </c>
      <c r="M38" t="s">
        <v>2136</v>
      </c>
      <c r="N38" t="s">
        <v>2142</v>
      </c>
      <c r="R38" cm="1">
        <f t="array" ref="R38" xml:space="preserve"> 1 + _xlfn.SINGLE(ROW()) - _xlfn.SINGLE(ROW(ExportSubstitutions_Within.RowNum))</f>
        <v>33</v>
      </c>
      <c r="S38" t="s">
        <v>1112</v>
      </c>
      <c r="T38" t="str">
        <f t="shared" si="2"/>
        <v>a0</v>
      </c>
    </row>
    <row r="39" spans="2:20" x14ac:dyDescent="0.2">
      <c r="B39" s="4" t="s">
        <v>1707</v>
      </c>
      <c r="C39">
        <f xml:space="preserve"> Thirds_I * 2 - C$37</f>
        <v>19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2142</v>
      </c>
      <c r="R39" cm="1">
        <f t="array" ref="R39" xml:space="preserve"> 1 + _xlfn.SINGLE(ROW()) - _xlfn.SINGLE(ROW(ExportSubstitutions_Within.RowNum))</f>
        <v>34</v>
      </c>
      <c r="S39" t="s">
        <v>1113</v>
      </c>
      <c r="T39" t="str">
        <f t="shared" si="2"/>
        <v>a1</v>
      </c>
    </row>
    <row r="40" spans="2:20" x14ac:dyDescent="0.2">
      <c r="B40" s="4" t="s">
        <v>1708</v>
      </c>
      <c r="C40">
        <v>10</v>
      </c>
      <c r="K40" cm="1">
        <f t="array" ref="K40" xml:space="preserve"> 1 + _xlfn.SINGLE(ROW()) - _xlfn.SINGLE(ROW(ExportSubstitutions.RowNum))</f>
        <v>35</v>
      </c>
      <c r="L40" t="s">
        <v>2108</v>
      </c>
      <c r="M40" t="s">
        <v>2137</v>
      </c>
      <c r="N40" t="s">
        <v>2142</v>
      </c>
      <c r="R40" cm="1">
        <f t="array" ref="R40" xml:space="preserve"> 1 + _xlfn.SINGLE(ROW()) - _xlfn.SINGLE(ROW(ExportSubstitutions_Within.RowNum))</f>
        <v>35</v>
      </c>
      <c r="S40" t="s">
        <v>1114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2109</v>
      </c>
      <c r="M41" t="s">
        <v>2138</v>
      </c>
      <c r="N41" t="s">
        <v>2142</v>
      </c>
      <c r="R41" cm="1">
        <f t="array" ref="R41" xml:space="preserve"> 1 + _xlfn.SINGLE(ROW()) - _xlfn.SINGLE(ROW(ExportSubstitutions_Within.RowNum))</f>
        <v>36</v>
      </c>
      <c r="S41" t="s">
        <v>1115</v>
      </c>
      <c r="T41" t="str">
        <f t="shared" si="2"/>
        <v>a3</v>
      </c>
    </row>
    <row r="42" spans="2:20" x14ac:dyDescent="0.2">
      <c r="B42" s="4" t="s">
        <v>1639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2109</v>
      </c>
      <c r="M42" t="s">
        <v>2138</v>
      </c>
      <c r="N42" t="s">
        <v>2142</v>
      </c>
      <c r="R42" cm="1">
        <f t="array" ref="R42" xml:space="preserve"> 1 + _xlfn.SINGLE(ROW()) - _xlfn.SINGLE(ROW(ExportSubstitutions_Within.RowNum))</f>
        <v>37</v>
      </c>
      <c r="S42" t="s">
        <v>1116</v>
      </c>
      <c r="T42" t="str">
        <f t="shared" si="2"/>
        <v>a4</v>
      </c>
    </row>
    <row r="43" spans="2:20" x14ac:dyDescent="0.2">
      <c r="B43" s="4" t="s">
        <v>1640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36</v>
      </c>
      <c r="M43" t="s">
        <v>39</v>
      </c>
      <c r="N43" t="s">
        <v>2142</v>
      </c>
      <c r="R43" cm="1">
        <f t="array" ref="R43" xml:space="preserve"> 1 + _xlfn.SINGLE(ROW()) - _xlfn.SINGLE(ROW(ExportSubstitutions_Within.RowNum))</f>
        <v>38</v>
      </c>
      <c r="S43" t="s">
        <v>1117</v>
      </c>
      <c r="T43" t="str">
        <f t="shared" si="2"/>
        <v>a5</v>
      </c>
    </row>
    <row r="44" spans="2:20" x14ac:dyDescent="0.2">
      <c r="B44" s="4" t="s">
        <v>1641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36</v>
      </c>
      <c r="M44" t="s">
        <v>35</v>
      </c>
      <c r="N44" t="s">
        <v>2142</v>
      </c>
      <c r="R44" cm="1">
        <f t="array" ref="R44" xml:space="preserve"> 1 + _xlfn.SINGLE(ROW()) - _xlfn.SINGLE(ROW(ExportSubstitutions_Within.RowNum))</f>
        <v>39</v>
      </c>
      <c r="S44" t="s">
        <v>1118</v>
      </c>
      <c r="T44" t="str">
        <f t="shared" si="2"/>
        <v>a6</v>
      </c>
    </row>
    <row r="45" spans="2:20" x14ac:dyDescent="0.2">
      <c r="B45" s="4" t="s">
        <v>1679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51</v>
      </c>
      <c r="M45" t="s">
        <v>50</v>
      </c>
      <c r="N45" t="s">
        <v>2142</v>
      </c>
      <c r="R45" cm="1">
        <f t="array" ref="R45" xml:space="preserve"> 1 + _xlfn.SINGLE(ROW()) - _xlfn.SINGLE(ROW(ExportSubstitutions_Within.RowNum))</f>
        <v>40</v>
      </c>
      <c r="S45" t="s">
        <v>1119</v>
      </c>
      <c r="T45" t="str">
        <f t="shared" si="2"/>
        <v>a7</v>
      </c>
    </row>
    <row r="46" spans="2:20" x14ac:dyDescent="0.2">
      <c r="B46" s="4" t="s">
        <v>1642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55</v>
      </c>
      <c r="M46" t="s">
        <v>54</v>
      </c>
      <c r="N46" t="s">
        <v>2142</v>
      </c>
      <c r="R46" cm="1">
        <f t="array" ref="R46" xml:space="preserve"> 1 + _xlfn.SINGLE(ROW()) - _xlfn.SINGLE(ROW(ExportSubstitutions_Within.RowNum))</f>
        <v>41</v>
      </c>
      <c r="S46" t="s">
        <v>1120</v>
      </c>
      <c r="T46" t="str">
        <f t="shared" si="2"/>
        <v>a8</v>
      </c>
    </row>
    <row r="47" spans="2:20" x14ac:dyDescent="0.2">
      <c r="B47" s="4" t="s">
        <v>1643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53</v>
      </c>
      <c r="M47" t="s">
        <v>52</v>
      </c>
      <c r="N47" t="s">
        <v>2142</v>
      </c>
      <c r="R47" cm="1">
        <f t="array" ref="R47" xml:space="preserve"> 1 + _xlfn.SINGLE(ROW()) - _xlfn.SINGLE(ROW(ExportSubstitutions_Within.RowNum))</f>
        <v>42</v>
      </c>
      <c r="S47" t="s">
        <v>1121</v>
      </c>
      <c r="T47" t="str">
        <f t="shared" si="2"/>
        <v>a9</v>
      </c>
    </row>
    <row r="48" spans="2:20" x14ac:dyDescent="0.2">
      <c r="B48" s="4" t="s">
        <v>1644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34</v>
      </c>
      <c r="M48" t="s">
        <v>33</v>
      </c>
      <c r="N48" t="s">
        <v>2142</v>
      </c>
      <c r="R48" cm="1">
        <f t="array" ref="R48" xml:space="preserve"> 1 + _xlfn.SINGLE(ROW()) - _xlfn.SINGLE(ROW(ExportSubstitutions_Within.RowNum))</f>
        <v>43</v>
      </c>
      <c r="S48" t="s">
        <v>1585</v>
      </c>
      <c r="T48" t="str">
        <f t="shared" si="2"/>
        <v>a.</v>
      </c>
    </row>
    <row r="49" spans="2:20" x14ac:dyDescent="0.2">
      <c r="B49" s="4" t="s">
        <v>1645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57</v>
      </c>
      <c r="M49" t="s">
        <v>56</v>
      </c>
      <c r="N49" t="s">
        <v>2142</v>
      </c>
      <c r="R49" cm="1">
        <f t="array" ref="R49" xml:space="preserve"> 1 + _xlfn.SINGLE(ROW()) - _xlfn.SINGLE(ROW(ExportSubstitutions_Within.RowNum))</f>
        <v>44</v>
      </c>
      <c r="S49" t="s">
        <v>1594</v>
      </c>
      <c r="T49" t="str">
        <f t="shared" si="2"/>
        <v>a-</v>
      </c>
    </row>
    <row r="50" spans="2:20" x14ac:dyDescent="0.2">
      <c r="B50" s="63" t="s">
        <v>1646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2110</v>
      </c>
      <c r="M50" t="s">
        <v>2139</v>
      </c>
      <c r="N50" t="s">
        <v>2142</v>
      </c>
      <c r="R50" cm="1">
        <f t="array" ref="R50" xml:space="preserve"> 1 + _xlfn.SINGLE(ROW()) - _xlfn.SINGLE(ROW(ExportSubstitutions_Within.RowNum))</f>
        <v>45</v>
      </c>
      <c r="S50" t="s">
        <v>1122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38</v>
      </c>
      <c r="M51" t="s">
        <v>37</v>
      </c>
      <c r="N51" t="s">
        <v>2142</v>
      </c>
      <c r="R51" cm="1">
        <f t="array" ref="R51" xml:space="preserve"> 1 + _xlfn.SINGLE(ROW()) - _xlfn.SINGLE(ROW(ExportSubstitutions_Within.RowNum))</f>
        <v>46</v>
      </c>
      <c r="S51" t="s">
        <v>1123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49</v>
      </c>
      <c r="M52" t="s">
        <v>48</v>
      </c>
      <c r="N52" t="s">
        <v>2142</v>
      </c>
      <c r="R52" cm="1">
        <f t="array" ref="R52" xml:space="preserve"> 1 + _xlfn.SINGLE(ROW()) - _xlfn.SINGLE(ROW(ExportSubstitutions_Within.RowNum))</f>
        <v>47</v>
      </c>
      <c r="S52" t="s">
        <v>1124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30</v>
      </c>
      <c r="M53" t="s">
        <v>29</v>
      </c>
      <c r="N53" t="s">
        <v>2142</v>
      </c>
      <c r="R53" cm="1">
        <f t="array" ref="R53" xml:space="preserve"> 1 + _xlfn.SINGLE(ROW()) - _xlfn.SINGLE(ROW(ExportSubstitutions_Within.RowNum))</f>
        <v>48</v>
      </c>
      <c r="S53" t="s">
        <v>1125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43</v>
      </c>
      <c r="M54" t="s">
        <v>42</v>
      </c>
      <c r="N54" t="s">
        <v>2142</v>
      </c>
      <c r="R54" cm="1">
        <f t="array" ref="R54" xml:space="preserve"> 1 + _xlfn.SINGLE(ROW()) - _xlfn.SINGLE(ROW(ExportSubstitutions_Within.RowNum))</f>
        <v>49</v>
      </c>
      <c r="S54" t="s">
        <v>1126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26</v>
      </c>
      <c r="M55" t="s">
        <v>25</v>
      </c>
      <c r="N55" t="s">
        <v>2142</v>
      </c>
      <c r="R55" cm="1">
        <f t="array" ref="R55" xml:space="preserve"> 1 + _xlfn.SINGLE(ROW()) - _xlfn.SINGLE(ROW(ExportSubstitutions_Within.RowNum))</f>
        <v>50</v>
      </c>
      <c r="S55" t="s">
        <v>1127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63</v>
      </c>
      <c r="M56" t="s">
        <v>62</v>
      </c>
      <c r="N56" t="s">
        <v>2142</v>
      </c>
      <c r="R56" cm="1">
        <f t="array" ref="R56" xml:space="preserve"> 1 + _xlfn.SINGLE(ROW()) - _xlfn.SINGLE(ROW(ExportSubstitutions_Within.RowNum))</f>
        <v>51</v>
      </c>
      <c r="S56" t="s">
        <v>1128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28</v>
      </c>
      <c r="M57" t="s">
        <v>27</v>
      </c>
      <c r="N57" t="s">
        <v>2142</v>
      </c>
      <c r="R57" cm="1">
        <f t="array" ref="R57" xml:space="preserve"> 1 + _xlfn.SINGLE(ROW()) - _xlfn.SINGLE(ROW(ExportSubstitutions_Within.RowNum))</f>
        <v>52</v>
      </c>
      <c r="S57" t="s">
        <v>1129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45</v>
      </c>
      <c r="M58" t="s">
        <v>44</v>
      </c>
      <c r="N58" t="s">
        <v>2142</v>
      </c>
      <c r="R58" cm="1">
        <f t="array" ref="R58" xml:space="preserve"> 1 + _xlfn.SINGLE(ROW()) - _xlfn.SINGLE(ROW(ExportSubstitutions_Within.RowNum))</f>
        <v>53</v>
      </c>
      <c r="S58" t="s">
        <v>1130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32</v>
      </c>
      <c r="M59" t="s">
        <v>31</v>
      </c>
      <c r="N59" t="s">
        <v>2142</v>
      </c>
      <c r="R59" cm="1">
        <f t="array" ref="R59" xml:space="preserve"> 1 + _xlfn.SINGLE(ROW()) - _xlfn.SINGLE(ROW(ExportSubstitutions_Within.RowNum))</f>
        <v>54</v>
      </c>
      <c r="S59" t="s">
        <v>1131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41</v>
      </c>
      <c r="M60" t="s">
        <v>40</v>
      </c>
      <c r="N60" t="s">
        <v>2142</v>
      </c>
      <c r="R60" cm="1">
        <f t="array" ref="R60" xml:space="preserve"> 1 + _xlfn.SINGLE(ROW()) - _xlfn.SINGLE(ROW(ExportSubstitutions_Within.RowNum))</f>
        <v>55</v>
      </c>
      <c r="S60" t="s">
        <v>1132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2111</v>
      </c>
      <c r="M61" t="s">
        <v>2140</v>
      </c>
      <c r="N61" t="s">
        <v>2142</v>
      </c>
      <c r="R61" cm="1">
        <f t="array" ref="R61" xml:space="preserve"> 1 + _xlfn.SINGLE(ROW()) - _xlfn.SINGLE(ROW(ExportSubstitutions_Within.RowNum))</f>
        <v>56</v>
      </c>
      <c r="S61" t="s">
        <v>1133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2112</v>
      </c>
      <c r="M62" t="s">
        <v>2124</v>
      </c>
      <c r="N62" t="s">
        <v>2142</v>
      </c>
      <c r="R62" cm="1">
        <f t="array" ref="R62" xml:space="preserve"> 1 + _xlfn.SINGLE(ROW()) - _xlfn.SINGLE(ROW(ExportSubstitutions_Within.RowNum))</f>
        <v>57</v>
      </c>
      <c r="S62" t="s">
        <v>1134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2113</v>
      </c>
      <c r="M63" t="s">
        <v>2125</v>
      </c>
      <c r="N63" t="s">
        <v>2142</v>
      </c>
      <c r="R63" cm="1">
        <f t="array" ref="R63" xml:space="preserve"> 1 + _xlfn.SINGLE(ROW()) - _xlfn.SINGLE(ROW(ExportSubstitutions_Within.RowNum))</f>
        <v>58</v>
      </c>
      <c r="S63" t="s">
        <v>1135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2114</v>
      </c>
      <c r="M64" t="s">
        <v>2126</v>
      </c>
      <c r="N64" t="s">
        <v>2142</v>
      </c>
      <c r="R64" cm="1">
        <f t="array" ref="R64" xml:space="preserve"> 1 + _xlfn.SINGLE(ROW()) - _xlfn.SINGLE(ROW(ExportSubstitutions_Within.RowNum))</f>
        <v>59</v>
      </c>
      <c r="S64" t="s">
        <v>1136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2115</v>
      </c>
      <c r="M65" t="s">
        <v>2127</v>
      </c>
      <c r="N65" t="s">
        <v>2142</v>
      </c>
      <c r="R65" cm="1">
        <f t="array" ref="R65" xml:space="preserve"> 1 + _xlfn.SINGLE(ROW()) - _xlfn.SINGLE(ROW(ExportSubstitutions_Within.RowNum))</f>
        <v>60</v>
      </c>
      <c r="S65" t="s">
        <v>1137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2116</v>
      </c>
      <c r="M66" t="s">
        <v>2128</v>
      </c>
      <c r="N66" t="s">
        <v>2142</v>
      </c>
      <c r="R66" cm="1">
        <f t="array" ref="R66" xml:space="preserve"> 1 + _xlfn.SINGLE(ROW()) - _xlfn.SINGLE(ROW(ExportSubstitutions_Within.RowNum))</f>
        <v>61</v>
      </c>
      <c r="S66" t="s">
        <v>1138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2117</v>
      </c>
      <c r="M67" t="s">
        <v>2129</v>
      </c>
      <c r="N67" t="s">
        <v>2142</v>
      </c>
      <c r="R67" cm="1">
        <f t="array" ref="R67" xml:space="preserve"> 1 + _xlfn.SINGLE(ROW()) - _xlfn.SINGLE(ROW(ExportSubstitutions_Within.RowNum))</f>
        <v>62</v>
      </c>
      <c r="S67" t="s">
        <v>1139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2118</v>
      </c>
      <c r="M68" t="s">
        <v>2130</v>
      </c>
      <c r="N68" t="s">
        <v>2142</v>
      </c>
      <c r="R68" cm="1">
        <f t="array" ref="R68" xml:space="preserve"> 1 + _xlfn.SINGLE(ROW()) - _xlfn.SINGLE(ROW(ExportSubstitutions_Within.RowNum))</f>
        <v>63</v>
      </c>
      <c r="S68" t="s">
        <v>1140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2119</v>
      </c>
      <c r="M69" t="s">
        <v>2131</v>
      </c>
      <c r="N69" t="s">
        <v>2142</v>
      </c>
      <c r="R69" cm="1">
        <f t="array" ref="R69" xml:space="preserve"> 1 + _xlfn.SINGLE(ROW()) - _xlfn.SINGLE(ROW(ExportSubstitutions_Within.RowNum))</f>
        <v>64</v>
      </c>
      <c r="S69" t="s">
        <v>1141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2120</v>
      </c>
      <c r="M70" t="s">
        <v>2132</v>
      </c>
      <c r="N70" t="s">
        <v>2142</v>
      </c>
      <c r="R70" cm="1">
        <f t="array" ref="R70" xml:space="preserve"> 1 + _xlfn.SINGLE(ROW()) - _xlfn.SINGLE(ROW(ExportSubstitutions_Within.RowNum))</f>
        <v>65</v>
      </c>
      <c r="S70" t="s">
        <v>1586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2121</v>
      </c>
      <c r="M71" t="s">
        <v>2133</v>
      </c>
      <c r="N71" t="s">
        <v>2142</v>
      </c>
      <c r="R71" cm="1">
        <f t="array" ref="R71" xml:space="preserve"> 1 + _xlfn.SINGLE(ROW()) - _xlfn.SINGLE(ROW(ExportSubstitutions_Within.RowNum))</f>
        <v>66</v>
      </c>
      <c r="S71" t="s">
        <v>1595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2122</v>
      </c>
      <c r="M72" t="s">
        <v>2134</v>
      </c>
      <c r="N72" t="s">
        <v>2142</v>
      </c>
      <c r="R72" cm="1">
        <f t="array" ref="R72" xml:space="preserve"> 1 + _xlfn.SINGLE(ROW()) - _xlfn.SINGLE(ROW(ExportSubstitutions_Within.RowNum))</f>
        <v>67</v>
      </c>
      <c r="S72" t="s">
        <v>1142</v>
      </c>
      <c r="T72" t="str">
        <f t="shared" si="8"/>
        <v>0c</v>
      </c>
    </row>
    <row r="73" spans="11:20" x14ac:dyDescent="0.2">
      <c r="K73" cm="1">
        <f t="array" ref="K73" xml:space="preserve"> 1 + _xlfn.SINGLE(ROW()) - _xlfn.SINGLE(ROW(ExportSubstitutions.RowNum))</f>
        <v>68</v>
      </c>
      <c r="L73" t="s">
        <v>2123</v>
      </c>
      <c r="M73" t="s">
        <v>2141</v>
      </c>
      <c r="N73" t="s">
        <v>2142</v>
      </c>
      <c r="R73" cm="1">
        <f t="array" ref="R73" xml:space="preserve"> 1 + _xlfn.SINGLE(ROW()) - _xlfn.SINGLE(ROW(ExportSubstitutions_Within.RowNum))</f>
        <v>68</v>
      </c>
      <c r="S73" t="s">
        <v>1143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1144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1145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1146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1147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1148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1149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1150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1151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1152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1153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1154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1155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1156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1157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1158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1159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1160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1161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1587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1596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1162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1163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1164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1165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1166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1167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1168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1169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1170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1171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1172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1173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1174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1175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1176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1177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1178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1179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1180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1181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1588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1597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1182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1183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1184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1185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1186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1187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1188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1189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1190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1191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1192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1193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1194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1195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1196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1197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1198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1199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1200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1201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1589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1598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1202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1203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1204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1205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1206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1207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1208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1209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1210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1211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1212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1213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1214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1215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1216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1217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1218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1219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1220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1221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1590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1599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1222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1223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1224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1225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1226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1227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1228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1229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1230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1231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1232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1233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1234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1235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1236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1237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1238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1239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1240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1241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1591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1600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1242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1243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1244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1245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1246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1247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1248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1249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1250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1251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1252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1253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1254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1255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1256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1257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1258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1259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1260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1261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1592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1601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1262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1263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1264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1265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1266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1267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1268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1269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1270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1271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1272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1273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1274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1275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1276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1277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1278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1279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1280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1281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1602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1603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1282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1283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1284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1285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1286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1287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1288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1289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1290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1291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1292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1293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1294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1295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1296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1297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1298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1299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1300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1301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1604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1605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1302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1303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1304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1305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1306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1307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1308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1309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1310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1311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1312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1313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1314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1315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1316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1317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1318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1319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1320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1321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1606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1607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1322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1323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1324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1325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1326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1327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1328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1329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1330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1331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1332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1333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1334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1335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1336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1337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1338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1339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1340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1341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1608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1609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1342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1343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1344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1345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1346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1347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1348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1349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1350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1351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1352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1353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1354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1355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1356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1357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1358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1359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1360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1361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1610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1611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1362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1363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1364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1365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1366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1367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1368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1369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1370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1371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1372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1373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1374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1375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1376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1377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1378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1379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1380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1381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1612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1613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1382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1383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1384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1385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1386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1387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1388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1389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1390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1391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1392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1393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1394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1395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1396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1397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1398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1399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1400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1401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1614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1615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1402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1403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1404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1405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1406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1407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1408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1409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1410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1411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1412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1413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1414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1415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1416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1417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1418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1419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1420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1421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1616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1617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1422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1423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1424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1425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1426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1427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1428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1429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1430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1431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1432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1433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1434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1435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1436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1437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1438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1439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1440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1441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1442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1443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1444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1445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1446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1447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1448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1449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1450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1451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1452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1453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1454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1455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1456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1457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1458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1459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1460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1461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2106</v>
      </c>
      <c r="T422" t="s">
        <v>2135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2107</v>
      </c>
      <c r="T424" t="s">
        <v>2136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2108</v>
      </c>
      <c r="T426" t="s">
        <v>2137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2109</v>
      </c>
      <c r="T427" t="s">
        <v>2138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2109</v>
      </c>
      <c r="T428" t="s">
        <v>2138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2110</v>
      </c>
      <c r="T436" t="s">
        <v>2139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2111</v>
      </c>
      <c r="T447" t="s">
        <v>2140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2112</v>
      </c>
      <c r="T448" t="s">
        <v>2124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2113</v>
      </c>
      <c r="T449" t="s">
        <v>2125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2114</v>
      </c>
      <c r="T450" t="s">
        <v>2126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2115</v>
      </c>
      <c r="T451" t="s">
        <v>2127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2116</v>
      </c>
      <c r="T452" t="s">
        <v>2128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2117</v>
      </c>
      <c r="T453" t="s">
        <v>2129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2118</v>
      </c>
      <c r="T454" t="s">
        <v>2130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2119</v>
      </c>
      <c r="T455" t="s">
        <v>2131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2120</v>
      </c>
      <c r="T456" t="s">
        <v>2132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2121</v>
      </c>
      <c r="T457" t="s">
        <v>2133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2122</v>
      </c>
      <c r="T458" t="s">
        <v>2134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2123</v>
      </c>
      <c r="T459" t="s">
        <v>2141</v>
      </c>
    </row>
  </sheetData>
  <sortState xmlns:xlrd2="http://schemas.microsoft.com/office/spreadsheetml/2017/richdata2" ref="G11:I1164">
    <sortCondition descending="1" ref="I11:I1164"/>
  </sortState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1489</v>
      </c>
      <c r="G8" s="3" t="s">
        <v>1488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1487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1486</v>
      </c>
      <c r="B11" s="3" t="s">
        <v>1485</v>
      </c>
      <c r="C11" s="3" t="s">
        <v>1484</v>
      </c>
      <c r="D11" s="3" t="s">
        <v>1483</v>
      </c>
      <c r="E11" s="3" t="s">
        <v>1482</v>
      </c>
      <c r="F11" s="3" t="s">
        <v>1481</v>
      </c>
      <c r="G11" s="3" t="s">
        <v>1480</v>
      </c>
      <c r="H11" s="3" t="s">
        <v>1479</v>
      </c>
      <c r="I11" s="3" t="s">
        <v>1478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1156</vt:i4>
      </vt:variant>
    </vt:vector>
  </HeadingPairs>
  <TitlesOfParts>
    <vt:vector size="1210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GEL</vt:lpstr>
      <vt:lpstr>RUB</vt:lpstr>
      <vt:lpstr>AED</vt:lpstr>
      <vt:lpstr>OMR</vt:lpstr>
      <vt:lpstr>QAR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_IBRD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BasicBBoxArea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fill___002F6C</vt:lpstr>
      <vt:lpstr>fill___004B87</vt:lpstr>
      <vt:lpstr>fill___02529C</vt:lpstr>
      <vt:lpstr>fill___9D2235</vt:lpstr>
      <vt:lpstr>fill___BA0C2F</vt:lpstr>
      <vt:lpstr>fill__red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IT.RadiusY</vt:lpstr>
      <vt:lpstr>IT.svg</vt:lpstr>
      <vt:lpstr>IT.SVG_painting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2023-01-12T22:37:18Z</dcterms:modified>
</cp:coreProperties>
</file>