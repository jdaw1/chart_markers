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3124B6F2-0229-7D40-9691-E0B8C97EBB3E}" xr6:coauthVersionLast="47" xr6:coauthVersionMax="47" xr10:uidLastSave="{00000000-0000-0000-0000-000000000000}"/>
  <bookViews>
    <workbookView xWindow="0" yWindow="620" windowWidth="46180" windowHeight="26820" firstSheet="36"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ightHeight">_NDB!$C$41</definedName>
    <definedName name="_NDB.TightWidth">_NDB!$C$40</definedName>
    <definedName name="_NDB.TriangleEdge">_NDB!$C$4</definedName>
    <definedName name="_NDB.viewBoxTight">_NDB!$C$42</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IF" hidden="1" xlm="1">#NAME?</definedName>
    <definedName name="_xleta.LEN" hidden="1" xlm="1">#NAME?</definedName>
    <definedName name="_xleta.MAX" hidden="1" xlm="1">#NAME?</definedName>
    <definedName name="_xleta.MIN" hidden="1" xlm="1">#NAME?</definedName>
    <definedName name="_xleta.REPT"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actual" hidden="1" xlm="1">#NAME?</definedName>
    <definedName name="_xlpm.ans" hidden="1" xlm="1">#NAME?</definedName>
    <definedName name="_xlpm.approx"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AED!$F$54:$F$57</definedName>
    <definedName name="AED.SVG_painting_Inner">AED!$F$47</definedName>
    <definedName name="AED.SVG_painting_Outer">AED!$F$46</definedName>
    <definedName name="AED.svgWorking">AED!$F$6:$F$33</definedName>
    <definedName name="AED.TightHeight">AED!$F$50</definedName>
    <definedName name="AED.TightWidth">AED!$F$49</definedName>
    <definedName name="AED.viewBoxTight">AED!$F$51</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Star_7!$I$43:$I$47</definedName>
    <definedName name="AUD.SVG_painting_Inner">Star_7!$I$33</definedName>
    <definedName name="AUD.SVG_painting_Outer">Star_7!$I$32</definedName>
    <definedName name="AUD.svgWorking">Star_7!$I$6:$I$19</definedName>
    <definedName name="AUD.TightHeight">Star_7!$I$38</definedName>
    <definedName name="AUD.TightWidth">Star_7!$I$37</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CAD!$G$59:$G$62</definedName>
    <definedName name="CAD_2.TightHeight">CAD!$G$53</definedName>
    <definedName name="CAD_2.TightWidth">CAD!$G$50</definedName>
    <definedName name="CAD_2.viewBoxTight">CAD!$G$56</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CAD!$F$59:$F$62</definedName>
    <definedName name="CAD.SVG_painting_Inner">CAD!$F$47</definedName>
    <definedName name="CAD.SVG_painting_Outer">CAD!$F$46</definedName>
    <definedName name="CAD.svgWorking">CAD!$F$6:$F$34</definedName>
    <definedName name="CAD.TightHeight">CAD!$F$53</definedName>
    <definedName name="CAD.TightWidth">CAD!$F$50</definedName>
    <definedName name="CAD.viewBoxTight">CAD!$F$56</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ChartLines!$J$3:$J$404</definedName>
    <definedName name="ChartLines.G">ChartLines!$I$3:$I$404</definedName>
    <definedName name="ChartLines.Hex6">ChartLines!$C$3:$C$404</definedName>
    <definedName name="ChartLines.ID">ChartLines!$B$3:$B$404</definedName>
    <definedName name="ChartLines.InstanceNum">ChartLines!$F$3:$F$404</definedName>
    <definedName name="ChartLines.NumInstances">ChartLines!$E$3:$E$404</definedName>
    <definedName name="ChartLines.R">ChartLines!$H$3:$H$404</definedName>
    <definedName name="ChartLines.RowNum">ChartLines!$K$3:$K$404</definedName>
    <definedName name="ChartLines.ThicknessText">ChartLines!$G$3:$G$404</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Alternate_viewbox">Smalls!$AB$6:$AB$11</definedName>
    <definedName name="ExportControl.BasicBBoxArea">Smalls!$AC$6:$AC$11</definedName>
    <definedName name="ExportControl.BasicBBoxArea_Base">Smalls!$AC$3</definedName>
    <definedName name="ExportControl.FileNameSuffix">Smalls!$AD$6:$AD$11</definedName>
    <definedName name="ExportControl.IsJson">Smalls!$Y$6:$Y$11</definedName>
    <definedName name="ExportControl.IsMarkers">Smalls!$Z$6:$Z$11</definedName>
    <definedName name="ExportControl.Num">Smalls!$W$3</definedName>
    <definedName name="ExportControl.OneFile">Smalls!$X$6:$X$11</definedName>
    <definedName name="ExportControl.Path">Smalls!$AE$6:$AE$11</definedName>
    <definedName name="ExportControl.RowNum">Smalls!$W$6:$W$11</definedName>
    <definedName name="ExportControl.SizeConstant">Smalls!$AA$6:$AA$11</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HKD!$E$35:$E$38</definedName>
    <definedName name="HKD.SVG_painting_R">HKD!$E$24</definedName>
    <definedName name="HKD.SVG_painting_W">HKD!$E$25</definedName>
    <definedName name="HKD.svgWorking">HKD!$E$6:$E$11</definedName>
    <definedName name="HKD.TightHeight">HKD!$E$28</definedName>
    <definedName name="HKD.TightWidth">HKD!$E$27</definedName>
    <definedName name="HKD.viewBoxTight">HKD!$E$29</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Star_7!$S$43:$S$47</definedName>
    <definedName name="JOD.SVG_painting_Inner">Star_7!$S$33</definedName>
    <definedName name="JOD.SVG_painting_Outer">Star_7!$S$32</definedName>
    <definedName name="JOD.svgWorking">Star_7!$S$6:$S$19</definedName>
    <definedName name="JOD.TightHeight">Star_7!$S$38</definedName>
    <definedName name="JOD.TightWidth">Star_7!$S$37</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Notes!$E$6:$E$200</definedName>
    <definedName name="Notes.ID">Notes!$B$6:$B$200</definedName>
    <definedName name="Notes.Mnemonic">Notes!$C$6:$C$200</definedName>
    <definedName name="Notes.Usage">Notes!$D$6:$D$200</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Smalls!$AE$3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RUB!$K$89:$K$94</definedName>
    <definedName name="RUB.SVG_painting_B">RUB!$K$76</definedName>
    <definedName name="RUB.SVG_painting_G">RUB!$K$75</definedName>
    <definedName name="RUB.SvgWorking">RUB!$K$6:$K$58</definedName>
    <definedName name="RUB.TightHeight">RUB!$K$84</definedName>
    <definedName name="RUB.TightWidth">RUB!$K$83</definedName>
    <definedName name="RUB.viewBoxTight">RUB!$K$85</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Simples!$C$3:$CU$3</definedName>
    <definedName name="Simple.Aspect">Simples!$C$17:$CU$17</definedName>
    <definedName name="Simple.Height">Simples!$C$18:$CU$18</definedName>
    <definedName name="Simple.ID">Simples!$C$2:$CU$2</definedName>
    <definedName name="Simple.MaxX">Simples!$C$11:$CU$11</definedName>
    <definedName name="Simple.MaxY">Simples!$C$12:$CU$12</definedName>
    <definedName name="Simple.MinX">Simples!$C$13:$CU$13</definedName>
    <definedName name="Simple.MinY">Simples!$C$14:$CU$14</definedName>
    <definedName name="Simple.svg">Simples!$C$24:$CU$29</definedName>
    <definedName name="Simple.SVG_borderWidth">Simples!$C$5:$CU$5</definedName>
    <definedName name="Simple.SVG_painting_0">Simples!$C$9:$CU$9</definedName>
    <definedName name="Simple.SVG_painting_1">Simples!$C$8:$CU$8</definedName>
    <definedName name="Simple.SVG_painting_2">Simples!$C$7:$CU$7</definedName>
    <definedName name="Simple.SVG_painting_3">Simples!$C$6:$CU$6</definedName>
    <definedName name="Simple.Width">Simples!$C$19:$CU$19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Star_5_2!$G$76:$DC$87</definedName>
    <definedName name="Star_5_2.SVG_painting_Inner">Star_5_2!$G$11:$DC$11</definedName>
    <definedName name="Star_5_2.SVG_painting_Middle">Star_5_2!$G$10:$DC$10</definedName>
    <definedName name="Star_5_2.SVG_painting_Outer">Star_5_2!$G$9:$DC$9</definedName>
    <definedName name="Star_5_2.TightHeight">Star_5_2!$G$73:$DC$73</definedName>
    <definedName name="Star_5_2.TightWidth">Star_5_2!$G$72:$DC$72</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ZAR!$F$55:$F$58</definedName>
    <definedName name="ZAR.SVG_painting_Inner">ZAR!$F$47</definedName>
    <definedName name="ZAR.SVG_painting_Outer">ZAR!$F$46</definedName>
    <definedName name="ZAR.svgWorking">ZAR!$F$6:$F$33</definedName>
    <definedName name="ZAR.TightHeight">ZAR!$F$50</definedName>
    <definedName name="ZAR.TightWidth">ZAR!$F$49</definedName>
    <definedName name="ZAR.viewBoxTight">ZAR!$F$51</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5" i="5" l="1"/>
  <c r="D188" i="77"/>
  <c r="D189" i="77"/>
  <c r="D190" i="77"/>
  <c r="D191" i="77"/>
  <c r="D192" i="77"/>
  <c r="D193" i="77"/>
  <c r="D194" i="77"/>
  <c r="D195" i="77"/>
  <c r="D196" i="77"/>
  <c r="D197" i="77"/>
  <c r="D198" i="77"/>
  <c r="D199" i="77"/>
  <c r="D200" i="77"/>
  <c r="C189" i="77"/>
  <c r="C190" i="77"/>
  <c r="C191" i="77"/>
  <c r="C192" i="77"/>
  <c r="C193" i="77"/>
  <c r="C194" i="77"/>
  <c r="C195" i="77"/>
  <c r="C196" i="77"/>
  <c r="C197" i="77"/>
  <c r="C198" i="77"/>
  <c r="C199" i="77"/>
  <c r="C200" i="77"/>
  <c r="C188" i="77"/>
  <c r="C54" i="5"/>
  <c r="E371" i="63"/>
  <c r="E372" i="63"/>
  <c r="F372" i="63"/>
  <c r="E373" i="63"/>
  <c r="E374" i="63"/>
  <c r="E375" i="63"/>
  <c r="E376" i="63"/>
  <c r="E377" i="63"/>
  <c r="E378" i="63"/>
  <c r="E379" i="63"/>
  <c r="E380" i="63"/>
  <c r="E381" i="63"/>
  <c r="E382" i="63"/>
  <c r="E383" i="63"/>
  <c r="E384" i="63"/>
  <c r="E385" i="63"/>
  <c r="E386" i="63"/>
  <c r="E387" i="63"/>
  <c r="E388" i="63"/>
  <c r="E389" i="63"/>
  <c r="E390" i="63"/>
  <c r="E391" i="63"/>
  <c r="E392" i="63"/>
  <c r="E393" i="63"/>
  <c r="E394" i="63"/>
  <c r="E395" i="63"/>
  <c r="E396" i="63"/>
  <c r="E397" i="63"/>
  <c r="E398" i="63"/>
  <c r="E399" i="63"/>
  <c r="E400" i="63"/>
  <c r="E401" i="63"/>
  <c r="F401" i="63"/>
  <c r="E402" i="63"/>
  <c r="F402" i="63"/>
  <c r="E403" i="63"/>
  <c r="F403" i="63"/>
  <c r="E404" i="63"/>
  <c r="CS29" i="25"/>
  <c r="CR29" i="25"/>
  <c r="CQ29" i="25"/>
  <c r="CP29" i="25"/>
  <c r="CO29" i="25"/>
  <c r="CN29" i="25"/>
  <c r="CM29" i="25"/>
  <c r="CL29" i="25"/>
  <c r="CK29" i="25"/>
  <c r="CJ29" i="25"/>
  <c r="CI29" i="25"/>
  <c r="CH29" i="25"/>
  <c r="CG29" i="25"/>
  <c r="CG32" i="25"/>
  <c r="CH32" i="25"/>
  <c r="CI32" i="25"/>
  <c r="CJ32" i="25"/>
  <c r="CK32" i="25"/>
  <c r="CL32" i="25"/>
  <c r="CM32" i="25"/>
  <c r="CN32" i="25"/>
  <c r="CO32" i="25"/>
  <c r="CP32" i="25"/>
  <c r="CQ32" i="25"/>
  <c r="CR32" i="25"/>
  <c r="CS32" i="25"/>
  <c r="CF32" i="25"/>
  <c r="CT29" i="25"/>
  <c r="CT28" i="25"/>
  <c r="CT27" i="25"/>
  <c r="CT26" i="25"/>
  <c r="CT25" i="25"/>
  <c r="CT24" i="25"/>
  <c r="CH11" i="25"/>
  <c r="CH12" i="25" s="1"/>
  <c r="CH14" i="25" s="1"/>
  <c r="CI11" i="25"/>
  <c r="CI12" i="25" s="1"/>
  <c r="CI14" i="25" s="1"/>
  <c r="CJ11" i="25"/>
  <c r="CJ12" i="25" s="1"/>
  <c r="CJ14" i="25" s="1"/>
  <c r="CK11" i="25"/>
  <c r="CK12" i="25" s="1"/>
  <c r="CK14" i="25" s="1"/>
  <c r="CL11" i="25"/>
  <c r="CL13" i="25" s="1"/>
  <c r="CM11" i="25"/>
  <c r="CM13" i="25" s="1"/>
  <c r="CN11" i="25"/>
  <c r="CN13" i="25" s="1"/>
  <c r="CO11" i="25"/>
  <c r="CO13" i="25" s="1"/>
  <c r="CP11" i="25"/>
  <c r="CP12" i="25" s="1"/>
  <c r="CP14" i="25" s="1"/>
  <c r="CQ11" i="25"/>
  <c r="CQ12" i="25" s="1"/>
  <c r="CQ14" i="25" s="1"/>
  <c r="CR11" i="25"/>
  <c r="CR13" i="25" s="1"/>
  <c r="CS11" i="25"/>
  <c r="CS13" i="25" s="1"/>
  <c r="CG11" i="25"/>
  <c r="CG12" i="25" s="1"/>
  <c r="CG14" i="25" s="1"/>
  <c r="CF13" i="25"/>
  <c r="CF12" i="25"/>
  <c r="CF14" i="25" s="1"/>
  <c r="CS8" i="25"/>
  <c r="CS25" i="25" s="1"/>
  <c r="CR8" i="25"/>
  <c r="CR25" i="25" s="1"/>
  <c r="CQ8" i="25"/>
  <c r="CQ25" i="25" s="1"/>
  <c r="CP8" i="25"/>
  <c r="CP27" i="25" s="1"/>
  <c r="CO8" i="25"/>
  <c r="CO27" i="25" s="1"/>
  <c r="CN8" i="25"/>
  <c r="CN25" i="25" s="1"/>
  <c r="CM8" i="25"/>
  <c r="CM25" i="25" s="1"/>
  <c r="CL8" i="25"/>
  <c r="CL27" i="25" s="1"/>
  <c r="CK8" i="25"/>
  <c r="CK27" i="25" s="1"/>
  <c r="CJ8" i="25"/>
  <c r="CJ27" i="25" s="1"/>
  <c r="CI8" i="25"/>
  <c r="CI25" i="25" s="1"/>
  <c r="CH8" i="25"/>
  <c r="CH25" i="25" s="1"/>
  <c r="CG8" i="25"/>
  <c r="CG25" i="25" s="1"/>
  <c r="CF8" i="25"/>
  <c r="CF25" i="25" s="1"/>
  <c r="CS7" i="25"/>
  <c r="CS28" i="25" s="1"/>
  <c r="CR7" i="25"/>
  <c r="CR28" i="25" s="1"/>
  <c r="CQ7" i="25"/>
  <c r="CQ28" i="25" s="1"/>
  <c r="CP7" i="25"/>
  <c r="CP28" i="25" s="1"/>
  <c r="CO7" i="25"/>
  <c r="CO28" i="25" s="1"/>
  <c r="CN7" i="25"/>
  <c r="CN28" i="25" s="1"/>
  <c r="CM7" i="25"/>
  <c r="CM28" i="25" s="1"/>
  <c r="CL7" i="25"/>
  <c r="CL28" i="25" s="1"/>
  <c r="CK7" i="25"/>
  <c r="CK28" i="25" s="1"/>
  <c r="CJ7" i="25"/>
  <c r="CJ28" i="25" s="1"/>
  <c r="CI7" i="25"/>
  <c r="CI28" i="25" s="1"/>
  <c r="CH7" i="25"/>
  <c r="CH28" i="25" s="1"/>
  <c r="CG7" i="25"/>
  <c r="CG28" i="25" s="1"/>
  <c r="CF7" i="25"/>
  <c r="CF28" i="25" s="1"/>
  <c r="CH3" i="25"/>
  <c r="CI3" i="25"/>
  <c r="CJ3" i="25"/>
  <c r="CK3" i="25"/>
  <c r="CL3" i="25"/>
  <c r="CM3" i="25"/>
  <c r="CN3" i="25"/>
  <c r="CO3" i="25"/>
  <c r="CP3" i="25"/>
  <c r="CQ3" i="25"/>
  <c r="CR3" i="25"/>
  <c r="CS3" i="25"/>
  <c r="CG3" i="25"/>
  <c r="E120" i="77"/>
  <c r="B9" i="57"/>
  <c r="C120" i="77"/>
  <c r="E320" i="63"/>
  <c r="F320" i="63"/>
  <c r="C319" i="63"/>
  <c r="T44" i="25"/>
  <c r="T46" i="25"/>
  <c r="T43" i="25"/>
  <c r="T42" i="25"/>
  <c r="T40" i="25"/>
  <c r="T41" i="25" s="1"/>
  <c r="T26" i="25"/>
  <c r="T32" i="25"/>
  <c r="T14" i="25"/>
  <c r="T13" i="25"/>
  <c r="U29" i="25"/>
  <c r="U28" i="25"/>
  <c r="U27" i="25"/>
  <c r="U26" i="25"/>
  <c r="U25" i="25"/>
  <c r="U24" i="25"/>
  <c r="DC71" i="61"/>
  <c r="DC65" i="61"/>
  <c r="DC64" i="61"/>
  <c r="DC72" i="61" s="1"/>
  <c r="DC63" i="61"/>
  <c r="DC62" i="61"/>
  <c r="DC13" i="61"/>
  <c r="DC3" i="61"/>
  <c r="B52" i="35"/>
  <c r="C52" i="35" s="1"/>
  <c r="B51" i="35"/>
  <c r="C51" i="35" s="1"/>
  <c r="B50" i="35"/>
  <c r="C50" i="35" s="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4" i="63"/>
  <c r="C363"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U2" i="25"/>
  <c r="CU29" i="25"/>
  <c r="CU28" i="25"/>
  <c r="CU27" i="25"/>
  <c r="CU26" i="25"/>
  <c r="CU25" i="25"/>
  <c r="CU24" i="25"/>
  <c r="CE29" i="25"/>
  <c r="CE28" i="25"/>
  <c r="CE27" i="25"/>
  <c r="CE26" i="25"/>
  <c r="CE25" i="25"/>
  <c r="CE24" i="25"/>
  <c r="CD26" i="25"/>
  <c r="CD25" i="25"/>
  <c r="CD14" i="25"/>
  <c r="CD13" i="25"/>
  <c r="CD32" i="25"/>
  <c r="CC29" i="25"/>
  <c r="CC28" i="25"/>
  <c r="CC27" i="25"/>
  <c r="CC26" i="25"/>
  <c r="CC25" i="25"/>
  <c r="CC24" i="25"/>
  <c r="C359" i="63"/>
  <c r="E358" i="63"/>
  <c r="F358" i="63"/>
  <c r="E365" i="63"/>
  <c r="F365" i="63"/>
  <c r="AP30" i="8"/>
  <c r="AP34" i="8"/>
  <c r="AP29" i="8"/>
  <c r="AP27" i="8"/>
  <c r="AP26" i="8"/>
  <c r="AP20" i="8"/>
  <c r="AP4" i="8"/>
  <c r="C14" i="78"/>
  <c r="C13" i="78"/>
  <c r="AF26" i="25"/>
  <c r="X14" i="25"/>
  <c r="C276" i="63"/>
  <c r="C277" i="63"/>
  <c r="E185" i="63"/>
  <c r="C184" i="63"/>
  <c r="V13" i="25"/>
  <c r="X32" i="25"/>
  <c r="Y29" i="25"/>
  <c r="Y28" i="25"/>
  <c r="Y27" i="25"/>
  <c r="Y26" i="25"/>
  <c r="Y25" i="25"/>
  <c r="Y24" i="25"/>
  <c r="X13" i="25"/>
  <c r="V32" i="25"/>
  <c r="W29" i="25"/>
  <c r="W28" i="25"/>
  <c r="W27" i="25"/>
  <c r="W26" i="25"/>
  <c r="W25" i="25"/>
  <c r="W24" i="25"/>
  <c r="V14" i="25"/>
  <c r="F275" i="63"/>
  <c r="E275" i="63"/>
  <c r="R16" i="8"/>
  <c r="R34" i="8"/>
  <c r="R29" i="8"/>
  <c r="R4" i="8"/>
  <c r="S31" i="8"/>
  <c r="S30" i="8"/>
  <c r="S29" i="8"/>
  <c r="S28" i="8"/>
  <c r="S27" i="8"/>
  <c r="S26" i="8"/>
  <c r="S25" i="8"/>
  <c r="E3" i="71"/>
  <c r="K3" i="63" a="1"/>
  <c r="F386" i="63" s="1"/>
  <c r="C11" i="63"/>
  <c r="F32" i="25"/>
  <c r="G29" i="25"/>
  <c r="G28" i="25"/>
  <c r="G27" i="25"/>
  <c r="G26" i="25"/>
  <c r="G25" i="25"/>
  <c r="G24" i="25"/>
  <c r="F13" i="25"/>
  <c r="F12" i="25"/>
  <c r="F26" i="25" s="1"/>
  <c r="L25" i="25"/>
  <c r="J25" i="25"/>
  <c r="J11" i="25"/>
  <c r="L11" i="25" s="1"/>
  <c r="L26" i="25" s="1"/>
  <c r="C125" i="77"/>
  <c r="C124" i="77"/>
  <c r="C123" i="77"/>
  <c r="C51" i="63"/>
  <c r="C7" i="63"/>
  <c r="C4" i="63"/>
  <c r="C6" i="63"/>
  <c r="AN27" i="25"/>
  <c r="AN26" i="25"/>
  <c r="C328"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X27" i="25"/>
  <c r="AP27" i="25"/>
  <c r="AB27" i="25"/>
  <c r="BX26" i="25"/>
  <c r="AP26" i="25"/>
  <c r="N26" i="25"/>
  <c r="BP25" i="25"/>
  <c r="Z25" i="25"/>
  <c r="BP11" i="25"/>
  <c r="AD11" i="25"/>
  <c r="AD12" i="25" s="1"/>
  <c r="BP8" i="25"/>
  <c r="BP26" i="25" s="1"/>
  <c r="L87" i="58"/>
  <c r="CG47" i="25"/>
  <c r="CG40" i="25"/>
  <c r="X27" i="25" a="1"/>
  <c r="X26" i="25" a="1"/>
  <c r="V25" i="25" a="1"/>
  <c r="X25" i="25" a="1"/>
  <c r="V26" i="25" a="1"/>
  <c r="T25" i="25" a="1"/>
  <c r="CF26" i="25" l="1"/>
  <c r="CO26" i="25" s="1"/>
  <c r="G372" i="63" a="1"/>
  <c r="G372" i="63" s="1"/>
  <c r="CF17" i="25"/>
  <c r="CJ13" i="25"/>
  <c r="CP25" i="25"/>
  <c r="CK25" i="25"/>
  <c r="F404" i="63"/>
  <c r="G404" i="63" s="1" a="1"/>
  <c r="G404" i="63" s="1"/>
  <c r="F399" i="63"/>
  <c r="G399" i="63" s="1" a="1"/>
  <c r="G399" i="63" s="1"/>
  <c r="CL25" i="25"/>
  <c r="CJ25" i="25"/>
  <c r="F394" i="63"/>
  <c r="G394" i="63" s="1" a="1"/>
  <c r="G394" i="63" s="1"/>
  <c r="F400" i="63"/>
  <c r="G400" i="63" s="1" a="1"/>
  <c r="G400" i="63" s="1"/>
  <c r="CK13" i="25"/>
  <c r="CK17" i="25" s="1"/>
  <c r="F384" i="63"/>
  <c r="G384" i="63" s="1" a="1"/>
  <c r="G384" i="63" s="1"/>
  <c r="F376" i="63"/>
  <c r="G376" i="63" s="1" a="1"/>
  <c r="G376" i="63" s="1"/>
  <c r="CL12" i="25"/>
  <c r="CL14" i="25" s="1"/>
  <c r="CL17" i="25" s="1"/>
  <c r="F397" i="63"/>
  <c r="C397" i="63" s="1" a="1"/>
  <c r="C397" i="63" s="1"/>
  <c r="F390" i="63"/>
  <c r="C390" i="63" s="1" a="1"/>
  <c r="C390" i="63" s="1"/>
  <c r="F383" i="63"/>
  <c r="G383" i="63" s="1" a="1"/>
  <c r="G383" i="63" s="1"/>
  <c r="G402" i="63" a="1"/>
  <c r="G402" i="63" s="1"/>
  <c r="F389" i="63"/>
  <c r="G389" i="63" s="1" a="1"/>
  <c r="G389" i="63" s="1"/>
  <c r="CG13" i="25"/>
  <c r="CG17" i="25" s="1"/>
  <c r="CS27" i="25"/>
  <c r="CN26" i="25"/>
  <c r="F395" i="63"/>
  <c r="G395" i="63" s="1" a="1"/>
  <c r="G395" i="63" s="1"/>
  <c r="CN27" i="25"/>
  <c r="CJ17" i="25"/>
  <c r="CI27" i="25"/>
  <c r="F392" i="63"/>
  <c r="G392" i="63" s="1" a="1"/>
  <c r="G392" i="63" s="1"/>
  <c r="F371" i="63"/>
  <c r="G371" i="63" s="1" a="1"/>
  <c r="G371" i="63" s="1"/>
  <c r="CM27" i="25"/>
  <c r="F388" i="63"/>
  <c r="C388" i="63" s="1" a="1"/>
  <c r="C388" i="63" s="1"/>
  <c r="F381" i="63"/>
  <c r="G381" i="63" s="1" a="1"/>
  <c r="G381" i="63" s="1"/>
  <c r="CH13" i="25"/>
  <c r="CH17" i="25" s="1"/>
  <c r="CR12" i="25"/>
  <c r="CR14" i="25" s="1"/>
  <c r="CR17" i="25" s="1"/>
  <c r="F398" i="63"/>
  <c r="G398" i="63" s="1" a="1"/>
  <c r="G398" i="63" s="1"/>
  <c r="F393" i="63"/>
  <c r="G393" i="63" s="1" a="1"/>
  <c r="G393" i="63" s="1"/>
  <c r="G386" i="63" a="1"/>
  <c r="G386" i="63" s="1"/>
  <c r="CI13" i="25"/>
  <c r="CI17" i="25" s="1"/>
  <c r="CO25" i="25"/>
  <c r="CM26" i="25"/>
  <c r="F385" i="63"/>
  <c r="G385" i="63" s="1" a="1"/>
  <c r="G385" i="63" s="1"/>
  <c r="G403" i="63" a="1"/>
  <c r="G403" i="63" s="1"/>
  <c r="F380" i="63"/>
  <c r="G380" i="63" s="1" a="1"/>
  <c r="G380" i="63" s="1"/>
  <c r="F375" i="63"/>
  <c r="G375" i="63" s="1" a="1"/>
  <c r="G375" i="63" s="1"/>
  <c r="CF27" i="25"/>
  <c r="CK26" i="25"/>
  <c r="F379" i="63"/>
  <c r="G379" i="63" s="1" a="1"/>
  <c r="G379" i="63" s="1"/>
  <c r="F374" i="63"/>
  <c r="G374" i="63" s="1" a="1"/>
  <c r="G374" i="63" s="1"/>
  <c r="CG26" i="25"/>
  <c r="CJ26" i="25"/>
  <c r="CS26" i="25"/>
  <c r="F378" i="63"/>
  <c r="G378" i="63" s="1" a="1"/>
  <c r="G378" i="63" s="1"/>
  <c r="F373" i="63"/>
  <c r="G373" i="63" s="1" a="1"/>
  <c r="G373" i="63" s="1"/>
  <c r="CS12" i="25"/>
  <c r="CS14" i="25" s="1"/>
  <c r="CS17" i="25" s="1"/>
  <c r="CR27" i="25"/>
  <c r="CH27" i="25"/>
  <c r="CI26" i="25"/>
  <c r="CQ27" i="25"/>
  <c r="CG27" i="25"/>
  <c r="CR26" i="25"/>
  <c r="CH26" i="25"/>
  <c r="F387" i="63"/>
  <c r="G387" i="63" s="1" a="1"/>
  <c r="G387" i="63" s="1"/>
  <c r="CQ26" i="25"/>
  <c r="CQ13" i="25"/>
  <c r="CQ17" i="25" s="1"/>
  <c r="CP26" i="25"/>
  <c r="F396" i="63"/>
  <c r="G396" i="63" s="1" a="1"/>
  <c r="G396" i="63" s="1"/>
  <c r="F391" i="63"/>
  <c r="C391" i="63" s="1" a="1"/>
  <c r="C391" i="63" s="1"/>
  <c r="F382" i="63"/>
  <c r="G382" i="63" s="1" a="1"/>
  <c r="G382" i="63" s="1"/>
  <c r="F377" i="63"/>
  <c r="G377" i="63" s="1" a="1"/>
  <c r="G377" i="63" s="1"/>
  <c r="G401" i="63" a="1"/>
  <c r="G401" i="63" s="1"/>
  <c r="C386" i="63" a="1"/>
  <c r="C386" i="63" s="1"/>
  <c r="E11" i="63"/>
  <c r="E5" i="63"/>
  <c r="E50" i="63"/>
  <c r="E48" i="63"/>
  <c r="E359" i="63"/>
  <c r="E277" i="63"/>
  <c r="E10" i="63"/>
  <c r="E6" i="63"/>
  <c r="E184" i="63"/>
  <c r="E319" i="63"/>
  <c r="E360" i="63"/>
  <c r="E7" i="63"/>
  <c r="E362" i="63"/>
  <c r="E274" i="63"/>
  <c r="E361" i="63"/>
  <c r="E363" i="63"/>
  <c r="E364" i="63"/>
  <c r="E47" i="63"/>
  <c r="E357" i="63"/>
  <c r="E4" i="63"/>
  <c r="E51" i="63"/>
  <c r="E49" i="63"/>
  <c r="E46" i="63"/>
  <c r="F319" i="63"/>
  <c r="CM12" i="25"/>
  <c r="CM14" i="25" s="1"/>
  <c r="CM17" i="25" s="1"/>
  <c r="CO12" i="25"/>
  <c r="CO14" i="25" s="1"/>
  <c r="CO17" i="25" s="1"/>
  <c r="CN12" i="25"/>
  <c r="CN14" i="25" s="1"/>
  <c r="CN17" i="25" s="1"/>
  <c r="CP13" i="25"/>
  <c r="CP17" i="25" s="1"/>
  <c r="T17" i="25"/>
  <c r="G320" i="63" a="1"/>
  <c r="G320" i="63" s="1"/>
  <c r="T25" i="25"/>
  <c r="DC73" i="61"/>
  <c r="G51" i="35"/>
  <c r="G50" i="35"/>
  <c r="G52" i="35"/>
  <c r="C42" i="35"/>
  <c r="C41" i="35"/>
  <c r="CD17" i="25"/>
  <c r="X26" i="25"/>
  <c r="X27" i="25"/>
  <c r="V26" i="25"/>
  <c r="X25" i="25"/>
  <c r="V25" i="25"/>
  <c r="C15" i="78"/>
  <c r="C16" i="78" s="1"/>
  <c r="F36" i="25"/>
  <c r="G358" i="63" a="1"/>
  <c r="G358" i="63" s="1"/>
  <c r="D36" i="25"/>
  <c r="H34" i="25"/>
  <c r="C19" i="78" a="1"/>
  <c r="C19" i="78" s="1"/>
  <c r="C21" i="78" s="1" a="1"/>
  <c r="C21" i="78" s="1"/>
  <c r="C8" i="78"/>
  <c r="H13" i="78"/>
  <c r="I13" i="78" s="1"/>
  <c r="C6" i="78"/>
  <c r="C4" i="78"/>
  <c r="C5" i="78" s="1"/>
  <c r="C36" i="78" s="1"/>
  <c r="F357" i="63"/>
  <c r="F361" i="63"/>
  <c r="F363" i="63"/>
  <c r="F359" i="63"/>
  <c r="F364" i="63"/>
  <c r="F360" i="63"/>
  <c r="F362" i="63"/>
  <c r="C11" i="78"/>
  <c r="I11" i="78" s="1"/>
  <c r="G365" i="63" a="1"/>
  <c r="G365" i="63" s="1"/>
  <c r="R10" i="78" a="1"/>
  <c r="Q10" i="78" a="1"/>
  <c r="P10" i="78" a="1"/>
  <c r="S10" i="78" a="1"/>
  <c r="F184" i="63"/>
  <c r="F274" i="63"/>
  <c r="F5" i="63"/>
  <c r="F276" i="63"/>
  <c r="F277" i="63"/>
  <c r="F185" i="63"/>
  <c r="G185" i="63" s="1" a="1"/>
  <c r="G185" i="63" s="1"/>
  <c r="X17" i="25"/>
  <c r="G275" i="63" a="1"/>
  <c r="G275" i="63" s="1"/>
  <c r="V17" i="25"/>
  <c r="K3" i="63"/>
  <c r="D3" i="71"/>
  <c r="F10" i="63"/>
  <c r="F11" i="63"/>
  <c r="F25" i="25"/>
  <c r="F14" i="25"/>
  <c r="F17" i="25" s="1"/>
  <c r="J26" i="25"/>
  <c r="F51" i="63"/>
  <c r="F47" i="63"/>
  <c r="F7" i="63"/>
  <c r="F6" i="63"/>
  <c r="F50" i="63"/>
  <c r="F4" i="63"/>
  <c r="F48" i="63"/>
  <c r="F46" i="63"/>
  <c r="F49" i="63"/>
  <c r="BR109" i="61"/>
  <c r="AX109" i="61"/>
  <c r="AP109" i="61"/>
  <c r="J109" i="61"/>
  <c r="AP108" i="61"/>
  <c r="BR107" i="61"/>
  <c r="BR106" i="61"/>
  <c r="CV7" i="61"/>
  <c r="CB6" i="61"/>
  <c r="BH6" i="61"/>
  <c r="AV4" i="61"/>
  <c r="AF10" i="8"/>
  <c r="X99" i="58"/>
  <c r="V99" i="58"/>
  <c r="P99" i="58"/>
  <c r="N99" i="58"/>
  <c r="L99" i="58"/>
  <c r="J99" i="58"/>
  <c r="X87" i="58"/>
  <c r="AP28" i="25"/>
  <c r="E37" i="15"/>
  <c r="C16" i="19"/>
  <c r="B16" i="19"/>
  <c r="H59" i="22"/>
  <c r="D33" i="68"/>
  <c r="B38" i="72"/>
  <c r="B37" i="72"/>
  <c r="F3" i="76"/>
  <c r="I12" i="49"/>
  <c r="H12" i="49"/>
  <c r="K92" i="67"/>
  <c r="I8" i="48"/>
  <c r="H8" i="48"/>
  <c r="G8" i="48"/>
  <c r="D18" i="34"/>
  <c r="C18" i="34"/>
  <c r="D18" i="39"/>
  <c r="C18" i="39"/>
  <c r="C14" i="69"/>
  <c r="B14" i="69"/>
  <c r="C15" i="42"/>
  <c r="E3" i="70"/>
  <c r="D36" i="70"/>
  <c r="I17" i="43"/>
  <c r="D9" i="45"/>
  <c r="I17" i="45" s="1"/>
  <c r="C9" i="45"/>
  <c r="C350" i="63"/>
  <c r="AH9" i="61"/>
  <c r="AD9" i="61"/>
  <c r="Z9" i="61"/>
  <c r="AG12" i="61"/>
  <c r="AH12" i="61" s="1"/>
  <c r="AH79" i="61" s="1" a="1"/>
  <c r="AH79" i="61" s="1"/>
  <c r="AF6" i="61"/>
  <c r="AF7" i="61" s="1"/>
  <c r="AG5" i="61"/>
  <c r="AH5" i="61" s="1"/>
  <c r="AF4" i="61"/>
  <c r="AG4" i="61" s="1"/>
  <c r="AH4" i="61" s="1"/>
  <c r="AH2" i="61"/>
  <c r="AG2" i="61"/>
  <c r="AC12" i="61"/>
  <c r="AD12" i="61" s="1"/>
  <c r="AD79" i="61" s="1" a="1"/>
  <c r="AD79" i="61" s="1"/>
  <c r="AB6" i="61"/>
  <c r="AB7" i="61" s="1"/>
  <c r="AC5" i="61"/>
  <c r="AD5" i="61" s="1"/>
  <c r="AB4" i="61"/>
  <c r="AC4" i="61" s="1"/>
  <c r="AD4" i="61" s="1"/>
  <c r="AD2" i="61"/>
  <c r="AC2" i="61"/>
  <c r="Y12" i="61"/>
  <c r="Z12" i="61" s="1"/>
  <c r="Z79" i="61" s="1" a="1"/>
  <c r="Z79"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D9" i="5"/>
  <c r="AD10" i="5"/>
  <c r="AD8" i="5"/>
  <c r="AD23" i="5"/>
  <c r="F27" i="25" a="1"/>
  <c r="C384" i="63" l="1" a="1"/>
  <c r="C384" i="63" s="1"/>
  <c r="CL26" i="25"/>
  <c r="G363" i="63" a="1"/>
  <c r="G363" i="63" s="1"/>
  <c r="C381" i="63" a="1"/>
  <c r="C381" i="63" s="1"/>
  <c r="C399" i="63" a="1"/>
  <c r="C399" i="63" s="1"/>
  <c r="C394" i="63" a="1"/>
  <c r="C394" i="63" s="1"/>
  <c r="C393" i="63" a="1"/>
  <c r="C393" i="63" s="1"/>
  <c r="C400" i="63" a="1"/>
  <c r="C400" i="63" s="1"/>
  <c r="G390" i="63" a="1"/>
  <c r="G390" i="63" s="1"/>
  <c r="C395" i="63" a="1"/>
  <c r="C395" i="63" s="1"/>
  <c r="G48" i="63" a="1"/>
  <c r="G48" i="63" s="1"/>
  <c r="C376" i="63" a="1"/>
  <c r="C376" i="63" s="1"/>
  <c r="G388" i="63" a="1"/>
  <c r="G388" i="63" s="1"/>
  <c r="G361" i="63" a="1"/>
  <c r="G361" i="63" s="1"/>
  <c r="C385" i="63" a="1"/>
  <c r="C385" i="63" s="1"/>
  <c r="G397" i="63" a="1"/>
  <c r="G397" i="63" s="1"/>
  <c r="C379" i="63" a="1"/>
  <c r="C379" i="63" s="1"/>
  <c r="C383" i="63" a="1"/>
  <c r="C383" i="63" s="1"/>
  <c r="C389" i="63" a="1"/>
  <c r="C389" i="63" s="1"/>
  <c r="C398" i="63" a="1"/>
  <c r="C398" i="63" s="1"/>
  <c r="C380" i="63" a="1"/>
  <c r="C380" i="63" s="1"/>
  <c r="C382" i="63" a="1"/>
  <c r="C382" i="63" s="1"/>
  <c r="G391" i="63" a="1"/>
  <c r="G391" i="63" s="1"/>
  <c r="G7" i="63" a="1"/>
  <c r="G7" i="63" s="1"/>
  <c r="C392" i="63" a="1"/>
  <c r="C392" i="63" s="1"/>
  <c r="G49" i="63" a="1"/>
  <c r="G49" i="63" s="1"/>
  <c r="G5" i="63" a="1"/>
  <c r="G5" i="63" s="1"/>
  <c r="C374" i="63" a="1"/>
  <c r="C374" i="63" s="1"/>
  <c r="G46" i="63" a="1"/>
  <c r="G46" i="63" s="1"/>
  <c r="G11" i="63" a="1"/>
  <c r="G11" i="63" s="1"/>
  <c r="G360" i="63" a="1"/>
  <c r="G360" i="63" s="1"/>
  <c r="G50" i="63" a="1"/>
  <c r="G50" i="63" s="1"/>
  <c r="G359" i="63" a="1"/>
  <c r="G359" i="63" s="1"/>
  <c r="G362" i="63" a="1"/>
  <c r="G362" i="63" s="1"/>
  <c r="C396" i="63" a="1"/>
  <c r="C396" i="63" s="1"/>
  <c r="C378" i="63" a="1"/>
  <c r="C378" i="63" s="1"/>
  <c r="C375" i="63" a="1"/>
  <c r="C375" i="63" s="1"/>
  <c r="C373" i="63" a="1"/>
  <c r="C373" i="63" s="1"/>
  <c r="C377" i="63" a="1"/>
  <c r="C377" i="63" s="1"/>
  <c r="C387" i="63" a="1"/>
  <c r="C387" i="63" s="1"/>
  <c r="G51" i="63" a="1"/>
  <c r="G51" i="63" s="1"/>
  <c r="G10" i="63" a="1"/>
  <c r="G10" i="63" s="1"/>
  <c r="G274" i="63" a="1"/>
  <c r="G274" i="63" s="1"/>
  <c r="G277" i="63" a="1"/>
  <c r="G277" i="63" s="1"/>
  <c r="G184" i="63" a="1"/>
  <c r="G184" i="63" s="1"/>
  <c r="G6" i="63" a="1"/>
  <c r="G6" i="63" s="1"/>
  <c r="G4" i="63" a="1"/>
  <c r="G4" i="63" s="1"/>
  <c r="G357" i="63" a="1"/>
  <c r="G357" i="63" s="1"/>
  <c r="G319" i="63" a="1"/>
  <c r="G319" i="63" s="1"/>
  <c r="G47" i="63" a="1"/>
  <c r="G47" i="63" s="1"/>
  <c r="G364" i="63" a="1"/>
  <c r="G364" i="63" s="1"/>
  <c r="E276" i="63"/>
  <c r="G276" i="63" s="1" a="1"/>
  <c r="G276" i="63" s="1"/>
  <c r="C20" i="78" a="1"/>
  <c r="C20" i="78" s="1"/>
  <c r="C22" i="78" s="1" a="1"/>
  <c r="C22" i="78" s="1"/>
  <c r="C25" i="78" s="1" a="1"/>
  <c r="C25" i="78" s="1"/>
  <c r="U10" i="78" a="1"/>
  <c r="U10" i="78" s="1"/>
  <c r="H10" i="78"/>
  <c r="I10" i="78" s="1"/>
  <c r="I17" i="78" s="1"/>
  <c r="H14" i="78"/>
  <c r="H18" i="78"/>
  <c r="H19" i="78"/>
  <c r="C29" i="78"/>
  <c r="C38" i="78" s="1"/>
  <c r="V10" i="78" a="1"/>
  <c r="I16" i="78"/>
  <c r="I19" i="78"/>
  <c r="I18" i="78"/>
  <c r="I14" i="78"/>
  <c r="Y10" i="78" s="1" a="1"/>
  <c r="R10" i="78"/>
  <c r="Q10" i="78"/>
  <c r="P10" i="78"/>
  <c r="S10" i="78"/>
  <c r="F27" i="25"/>
  <c r="AH80" i="61"/>
  <c r="AD80" i="61"/>
  <c r="Z80" i="61"/>
  <c r="B39" i="72"/>
  <c r="N8" i="61"/>
  <c r="N81" i="61" s="1"/>
  <c r="M8" i="61"/>
  <c r="Q8" i="61"/>
  <c r="R8" i="61"/>
  <c r="X8" i="61"/>
  <c r="Y7" i="61"/>
  <c r="Z7" i="61" s="1"/>
  <c r="Z82" i="61" s="1"/>
  <c r="AF8" i="61"/>
  <c r="AG7" i="61"/>
  <c r="AH7" i="61" s="1"/>
  <c r="AH82" i="61" s="1"/>
  <c r="AB8" i="61"/>
  <c r="AC7" i="61"/>
  <c r="AD7" i="61" s="1"/>
  <c r="AD82" i="61" s="1"/>
  <c r="N82" i="61"/>
  <c r="X13" i="61"/>
  <c r="Y13" i="61" s="1"/>
  <c r="Z13" i="61" s="1"/>
  <c r="Z77" i="61" s="1"/>
  <c r="AB13" i="61"/>
  <c r="AC13" i="61" s="1"/>
  <c r="AD13" i="61" s="1"/>
  <c r="AD77" i="61" s="1"/>
  <c r="AF13" i="61"/>
  <c r="AG13" i="61" s="1"/>
  <c r="AH13" i="61" s="1"/>
  <c r="AH77" i="61" s="1"/>
  <c r="Y6" i="61"/>
  <c r="Z6" i="61" s="1"/>
  <c r="AC6" i="61"/>
  <c r="AD6" i="61" s="1"/>
  <c r="AG6" i="61"/>
  <c r="AH6" i="61" s="1"/>
  <c r="R85" i="61" a="1"/>
  <c r="R85" i="61" s="1"/>
  <c r="R82" i="61"/>
  <c r="N84" i="61" a="1"/>
  <c r="N84" i="61" s="1"/>
  <c r="R83" i="61" a="1"/>
  <c r="R83" i="61" s="1"/>
  <c r="N83" i="61" a="1"/>
  <c r="N83" i="61" s="1"/>
  <c r="N85" i="61" a="1"/>
  <c r="N85" i="61" s="1"/>
  <c r="R84" i="61" a="1"/>
  <c r="R84" i="61" s="1"/>
  <c r="C150" i="77"/>
  <c r="B150" i="77"/>
  <c r="C148" i="77"/>
  <c r="B148" i="77"/>
  <c r="C146" i="77"/>
  <c r="B146" i="77"/>
  <c r="C144" i="77"/>
  <c r="B144" i="77"/>
  <c r="C142" i="77"/>
  <c r="B142" i="77"/>
  <c r="C140" i="77"/>
  <c r="B140" i="77"/>
  <c r="C138" i="77"/>
  <c r="B138" i="77"/>
  <c r="C136" i="77"/>
  <c r="B136" i="77"/>
  <c r="C134" i="77"/>
  <c r="B134" i="77"/>
  <c r="C132" i="77"/>
  <c r="B132" i="77"/>
  <c r="C130" i="77"/>
  <c r="B130" i="77"/>
  <c r="C128" i="77"/>
  <c r="B128" i="77"/>
  <c r="H7" i="78" l="1"/>
  <c r="H15" i="78"/>
  <c r="H17" i="78"/>
  <c r="X10" i="78" a="1"/>
  <c r="X10" i="78" s="1"/>
  <c r="C44" i="78"/>
  <c r="H12" i="78"/>
  <c r="I12" i="78" s="1"/>
  <c r="V10" i="78"/>
  <c r="Y10" i="78"/>
  <c r="AH62" i="61"/>
  <c r="AH64" i="61" s="1"/>
  <c r="AD8" i="61"/>
  <c r="AC8" i="61"/>
  <c r="Y8" i="61"/>
  <c r="Z8" i="61"/>
  <c r="AG8" i="61"/>
  <c r="AH8" i="61"/>
  <c r="AD81" i="61"/>
  <c r="AD78" i="61"/>
  <c r="AD62" i="61"/>
  <c r="Z81" i="61"/>
  <c r="Z78" i="61"/>
  <c r="Z62" i="61"/>
  <c r="R81" i="61"/>
  <c r="AH81" i="61"/>
  <c r="AH78" i="61"/>
  <c r="W6" i="5" a="1"/>
  <c r="W6" i="5" s="1"/>
  <c r="I15" i="78" l="1"/>
  <c r="AH63" i="61"/>
  <c r="AH65" i="61" s="1"/>
  <c r="AH67" i="61" s="1"/>
  <c r="AD64" i="61"/>
  <c r="AD63" i="61"/>
  <c r="AD65" i="61" s="1"/>
  <c r="Z64" i="61"/>
  <c r="Z63" i="61"/>
  <c r="Z65" i="61" s="1"/>
  <c r="C322" i="63"/>
  <c r="K10" i="78" l="1" a="1"/>
  <c r="K10" i="78" s="1"/>
  <c r="L10" i="78" s="1" a="1"/>
  <c r="L10" i="78" s="1"/>
  <c r="AD67" i="61"/>
  <c r="Z67" i="61"/>
  <c r="BX25" i="25"/>
  <c r="BX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D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CA29" i="25"/>
  <c r="CA28" i="25"/>
  <c r="CA27" i="25"/>
  <c r="CA26" i="25"/>
  <c r="CA25" i="25"/>
  <c r="CA24" i="25"/>
  <c r="CB25" i="25"/>
  <c r="CB32" i="25"/>
  <c r="CB13" i="25"/>
  <c r="CB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J31" i="14" a="1"/>
  <c r="F49" i="75" a="1"/>
  <c r="CX8" i="61" l="1"/>
  <c r="CW8" i="61"/>
  <c r="CW7" i="61"/>
  <c r="CX7" i="61" s="1"/>
  <c r="CB17" i="25"/>
  <c r="CB26" i="25"/>
  <c r="CB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81" i="61"/>
  <c r="CT85" i="61" a="1"/>
  <c r="CT85" i="61" s="1"/>
  <c r="AD30" i="8"/>
  <c r="V31" i="14" a="1"/>
  <c r="V31" i="14" l="1"/>
  <c r="E31" i="72"/>
  <c r="CX78" i="61"/>
  <c r="CX77" i="61"/>
  <c r="C28" i="75"/>
  <c r="D29" i="75"/>
  <c r="E30" i="72"/>
  <c r="E28" i="72"/>
  <c r="E29" i="72"/>
  <c r="CX80" i="61"/>
  <c r="CX82" i="61"/>
  <c r="C93" i="63"/>
  <c r="F40" i="73" l="1"/>
  <c r="D30" i="75"/>
  <c r="C29" i="75"/>
  <c r="E38" i="72" a="1"/>
  <c r="E38" i="72" s="1"/>
  <c r="E3" i="72"/>
  <c r="E24" i="72" s="1"/>
  <c r="BJ11" i="25"/>
  <c r="C30" i="75" l="1"/>
  <c r="D31" i="75"/>
  <c r="E14" i="72"/>
  <c r="E11" i="72"/>
  <c r="E16" i="72"/>
  <c r="E13" i="72"/>
  <c r="E19" i="72"/>
  <c r="E21" i="72"/>
  <c r="E22" i="72"/>
  <c r="E18" i="72"/>
  <c r="E10" i="72"/>
  <c r="E23" i="72"/>
  <c r="E12" i="72"/>
  <c r="E20" i="72"/>
  <c r="E17" i="72"/>
  <c r="E7" i="72"/>
  <c r="E15" i="72"/>
  <c r="E9" i="72"/>
  <c r="CX79" i="61" a="1"/>
  <c r="CX79" i="61" s="1"/>
  <c r="CX67" i="61"/>
  <c r="Z14" i="8"/>
  <c r="BJ28" i="25"/>
  <c r="BJ27" i="25"/>
  <c r="BJ26" i="25"/>
  <c r="BJ25" i="25"/>
  <c r="E45" i="72" l="1"/>
  <c r="C31" i="75"/>
  <c r="C229" i="63"/>
  <c r="C230" i="63"/>
  <c r="E230" i="63"/>
  <c r="E229" i="63"/>
  <c r="BJ12" i="25"/>
  <c r="BJ14" i="25" s="1"/>
  <c r="BJ32" i="25"/>
  <c r="BK29" i="25"/>
  <c r="BK28" i="25"/>
  <c r="BK27" i="25"/>
  <c r="BK26" i="25"/>
  <c r="BK25" i="25"/>
  <c r="BK24" i="25"/>
  <c r="BJ13" i="25" l="1"/>
  <c r="Z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BB32" i="25"/>
  <c r="BC29" i="25"/>
  <c r="BC28" i="25"/>
  <c r="BC27" i="25"/>
  <c r="BC26" i="25"/>
  <c r="BC25" i="25"/>
  <c r="BC24" i="25"/>
  <c r="BB14" i="25"/>
  <c r="BB13" i="25"/>
  <c r="Z37" i="14"/>
  <c r="AA34" i="14"/>
  <c r="AA33" i="14"/>
  <c r="AA32" i="14"/>
  <c r="Z32" i="14" a="1"/>
  <c r="Z32" i="14" s="1"/>
  <c r="AA31" i="14"/>
  <c r="AA30" i="14"/>
  <c r="AA29" i="14"/>
  <c r="AA28" i="14"/>
  <c r="BB26" i="25" a="1"/>
  <c r="BB25" i="25" a="1"/>
  <c r="F93" i="63" l="1"/>
  <c r="G93" i="63" s="1" a="1"/>
  <c r="G93" i="63" s="1"/>
  <c r="Z27" i="8"/>
  <c r="Z26" i="8"/>
  <c r="F29" i="39"/>
  <c r="F85" i="63"/>
  <c r="G85" i="63" s="1" a="1"/>
  <c r="G85" i="63" s="1"/>
  <c r="F72" i="63"/>
  <c r="G72" i="63" s="1" a="1"/>
  <c r="G72" i="63" s="1"/>
  <c r="BB17" i="25"/>
  <c r="BB26" i="25"/>
  <c r="BB25" i="25"/>
  <c r="C65" i="63"/>
  <c r="E65" i="63"/>
  <c r="E64" i="63"/>
  <c r="C61" i="63"/>
  <c r="E61" i="63"/>
  <c r="E60" i="63"/>
  <c r="E57" i="63"/>
  <c r="E56" i="63"/>
  <c r="C56" i="63"/>
  <c r="AX32" i="25"/>
  <c r="AX26" i="25"/>
  <c r="AX14" i="25"/>
  <c r="AX13" i="25"/>
  <c r="AY29" i="25"/>
  <c r="AY28" i="25"/>
  <c r="AY27" i="25"/>
  <c r="AY26" i="25"/>
  <c r="AY25" i="25"/>
  <c r="AY24" i="25"/>
  <c r="H30" i="36"/>
  <c r="AX25" i="25" a="1"/>
  <c r="F56" i="63" l="1"/>
  <c r="G56" i="63" s="1" a="1"/>
  <c r="G56" i="63" s="1"/>
  <c r="F57" i="63"/>
  <c r="G57" i="63" s="1" a="1"/>
  <c r="G57" i="63" s="1"/>
  <c r="AX17" i="25"/>
  <c r="AX25" i="25"/>
  <c r="CN7" i="61"/>
  <c r="CO7" i="61" s="1"/>
  <c r="CP7" i="61" s="1"/>
  <c r="CP77" i="61"/>
  <c r="CP64" i="61"/>
  <c r="CP78"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91" i="67"/>
  <c r="S45" i="9"/>
  <c r="I45"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31" i="63" l="1"/>
  <c r="E332" i="63"/>
  <c r="E333" i="63"/>
  <c r="F333" i="63"/>
  <c r="AH34" i="8"/>
  <c r="AH29" i="8"/>
  <c r="AH28" i="8"/>
  <c r="AH27" i="8"/>
  <c r="AH26" i="8"/>
  <c r="AH20" i="8"/>
  <c r="AH4" i="8"/>
  <c r="AI31" i="8"/>
  <c r="AI30" i="8"/>
  <c r="AI29" i="8"/>
  <c r="AI28" i="8"/>
  <c r="AI27" i="8"/>
  <c r="AI26" i="8"/>
  <c r="AI25" i="8"/>
  <c r="AG31" i="8"/>
  <c r="AG30" i="8"/>
  <c r="AG29" i="8"/>
  <c r="AG28" i="8"/>
  <c r="AG27" i="8"/>
  <c r="AG26" i="8"/>
  <c r="AG25" i="8"/>
  <c r="E326" i="63"/>
  <c r="E327" i="63"/>
  <c r="C326"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7" i="63" l="1"/>
  <c r="G327" i="63" s="1" a="1"/>
  <c r="G327" i="63" s="1"/>
  <c r="F331" i="63"/>
  <c r="G331" i="63" s="1" a="1"/>
  <c r="G331" i="63" s="1"/>
  <c r="F332" i="63"/>
  <c r="G332" i="63" s="1" a="1"/>
  <c r="G332" i="63" s="1"/>
  <c r="F326" i="63"/>
  <c r="G326" i="63" s="1" a="1"/>
  <c r="G326" i="63" s="1"/>
  <c r="G333" i="63" a="1"/>
  <c r="G333"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6" i="61"/>
  <c r="C12" i="5" a="1"/>
  <c r="C12" i="5" s="1"/>
  <c r="D33" i="70" l="1"/>
  <c r="I25" i="70"/>
  <c r="E26" i="70"/>
  <c r="I26" i="70" s="1"/>
  <c r="I24" i="70"/>
  <c r="E32" i="70"/>
  <c r="F24" i="70"/>
  <c r="B22" i="70" s="1"/>
  <c r="D27" i="70"/>
  <c r="D34" i="70"/>
  <c r="AB26" i="25"/>
  <c r="AB25" i="25"/>
  <c r="AB13" i="25"/>
  <c r="AB12" i="25"/>
  <c r="AB14" i="25" s="1"/>
  <c r="AB32" i="25"/>
  <c r="AC29" i="25"/>
  <c r="AC28" i="25"/>
  <c r="AC27" i="25"/>
  <c r="AC26" i="25"/>
  <c r="AC25" i="25"/>
  <c r="AC24" i="25"/>
  <c r="I32" i="70" l="1"/>
  <c r="F32" i="70"/>
  <c r="F33" i="70"/>
  <c r="F25" i="70"/>
  <c r="F26" i="70"/>
  <c r="D35" i="70"/>
  <c r="E27" i="70"/>
  <c r="I27" i="70" s="1"/>
  <c r="E34" i="70"/>
  <c r="AB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F25" i="25"/>
  <c r="BF26" i="25"/>
  <c r="BN26" i="25" l="1"/>
  <c r="BL26" i="25"/>
  <c r="BG29" i="25" l="1"/>
  <c r="BG28" i="25"/>
  <c r="BG27" i="25"/>
  <c r="BG26" i="25"/>
  <c r="BG25" i="25"/>
  <c r="BG24" i="25"/>
  <c r="BE29" i="25"/>
  <c r="BE28" i="25"/>
  <c r="BE27" i="25"/>
  <c r="BE26" i="25"/>
  <c r="BE25" i="25"/>
  <c r="BE24" i="25"/>
  <c r="BH27" i="25"/>
  <c r="BH32" i="25"/>
  <c r="BI29" i="25"/>
  <c r="BI28" i="25"/>
  <c r="BI27" i="25"/>
  <c r="BI26" i="25"/>
  <c r="BI25" i="25"/>
  <c r="BI24" i="25"/>
  <c r="AJ27" i="25" l="1"/>
  <c r="AJ26" i="25"/>
  <c r="AL27" i="25"/>
  <c r="AL26" i="25"/>
  <c r="C12" i="69"/>
  <c r="C13" i="69"/>
  <c r="C15" i="69"/>
  <c r="C16" i="69"/>
  <c r="C17" i="69"/>
  <c r="B13" i="69"/>
  <c r="B15" i="69"/>
  <c r="B16" i="69"/>
  <c r="B17" i="69"/>
  <c r="B12" i="69"/>
  <c r="BD27" i="25"/>
  <c r="E38" i="69" a="1"/>
  <c r="E3" i="69" l="1"/>
  <c r="E20" i="69" s="1"/>
  <c r="E38" i="69"/>
  <c r="BM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N9" i="25"/>
  <c r="BN7" i="25"/>
  <c r="BN25" i="25" s="1"/>
  <c r="BN32" i="25"/>
  <c r="BN13" i="25"/>
  <c r="BN12" i="25"/>
  <c r="BN14" i="25" s="1"/>
  <c r="BO29" i="25"/>
  <c r="BO28" i="25"/>
  <c r="BO27" i="25"/>
  <c r="BO26" i="25"/>
  <c r="BO25" i="25"/>
  <c r="BO24" i="25"/>
  <c r="BN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N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N27" i="25"/>
  <c r="BT26" i="25"/>
  <c r="BT12" i="25"/>
  <c r="BL25" i="25" l="1"/>
  <c r="BL27" i="25" a="1"/>
  <c r="BL27" i="25" l="1"/>
  <c r="C54" i="67"/>
  <c r="C55" i="67" l="1"/>
  <c r="K7" i="5" a="1"/>
  <c r="K7" i="5" s="1"/>
  <c r="K8" i="5" a="1"/>
  <c r="K8" i="5" s="1"/>
  <c r="K9" i="5" a="1"/>
  <c r="K9" i="5" s="1"/>
  <c r="BR27" i="25"/>
  <c r="BR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R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3"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Z27" i="25" a="1"/>
  <c r="BZ27" i="25" s="1"/>
  <c r="BZ26" i="25"/>
  <c r="BZ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Z12" i="25"/>
  <c r="BZ14" i="25" s="1"/>
  <c r="BZ32" i="25"/>
  <c r="BY29" i="25"/>
  <c r="BY28" i="25"/>
  <c r="BY27" i="25"/>
  <c r="BY26" i="25"/>
  <c r="BY25" i="25"/>
  <c r="BY24" i="25"/>
  <c r="BZ13" i="25"/>
  <c r="K45" i="67" a="1"/>
  <c r="K48" i="67" a="1"/>
  <c r="K42" i="67" a="1"/>
  <c r="K39" i="67" a="1"/>
  <c r="K36" i="67" a="1"/>
  <c r="K7"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Z17" i="25"/>
  <c r="E342" i="63"/>
  <c r="E343" i="63"/>
  <c r="E348" i="63"/>
  <c r="E349"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3" i="67" a="1"/>
  <c r="K93" i="67" s="1"/>
  <c r="F30" i="67"/>
  <c r="I30" i="67" s="1"/>
  <c r="K90" i="67" a="1"/>
  <c r="K90" i="67" s="1"/>
  <c r="D31" i="67" a="1"/>
  <c r="D31" i="67" s="1"/>
  <c r="I28" i="67"/>
  <c r="H32" i="67"/>
  <c r="F343" i="63"/>
  <c r="G343" i="63" s="1" a="1"/>
  <c r="G343" i="63" s="1"/>
  <c r="F342" i="63"/>
  <c r="G342" i="63" s="1" a="1"/>
  <c r="G342" i="63" s="1"/>
  <c r="F348" i="63"/>
  <c r="G348" i="63" s="1" a="1"/>
  <c r="G348" i="63" s="1"/>
  <c r="F349" i="63"/>
  <c r="G349" i="63" s="1" a="1"/>
  <c r="G349" i="63" s="1"/>
  <c r="AN27" i="8"/>
  <c r="AN20" i="8"/>
  <c r="AN28" i="8"/>
  <c r="E346" i="63"/>
  <c r="E347" i="63"/>
  <c r="BR12" i="25"/>
  <c r="BR14" i="25" s="1"/>
  <c r="BR32" i="25"/>
  <c r="BR13" i="25"/>
  <c r="BS29" i="25"/>
  <c r="BS28" i="25"/>
  <c r="BS27" i="25"/>
  <c r="BS26" i="25"/>
  <c r="BS25" i="25"/>
  <c r="BS24" i="25"/>
  <c r="BR25" i="25" a="1"/>
  <c r="F31" i="67" l="1"/>
  <c r="I31" i="67" s="1"/>
  <c r="E31" i="67"/>
  <c r="H31" i="67" s="1"/>
  <c r="J46" i="67" s="1"/>
  <c r="F346" i="63"/>
  <c r="G346" i="63" s="1" a="1"/>
  <c r="G346" i="63" s="1"/>
  <c r="BR17" i="25"/>
  <c r="F347" i="63"/>
  <c r="G347" i="63" s="1" a="1"/>
  <c r="G347" i="63" s="1"/>
  <c r="BR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T32" i="25"/>
  <c r="AU29" i="25"/>
  <c r="AU28" i="25"/>
  <c r="AU27" i="25"/>
  <c r="AU26" i="25"/>
  <c r="AU25" i="25"/>
  <c r="AU24" i="25"/>
  <c r="AT13" i="25"/>
  <c r="AT12" i="25"/>
  <c r="AT14" i="25" s="1"/>
  <c r="AT26" i="25" a="1"/>
  <c r="C24" i="65" l="1"/>
  <c r="D29" i="65"/>
  <c r="C13" i="65"/>
  <c r="D16" i="65"/>
  <c r="D26" i="65" s="1"/>
  <c r="AT27" i="25"/>
  <c r="AT26" i="25"/>
  <c r="AT17" i="25"/>
  <c r="C23" i="65" l="1"/>
  <c r="D17" i="65"/>
  <c r="C19" i="65"/>
  <c r="D27" i="65" l="1"/>
  <c r="C29" i="65"/>
  <c r="C18" i="65"/>
  <c r="C28" i="65" s="1"/>
  <c r="R9" i="63"/>
  <c r="S9" i="63" s="1"/>
  <c r="V16" i="8" l="1"/>
  <c r="C164" i="63" l="1"/>
  <c r="F3" i="65" l="1"/>
  <c r="E214" i="63"/>
  <c r="E215" i="63"/>
  <c r="F16" i="65" a="1"/>
  <c r="F26" i="65" a="1"/>
  <c r="F11"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4" i="63"/>
  <c r="C329" i="63"/>
  <c r="C338" i="63"/>
  <c r="C340" i="63"/>
  <c r="C341" i="63"/>
  <c r="C344" i="63"/>
  <c r="C352" i="63"/>
  <c r="C366" i="63"/>
  <c r="C367" i="63"/>
  <c r="C369" i="63"/>
  <c r="E370" i="63"/>
  <c r="E369" i="63"/>
  <c r="E368" i="63"/>
  <c r="E367" i="63"/>
  <c r="E366" i="63"/>
  <c r="F356" i="63"/>
  <c r="E356" i="63"/>
  <c r="F355" i="63"/>
  <c r="E355" i="63"/>
  <c r="F354" i="63"/>
  <c r="E354" i="63"/>
  <c r="E353" i="63"/>
  <c r="E352" i="63"/>
  <c r="E351" i="63"/>
  <c r="E350" i="63"/>
  <c r="E345" i="63"/>
  <c r="E344" i="63"/>
  <c r="E341" i="63"/>
  <c r="E340" i="63"/>
  <c r="E339" i="63"/>
  <c r="E338" i="63"/>
  <c r="E337" i="63"/>
  <c r="E336" i="63"/>
  <c r="F335" i="63"/>
  <c r="E335" i="63"/>
  <c r="F334" i="63"/>
  <c r="E334" i="63"/>
  <c r="F330" i="63"/>
  <c r="E330" i="63"/>
  <c r="E329" i="63"/>
  <c r="E328" i="63"/>
  <c r="E325" i="63"/>
  <c r="E324" i="63"/>
  <c r="E323" i="63"/>
  <c r="E322" i="63"/>
  <c r="F321" i="63"/>
  <c r="E321"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4" i="63" a="1"/>
  <c r="G354" i="63" s="1"/>
  <c r="F246" i="63"/>
  <c r="G246" i="63" s="1" a="1"/>
  <c r="G246" i="63" s="1"/>
  <c r="G330" i="63" a="1"/>
  <c r="G330" i="63" s="1"/>
  <c r="G334" i="63" a="1"/>
  <c r="G334" i="63" s="1"/>
  <c r="G208" i="63" a="1"/>
  <c r="G208" i="63" s="1"/>
  <c r="G12" i="63" a="1"/>
  <c r="G12" i="63" s="1"/>
  <c r="G13" i="63" a="1"/>
  <c r="G13" i="63" s="1"/>
  <c r="G207" i="63" a="1"/>
  <c r="G207" i="63" s="1"/>
  <c r="G8" i="63" a="1"/>
  <c r="G8" i="63" s="1"/>
  <c r="G43" i="63" a="1"/>
  <c r="G43" i="63" s="1"/>
  <c r="G245" i="63" a="1"/>
  <c r="G245" i="63" s="1"/>
  <c r="G321" i="63" a="1"/>
  <c r="G321" i="63" s="1"/>
  <c r="G335" i="63" a="1"/>
  <c r="G335" i="63" s="1"/>
  <c r="F339" i="63"/>
  <c r="G339" i="63" s="1" a="1"/>
  <c r="G339" i="63" s="1"/>
  <c r="F353" i="63"/>
  <c r="G353" i="63" s="1" a="1"/>
  <c r="G353" i="63" s="1"/>
  <c r="G150" i="63" a="1"/>
  <c r="G150" i="63" s="1"/>
  <c r="G355" i="63" a="1"/>
  <c r="G355" i="63" s="1"/>
  <c r="G14" i="63" a="1"/>
  <c r="G14" i="63" s="1"/>
  <c r="G151" i="63" a="1"/>
  <c r="G151" i="63" s="1"/>
  <c r="G186" i="63" a="1"/>
  <c r="G186" i="63" s="1"/>
  <c r="G9" i="63" a="1"/>
  <c r="G9" i="63" s="1"/>
  <c r="G83" i="63" a="1"/>
  <c r="G83" i="63" s="1"/>
  <c r="G209" i="63" a="1"/>
  <c r="G209" i="63" s="1"/>
  <c r="G356" i="63" a="1"/>
  <c r="G356" i="63" s="1"/>
  <c r="G3" i="63" a="1"/>
  <c r="G3" i="63" s="1"/>
  <c r="F351" i="63"/>
  <c r="G351" i="63" s="1" a="1"/>
  <c r="G351" i="63" s="1"/>
  <c r="F162" i="63"/>
  <c r="G162" i="63" s="1" a="1"/>
  <c r="G162" i="63" s="1"/>
  <c r="F368" i="63"/>
  <c r="G368" i="63" s="1" a="1"/>
  <c r="G368" i="63" s="1"/>
  <c r="F323" i="63"/>
  <c r="G323" i="63" s="1" a="1"/>
  <c r="G323" i="63" s="1"/>
  <c r="F324" i="63"/>
  <c r="G324" i="63" s="1" a="1"/>
  <c r="G324" i="63" s="1"/>
  <c r="F317" i="63"/>
  <c r="G317" i="63" s="1" a="1"/>
  <c r="G317" i="63" s="1"/>
  <c r="F328" i="63"/>
  <c r="G328" i="63" s="1" a="1"/>
  <c r="G328" i="63" s="1"/>
  <c r="F350" i="63"/>
  <c r="G350" i="63" s="1" a="1"/>
  <c r="G350" i="63" s="1"/>
  <c r="F369" i="63"/>
  <c r="G369" i="63" s="1" a="1"/>
  <c r="G369" i="63" s="1"/>
  <c r="F352" i="63"/>
  <c r="G352" i="63" s="1" a="1"/>
  <c r="G352" i="63" s="1"/>
  <c r="F160" i="63"/>
  <c r="G160" i="63" s="1" a="1"/>
  <c r="G160" i="63" s="1"/>
  <c r="F163" i="63"/>
  <c r="G163" i="63" s="1" a="1"/>
  <c r="G163" i="63" s="1"/>
  <c r="F366" i="63"/>
  <c r="G366" i="63" s="1" a="1"/>
  <c r="G366" i="63" s="1"/>
  <c r="F268" i="63"/>
  <c r="G268" i="63" s="1" a="1"/>
  <c r="G268" i="63" s="1"/>
  <c r="E23" i="64"/>
  <c r="E29" i="64" s="1" a="1"/>
  <c r="E29" i="64" s="1"/>
  <c r="F370" i="63"/>
  <c r="G370" i="63" s="1" a="1"/>
  <c r="G370" i="63" s="1"/>
  <c r="F39" i="63"/>
  <c r="G39" i="63" s="1" a="1"/>
  <c r="G39" i="63" s="1"/>
  <c r="F337" i="63"/>
  <c r="G337" i="63" s="1" a="1"/>
  <c r="G337"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40" i="63"/>
  <c r="G340" i="63" s="1" a="1"/>
  <c r="G340" i="63" s="1"/>
  <c r="F338" i="63"/>
  <c r="G338" i="63" s="1" a="1"/>
  <c r="G338"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5" i="63"/>
  <c r="G325" i="63" s="1" a="1"/>
  <c r="G325"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2" i="63"/>
  <c r="G322" i="63" s="1" a="1"/>
  <c r="G322" i="63" s="1"/>
  <c r="F341" i="63"/>
  <c r="G341" i="63" s="1" a="1"/>
  <c r="G341"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4" i="63"/>
  <c r="G344" i="63" s="1" a="1"/>
  <c r="G344"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9" i="63"/>
  <c r="G329" i="63" s="1" a="1"/>
  <c r="G329" i="63" s="1"/>
  <c r="F336" i="63"/>
  <c r="G336" i="63" s="1" a="1"/>
  <c r="G336" i="63" s="1"/>
  <c r="F289" i="63"/>
  <c r="G289" i="63" s="1" a="1"/>
  <c r="G289" i="63" s="1"/>
  <c r="F312" i="63"/>
  <c r="G312" i="63" s="1" a="1"/>
  <c r="G312" i="63" s="1"/>
  <c r="F284" i="63"/>
  <c r="G284" i="63" s="1" a="1"/>
  <c r="G284" i="63" s="1"/>
  <c r="F314" i="63"/>
  <c r="G314" i="63" s="1" a="1"/>
  <c r="G314" i="63" s="1"/>
  <c r="F316" i="63"/>
  <c r="G316" i="63" s="1" a="1"/>
  <c r="G316" i="63" s="1"/>
  <c r="F345" i="63"/>
  <c r="G345" i="63" s="1" a="1"/>
  <c r="G345" i="63" s="1"/>
  <c r="F367" i="63"/>
  <c r="G367" i="63" s="1" a="1"/>
  <c r="G367" i="63" s="1"/>
  <c r="J3" i="63" l="1"/>
  <c r="H3" i="63"/>
  <c r="I3" i="63"/>
  <c r="AC3" i="5"/>
  <c r="AC6" i="5" l="1"/>
  <c r="AC11" i="5"/>
  <c r="AC8" i="5"/>
  <c r="AC10" i="5"/>
  <c r="AC7" i="5"/>
  <c r="AC23" i="5"/>
  <c r="F18" i="36"/>
  <c r="C11" i="5" l="1" a="1"/>
  <c r="C11" i="5" s="1"/>
  <c r="D110"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AB30" i="14" a="1"/>
  <c r="F29" i="14" a="1"/>
  <c r="F30" i="14" a="1"/>
  <c r="D29" i="14" a="1"/>
  <c r="CF18" i="25" l="1"/>
  <c r="CF19" i="25" s="1"/>
  <c r="CR18" i="25"/>
  <c r="CR19" i="25" s="1"/>
  <c r="CH18" i="25"/>
  <c r="CH19" i="25" s="1"/>
  <c r="CI18" i="25"/>
  <c r="CI19" i="25" s="1"/>
  <c r="CS18" i="25"/>
  <c r="CS19" i="25" s="1"/>
  <c r="CJ18" i="25"/>
  <c r="CJ19" i="25" s="1"/>
  <c r="CK18" i="25"/>
  <c r="CK19" i="25" s="1"/>
  <c r="CM18" i="25"/>
  <c r="CM19" i="25" s="1"/>
  <c r="CP18" i="25"/>
  <c r="CP19" i="25" s="1"/>
  <c r="CO18" i="25"/>
  <c r="CO19" i="25" s="1"/>
  <c r="CQ18" i="25"/>
  <c r="CQ19" i="25" s="1"/>
  <c r="CG18" i="25"/>
  <c r="CG19" i="25" s="1"/>
  <c r="CN18" i="25"/>
  <c r="CN19" i="25" s="1"/>
  <c r="CL18" i="25"/>
  <c r="CL19" i="25" s="1"/>
  <c r="AP6" i="8"/>
  <c r="AP7" i="8" s="1"/>
  <c r="AR6" i="8"/>
  <c r="AR7" i="8" s="1"/>
  <c r="AF6" i="14"/>
  <c r="AF7" i="14" s="1"/>
  <c r="R6" i="8"/>
  <c r="R7" i="8" s="1"/>
  <c r="D115" i="61"/>
  <c r="D116" i="61" s="1"/>
  <c r="V6" i="14"/>
  <c r="V7" i="14" s="1"/>
  <c r="AD6" i="14"/>
  <c r="AD7" i="14" s="1"/>
  <c r="J6" i="14"/>
  <c r="J7" i="14" s="1"/>
  <c r="F41" i="75" a="1"/>
  <c r="F41" i="75" s="1"/>
  <c r="F42" i="75" s="1" a="1"/>
  <c r="F42" i="75" s="1"/>
  <c r="AX18" i="25"/>
  <c r="AX19" i="25" s="1"/>
  <c r="BB18" i="25"/>
  <c r="BB19" i="25" s="1"/>
  <c r="AN6" i="8"/>
  <c r="AN7" i="8" s="1"/>
  <c r="AH6" i="8"/>
  <c r="AH7" i="8" s="1"/>
  <c r="C13" i="5"/>
  <c r="AB29" i="14"/>
  <c r="AB31" i="14"/>
  <c r="AB30" i="14"/>
  <c r="F30" i="14"/>
  <c r="F29" i="14"/>
  <c r="D29" i="14"/>
  <c r="R26" i="25"/>
  <c r="AZ26" i="25" a="1"/>
  <c r="AV25" i="25" a="1"/>
  <c r="R25" i="25" a="1"/>
  <c r="AZ25" i="25" a="1"/>
  <c r="J116" i="61" l="1"/>
  <c r="AX116" i="61"/>
  <c r="AP116" i="61"/>
  <c r="BR116" i="61"/>
  <c r="R25" i="25"/>
  <c r="AZ26" i="25"/>
  <c r="AZ25" i="25"/>
  <c r="AV25" i="25"/>
  <c r="P27" i="25" a="1"/>
  <c r="P27" i="25" l="1"/>
  <c r="BT25" i="25" a="1"/>
  <c r="BT25" i="25" l="1"/>
  <c r="F54" i="33" a="1"/>
  <c r="F54" i="33" l="1"/>
  <c r="T10" i="8" l="1"/>
  <c r="T11" i="8" s="1"/>
  <c r="L11" i="8"/>
  <c r="AR11" i="8" s="1"/>
  <c r="J12" i="8"/>
  <c r="J30" i="8" s="1"/>
  <c r="AR28" i="8" l="1"/>
  <c r="V11" i="8"/>
  <c r="R11" i="8"/>
  <c r="P11" i="8"/>
  <c r="AB11" i="8"/>
  <c r="N11" i="8"/>
  <c r="AL11" i="8"/>
  <c r="BR113" i="61"/>
  <c r="BR111" i="61"/>
  <c r="AX100" i="61"/>
  <c r="AP100" i="61"/>
  <c r="J100" i="61"/>
  <c r="AX101" i="61"/>
  <c r="AP101" i="61"/>
  <c r="J101" i="61"/>
  <c r="BR98" i="61"/>
  <c r="BR99" i="61"/>
  <c r="D113" i="61"/>
  <c r="D112" i="61"/>
  <c r="D111" i="61"/>
  <c r="C112" i="61"/>
  <c r="C113" i="61"/>
  <c r="C111" i="61"/>
  <c r="C115" i="61"/>
  <c r="D114" i="61"/>
  <c r="R28" i="8" l="1"/>
  <c r="R10" i="14"/>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7" i="61"/>
  <c r="CI86" i="61"/>
  <c r="CI85" i="61"/>
  <c r="CI84" i="61"/>
  <c r="CI83" i="61"/>
  <c r="CI82" i="61"/>
  <c r="CI81" i="61"/>
  <c r="CI80" i="61"/>
  <c r="CI79" i="61"/>
  <c r="CI78" i="61"/>
  <c r="CI77" i="61"/>
  <c r="CI76" i="61"/>
  <c r="CE87" i="61"/>
  <c r="CE86" i="61"/>
  <c r="CE85" i="61"/>
  <c r="CE84" i="61"/>
  <c r="CE83" i="61"/>
  <c r="CE82" i="61"/>
  <c r="CE81" i="61"/>
  <c r="CE80" i="61"/>
  <c r="CE79" i="61"/>
  <c r="CE78" i="61"/>
  <c r="CE77" i="61"/>
  <c r="CE76" i="61"/>
  <c r="CA87" i="61"/>
  <c r="CA86" i="61"/>
  <c r="CA85" i="61"/>
  <c r="CA84" i="61"/>
  <c r="CA83" i="61"/>
  <c r="CA82" i="61"/>
  <c r="CA81" i="61"/>
  <c r="CA80" i="61"/>
  <c r="CA79" i="61"/>
  <c r="CA78" i="61"/>
  <c r="CA77" i="61"/>
  <c r="CA76" i="61"/>
  <c r="BX8" i="61"/>
  <c r="BW87" i="61"/>
  <c r="BW86" i="61"/>
  <c r="BW85" i="61"/>
  <c r="BW84" i="61"/>
  <c r="BW83" i="61"/>
  <c r="BW82" i="61"/>
  <c r="BW81" i="61"/>
  <c r="BW80" i="61"/>
  <c r="BW79" i="61"/>
  <c r="BW78" i="61"/>
  <c r="BW77" i="61"/>
  <c r="BW76" i="61"/>
  <c r="BL8" i="61"/>
  <c r="BO87" i="61"/>
  <c r="BO86" i="61"/>
  <c r="BO85" i="61"/>
  <c r="BO84" i="61"/>
  <c r="BO83" i="61"/>
  <c r="BO82" i="61"/>
  <c r="BO81" i="61"/>
  <c r="BO80" i="61"/>
  <c r="BO79" i="61"/>
  <c r="BO78" i="61"/>
  <c r="BO77" i="61"/>
  <c r="BO76" i="61"/>
  <c r="BK87" i="61"/>
  <c r="BK86" i="61"/>
  <c r="BK85" i="61"/>
  <c r="BK84" i="61"/>
  <c r="BK83" i="61"/>
  <c r="BK82" i="61"/>
  <c r="BK81" i="61"/>
  <c r="BK80" i="61"/>
  <c r="BK79" i="61"/>
  <c r="BK78" i="61"/>
  <c r="BK77" i="61"/>
  <c r="BK76" i="61"/>
  <c r="BG87" i="61"/>
  <c r="BG86" i="61"/>
  <c r="BG85" i="61"/>
  <c r="BG84" i="61"/>
  <c r="BG83" i="61"/>
  <c r="BG82" i="61"/>
  <c r="BG81" i="61"/>
  <c r="BG80" i="61"/>
  <c r="BG79" i="61"/>
  <c r="BG78" i="61"/>
  <c r="BG77" i="61"/>
  <c r="BG76" i="61"/>
  <c r="BC87" i="61"/>
  <c r="BC86" i="61"/>
  <c r="BC85" i="61"/>
  <c r="BC84" i="61"/>
  <c r="BC83" i="61"/>
  <c r="BC82" i="61"/>
  <c r="BC81" i="61"/>
  <c r="BC80" i="61"/>
  <c r="BC79" i="61"/>
  <c r="BC78" i="61"/>
  <c r="BC77" i="61"/>
  <c r="BC76" i="61"/>
  <c r="BH7" i="61"/>
  <c r="BH8" i="61" s="1"/>
  <c r="AZ8" i="61"/>
  <c r="AY87" i="61"/>
  <c r="AY86" i="61"/>
  <c r="AY85" i="61"/>
  <c r="AY84" i="61"/>
  <c r="AY83" i="61"/>
  <c r="AY82" i="61"/>
  <c r="AY81" i="61"/>
  <c r="AY80" i="61"/>
  <c r="AY79" i="61"/>
  <c r="AY78" i="61"/>
  <c r="AY77" i="61"/>
  <c r="AY76" i="61"/>
  <c r="AU87" i="61"/>
  <c r="AU86" i="61"/>
  <c r="AU85" i="61"/>
  <c r="AU84" i="61"/>
  <c r="AU83" i="61"/>
  <c r="AU82" i="61"/>
  <c r="AU81" i="61"/>
  <c r="AU80" i="61"/>
  <c r="AU79" i="61"/>
  <c r="AU78" i="61"/>
  <c r="AU77" i="61"/>
  <c r="AU76" i="61"/>
  <c r="AV8" i="61"/>
  <c r="AR6" i="61"/>
  <c r="AS6" i="61" s="1"/>
  <c r="AT6" i="61" s="1"/>
  <c r="AR8" i="61"/>
  <c r="AQ87" i="61"/>
  <c r="AQ86" i="61"/>
  <c r="AQ85" i="61"/>
  <c r="AQ84" i="61"/>
  <c r="AQ83" i="61"/>
  <c r="AQ82" i="61"/>
  <c r="AQ81" i="61"/>
  <c r="AQ80" i="61"/>
  <c r="AQ79" i="61"/>
  <c r="AQ78" i="61"/>
  <c r="AQ77" i="61"/>
  <c r="AQ76" i="61"/>
  <c r="AN8" i="61"/>
  <c r="AM87" i="61"/>
  <c r="AM86" i="61"/>
  <c r="AM85" i="61"/>
  <c r="AM84" i="61"/>
  <c r="AM83" i="61"/>
  <c r="AM82" i="61"/>
  <c r="AM81" i="61"/>
  <c r="AM80" i="61"/>
  <c r="AM79" i="61"/>
  <c r="AM78" i="61"/>
  <c r="AM77" i="61"/>
  <c r="AM76" i="61"/>
  <c r="C34" i="30" l="1"/>
  <c r="C33" i="30"/>
  <c r="BR8" i="61"/>
  <c r="BQ8" i="61"/>
  <c r="BJ8" i="61"/>
  <c r="BI8" i="61"/>
  <c r="BZ8" i="61"/>
  <c r="BY8" i="61"/>
  <c r="AT8" i="61"/>
  <c r="AS8" i="61"/>
  <c r="BM8" i="61"/>
  <c r="BN8" i="61"/>
  <c r="AW8" i="61"/>
  <c r="AX8" i="61"/>
  <c r="AO8" i="61"/>
  <c r="AP8" i="61"/>
  <c r="BB8" i="61"/>
  <c r="BA8" i="61"/>
  <c r="CH8" i="61"/>
  <c r="CG8" i="61"/>
  <c r="D34" i="30"/>
  <c r="C35" i="30"/>
  <c r="W87" i="61"/>
  <c r="W86" i="61"/>
  <c r="W85" i="61"/>
  <c r="W84" i="61"/>
  <c r="W83" i="61"/>
  <c r="W82" i="61"/>
  <c r="W81" i="61"/>
  <c r="W80" i="61"/>
  <c r="W79" i="61"/>
  <c r="W78" i="61"/>
  <c r="W77" i="61"/>
  <c r="W76" i="61"/>
  <c r="G87" i="61"/>
  <c r="G86" i="61"/>
  <c r="G85" i="61"/>
  <c r="G84" i="61"/>
  <c r="G83" i="61"/>
  <c r="G82" i="61"/>
  <c r="G81" i="61"/>
  <c r="G80" i="61"/>
  <c r="G79" i="61"/>
  <c r="G78" i="61"/>
  <c r="G77" i="61"/>
  <c r="G76" i="61"/>
  <c r="K87" i="61"/>
  <c r="K86" i="61"/>
  <c r="K85" i="61"/>
  <c r="K84" i="61"/>
  <c r="K83" i="61"/>
  <c r="K82" i="61"/>
  <c r="K81" i="61"/>
  <c r="K80" i="61"/>
  <c r="K79" i="61"/>
  <c r="K78" i="61"/>
  <c r="K77" i="61"/>
  <c r="AG24" i="25"/>
  <c r="AG25" i="25"/>
  <c r="AG26" i="25"/>
  <c r="AG27" i="25"/>
  <c r="AG28" i="25"/>
  <c r="AG29" i="25"/>
  <c r="C36" i="30" l="1"/>
  <c r="D35" i="30"/>
  <c r="AF32" i="25"/>
  <c r="AF13" i="25"/>
  <c r="AF14" i="25"/>
  <c r="AF25" i="25" l="1"/>
  <c r="D36" i="30"/>
  <c r="C37" i="30"/>
  <c r="C38" i="30"/>
  <c r="AF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7" i="34" a="1"/>
  <c r="F3" i="33" a="1"/>
  <c r="F42" i="34" a="1"/>
  <c r="F24"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9" i="61" s="1" a="1"/>
  <c r="CH79" i="61" s="1"/>
  <c r="CC12" i="61"/>
  <c r="CD12" i="61" s="1"/>
  <c r="CD79" i="61" s="1" a="1"/>
  <c r="CD79" i="61" s="1"/>
  <c r="BI12" i="61"/>
  <c r="BJ12" i="61" s="1"/>
  <c r="BJ79" i="61" s="1" a="1"/>
  <c r="BJ79" i="61" s="1"/>
  <c r="AS12" i="61"/>
  <c r="AT12" i="61" s="1"/>
  <c r="U12" i="61"/>
  <c r="V12" i="61" s="1"/>
  <c r="V79" i="61" s="1" a="1"/>
  <c r="V79" i="61" s="1"/>
  <c r="BY12" i="61"/>
  <c r="BZ12" i="61" s="1"/>
  <c r="BM12" i="61"/>
  <c r="BN12" i="61" s="1"/>
  <c r="BN79" i="61" s="1" a="1"/>
  <c r="BN79"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7" i="61" a="1"/>
  <c r="CD77" i="61" a="1"/>
  <c r="CD80" i="61" l="1"/>
  <c r="BN80" i="61"/>
  <c r="AT80" i="61"/>
  <c r="AL8" i="61"/>
  <c r="AK8" i="61"/>
  <c r="BE8" i="61"/>
  <c r="BF8" i="61"/>
  <c r="L18" i="61"/>
  <c r="P18" i="61"/>
  <c r="X18" i="61"/>
  <c r="AB18" i="61"/>
  <c r="AF18" i="61"/>
  <c r="M18" i="61"/>
  <c r="Q18" i="61"/>
  <c r="AG18" i="61"/>
  <c r="Y18" i="61"/>
  <c r="AC18" i="61"/>
  <c r="V80" i="61"/>
  <c r="BB81" i="61"/>
  <c r="BR80" i="61"/>
  <c r="BR103" i="61" s="1"/>
  <c r="BJ80" i="61"/>
  <c r="AX81" i="61"/>
  <c r="AX104" i="61" s="1"/>
  <c r="CW18" i="61"/>
  <c r="CP3" i="61"/>
  <c r="CX3" i="61"/>
  <c r="CV18" i="61"/>
  <c r="CO18" i="61"/>
  <c r="BN81" i="61"/>
  <c r="J103" i="61"/>
  <c r="AP80" i="61"/>
  <c r="AP103" i="61" s="1"/>
  <c r="CN18" i="61"/>
  <c r="AP81" i="61"/>
  <c r="AP104" i="61" s="1"/>
  <c r="BZ81" i="61"/>
  <c r="BZ80" i="61"/>
  <c r="CH80" i="61"/>
  <c r="AX80" i="61"/>
  <c r="AX103" i="61" s="1"/>
  <c r="CH81" i="61"/>
  <c r="BB80" i="61"/>
  <c r="J81" i="61"/>
  <c r="J104" i="61" s="1"/>
  <c r="AT79" i="61" a="1"/>
  <c r="AT79" i="61" s="1"/>
  <c r="AT81" i="61"/>
  <c r="BR79" i="61" a="1"/>
  <c r="BR79" i="61" s="1"/>
  <c r="BR102" i="61" s="1"/>
  <c r="BB82" i="61"/>
  <c r="J111" i="61"/>
  <c r="AX110" i="61"/>
  <c r="J110" i="61"/>
  <c r="AP110" i="61"/>
  <c r="AX111" i="61"/>
  <c r="AP111" i="61"/>
  <c r="CH77" i="61"/>
  <c r="CD77" i="61"/>
  <c r="AP82" i="61"/>
  <c r="AP105" i="61" s="1"/>
  <c r="AX82" i="61"/>
  <c r="AX105" i="61" s="1"/>
  <c r="BR82" i="61"/>
  <c r="BR105" i="61" s="1"/>
  <c r="J82" i="61"/>
  <c r="J105" i="61" s="1"/>
  <c r="AT82" i="61"/>
  <c r="BN82" i="61"/>
  <c r="BZ82" i="61"/>
  <c r="AP83" i="61" a="1"/>
  <c r="AP83" i="61" s="1"/>
  <c r="AP106" i="61" s="1"/>
  <c r="BZ83" i="61" a="1"/>
  <c r="BZ83" i="61" s="1"/>
  <c r="J85" i="61" a="1"/>
  <c r="J85" i="61" s="1"/>
  <c r="AP84" i="61" a="1"/>
  <c r="AP84" i="61" s="1"/>
  <c r="BZ84" i="61" a="1"/>
  <c r="BZ84" i="61" s="1"/>
  <c r="BR64" i="61"/>
  <c r="BR62" i="61"/>
  <c r="BX18" i="61"/>
  <c r="AZ18" i="61"/>
  <c r="AV18" i="61"/>
  <c r="AN18" i="61"/>
  <c r="H18" i="61"/>
  <c r="J84" i="61" a="1"/>
  <c r="J84" i="61" s="1"/>
  <c r="J107" i="61" s="1"/>
  <c r="BZ85" i="61" a="1"/>
  <c r="BZ85" i="61" s="1"/>
  <c r="BY18" i="61"/>
  <c r="BA18" i="61"/>
  <c r="AW18" i="61"/>
  <c r="AO18" i="61"/>
  <c r="I18" i="61"/>
  <c r="CH84" i="61" a="1"/>
  <c r="CH84" i="61" s="1"/>
  <c r="BL18" i="61"/>
  <c r="BM13" i="61"/>
  <c r="BN13" i="61" s="1"/>
  <c r="BN84" i="61" a="1"/>
  <c r="BN84" i="61" s="1"/>
  <c r="BB85" i="61" a="1"/>
  <c r="BB85" i="61" s="1"/>
  <c r="BB84" i="61" a="1"/>
  <c r="BB84" i="61" s="1"/>
  <c r="BB83" i="61" a="1"/>
  <c r="BB83" i="61" s="1"/>
  <c r="AX85" i="61" a="1"/>
  <c r="AX85" i="61" s="1"/>
  <c r="AX84" i="61" a="1"/>
  <c r="AX84" i="61" s="1"/>
  <c r="AX107" i="61" s="1"/>
  <c r="AX83" i="61" a="1"/>
  <c r="AX83" i="61" s="1"/>
  <c r="AX106" i="61" s="1"/>
  <c r="AT85" i="61" a="1"/>
  <c r="AT85" i="61" s="1"/>
  <c r="J83" i="61" a="1"/>
  <c r="J83" i="61" s="1"/>
  <c r="J106" i="61" s="1"/>
  <c r="BE6" i="61"/>
  <c r="BF6" i="61" s="1"/>
  <c r="BI6" i="61"/>
  <c r="BJ6" i="61" s="1"/>
  <c r="BJ81" i="61" s="1"/>
  <c r="AJ7" i="61"/>
  <c r="AK7" i="61" s="1"/>
  <c r="AL7" i="61" s="1"/>
  <c r="T13" i="61"/>
  <c r="U13" i="61" s="1"/>
  <c r="AR13" i="61"/>
  <c r="CC6" i="61"/>
  <c r="CD6" i="61" s="1"/>
  <c r="CD81" i="61" s="1"/>
  <c r="CF13" i="61"/>
  <c r="BZ13" i="61"/>
  <c r="BU12" i="61"/>
  <c r="BV12" i="61" s="1"/>
  <c r="CK12" i="61"/>
  <c r="CL12" i="61" s="1"/>
  <c r="AK12" i="61"/>
  <c r="AL12" i="61" s="1"/>
  <c r="CG7" i="61"/>
  <c r="CH7" i="61" s="1"/>
  <c r="CH82" i="61" s="1"/>
  <c r="AK6" i="61"/>
  <c r="AL6" i="61" s="1"/>
  <c r="U6" i="61"/>
  <c r="V6" i="61" s="1"/>
  <c r="V81" i="61" s="1"/>
  <c r="CB7" i="61"/>
  <c r="BD7" i="61"/>
  <c r="BH13" i="61"/>
  <c r="CD78" i="61" a="1"/>
  <c r="AP107" i="61" l="1"/>
  <c r="J108" i="61"/>
  <c r="AX108" i="61"/>
  <c r="AL82" i="61"/>
  <c r="AL81" i="61"/>
  <c r="AL83" i="61" a="1"/>
  <c r="AL83" i="61" s="1"/>
  <c r="CD78" i="61"/>
  <c r="CB13" i="61"/>
  <c r="CC13" i="61" s="1"/>
  <c r="CB8" i="61"/>
  <c r="CL85" i="61" a="1"/>
  <c r="CL85" i="61" s="1"/>
  <c r="AL84" i="61" a="1"/>
  <c r="AL84" i="61" s="1"/>
  <c r="AL85" i="61" a="1"/>
  <c r="AL85" i="61" s="1"/>
  <c r="BV85" i="61" a="1"/>
  <c r="BV85" i="61" s="1"/>
  <c r="BM18" i="61"/>
  <c r="AJ13" i="61"/>
  <c r="AJ18" i="61" s="1"/>
  <c r="V78" i="61"/>
  <c r="CF18" i="61"/>
  <c r="AS13" i="61"/>
  <c r="AT13" i="61" s="1"/>
  <c r="AR18" i="61"/>
  <c r="U7" i="61"/>
  <c r="V7" i="61" s="1"/>
  <c r="V82" i="61" s="1"/>
  <c r="T8" i="61"/>
  <c r="BH18" i="61"/>
  <c r="BD13" i="61"/>
  <c r="BI13" i="61"/>
  <c r="BJ13" i="61" s="1"/>
  <c r="BJ77" i="61" s="1"/>
  <c r="CG13" i="61"/>
  <c r="V13" i="61"/>
  <c r="V77" i="61" s="1"/>
  <c r="BE12" i="61"/>
  <c r="BF12" i="61" s="1"/>
  <c r="CC7" i="61"/>
  <c r="CD7" i="61" s="1"/>
  <c r="CD82" i="61" s="1"/>
  <c r="BI7" i="61"/>
  <c r="BJ7" i="61" s="1"/>
  <c r="BJ82" i="61" s="1"/>
  <c r="BE7" i="61"/>
  <c r="BF7" i="61" s="1"/>
  <c r="D3" i="31"/>
  <c r="V8" i="61" l="1"/>
  <c r="U8" i="61"/>
  <c r="CC8" i="61"/>
  <c r="CC18" i="61" s="1"/>
  <c r="CD8" i="61"/>
  <c r="BF82" i="61"/>
  <c r="BF81" i="61"/>
  <c r="CB18" i="61"/>
  <c r="V62" i="61"/>
  <c r="AT77" i="61"/>
  <c r="AT62" i="61"/>
  <c r="BJ62" i="61"/>
  <c r="AK13" i="61"/>
  <c r="AL13" i="61" s="1"/>
  <c r="BJ78" i="61"/>
  <c r="BF85" i="61" a="1"/>
  <c r="BF85" i="61" s="1"/>
  <c r="BF83" i="61" a="1"/>
  <c r="BF83" i="61" s="1"/>
  <c r="BF84" i="61" a="1"/>
  <c r="BF84" i="61" s="1"/>
  <c r="CG18" i="61"/>
  <c r="BI18" i="61"/>
  <c r="T18" i="61"/>
  <c r="AS18" i="61"/>
  <c r="CD13" i="61"/>
  <c r="CD62" i="61" s="1"/>
  <c r="BD18" i="61"/>
  <c r="CH13" i="61"/>
  <c r="BE13" i="61"/>
  <c r="AK18" i="61" l="1"/>
  <c r="CD64" i="61"/>
  <c r="CD63" i="61"/>
  <c r="CD65" i="61" s="1"/>
  <c r="AL77" i="61"/>
  <c r="AL62" i="61"/>
  <c r="AT64" i="61"/>
  <c r="AT63" i="61"/>
  <c r="AT65" i="61" s="1"/>
  <c r="CH62" i="61"/>
  <c r="BJ64" i="61"/>
  <c r="BJ63" i="61"/>
  <c r="BJ65" i="61" s="1"/>
  <c r="V63" i="61"/>
  <c r="V65" i="61" s="1"/>
  <c r="V64" i="61"/>
  <c r="U18" i="61"/>
  <c r="BE18" i="61"/>
  <c r="BF13" i="61"/>
  <c r="CH64" i="61" l="1"/>
  <c r="CH63" i="61"/>
  <c r="CH65" i="61" s="1"/>
  <c r="AL64" i="61"/>
  <c r="AL63" i="61"/>
  <c r="AL65" i="61" s="1"/>
  <c r="BF77"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T32" i="25"/>
  <c r="BT13" i="25"/>
  <c r="BT14" i="25"/>
  <c r="BU29" i="25"/>
  <c r="BU28" i="25"/>
  <c r="BU27" i="25"/>
  <c r="BU26" i="25"/>
  <c r="BU25" i="25"/>
  <c r="BU24" i="25"/>
  <c r="BQ29" i="25"/>
  <c r="BQ28" i="25"/>
  <c r="BQ27" i="25"/>
  <c r="BQ26" i="25"/>
  <c r="BQ25" i="25"/>
  <c r="BQ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T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H26" i="25"/>
  <c r="L10" i="8"/>
  <c r="AR10" i="8" s="1"/>
  <c r="BD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AR27" i="8"/>
  <c r="AF28" i="25"/>
  <c r="AF27" i="25"/>
  <c r="AL10" i="8"/>
  <c r="R10" i="8"/>
  <c r="AF31" i="14"/>
  <c r="AD31" i="14"/>
  <c r="AD10" i="14"/>
  <c r="AF10" i="14"/>
  <c r="H31" i="14"/>
  <c r="J9" i="14"/>
  <c r="J19" i="14" s="1"/>
  <c r="CR5" i="61"/>
  <c r="V9" i="14"/>
  <c r="V19" i="14" s="1"/>
  <c r="CT84" i="61" a="1"/>
  <c r="CT84" i="61" s="1"/>
  <c r="Z28" i="25"/>
  <c r="Z27" i="25"/>
  <c r="F31" i="36"/>
  <c r="H32" i="36"/>
  <c r="H31" i="36"/>
  <c r="F42" i="32"/>
  <c r="F32" i="36"/>
  <c r="F43" i="32"/>
  <c r="P10" i="8"/>
  <c r="AB10" i="8"/>
  <c r="V10" i="8"/>
  <c r="N10" i="8"/>
  <c r="BH25" i="25"/>
  <c r="BH11" i="25"/>
  <c r="BH13" i="25" s="1"/>
  <c r="BH12" i="25"/>
  <c r="BH14" i="25" s="1"/>
  <c r="L9" i="8"/>
  <c r="AR9" i="8" s="1"/>
  <c r="BD25" i="25"/>
  <c r="T30" i="14"/>
  <c r="CL84" i="61" a="1"/>
  <c r="CL84" i="61" s="1"/>
  <c r="BV84" i="61" a="1"/>
  <c r="BV84" i="61" s="1"/>
  <c r="CJ5" i="61"/>
  <c r="BT5" i="61"/>
  <c r="C40" i="60"/>
  <c r="D40" i="60"/>
  <c r="O41" i="60" a="1"/>
  <c r="O41" i="60" s="1"/>
  <c r="P41" i="60" a="1"/>
  <c r="P41" i="60" s="1"/>
  <c r="H9" i="14"/>
  <c r="T9" i="14"/>
  <c r="BD11" i="25"/>
  <c r="H13" i="25"/>
  <c r="H12" i="25"/>
  <c r="C3" i="53"/>
  <c r="C8" i="53" s="1"/>
  <c r="C5" i="53"/>
  <c r="C27" i="53"/>
  <c r="C12" i="53"/>
  <c r="V30" i="14" a="1"/>
  <c r="H30" i="14" a="1"/>
  <c r="AF30" i="14" a="1"/>
  <c r="J30" i="14" a="1"/>
  <c r="T29" i="14" a="1"/>
  <c r="AD30" i="14" a="1"/>
  <c r="H39" i="25" l="1"/>
  <c r="AR20" i="8"/>
  <c r="AR26" i="8"/>
  <c r="R27" i="8"/>
  <c r="N9" i="8"/>
  <c r="R9" i="8"/>
  <c r="AF30" i="14"/>
  <c r="AD30" i="14"/>
  <c r="AD9" i="14"/>
  <c r="AD19" i="14" s="1"/>
  <c r="AF9" i="14"/>
  <c r="J30" i="14"/>
  <c r="H30" i="14"/>
  <c r="V30" i="14"/>
  <c r="CS5" i="61"/>
  <c r="CT5" i="61" s="1"/>
  <c r="CR8" i="61"/>
  <c r="CR13" i="61"/>
  <c r="CS13" i="61" s="1"/>
  <c r="CT13" i="61" s="1"/>
  <c r="BJ17" i="25"/>
  <c r="BH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J29" i="14" a="1"/>
  <c r="H29" i="14" a="1"/>
  <c r="AF29" i="14" a="1"/>
  <c r="V29" i="14" a="1"/>
  <c r="Z30" i="14" a="1"/>
  <c r="Z29" i="14" a="1"/>
  <c r="R26" i="8" l="1"/>
  <c r="R20" i="8"/>
  <c r="V29" i="14"/>
  <c r="CS8" i="61"/>
  <c r="CT8" i="61"/>
  <c r="CT80" i="61" s="1"/>
  <c r="BU8" i="61"/>
  <c r="BV8" i="61"/>
  <c r="CK8" i="61"/>
  <c r="CL8" i="61"/>
  <c r="AF29" i="14"/>
  <c r="AF19" i="14"/>
  <c r="J29" i="14"/>
  <c r="H29" i="14"/>
  <c r="CR18" i="61"/>
  <c r="CT83" i="61" a="1"/>
  <c r="CT83" i="61" s="1"/>
  <c r="Z30" i="14"/>
  <c r="Z29" i="14"/>
  <c r="CJ18" i="61"/>
  <c r="BV83" i="61" a="1"/>
  <c r="BV83" i="61" s="1"/>
  <c r="CL83" i="61" a="1"/>
  <c r="CL83" i="61" s="1"/>
  <c r="BT18" i="61"/>
  <c r="F3" i="60"/>
  <c r="AF30" i="8"/>
  <c r="F26" i="60" a="1"/>
  <c r="X29" i="14" a="1"/>
  <c r="X30" i="14" a="1"/>
  <c r="AD29" i="14" a="1"/>
  <c r="AD29" i="14" l="1"/>
  <c r="CS18" i="61"/>
  <c r="CT82" i="61"/>
  <c r="CT81" i="61"/>
  <c r="X29" i="14"/>
  <c r="X30" i="14"/>
  <c r="CL81" i="61"/>
  <c r="CL82" i="61"/>
  <c r="BV81" i="61"/>
  <c r="BV82" i="61"/>
  <c r="CL80"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D12" i="25"/>
  <c r="G41" i="35" l="1" a="1"/>
  <c r="G41" i="35" s="1"/>
  <c r="L59" i="40"/>
  <c r="C34" i="40"/>
  <c r="C35" i="40"/>
  <c r="C36" i="40"/>
  <c r="C37" i="40"/>
  <c r="C33" i="40"/>
  <c r="C26" i="40"/>
  <c r="C25" i="40"/>
  <c r="Q3" i="9"/>
  <c r="S46" i="9" s="1"/>
  <c r="G3" i="9"/>
  <c r="I46"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H37" i="24" a="1"/>
  <c r="J37" i="24" a="1"/>
  <c r="N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V26" i="25"/>
  <c r="BV25" i="25"/>
  <c r="N30" i="14" a="1"/>
  <c r="L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P25" i="25" l="1"/>
  <c r="AP32" i="25" l="1"/>
  <c r="AP13" i="25"/>
  <c r="AP14" i="25"/>
  <c r="AQ29" i="25"/>
  <c r="AQ28" i="25"/>
  <c r="AQ27" i="25"/>
  <c r="AQ26" i="25"/>
  <c r="AQ25" i="25"/>
  <c r="AQ24" i="25"/>
  <c r="AP17" i="25" l="1"/>
  <c r="I3" i="21"/>
  <c r="I23" i="21"/>
  <c r="AR32" i="25" l="1"/>
  <c r="AR13" i="25"/>
  <c r="AR12" i="25"/>
  <c r="AS29" i="25"/>
  <c r="AS28" i="25"/>
  <c r="AS27" i="25"/>
  <c r="AS26" i="25"/>
  <c r="AS25" i="25"/>
  <c r="AS24" i="25"/>
  <c r="AR26" i="25" a="1"/>
  <c r="AR26" i="25" l="1"/>
  <c r="AR14" i="25"/>
  <c r="AR27" i="25" s="1"/>
  <c r="AR17" i="25" l="1"/>
  <c r="N27" i="25"/>
  <c r="N25" i="25"/>
  <c r="BW29" i="25"/>
  <c r="BW28" i="25"/>
  <c r="BW27" i="25"/>
  <c r="BW26" i="25"/>
  <c r="BW25" i="25"/>
  <c r="BW24" i="25"/>
  <c r="BM29" i="25"/>
  <c r="BM28" i="25"/>
  <c r="BM27" i="25"/>
  <c r="BM25" i="25"/>
  <c r="BM24" i="25"/>
  <c r="BA29" i="25"/>
  <c r="BA28" i="25"/>
  <c r="BA27" i="25"/>
  <c r="BA26" i="25"/>
  <c r="BA25" i="25"/>
  <c r="BA24" i="25"/>
  <c r="AW29" i="25"/>
  <c r="AW28" i="25"/>
  <c r="AW27" i="25"/>
  <c r="AW26" i="25"/>
  <c r="AW25" i="25"/>
  <c r="AW24" i="25"/>
  <c r="AO29" i="25"/>
  <c r="AO28" i="25"/>
  <c r="AO27" i="25"/>
  <c r="AO26" i="25"/>
  <c r="AO25" i="25"/>
  <c r="AO24" i="25"/>
  <c r="AM29" i="25"/>
  <c r="AM28" i="25"/>
  <c r="AM27" i="25"/>
  <c r="AM26" i="25"/>
  <c r="AM25" i="25"/>
  <c r="AM24" i="25"/>
  <c r="AK29" i="25"/>
  <c r="AK28" i="25"/>
  <c r="AK27" i="25"/>
  <c r="AK26" i="25"/>
  <c r="AK25" i="25"/>
  <c r="AK24" i="25"/>
  <c r="AI29" i="25"/>
  <c r="AI28" i="25"/>
  <c r="AI27" i="25"/>
  <c r="AI26" i="25"/>
  <c r="AI25" i="25"/>
  <c r="AI24" i="25"/>
  <c r="AE29" i="25"/>
  <c r="AE28" i="25"/>
  <c r="AE27" i="25"/>
  <c r="AE26" i="25"/>
  <c r="AE25" i="25"/>
  <c r="AE24" i="25"/>
  <c r="AA29" i="25"/>
  <c r="AA28" i="25"/>
  <c r="AA27" i="25"/>
  <c r="AA26" i="25"/>
  <c r="AA25" i="25"/>
  <c r="AA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T3" i="25" l="1"/>
  <c r="T18" i="25" s="1"/>
  <c r="T19" i="25" s="1"/>
  <c r="CD3" i="25"/>
  <c r="CD18" i="25" s="1"/>
  <c r="CD19" i="25" s="1"/>
  <c r="C24" i="78"/>
  <c r="C26" i="78" s="1" a="1"/>
  <c r="C26" i="78" s="1"/>
  <c r="C27" i="78" s="1" a="1"/>
  <c r="C27" i="78" s="1"/>
  <c r="X3" i="25"/>
  <c r="X18" i="25" s="1"/>
  <c r="X19" i="25" s="1"/>
  <c r="V3" i="25"/>
  <c r="V18" i="25" s="1"/>
  <c r="V19" i="25" s="1"/>
  <c r="F3" i="25"/>
  <c r="F18" i="25" s="1"/>
  <c r="F19" i="25" s="1"/>
  <c r="E37" i="72"/>
  <c r="E39" i="72" s="1" a="1"/>
  <c r="E39" i="72" s="1"/>
  <c r="E40" i="72" s="1" a="1"/>
  <c r="E40" i="72" s="1"/>
  <c r="F46" i="26"/>
  <c r="BX3" i="25"/>
  <c r="CB3" i="25"/>
  <c r="CB18" i="25" s="1"/>
  <c r="CB19" i="25" s="1"/>
  <c r="F32" i="73"/>
  <c r="BJ3" i="25"/>
  <c r="BJ18" i="25" s="1"/>
  <c r="BJ19" i="25" s="1"/>
  <c r="G31" i="71"/>
  <c r="G33" i="71" s="1" a="1"/>
  <c r="G33" i="71" s="1"/>
  <c r="G34" i="71" s="1" a="1"/>
  <c r="G34" i="71" s="1"/>
  <c r="I44" i="70"/>
  <c r="AB3" i="25"/>
  <c r="AB18" i="25" s="1"/>
  <c r="AB19" i="25" s="1"/>
  <c r="AD3" i="25"/>
  <c r="BP3" i="25"/>
  <c r="AF3" i="25"/>
  <c r="BD3" i="25"/>
  <c r="F30" i="76" s="1"/>
  <c r="F32" i="76" s="1" a="1"/>
  <c r="F32" i="76" s="1"/>
  <c r="F33" i="76" s="1" a="1"/>
  <c r="F33" i="76" s="1"/>
  <c r="BH3" i="25"/>
  <c r="BH18" i="25" s="1"/>
  <c r="BH19" i="25" s="1"/>
  <c r="E25" i="69"/>
  <c r="E27" i="69" s="1" a="1"/>
  <c r="E27" i="69" s="1"/>
  <c r="E28" i="69" s="1" a="1"/>
  <c r="E28" i="69" s="1"/>
  <c r="BN3" i="25"/>
  <c r="BN18" i="25" s="1"/>
  <c r="BN19" i="25" s="1"/>
  <c r="BT3" i="25"/>
  <c r="BT18" i="25" s="1"/>
  <c r="BT19" i="25" s="1"/>
  <c r="F60" i="68"/>
  <c r="BZ3" i="25"/>
  <c r="BZ18" i="25" s="1"/>
  <c r="BZ19" i="25" s="1"/>
  <c r="BR3" i="25"/>
  <c r="BR18" i="25" s="1"/>
  <c r="BR19" i="25" s="1"/>
  <c r="F37" i="65"/>
  <c r="F39" i="65" s="1" a="1"/>
  <c r="F39" i="65" s="1"/>
  <c r="F40" i="65" s="1" a="1"/>
  <c r="F40" i="65" s="1"/>
  <c r="AT3" i="25"/>
  <c r="AT18" i="25" s="1"/>
  <c r="AT19" i="25" s="1"/>
  <c r="E28" i="64"/>
  <c r="E30" i="64" s="1" a="1"/>
  <c r="E30" i="64" s="1"/>
  <c r="E31" i="64" s="1" a="1"/>
  <c r="E31" i="64" s="1"/>
  <c r="F33" i="62"/>
  <c r="BR3" i="61"/>
  <c r="CH3" i="61"/>
  <c r="CD3" i="61"/>
  <c r="G42" i="35"/>
  <c r="G44" i="35" s="1" a="1"/>
  <c r="G44" i="35" s="1"/>
  <c r="G45" i="35" s="1" a="1"/>
  <c r="G45" i="35" s="1"/>
  <c r="AR3" i="25"/>
  <c r="AR18" i="25" s="1"/>
  <c r="AR19" i="25" s="1"/>
  <c r="AF18" i="25" l="1"/>
  <c r="AF19" i="25" s="1"/>
  <c r="F6" i="14"/>
  <c r="D6" i="14"/>
  <c r="AL6" i="8"/>
  <c r="AD6" i="8"/>
  <c r="AB6" i="8"/>
  <c r="X6" i="8"/>
  <c r="Z6" i="8" s="1"/>
  <c r="V6" i="8"/>
  <c r="T6" i="8"/>
  <c r="N6" i="8"/>
  <c r="L6" i="8"/>
  <c r="J6" i="8"/>
  <c r="H6" i="8"/>
  <c r="F6" i="8"/>
  <c r="D6" i="8"/>
  <c r="C32" i="5"/>
  <c r="D3" i="58"/>
  <c r="I100" i="58"/>
  <c r="I99" i="58"/>
  <c r="I98" i="58"/>
  <c r="I97" i="58"/>
  <c r="I96" i="58"/>
  <c r="I95" i="58"/>
  <c r="I94" i="58"/>
  <c r="CK24" i="25" l="1"/>
  <c r="CR24" i="25"/>
  <c r="CJ24" i="25"/>
  <c r="CN24" i="25"/>
  <c r="CO24" i="25"/>
  <c r="CL24" i="25"/>
  <c r="CF24" i="25"/>
  <c r="CI24" i="25"/>
  <c r="CP24" i="25"/>
  <c r="CQ24" i="25"/>
  <c r="CS24" i="25"/>
  <c r="CM24" i="25"/>
  <c r="CG24" i="25"/>
  <c r="CH24" i="25"/>
  <c r="G49" i="35"/>
  <c r="T24" i="25"/>
  <c r="J17" i="40"/>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V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P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H32" i="25" l="1"/>
  <c r="AH12" i="25"/>
  <c r="AH13" i="25"/>
  <c r="AH26" i="25" a="1"/>
  <c r="AH25" i="25" a="1"/>
  <c r="AH26" i="25" l="1"/>
  <c r="AH25" i="25"/>
  <c r="AH14" i="25"/>
  <c r="AH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X32" i="25" l="1"/>
  <c r="BX14" i="25"/>
  <c r="BX13" i="25"/>
  <c r="BX17" i="25" l="1"/>
  <c r="BX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V32" i="25" l="1"/>
  <c r="BV14" i="25"/>
  <c r="BV13" i="25"/>
  <c r="BV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P32" i="25"/>
  <c r="BP13" i="25"/>
  <c r="BP14" i="25"/>
  <c r="BL32" i="25"/>
  <c r="BL13" i="25"/>
  <c r="BL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P17" i="25"/>
  <c r="BP18" i="25" s="1"/>
  <c r="BL14" i="25"/>
  <c r="BL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Z32" i="25"/>
  <c r="AZ14" i="25"/>
  <c r="AZ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Z17" i="25"/>
  <c r="AZ18" i="25" s="1"/>
  <c r="C6" i="39" a="1"/>
  <c r="C6" i="39" s="1"/>
  <c r="L24" i="40"/>
  <c r="L45" i="40"/>
  <c r="L36" i="40"/>
  <c r="L39" i="40"/>
  <c r="L42" i="40"/>
  <c r="L48" i="40"/>
  <c r="L33" i="40"/>
  <c r="D15" i="44"/>
  <c r="D29" i="44" s="1"/>
  <c r="G26" i="40"/>
  <c r="L25" i="40"/>
  <c r="C5" i="39" a="1"/>
  <c r="C5" i="39" s="1"/>
  <c r="C7" i="39" s="1" a="1"/>
  <c r="C7" i="39" s="1"/>
  <c r="C3" i="38"/>
  <c r="F25" i="45" a="1"/>
  <c r="F11" i="45" a="1"/>
  <c r="F20"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V32" i="25"/>
  <c r="AV13" i="25"/>
  <c r="AV14" i="25"/>
  <c r="AN13" i="25"/>
  <c r="AN12" i="25"/>
  <c r="AN32" i="25"/>
  <c r="AL32" i="25"/>
  <c r="AL13" i="25"/>
  <c r="AL12" i="25"/>
  <c r="AJ32" i="25"/>
  <c r="AJ12" i="25"/>
  <c r="AJ13" i="25"/>
  <c r="C25" i="35"/>
  <c r="G24" i="35"/>
  <c r="G5" i="35"/>
  <c r="F23" i="39" l="1"/>
  <c r="C24" i="39" a="1"/>
  <c r="C24" i="39" s="1"/>
  <c r="D24" i="39"/>
  <c r="B9" i="38"/>
  <c r="D8" i="38"/>
  <c r="C8" i="38"/>
  <c r="F37" i="44"/>
  <c r="AP3" i="25"/>
  <c r="AP18" i="25" s="1"/>
  <c r="AP19" i="25" s="1"/>
  <c r="N3" i="25"/>
  <c r="N18" i="25" s="1"/>
  <c r="N19" i="25" s="1"/>
  <c r="AV17" i="25"/>
  <c r="AV18" i="25" s="1"/>
  <c r="C25" i="41"/>
  <c r="K25" i="41" s="1"/>
  <c r="I31" i="41"/>
  <c r="AL14" i="25"/>
  <c r="AL17" i="25" s="1"/>
  <c r="AJ14" i="25"/>
  <c r="AN14" i="25"/>
  <c r="AN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D32" i="25"/>
  <c r="AD14" i="25"/>
  <c r="AD13" i="25"/>
  <c r="C48" i="5"/>
  <c r="F32" i="74" s="1"/>
  <c r="Z32" i="25"/>
  <c r="Z14" i="25"/>
  <c r="Z13" i="25"/>
  <c r="F24" i="39" l="1"/>
  <c r="F31" i="39" s="1"/>
  <c r="C9" i="38"/>
  <c r="D9" i="38"/>
  <c r="AD26" i="25"/>
  <c r="AD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D17" i="25"/>
  <c r="AD18" i="25" s="1"/>
  <c r="AD19" i="25" s="1"/>
  <c r="AJ17" i="25"/>
  <c r="Z17" i="25"/>
  <c r="Z18" i="25" s="1"/>
  <c r="Z19" i="25" s="1"/>
  <c r="C29" i="41"/>
  <c r="K29" i="41" s="1"/>
  <c r="C27" i="41"/>
  <c r="H27" i="41" s="1"/>
  <c r="H31" i="41" s="1"/>
  <c r="C26" i="41"/>
  <c r="F53" i="33" a="1"/>
  <c r="F53" i="33" s="1"/>
  <c r="F64" i="34" a="1"/>
  <c r="F64" i="34" s="1"/>
  <c r="F63" i="34" a="1"/>
  <c r="F63" i="34" s="1"/>
  <c r="C13" i="50" a="1"/>
  <c r="C13" i="50" s="1"/>
  <c r="C15" i="49" a="1"/>
  <c r="C15" i="49" s="1"/>
  <c r="C13" i="48" a="1"/>
  <c r="C13" i="48" s="1"/>
  <c r="AD7" i="8"/>
  <c r="BP19" i="25"/>
  <c r="J20" i="40" a="1"/>
  <c r="J20" i="40" s="1"/>
  <c r="D19" i="25"/>
  <c r="C12" i="39" a="1"/>
  <c r="C12" i="39" s="1"/>
  <c r="H19" i="25"/>
  <c r="AZ19" i="25"/>
  <c r="AB7" i="14"/>
  <c r="B10" i="38"/>
  <c r="F48" i="34"/>
  <c r="F49" i="34"/>
  <c r="C10" i="30"/>
  <c r="C11" i="30" s="1"/>
  <c r="C12" i="30" s="1"/>
  <c r="C13" i="30" s="1"/>
  <c r="D9" i="30"/>
  <c r="I20" i="29" a="1"/>
  <c r="I20" i="29" s="1"/>
  <c r="H22" i="29" s="1" a="1"/>
  <c r="H22" i="29" s="1"/>
  <c r="H22" i="28" a="1"/>
  <c r="H22" i="28" s="1"/>
  <c r="F6" i="32" a="1"/>
  <c r="AJ30" i="8" a="1"/>
  <c r="F57" i="30"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D32" i="25"/>
  <c r="BD14" i="25"/>
  <c r="BD13" i="25"/>
  <c r="E6" i="64" a="1"/>
  <c r="E36" i="64" a="1"/>
  <c r="E6" i="64" l="1"/>
  <c r="D11" i="38"/>
  <c r="C11" i="38"/>
  <c r="F40" i="32" a="1"/>
  <c r="F40" i="32" s="1"/>
  <c r="E36" i="64"/>
  <c r="K27" i="41"/>
  <c r="K31" i="41"/>
  <c r="BD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D18" i="25"/>
  <c r="BD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F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F12" i="25"/>
  <c r="BF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 i="26" a="1"/>
  <c r="F55" i="26" a="1"/>
  <c r="F56"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F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F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31" i="22" a="1"/>
  <c r="H6" i="18" a="1"/>
  <c r="H47" i="22" a="1"/>
  <c r="H51" i="18" a="1"/>
  <c r="H39" i="22" a="1"/>
  <c r="H35" i="22" a="1"/>
  <c r="H23" i="22" a="1"/>
  <c r="H51" i="22" a="1"/>
  <c r="H27" i="22" a="1"/>
  <c r="H43" i="22" a="1"/>
  <c r="S36" i="9" l="1"/>
  <c r="L30" i="23" a="1"/>
  <c r="L30" i="23" s="1"/>
  <c r="K30" i="23" a="1"/>
  <c r="K30" i="23" s="1"/>
  <c r="J27" i="23"/>
  <c r="N27" i="23" a="1"/>
  <c r="N27" i="23" s="1"/>
  <c r="M27" i="23" a="1"/>
  <c r="M27" i="23" s="1"/>
  <c r="S44"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T31" i="14" a="1"/>
  <c r="L29" i="14" a="1"/>
  <c r="Z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F3" i="25"/>
  <c r="E26" i="42"/>
  <c r="I13" i="41"/>
  <c r="R3" i="25"/>
  <c r="AH3" i="25"/>
  <c r="BX19" i="25"/>
  <c r="F37" i="54"/>
  <c r="H41" i="18"/>
  <c r="BV3" i="25"/>
  <c r="F36" i="45"/>
  <c r="F36" i="43"/>
  <c r="BL3" i="25"/>
  <c r="AJ3" i="25"/>
  <c r="AL3" i="25"/>
  <c r="AN3" i="25"/>
  <c r="AV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X31" i="14" a="1"/>
  <c r="F11" i="62" a="1"/>
  <c r="T22" i="25" a="1"/>
  <c r="T22" i="25" l="1"/>
  <c r="F25" i="74"/>
  <c r="F27" i="74" s="1"/>
  <c r="C6" i="74" a="1"/>
  <c r="C6" i="74"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N18" i="25"/>
  <c r="AN19" i="25" s="1"/>
  <c r="F38" i="45"/>
  <c r="F39" i="45" s="1" a="1"/>
  <c r="F39" i="45" s="1"/>
  <c r="R18" i="25"/>
  <c r="R19" i="25" s="1"/>
  <c r="BF18" i="25"/>
  <c r="BF19" i="25" s="1"/>
  <c r="AL18" i="25"/>
  <c r="AL19" i="25" s="1"/>
  <c r="BV18" i="25"/>
  <c r="BV19" i="25" s="1"/>
  <c r="AH18" i="25"/>
  <c r="AH19" i="25" s="1"/>
  <c r="F55" i="34"/>
  <c r="F56" i="34" s="1" a="1"/>
  <c r="F56" i="34" s="1"/>
  <c r="AJ18" i="25"/>
  <c r="AJ19" i="25" s="1"/>
  <c r="BL18" i="25"/>
  <c r="BL19" i="25" s="1"/>
  <c r="I32" i="23"/>
  <c r="H35" i="23"/>
  <c r="C14" i="42"/>
  <c r="B13" i="42"/>
  <c r="C17" i="42"/>
  <c r="C17" i="19"/>
  <c r="C9" i="19"/>
  <c r="C19" i="19"/>
  <c r="C11" i="19"/>
  <c r="C15" i="19"/>
  <c r="C7" i="19"/>
  <c r="C21" i="19"/>
  <c r="C13" i="19"/>
  <c r="C46" i="78" a="1"/>
  <c r="C45" i="78" a="1"/>
  <c r="F15" i="62"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E3" i="5" a="1"/>
  <c r="AE3" i="5" s="1"/>
  <c r="AE11" i="5" s="1"/>
  <c r="F27" i="68" a="1"/>
  <c r="E5" i="42" a="1"/>
  <c r="F23" i="62" a="1"/>
  <c r="F32" i="68" a="1"/>
  <c r="F44" i="68" a="1"/>
  <c r="F6" i="68" a="1"/>
  <c r="F6" i="74" a="1"/>
  <c r="F37" i="68" a="1"/>
  <c r="AE9" i="5" l="1"/>
  <c r="F6" i="74"/>
  <c r="F40" i="74" s="1"/>
  <c r="C47" i="78"/>
  <c r="J35" i="23"/>
  <c r="M35" i="23" a="1"/>
  <c r="M35" i="23" s="1"/>
  <c r="N35" i="23" a="1"/>
  <c r="N35" i="23" s="1"/>
  <c r="O32" i="23" a="1"/>
  <c r="O32" i="23" s="1"/>
  <c r="P32" i="23" a="1"/>
  <c r="P32" i="23" s="1"/>
  <c r="K36" i="23" a="1"/>
  <c r="K36" i="23" s="1"/>
  <c r="L36" i="23" a="1"/>
  <c r="L36" i="23" s="1"/>
  <c r="AE10" i="5"/>
  <c r="AE8" i="5"/>
  <c r="AE7" i="5"/>
  <c r="AE23" i="5"/>
  <c r="AE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H40" i="23"/>
  <c r="I37" i="23"/>
  <c r="C32" i="23"/>
  <c r="D32" i="23"/>
  <c r="S30" i="9" l="1" a="1"/>
  <c r="S30" i="9" s="1"/>
  <c r="S37" i="9" s="1"/>
  <c r="S38" i="9"/>
  <c r="O36" i="23"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3" i="61"/>
  <c r="J112" i="61"/>
  <c r="AX113" i="61"/>
  <c r="AP113" i="61"/>
  <c r="AX112" i="61"/>
  <c r="AP112"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30" i="31" a="1"/>
  <c r="E6" i="15" a="1"/>
  <c r="F19" i="31" a="1"/>
  <c r="F26" i="31" a="1"/>
  <c r="F34" i="31" a="1"/>
  <c r="F42" i="31" a="1"/>
  <c r="F38" i="31" a="1"/>
  <c r="F46" i="31" a="1"/>
  <c r="F6" i="31" a="1"/>
  <c r="E14" i="15" l="1"/>
  <c r="E17" i="15"/>
  <c r="E16" i="15"/>
  <c r="F38" i="3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L24" i="3" a="1"/>
  <c r="L24" i="3" s="1"/>
  <c r="N23" i="3" a="1"/>
  <c r="N23" i="3" s="1"/>
  <c r="J34" i="40"/>
  <c r="I40" i="40" s="1"/>
  <c r="E35" i="40"/>
  <c r="M24" i="3" a="1"/>
  <c r="M24" i="3" s="1"/>
  <c r="O23" i="3" a="1"/>
  <c r="O23" i="3" s="1"/>
  <c r="E3" i="51"/>
  <c r="F2" i="36"/>
  <c r="C22" i="28"/>
  <c r="C23" i="28"/>
  <c r="D23" i="28"/>
  <c r="D22" i="28"/>
  <c r="F3" i="23"/>
  <c r="D23" i="7"/>
  <c r="C22" i="7"/>
  <c r="C23" i="7"/>
  <c r="D22" i="7"/>
  <c r="BN18" i="61" a="1"/>
  <c r="N18" i="61" a="1"/>
  <c r="BV18" i="61" a="1"/>
  <c r="F8" i="23" a="1"/>
  <c r="CL18" i="61" a="1"/>
  <c r="BF18" i="61" a="1"/>
  <c r="CD18" i="61" a="1"/>
  <c r="AP18" i="61" a="1"/>
  <c r="BZ18" i="61" a="1"/>
  <c r="E6" i="51" a="1"/>
  <c r="CX18" i="61" a="1"/>
  <c r="F25" i="23" a="1"/>
  <c r="J18" i="61" a="1"/>
  <c r="Z18" i="61" a="1"/>
  <c r="CT18" i="61" a="1"/>
  <c r="AX18" i="61" a="1"/>
  <c r="BB18" i="61" a="1"/>
  <c r="AH18" i="61" a="1"/>
  <c r="CH18" i="61" a="1"/>
  <c r="AL18" i="61" a="1"/>
  <c r="F35" i="23" a="1"/>
  <c r="BJ18" i="61" a="1"/>
  <c r="V18" i="61" a="1"/>
  <c r="AT18" i="61" a="1"/>
  <c r="F40" i="23" a="1"/>
  <c r="AD18" i="61" a="1"/>
  <c r="F5" i="36" a="1"/>
  <c r="BN52" i="61" a="1"/>
  <c r="R18" i="61" a="1"/>
  <c r="CP18" i="61" a="1"/>
  <c r="F30" i="23" a="1"/>
  <c r="K81" i="67" l="1" a="1"/>
  <c r="K81" i="67" s="1"/>
  <c r="K83" i="67" s="1"/>
  <c r="K84" i="67"/>
  <c r="BM57" i="6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4" i="61"/>
  <c r="R62" i="61"/>
  <c r="R64" i="61"/>
  <c r="N65" i="61"/>
  <c r="N63" i="61"/>
  <c r="AP63" i="61"/>
  <c r="AP65" i="61"/>
  <c r="J64" i="61"/>
  <c r="J62" i="61"/>
  <c r="BZ62" i="61"/>
  <c r="BZ64" i="61"/>
  <c r="CT62" i="61"/>
  <c r="CT64" i="61"/>
  <c r="CL65" i="61"/>
  <c r="CL63" i="61"/>
  <c r="AX63" i="61"/>
  <c r="AX65" i="61"/>
  <c r="AP64" i="61"/>
  <c r="AP62" i="61"/>
  <c r="J114" i="61"/>
  <c r="J40" i="40"/>
  <c r="J46" i="40"/>
  <c r="BV63" i="61"/>
  <c r="BV65" i="61"/>
  <c r="BB65" i="61"/>
  <c r="BB63" i="61"/>
  <c r="CL62" i="61"/>
  <c r="CL64" i="61"/>
  <c r="AX64" i="61"/>
  <c r="AX62" i="61"/>
  <c r="BR81" i="61"/>
  <c r="BR104" i="61" s="1"/>
  <c r="AP114" i="61"/>
  <c r="CT63" i="61"/>
  <c r="CT65" i="61"/>
  <c r="N62" i="61"/>
  <c r="N64" i="61"/>
  <c r="R63" i="61"/>
  <c r="R65" i="61"/>
  <c r="I46" i="40"/>
  <c r="AP3" i="61"/>
  <c r="AH68" i="61"/>
  <c r="AH69" i="61" s="1"/>
  <c r="AD68" i="61"/>
  <c r="AD69" i="61" s="1"/>
  <c r="Z68" i="61"/>
  <c r="Z69" i="61" s="1"/>
  <c r="AX3" i="61"/>
  <c r="CL3" i="61"/>
  <c r="CP68" i="61"/>
  <c r="CP69" i="61" s="1"/>
  <c r="CT3" i="61"/>
  <c r="CX68" i="61"/>
  <c r="CX69" i="61" s="1"/>
  <c r="E36"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0" i="61" a="1"/>
  <c r="BN57" i="61" a="1"/>
  <c r="BN37" i="61" a="1"/>
  <c r="BV71" i="61" l="1"/>
  <c r="CL71" i="61"/>
  <c r="BB71" i="61"/>
  <c r="N71" i="61"/>
  <c r="BZ71" i="61"/>
  <c r="AX71" i="61"/>
  <c r="AP71" i="61"/>
  <c r="J71" i="61"/>
  <c r="CT71" i="61"/>
  <c r="R71" i="61"/>
  <c r="R79" i="61" a="1"/>
  <c r="R79" i="61" s="1"/>
  <c r="N79" i="61" a="1"/>
  <c r="N79" i="61" s="1"/>
  <c r="BV79" i="61" a="1"/>
  <c r="BV79" i="61" s="1"/>
  <c r="L46" i="40"/>
  <c r="BN33" i="61"/>
  <c r="BN32" i="61"/>
  <c r="BN30" i="61"/>
  <c r="BN34" i="61"/>
  <c r="BN31" i="61"/>
  <c r="BN57" i="61"/>
  <c r="BN58" i="61"/>
  <c r="BN59" i="61"/>
  <c r="BN37" i="61"/>
  <c r="BN38" i="61"/>
  <c r="BN39" i="61"/>
  <c r="Z85" i="61" a="1"/>
  <c r="Z85" i="61" s="1"/>
  <c r="AH85" i="61" a="1"/>
  <c r="AH85" i="61" s="1"/>
  <c r="AD85" i="61" a="1"/>
  <c r="AD85" i="61" s="1"/>
  <c r="N67" i="61"/>
  <c r="N66" i="61" s="1"/>
  <c r="C14" i="5"/>
  <c r="G58" i="35" s="1" a="1"/>
  <c r="G58" i="35" s="1"/>
  <c r="E47" i="40"/>
  <c r="L35" i="40"/>
  <c r="F41" i="40"/>
  <c r="F47" i="40"/>
  <c r="R67" i="61"/>
  <c r="CX85" i="61" a="1"/>
  <c r="CX85" i="61" s="1"/>
  <c r="CT67" i="61"/>
  <c r="CT68" i="61" s="1"/>
  <c r="CT79" i="61" a="1"/>
  <c r="CT79" i="61" s="1"/>
  <c r="H29" i="36" a="1"/>
  <c r="H29" i="36" s="1"/>
  <c r="CP85" i="61" a="1"/>
  <c r="CP85" i="61" s="1"/>
  <c r="AL79" i="61" a="1"/>
  <c r="AL79" i="61" s="1"/>
  <c r="AX79" i="61" a="1"/>
  <c r="AX79" i="61" s="1"/>
  <c r="AP79" i="61" a="1"/>
  <c r="AP79" i="61" s="1"/>
  <c r="BF79" i="61" a="1"/>
  <c r="BF79" i="61" s="1"/>
  <c r="CL79" i="61" a="1"/>
  <c r="CL79" i="61" s="1"/>
  <c r="F29" i="36" a="1"/>
  <c r="F29" i="36" s="1"/>
  <c r="BB79" i="61" a="1"/>
  <c r="BB79" i="61" s="1"/>
  <c r="BZ79" i="61" a="1"/>
  <c r="BZ79" i="61" s="1"/>
  <c r="AP115" i="61"/>
  <c r="AX115" i="61"/>
  <c r="J115" i="61"/>
  <c r="AX99" i="61"/>
  <c r="AX98" i="61"/>
  <c r="J98" i="61"/>
  <c r="J99" i="61"/>
  <c r="AP99" i="61"/>
  <c r="AP98" i="61"/>
  <c r="AP67" i="61"/>
  <c r="AP93" i="61" s="1"/>
  <c r="AP117" i="61" s="1"/>
  <c r="BL47" i="61"/>
  <c r="L40" i="40"/>
  <c r="BJ67" i="61"/>
  <c r="CH67" i="61"/>
  <c r="CD67" i="61"/>
  <c r="J67" i="61"/>
  <c r="J93" i="61" s="1"/>
  <c r="J117" i="61" s="1"/>
  <c r="BB67" i="61"/>
  <c r="CH85" i="61" a="1"/>
  <c r="CH85" i="61" s="1"/>
  <c r="BJ85" i="61" a="1"/>
  <c r="BJ85" i="61" s="1"/>
  <c r="D48" i="61"/>
  <c r="BM44" i="61"/>
  <c r="BL44" i="61"/>
  <c r="AT67" i="61"/>
  <c r="V67" i="61"/>
  <c r="BV67" i="61"/>
  <c r="BZ67" i="61"/>
  <c r="BF67" i="61"/>
  <c r="AT84" i="61" a="1"/>
  <c r="AT84" i="61" s="1"/>
  <c r="V85" i="61" a="1"/>
  <c r="V85" i="61" s="1"/>
  <c r="BR13" i="61"/>
  <c r="BQ18" i="61"/>
  <c r="BQ25" i="61"/>
  <c r="BQ23" i="61"/>
  <c r="BQ26" i="61"/>
  <c r="BQ21" i="61"/>
  <c r="BQ24" i="61"/>
  <c r="BQ19" i="61"/>
  <c r="BQ27" i="61"/>
  <c r="BQ20" i="61"/>
  <c r="BQ22" i="61"/>
  <c r="AX67" i="61"/>
  <c r="AX93" i="61" s="1"/>
  <c r="AX117" i="61" s="1"/>
  <c r="AL67" i="61"/>
  <c r="CL67" i="61"/>
  <c r="CD85" i="61" a="1"/>
  <c r="CD85" i="61" s="1"/>
  <c r="E32" i="51"/>
  <c r="F63" i="23" a="1"/>
  <c r="F63" i="23" s="1"/>
  <c r="F64" i="23" a="1"/>
  <c r="F64" i="23" s="1"/>
  <c r="F30" i="32"/>
  <c r="F31" i="32" s="1"/>
  <c r="F32" i="32" s="1" a="1"/>
  <c r="F32" i="32" s="1"/>
  <c r="F57" i="31"/>
  <c r="F58" i="31" s="1"/>
  <c r="F59" i="31" s="1" a="1"/>
  <c r="F59" i="31" s="1"/>
  <c r="BN42" i="61" a="1"/>
  <c r="BR18" i="61" a="1"/>
  <c r="CT69" i="61" l="1"/>
  <c r="CT72" i="61" s="1"/>
  <c r="CT73" i="61"/>
  <c r="K85" i="67"/>
  <c r="E29" i="15"/>
  <c r="AR25" i="8"/>
  <c r="CD24" i="25"/>
  <c r="C35" i="78"/>
  <c r="X24" i="25"/>
  <c r="AP25" i="8"/>
  <c r="R25" i="8"/>
  <c r="V24" i="25"/>
  <c r="Z76" i="61"/>
  <c r="F24" i="25"/>
  <c r="N68" i="61"/>
  <c r="N73" i="61" s="1"/>
  <c r="CT76" i="61"/>
  <c r="F39" i="32"/>
  <c r="X25" i="8"/>
  <c r="H57" i="22"/>
  <c r="AP24" i="25"/>
  <c r="CP76" i="61"/>
  <c r="AL24" i="25"/>
  <c r="M54" i="40"/>
  <c r="E35" i="42"/>
  <c r="AJ24" i="25"/>
  <c r="BP24" i="25"/>
  <c r="G40" i="71"/>
  <c r="AL25" i="8"/>
  <c r="AV24" i="25"/>
  <c r="AB28" i="14"/>
  <c r="D25" i="8"/>
  <c r="H50" i="18"/>
  <c r="F28" i="14"/>
  <c r="F53" i="26"/>
  <c r="O23" i="48"/>
  <c r="AT24" i="25"/>
  <c r="E35" i="64"/>
  <c r="AF28" i="14"/>
  <c r="H25" i="8"/>
  <c r="F45" i="45"/>
  <c r="T28" i="14"/>
  <c r="I22" i="21"/>
  <c r="H24" i="25"/>
  <c r="P25" i="8"/>
  <c r="R28" i="14"/>
  <c r="BB24" i="25"/>
  <c r="AH24" i="25"/>
  <c r="R24" i="25"/>
  <c r="L28" i="14"/>
  <c r="BD24" i="25"/>
  <c r="AJ25" i="8"/>
  <c r="C30" i="52"/>
  <c r="BT24" i="25"/>
  <c r="AB24" i="25"/>
  <c r="J25" i="8"/>
  <c r="L54" i="40"/>
  <c r="Z24" i="25"/>
  <c r="F25" i="8"/>
  <c r="BN24" i="25"/>
  <c r="BR24" i="25"/>
  <c r="F39" i="74"/>
  <c r="BN42" i="61"/>
  <c r="BN43" i="61"/>
  <c r="BN44" i="61"/>
  <c r="F37" i="69"/>
  <c r="E44" i="72"/>
  <c r="AD28" i="14"/>
  <c r="BR21" i="61"/>
  <c r="BR25" i="61"/>
  <c r="BR18" i="61"/>
  <c r="BR22" i="61"/>
  <c r="BR26" i="61"/>
  <c r="BR19" i="61"/>
  <c r="BR23" i="61"/>
  <c r="BR27" i="61"/>
  <c r="BR20" i="61"/>
  <c r="BR24" i="61"/>
  <c r="F42" i="62"/>
  <c r="AB25" i="8"/>
  <c r="N25" i="8"/>
  <c r="AN24" i="25"/>
  <c r="BL24" i="25"/>
  <c r="F62" i="34"/>
  <c r="H28" i="14"/>
  <c r="X28" i="14"/>
  <c r="F20" i="17"/>
  <c r="F45" i="66"/>
  <c r="O3" i="49"/>
  <c r="AZ24" i="25"/>
  <c r="D24" i="25"/>
  <c r="AD25" i="8"/>
  <c r="N24" i="25"/>
  <c r="L24" i="25"/>
  <c r="BZ24" i="25"/>
  <c r="AF25" i="8"/>
  <c r="Z28" i="14"/>
  <c r="E37" i="69"/>
  <c r="AN25" i="8"/>
  <c r="AX24" i="25"/>
  <c r="CX76" i="61"/>
  <c r="BJ24" i="25"/>
  <c r="V28" i="14"/>
  <c r="F65" i="31"/>
  <c r="K89" i="67"/>
  <c r="S43" i="9"/>
  <c r="V25" i="8"/>
  <c r="L25" i="8"/>
  <c r="BV24" i="25"/>
  <c r="BF24" i="25"/>
  <c r="P28" i="14"/>
  <c r="BX24" i="25"/>
  <c r="N28" i="14"/>
  <c r="J24" i="25"/>
  <c r="P24" i="25"/>
  <c r="F28" i="39"/>
  <c r="F52" i="33"/>
  <c r="AD24" i="25"/>
  <c r="P18" i="50"/>
  <c r="C26" i="53"/>
  <c r="D28" i="14"/>
  <c r="F46" i="65"/>
  <c r="AF24" i="25"/>
  <c r="AR24" i="25"/>
  <c r="AH25" i="8"/>
  <c r="BH24" i="25"/>
  <c r="Z25" i="8"/>
  <c r="J28" i="14"/>
  <c r="F48" i="75"/>
  <c r="AD76" i="61"/>
  <c r="AH76" i="61"/>
  <c r="G28" i="39"/>
  <c r="F37" i="76"/>
  <c r="CB24" i="25"/>
  <c r="BR63" i="61"/>
  <c r="AP102" i="61"/>
  <c r="AX102" i="61"/>
  <c r="BR114" i="61"/>
  <c r="R66" i="61"/>
  <c r="R68" i="61"/>
  <c r="CL68" i="61"/>
  <c r="CL73" i="61" s="1"/>
  <c r="BV68" i="61"/>
  <c r="BV73" i="61" s="1"/>
  <c r="J66" i="61"/>
  <c r="J68" i="61"/>
  <c r="AL68" i="61"/>
  <c r="AL69" i="61" s="1"/>
  <c r="AL76" i="61" s="1"/>
  <c r="V68" i="61"/>
  <c r="V69" i="61" s="1"/>
  <c r="V76" i="61" s="1"/>
  <c r="CD68" i="61"/>
  <c r="CD69" i="61" s="1"/>
  <c r="CD76" i="61" s="1"/>
  <c r="CH68" i="61"/>
  <c r="CH69" i="61" s="1"/>
  <c r="CH76" i="61" s="1"/>
  <c r="AP68" i="61"/>
  <c r="AX94" i="61"/>
  <c r="AX97" i="61" s="1"/>
  <c r="AX68" i="61"/>
  <c r="BF68" i="61"/>
  <c r="BF69" i="61" s="1"/>
  <c r="BF76" i="61" s="1"/>
  <c r="AT68" i="61"/>
  <c r="AT69" i="61" s="1"/>
  <c r="AT76" i="61" s="1"/>
  <c r="BJ68" i="61"/>
  <c r="BJ69" i="61" s="1"/>
  <c r="BJ76" i="61" s="1"/>
  <c r="BZ68" i="61"/>
  <c r="BZ73" i="61" s="1"/>
  <c r="BB68" i="61"/>
  <c r="BB73" i="61" s="1"/>
  <c r="L47" i="40"/>
  <c r="BR110" i="61"/>
  <c r="BR112" i="61"/>
  <c r="J94" i="61"/>
  <c r="J97"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R77" i="61" a="1"/>
  <c r="BN47" i="61" a="1"/>
  <c r="D42" i="62" a="1"/>
  <c r="BF15" i="61" a="1"/>
  <c r="P25" i="14" a="1"/>
  <c r="AP23" i="8" a="1"/>
  <c r="D46" i="65" a="1"/>
  <c r="N25" i="14" a="1"/>
  <c r="J23" i="8" a="1"/>
  <c r="D25" i="14" a="1"/>
  <c r="X25" i="14" a="1"/>
  <c r="AL15" i="61" a="1"/>
  <c r="BJ15" i="61" a="1"/>
  <c r="C35" i="64" a="1"/>
  <c r="CX15" i="61" a="1"/>
  <c r="CD15" i="61" a="1"/>
  <c r="C44" i="72" a="1"/>
  <c r="N23" i="8" a="1"/>
  <c r="E40" i="71" a="1"/>
  <c r="S40" i="9" a="1"/>
  <c r="AD25" i="14" a="1"/>
  <c r="AB25" i="14" a="1"/>
  <c r="H23" i="8" a="1"/>
  <c r="J25" i="14" a="1"/>
  <c r="AR23" i="8" a="1"/>
  <c r="C39" i="32" a="1"/>
  <c r="AL23" i="8" a="1"/>
  <c r="E13" i="22" a="1"/>
  <c r="X23" i="8" a="1"/>
  <c r="AF25" i="14" a="1"/>
  <c r="F25" i="14" a="1"/>
  <c r="D23" i="8" a="1"/>
  <c r="AD23" i="8" a="1"/>
  <c r="C31" i="51" a="1"/>
  <c r="R23" i="8" a="1"/>
  <c r="D37" i="76" a="1"/>
  <c r="AJ23" i="8" a="1"/>
  <c r="V23" i="8" a="1"/>
  <c r="D39" i="74" a="1"/>
  <c r="C35" i="42" a="1"/>
  <c r="C62" i="34" a="1"/>
  <c r="F18" i="39" a="1"/>
  <c r="H89" i="67" a="1"/>
  <c r="CH15" i="61" a="1"/>
  <c r="AB23" i="8" a="1"/>
  <c r="F23" i="8" a="1"/>
  <c r="AN23" i="8" a="1"/>
  <c r="P23" i="8" a="1"/>
  <c r="AF23" i="8" a="1"/>
  <c r="D48" i="75" a="1"/>
  <c r="F3" i="21" a="1"/>
  <c r="Z15" i="61" a="1"/>
  <c r="CP15" i="61" a="1"/>
  <c r="T25" i="14" a="1"/>
  <c r="C62" i="23" a="1"/>
  <c r="R25" i="14" a="1"/>
  <c r="L23" i="8" a="1"/>
  <c r="AH15" i="61" a="1"/>
  <c r="Z23" i="8" a="1"/>
  <c r="L25" i="14" a="1"/>
  <c r="H25" i="14" a="1"/>
  <c r="E35" i="78" a="1"/>
  <c r="Z25" i="14" a="1"/>
  <c r="D65" i="31" a="1"/>
  <c r="V25" i="14" a="1"/>
  <c r="V15" i="61" a="1"/>
  <c r="E34" i="69" a="1"/>
  <c r="AH23" i="8" a="1"/>
  <c r="AD15" i="61" a="1"/>
  <c r="C52" i="33" a="1"/>
  <c r="AT15" i="61" a="1"/>
  <c r="CT15" i="61" a="1"/>
  <c r="O20" i="48" a="1"/>
  <c r="R22" i="25" a="1"/>
  <c r="X22" i="25" a="1"/>
  <c r="AR22" i="25" a="1"/>
  <c r="AZ22" i="25" a="1"/>
  <c r="AX22" i="25" a="1"/>
  <c r="CD22" i="25" a="1"/>
  <c r="AH22" i="25" a="1"/>
  <c r="CB22" i="25" a="1"/>
  <c r="AP22" i="25" a="1"/>
  <c r="BL22" i="25" a="1"/>
  <c r="Z22" i="25" a="1"/>
  <c r="BP22" i="25" a="1"/>
  <c r="BD22" i="25" a="1"/>
  <c r="BB22" i="25" a="1"/>
  <c r="L22" i="25" a="1"/>
  <c r="BH22" i="25" a="1"/>
  <c r="H22" i="25" a="1"/>
  <c r="BX22" i="25" a="1"/>
  <c r="N22" i="25" a="1"/>
  <c r="AD22" i="25" a="1"/>
  <c r="AT22" i="25" a="1"/>
  <c r="AV22" i="25" a="1"/>
  <c r="F22" i="25" a="1"/>
  <c r="BJ22" i="25" a="1"/>
  <c r="BV22" i="25" a="1"/>
  <c r="BN22" i="25" a="1"/>
  <c r="AF22" i="25" a="1"/>
  <c r="AB22" i="25" a="1"/>
  <c r="BT22" i="25" a="1"/>
  <c r="AL22" i="25" a="1"/>
  <c r="BR22" i="25" a="1"/>
  <c r="P22" i="25" a="1"/>
  <c r="BF22" i="25" a="1"/>
  <c r="D22" i="25" a="1"/>
  <c r="BZ22" i="25" a="1"/>
  <c r="V22" i="25" a="1"/>
  <c r="J22" i="25" a="1"/>
  <c r="AJ22" i="25" a="1"/>
  <c r="AN22" i="25" a="1"/>
  <c r="AX69" i="61" l="1"/>
  <c r="AX73" i="61"/>
  <c r="R69" i="61"/>
  <c r="R73" i="61"/>
  <c r="AP69" i="61"/>
  <c r="AP73" i="61"/>
  <c r="J69" i="61"/>
  <c r="J73" i="61"/>
  <c r="BB69" i="61"/>
  <c r="BB72" i="61" s="1"/>
  <c r="BZ69" i="61"/>
  <c r="BZ72" i="61" s="1"/>
  <c r="CL69" i="61"/>
  <c r="CL72" i="61" s="1"/>
  <c r="BV69" i="61"/>
  <c r="BV72" i="61" s="1"/>
  <c r="N69" i="61"/>
  <c r="N72" i="61" s="1"/>
  <c r="V22" i="25"/>
  <c r="R23" i="8"/>
  <c r="AP23" i="8"/>
  <c r="X22" i="25"/>
  <c r="E35" i="78"/>
  <c r="CD22" i="25"/>
  <c r="AR23" i="8"/>
  <c r="F22" i="25"/>
  <c r="Z15" i="61"/>
  <c r="C39" i="32"/>
  <c r="CT15" i="61"/>
  <c r="X23" i="8"/>
  <c r="AP22" i="25"/>
  <c r="E13" i="22"/>
  <c r="E40" i="71"/>
  <c r="AB25" i="14"/>
  <c r="BP22" i="25"/>
  <c r="AV22" i="25"/>
  <c r="AJ22" i="25"/>
  <c r="AL22" i="25"/>
  <c r="AL23" i="8"/>
  <c r="C35" i="42"/>
  <c r="CP15" i="61"/>
  <c r="F3" i="21"/>
  <c r="R25" i="14"/>
  <c r="T25" i="14"/>
  <c r="AF25" i="14"/>
  <c r="P23" i="8"/>
  <c r="C35" i="64"/>
  <c r="F25" i="14"/>
  <c r="H22" i="25"/>
  <c r="H23" i="8"/>
  <c r="AT22" i="25"/>
  <c r="O20" i="48"/>
  <c r="D23" i="8"/>
  <c r="BB22" i="25"/>
  <c r="AB22" i="25"/>
  <c r="BD22" i="25"/>
  <c r="BT22" i="25"/>
  <c r="L25" i="14"/>
  <c r="R22" i="25"/>
  <c r="AJ23" i="8"/>
  <c r="AH22" i="25"/>
  <c r="D39" i="74"/>
  <c r="F23" i="8"/>
  <c r="BR22" i="25"/>
  <c r="Z22" i="25"/>
  <c r="BN22" i="25"/>
  <c r="J23" i="8"/>
  <c r="BN48" i="61"/>
  <c r="BN49" i="61"/>
  <c r="BN47" i="61"/>
  <c r="BN63" i="61"/>
  <c r="AD25" i="14"/>
  <c r="C44" i="72"/>
  <c r="BR77" i="61"/>
  <c r="BR100" i="61" s="1"/>
  <c r="BH22" i="25"/>
  <c r="D46" i="65"/>
  <c r="AD22" i="25"/>
  <c r="J22" i="25"/>
  <c r="BF22" i="25"/>
  <c r="S40" i="9"/>
  <c r="O3" i="9" s="1"/>
  <c r="BJ22" i="25"/>
  <c r="E34" i="69"/>
  <c r="L22" i="25"/>
  <c r="AZ22" i="25"/>
  <c r="X25" i="14"/>
  <c r="AN22" i="25"/>
  <c r="D48" i="75"/>
  <c r="AH23" i="8"/>
  <c r="D25" i="14"/>
  <c r="C52" i="33"/>
  <c r="N25" i="14"/>
  <c r="BV22" i="25"/>
  <c r="H89" i="67"/>
  <c r="CX15" i="61"/>
  <c r="Z25" i="14"/>
  <c r="N22" i="25"/>
  <c r="H25" i="14"/>
  <c r="N23" i="8"/>
  <c r="J25" i="14"/>
  <c r="AR22" i="25"/>
  <c r="F18" i="39"/>
  <c r="BX22" i="25"/>
  <c r="L23" i="8"/>
  <c r="D65" i="31"/>
  <c r="AX22" i="25"/>
  <c r="AF23" i="8"/>
  <c r="AD23" i="8"/>
  <c r="C62" i="34"/>
  <c r="AB23" i="8"/>
  <c r="Z23" i="8"/>
  <c r="AF22" i="25"/>
  <c r="P22" i="25"/>
  <c r="P25" i="14"/>
  <c r="V23" i="8"/>
  <c r="V25" i="14"/>
  <c r="AN23" i="8"/>
  <c r="BZ22" i="25"/>
  <c r="D22" i="25"/>
  <c r="BL22" i="25"/>
  <c r="D42" i="62"/>
  <c r="F55" i="75"/>
  <c r="D37" i="76"/>
  <c r="AH15" i="61"/>
  <c r="CB22" i="25"/>
  <c r="AD15" i="61"/>
  <c r="BF15" i="61"/>
  <c r="CH15" i="61"/>
  <c r="CD15" i="61"/>
  <c r="BJ15" i="61"/>
  <c r="V15" i="61"/>
  <c r="AT15" i="61"/>
  <c r="AL15" i="61"/>
  <c r="BN64" i="61"/>
  <c r="BN65" i="61"/>
  <c r="M56" i="40" a="1"/>
  <c r="M56" i="40" s="1"/>
  <c r="F28" i="36"/>
  <c r="H28" i="36"/>
  <c r="L56" i="40" a="1"/>
  <c r="L56" i="40" s="1"/>
  <c r="AP94" i="61"/>
  <c r="AP97" i="61" s="1"/>
  <c r="BR65" i="61"/>
  <c r="C31" i="51"/>
  <c r="BR85" i="61" a="1"/>
  <c r="BR85" i="61" s="1"/>
  <c r="L58" i="40" a="1"/>
  <c r="L58" i="40" s="1"/>
  <c r="C62" i="23"/>
  <c r="BR78" i="61" a="1"/>
  <c r="B28" i="36" a="1"/>
  <c r="L51" i="40" a="1"/>
  <c r="J76" i="61" l="1"/>
  <c r="J72" i="61"/>
  <c r="AP76" i="61"/>
  <c r="AP72" i="61"/>
  <c r="R76" i="61"/>
  <c r="R72" i="61"/>
  <c r="BN71" i="61"/>
  <c r="AX76" i="61"/>
  <c r="AX72" i="61"/>
  <c r="BV76" i="61"/>
  <c r="CL76" i="61"/>
  <c r="BZ76" i="61"/>
  <c r="N76" i="61"/>
  <c r="BB76" i="61"/>
  <c r="BR78" i="61"/>
  <c r="BR101" i="61" s="1"/>
  <c r="BR108" i="61"/>
  <c r="B28" i="36"/>
  <c r="BR67" i="61"/>
  <c r="BR93" i="61" s="1"/>
  <c r="BR117" i="61" s="1"/>
  <c r="BR115" i="61"/>
  <c r="BN83" i="61" a="1"/>
  <c r="BN83" i="61" s="1"/>
  <c r="BN85" i="61" a="1"/>
  <c r="BN85" i="61" s="1"/>
  <c r="BN67" i="61"/>
  <c r="L51" i="40"/>
  <c r="E20" i="15"/>
  <c r="E21" i="15" s="1"/>
  <c r="CL15" i="61" a="1"/>
  <c r="AX15" i="61" a="1"/>
  <c r="BB15" i="61" a="1"/>
  <c r="BZ15" i="61" a="1"/>
  <c r="BV15" i="61" a="1"/>
  <c r="R15" i="61" a="1"/>
  <c r="N15" i="61" a="1"/>
  <c r="AP15" i="61" a="1"/>
  <c r="E22" i="15" l="1" a="1"/>
  <c r="E22" i="15" s="1"/>
  <c r="E28" i="15"/>
  <c r="AX15" i="61"/>
  <c r="AP15" i="61"/>
  <c r="R15" i="61"/>
  <c r="BB15" i="61"/>
  <c r="CL15" i="61"/>
  <c r="BZ15" i="61"/>
  <c r="N15" i="61"/>
  <c r="BV15" i="61"/>
  <c r="BN68" i="61"/>
  <c r="BR94" i="61"/>
  <c r="BR97" i="61" s="1"/>
  <c r="BR68" i="61"/>
  <c r="BR69" i="61" s="1"/>
  <c r="BR76" i="61" s="1"/>
  <c r="BR15" i="61" a="1"/>
  <c r="E35" i="15" l="1"/>
  <c r="E27" i="15"/>
  <c r="BN69" i="61"/>
  <c r="BN73" i="61"/>
  <c r="BR15" i="61"/>
  <c r="E32" i="15" a="1"/>
  <c r="E32" i="15" l="1"/>
  <c r="BN76" i="61"/>
  <c r="BN72" i="61"/>
  <c r="E46" i="19"/>
  <c r="E47" i="19" s="1"/>
  <c r="E48" i="19" s="1" a="1"/>
  <c r="E48" i="19" s="1"/>
  <c r="E54" i="19" s="1"/>
  <c r="G27" i="35"/>
  <c r="G31" i="35" s="1"/>
  <c r="BN15" i="61" a="1"/>
  <c r="C3" i="19" a="1"/>
  <c r="BN15" i="61" l="1"/>
  <c r="C3" i="19"/>
  <c r="C6" i="35"/>
  <c r="C20" i="43" l="1"/>
  <c r="D20" i="43"/>
  <c r="D25" i="43" s="1"/>
  <c r="C21" i="43"/>
  <c r="C22" i="43" l="1"/>
  <c r="C27" i="43" s="1"/>
  <c r="C26" i="43"/>
  <c r="C25" i="43"/>
  <c r="C23" i="43"/>
  <c r="D21" i="43"/>
  <c r="D26" i="43" s="1"/>
  <c r="D23" i="43"/>
  <c r="D22" i="43"/>
  <c r="D27" i="43" s="1"/>
  <c r="D28" i="43" l="1"/>
  <c r="C28" i="43"/>
  <c r="F3" i="43" l="1"/>
  <c r="F11" i="43" a="1"/>
  <c r="F20" i="43" a="1"/>
  <c r="F25"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0" i="44" a="1"/>
  <c r="F28" i="30" a="1"/>
  <c r="F15" i="30" a="1"/>
  <c r="F6" i="44"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2"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5" i="55" l="1"/>
  <c r="C41" i="55"/>
  <c r="F23" i="38"/>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O45" i="55" l="1"/>
  <c r="C40" i="55"/>
  <c r="F37" i="38"/>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C28" i="55" a="1"/>
  <c r="C28" i="55" l="1"/>
  <c r="D28" i="54"/>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F39" i="29" s="1"/>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F38" i="29" l="1"/>
  <c r="B19" i="57"/>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7" i="29"/>
  <c r="F36" i="29"/>
  <c r="C35" i="3"/>
  <c r="F3" i="28"/>
  <c r="F3" i="7"/>
  <c r="F39" i="7" s="1"/>
  <c r="D35" i="3"/>
  <c r="E18" i="57" a="1"/>
  <c r="E18" i="57" s="1"/>
  <c r="O36" i="3" a="1"/>
  <c r="O36" i="3" s="1"/>
  <c r="P36" i="3" a="1"/>
  <c r="P36" i="3" s="1"/>
  <c r="I28" i="57"/>
  <c r="H29" i="57" s="1"/>
  <c r="M37" i="3" a="1"/>
  <c r="M37" i="3" s="1"/>
  <c r="J37" i="3" a="1"/>
  <c r="J37" i="3" s="1"/>
  <c r="N37" i="3" a="1"/>
  <c r="N37" i="3" s="1"/>
  <c r="F22" i="28" a="1"/>
  <c r="F6" i="28" a="1"/>
  <c r="F22" i="7" a="1"/>
  <c r="F6" i="7" a="1"/>
  <c r="F38" i="7" l="1"/>
  <c r="F51" i="29"/>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6" i="29" a="1"/>
  <c r="F56" i="29" s="1"/>
  <c r="F55" i="29" a="1"/>
  <c r="F55" i="29" s="1"/>
  <c r="F38" i="28"/>
  <c r="F39" i="28"/>
  <c r="F36" i="28"/>
  <c r="F37" i="28"/>
  <c r="C36" i="3"/>
  <c r="D36" i="3"/>
  <c r="I29" i="57"/>
  <c r="H30" i="57" s="1"/>
  <c r="P37" i="3" a="1"/>
  <c r="P37" i="3" s="1"/>
  <c r="O37" i="3" a="1"/>
  <c r="O37" i="3" s="1"/>
  <c r="F56" i="7" l="1"/>
  <c r="G56" i="7" s="1"/>
  <c r="F51" i="28"/>
  <c r="F57" i="28" a="1"/>
  <c r="F57" i="28" s="1"/>
  <c r="P38" i="3" a="1"/>
  <c r="P38" i="3" s="1"/>
  <c r="O38" i="3" a="1"/>
  <c r="O38" i="3" s="1"/>
  <c r="F61" i="7" a="1"/>
  <c r="F61" i="7" s="1"/>
  <c r="F60" i="7" a="1"/>
  <c r="F60" i="7" s="1"/>
  <c r="F56" i="28" a="1"/>
  <c r="F56" i="28" s="1"/>
  <c r="F42" i="29"/>
  <c r="F43" i="29" s="1"/>
  <c r="D37" i="3"/>
  <c r="C37" i="3"/>
  <c r="I30" i="57"/>
  <c r="H31" i="57" s="1"/>
  <c r="C19" i="57"/>
  <c r="D19" i="57" s="1"/>
  <c r="F19" i="57" s="1"/>
  <c r="F44" i="29" l="1" a="1"/>
  <c r="F44" i="29" s="1"/>
  <c r="F50" i="29"/>
  <c r="B20" i="57"/>
  <c r="A20" i="57"/>
  <c r="F42" i="28"/>
  <c r="F43" i="28" s="1"/>
  <c r="D38" i="3"/>
  <c r="F42" i="7"/>
  <c r="F43" i="7" s="1"/>
  <c r="C38" i="3"/>
  <c r="I31" i="57"/>
  <c r="H32" i="57" s="1"/>
  <c r="E19" i="57" a="1"/>
  <c r="E19" i="57" s="1"/>
  <c r="F44" i="28" l="1" a="1"/>
  <c r="F44" i="28" s="1"/>
  <c r="F50" i="28"/>
  <c r="F54" i="29"/>
  <c r="F49" i="29"/>
  <c r="F44" i="7" a="1"/>
  <c r="F44" i="7" s="1"/>
  <c r="F53" i="7" s="1"/>
  <c r="G53" i="7" s="1"/>
  <c r="F3" i="3"/>
  <c r="I32" i="57"/>
  <c r="H33" i="57" s="1"/>
  <c r="F23" i="3" a="1"/>
  <c r="F6" i="3" a="1"/>
  <c r="C54" i="29" a="1"/>
  <c r="F55" i="28" l="1"/>
  <c r="F49" i="28"/>
  <c r="C54" i="29"/>
  <c r="F50" i="7"/>
  <c r="G50" i="7" s="1"/>
  <c r="F59" i="7"/>
  <c r="F38" i="3"/>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D59" i="7" a="1"/>
  <c r="C55" i="28" a="1"/>
  <c r="C55" i="28" l="1"/>
  <c r="D59" i="7"/>
  <c r="G59" i="7" a="1"/>
  <c r="G59" i="7" s="1"/>
  <c r="O54" i="3"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V95" i="58"/>
  <c r="P95" i="58"/>
  <c r="J95" i="58"/>
  <c r="X95" i="58"/>
  <c r="L95" i="58"/>
  <c r="N95" i="58"/>
  <c r="R95" i="58"/>
  <c r="T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T96" i="58"/>
  <c r="N97" i="58"/>
  <c r="L97" i="58"/>
  <c r="P97" i="58"/>
  <c r="R96"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T7" i="58" a="1"/>
  <c r="N7" i="58" a="1"/>
  <c r="R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X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7" i="59" a="1"/>
  <c r="F20"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4" i="9"/>
  <c r="I28" i="9"/>
  <c r="I29" i="9" s="1"/>
  <c r="I30" i="9" l="1"/>
  <c r="I38" i="9"/>
  <c r="L70" i="24"/>
  <c r="I43" i="9" l="1"/>
  <c r="I37" i="9"/>
  <c r="F49" i="60" a="1"/>
  <c r="F49" i="60" s="1"/>
  <c r="F50" i="60" s="1" a="1"/>
  <c r="F50" i="60" s="1"/>
  <c r="F51" i="60" s="1" a="1"/>
  <c r="F51" i="60" s="1"/>
  <c r="I40" i="9" a="1"/>
  <c r="I40" i="9" l="1"/>
  <c r="E3" i="9" s="1"/>
  <c r="F58" i="60"/>
  <c r="G58" i="60"/>
  <c r="T29" i="8"/>
  <c r="T27" i="8"/>
  <c r="T20" i="8"/>
  <c r="T25" i="8" s="1"/>
  <c r="T28" i="8"/>
  <c r="T23" i="8" a="1"/>
  <c r="D58" i="60" a="1"/>
  <c r="D58" i="60" l="1"/>
  <c r="T23" i="8"/>
  <c r="P11" i="63"/>
  <c r="P12" i="63" s="1"/>
  <c r="B25" i="66"/>
  <c r="B24" i="66" s="1"/>
  <c r="F20" i="66" a="1"/>
  <c r="F19" i="66" a="1"/>
  <c r="F22"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9" i="61" a="1"/>
  <c r="J79" i="61" s="1"/>
  <c r="J102"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<sst xmlns="http://schemas.openxmlformats.org/spreadsheetml/2006/main" count="4625" uniqueCount="2781">
  <si>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</si>
  <si>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</si>
  <si>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</si>
  <si>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</si>
  <si>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</si>
  <si>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</si>
  <si>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</si>
  <si>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</si>
  <si>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</si>
  <si>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</si>
  <si>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</si>
  <si>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</si>
  <si>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</si>
  <si>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</si>
  <si>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</si>
  <si>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</si>
  <si>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</si>
  <si>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</si>
  <si>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</si>
  <si>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</si>
  <si>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</si>
  <si>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</si>
  <si>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</si>
  <si>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</si>
  <si>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</si>
  <si>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</si>
  <si>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</si>
  <si>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</si>
  <si>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</si>
  <si>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</si>
  <si>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</si>
  <si>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</si>
  <si>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</si>
  <si>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</si>
  <si>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</si>
  <si>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</si>
  <si>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</si>
  <si>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</si>
  <si>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</si>
  <si>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</si>
  <si>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</si>
  <si>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</si>
  <si>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</si>
  <si>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</si>
  <si>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</si>
  <si>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</si>
  <si>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</si>
  <si>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</si>
  <si>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</si>
  <si>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</si>
  <si>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</si>
  <si>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</si>
  <si>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</si>
  <si>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</si>
  <si>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</si>
  <si>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</si>
  <si>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</si>
  <si>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</si>
  <si>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</si>
  <si>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</si>
  <si>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</si>
  <si>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</si>
  <si>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</si>
  <si>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</si>
  <si>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</si>
  <si>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</si>
  <si>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</si>
  <si>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</si>
  <si>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</si>
  <si>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</si>
  <si>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</si>
  <si>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</si>
  <si>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</si>
  <si>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</si>
  <si>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</si>
  <si>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</si>
  <si>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</si>
  <si>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</si>
  <si>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</si>
  <si>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</si>
  <si>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</si>
  <si>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</si>
  <si>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</si>
  <si>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</si>
  <si>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</si>
  <si>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</si>
  <si>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</si>
  <si>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</si>
  <si>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</si>
  <si>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</si>
  <si>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</si>
  <si>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</si>
  <si>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</si>
  <si>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</si>
  <si>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</si>
  <si>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</si>
  <si>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</si>
  <si>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</si>
  <si>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</si>
  <si>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</si>
  <si>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</si>
  <si>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</si>
  <si>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</si>
  <si>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</si>
  <si>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</si>
  <si>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</si>
  <si>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</si>
  <si>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</si>
  <si>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</si>
  <si>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</si>
  <si>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</si>
  <si>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</si>
  <si>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</si>
  <si>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</si>
  <si>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</si>
  <si>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</si>
  <si>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</si>
  <si>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</si>
  <si>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</si>
  <si>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</si>
  <si>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</si>
  <si>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</si>
  <si>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</si>
  <si>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</si>
  <si>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</si>
  <si>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</si>
  <si>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</si>
  <si>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</si>
  <si>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</si>
  <si>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</si>
  <si>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</si>
  <si>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</si>
  <si>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</si>
  <si>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</si>
  <si>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</si>
  <si>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</si>
  <si>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</si>
  <si>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</si>
  <si>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</si>
  <si>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</si>
  <si>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</si>
  <si>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</si>
  <si>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</si>
  <si>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</si>
  <si>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</si>
  <si>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</si>
  <si>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</si>
  <si>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</si>
  <si>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</si>
  <si>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</si>
  <si>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</si>
  <si>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</si>
  <si>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</si>
  <si>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</si>
  <si>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</si>
  <si>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</si>
  <si>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</si>
  <si>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</si>
  <si>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</si>
  <si>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</si>
  <si>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</si>
  <si>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</si>
  <si>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</si>
  <si>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</si>
  <si>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</si>
  <si>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</si>
  <si>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</si>
  <si>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</si>
  <si>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</si>
  <si>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</si>
  <si>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</si>
  <si>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</si>
  <si>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</si>
  <si>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</si>
  <si>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</si>
  <si>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</si>
  <si>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</si>
  <si>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</si>
  <si>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</si>
  <si>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</si>
  <si>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</si>
  <si>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</si>
  <si>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</si>
  <si>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</si>
  <si>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</si>
  <si>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</si>
  <si>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</si>
  <si>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</si>
  <si>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</si>
  <si>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</si>
  <si>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</si>
  <si>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</si>
  <si>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</si>
  <si>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</si>
  <si>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</si>
  <si>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</si>
  <si>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</si>
  <si>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</si>
  <si>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</si>
  <si>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</si>
  <si>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</si>
  <si>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</si>
  <si>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</si>
  <si>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</si>
  <si>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</si>
  <si>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</si>
  <si>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</si>
  <si>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</si>
  <si>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</si>
  <si>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</si>
  <si>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</si>
  <si>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</si>
  <si>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</si>
  <si>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</si>
  <si>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</si>
  <si>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</si>
  <si>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</si>
  <si>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</si>
  <si>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</si>
  <si>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</si>
  <si>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</si>
  <si>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</si>
  <si>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</si>
  <si>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</si>
  <si>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</si>
  <si>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</si>
  <si>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</si>
  <si>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</si>
  <si>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</si>
  <si>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</si>
  <si>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</si>
  <si>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</si>
  <si>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</si>
  <si>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</si>
  <si>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</si>
  <si>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</si>
  <si>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</si>
  <si>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</si>
  <si>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</si>
  <si>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</si>
  <si>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</si>
  <si>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</si>
  <si>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</si>
  <si>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</si>
  <si>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</si>
  <si>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</si>
  <si>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</si>
  <si>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</si>
  <si>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</si>
  <si>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</si>
  <si>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</si>
  <si>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</si>
  <si>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</si>
  <si>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</si>
  <si>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</si>
  <si>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</si>
  <si>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</si>
  <si>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</si>
  <si>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</si>
  <si>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</si>
  <si>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</si>
  <si>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</si>
  <si>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</si>
  <si>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</si>
  <si>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</si>
  <si>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</si>
  <si>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</si>
  <si>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</si>
  <si>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</si>
  <si>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</si>
  <si>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</si>
  <si>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</si>
  <si>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</si>
  <si>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</si>
  <si>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</si>
  <si>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</si>
  <si>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</si>
  <si>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</si>
  <si>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</si>
  <si>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</si>
  <si>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</si>
  <si>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</si>
  <si>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</si>
  <si>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</si>
  <si>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</si>
  <si>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</si>
  <si>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</si>
  <si>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</si>
  <si>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</si>
  <si>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</si>
  <si>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</si>
  <si>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</si>
  <si>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</si>
  <si>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</si>
  <si>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</si>
  <si>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</si>
  <si>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</si>
  <si>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</si>
  <si>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</si>
  <si>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</si>
  <si>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</si>
  <si>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</si>
  <si>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</si>
  <si>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</si>
  <si>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</si>
  <si>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</si>
  <si>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</si>
  <si>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</si>
  <si>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</si>
  <si>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</si>
  <si>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</si>
  <si>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</si>
  <si>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</si>
  <si>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</si>
  <si>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</si>
  <si>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</si>
  <si>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</si>
  <si>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</si>
  <si>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</si>
  <si>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</si>
  <si>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</si>
  <si>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</si>
  <si>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</si>
  <si>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</si>
  <si>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</si>
  <si>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</si>
  <si>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</si>
  <si>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</si>
  <si>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</si>
  <si>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</si>
  <si>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</si>
  <si>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</si>
  <si>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</si>
  <si>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</si>
  <si>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</si>
  <si>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</si>
  <si>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</si>
  <si>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</si>
  <si>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</si>
  <si>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</si>
  <si>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</si>
  <si>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</si>
  <si>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</si>
  <si>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</si>
  <si>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</si>
  <si>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</si>
  <si>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</si>
  <si>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</si>
  <si>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</si>
  <si>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</si>
  <si>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</si>
  <si>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</si>
  <si>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</si>
  <si>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</si>
  <si>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</si>
  <si>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</si>
  <si>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</si>
  <si>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</si>
  <si>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</si>
  <si>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</si>
  <si>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</si>
  <si>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</si>
  <si>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</si>
  <si>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</si>
  <si>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</si>
  <si>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</si>
  <si>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</si>
  <si>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</si>
  <si>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</si>
  <si>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</si>
  <si>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</si>
  <si>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</si>
  <si>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</si>
  <si>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</si>
  <si>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</si>
  <si>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</si>
  <si>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</si>
  <si>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</si>
  <si>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</si>
  <si>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</si>
  <si>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</si>
  <si>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</si>
  <si>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</si>
  <si>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</si>
  <si>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</si>
  <si>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</si>
  <si>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</si>
  <si>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</si>
  <si>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</si>
  <si>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</si>
  <si>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</si>
  <si>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</si>
  <si>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</si>
  <si>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</si>
  <si>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</si>
  <si>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</si>
  <si>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</si>
  <si>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</si>
  <si>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</si>
  <si>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</si>
  <si>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</si>
  <si>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</si>
  <si>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</si>
  <si>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</si>
  <si>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</si>
  <si>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</si>
  <si>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</si>
  <si>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</si>
  <si>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</si>
  <si>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</si>
  <si>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</si>
  <si>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</si>
  <si>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</si>
  <si>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</si>
  <si>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</si>
  <si>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</si>
  <si>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</si>
  <si>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</si>
  <si>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</si>
  <si>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</si>
  <si>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</si>
  <si>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</si>
  <si>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</si>
  <si>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</si>
  <si>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</si>
  <si>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</si>
  <si>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</si>
  <si>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</si>
  <si>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</si>
  <si>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</si>
  <si>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</si>
  <si>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</si>
  <si>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</si>
  <si>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</si>
  <si>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</si>
  <si>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</si>
  <si>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</si>
  <si>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</si>
  <si>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</si>
  <si>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</si>
  <si>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</si>
  <si>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</si>
  <si>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</si>
  <si>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</si>
  <si>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</si>
  <si>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</si>
  <si>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</si>
  <si>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</si>
  <si>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</si>
  <si>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</si>
  <si>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</si>
  <si>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</si>
  <si>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</si>
  <si>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</si>
  <si>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</si>
  <si>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</si>
  <si>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</si>
  <si>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</si>
  <si>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</si>
  <si>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</si>
  <si>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</si>
  <si>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</si>
  <si>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</si>
  <si>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</si>
  <si>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</si>
  <si>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</si>
  <si>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</si>
  <si>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</si>
  <si>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</si>
  <si>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</si>
  <si>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</si>
  <si>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</si>
  <si>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</si>
  <si>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</si>
  <si>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</si>
  <si>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</si>
  <si>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</si>
  <si>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</si>
  <si>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</si>
  <si>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</si>
  <si>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</si>
  <si>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</si>
  <si>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</si>
  <si>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</si>
  <si>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</si>
  <si>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</si>
  <si>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</si>
  <si>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</si>
  <si>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</si>
  <si>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</si>
  <si>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</si>
  <si>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</si>
  <si>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</si>
  <si>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</si>
  <si>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</si>
  <si>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</si>
  <si>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</si>
  <si>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</si>
  <si>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</si>
  <si>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</si>
  <si>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</si>
  <si>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</si>
  <si>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</si>
  <si>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</si>
  <si>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</si>
  <si>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</si>
  <si>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</si>
  <si>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</si>
  <si>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</si>
  <si>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</si>
  <si>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</si>
  <si>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</si>
  <si>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</si>
  <si>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</si>
  <si>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</si>
  <si>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</si>
  <si>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</si>
  <si>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</si>
  <si>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</si>
  <si>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</si>
  <si>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</si>
  <si>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</si>
  <si>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</si>
  <si>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</si>
  <si>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</si>
  <si>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</si>
  <si>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</si>
  <si>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</si>
  <si>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</si>
  <si>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</si>
  <si>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</si>
  <si>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</si>
  <si>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</si>
  <si>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</si>
  <si>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</si>
  <si>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</si>
  <si>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</si>
  <si>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</si>
  <si>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</si>
  <si>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</si>
  <si>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</si>
  <si>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</si>
  <si>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</si>
  <si>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</si>
  <si>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</si>
  <si>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</si>
  <si>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</si>
  <si>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</si>
  <si>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</si>
  <si>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</si>
  <si>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</si>
  <si>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</si>
  <si>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</si>
  <si>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</si>
  <si>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</si>
  <si>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</si>
  <si>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</si>
  <si>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</si>
  <si>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</si>
  <si>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</si>
  <si>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</si>
  <si>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</si>
  <si>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</si>
  <si>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</si>
  <si>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</si>
  <si>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</si>
  <si>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</si>
  <si>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</si>
  <si>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</si>
  <si>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</si>
  <si>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</si>
  <si>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</si>
  <si>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</si>
  <si>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</si>
  <si>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</si>
  <si>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</si>
  <si>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</si>
  <si>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</si>
  <si>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</si>
  <si>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</si>
  <si>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</si>
  <si>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</si>
  <si>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</si>
  <si>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</si>
  <si>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</si>
  <si>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</si>
  <si>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</si>
  <si>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</si>
  <si>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</si>
  <si>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</si>
  <si>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</si>
  <si>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</si>
  <si>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</si>
  <si>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</si>
  <si>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</si>
  <si>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</si>
  <si>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</si>
  <si>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</si>
  <si>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</si>
  <si>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</si>
  <si>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</si>
  <si>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</si>
  <si>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</si>
  <si>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</si>
  <si>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</si>
  <si>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</si>
  <si>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</si>
  <si>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</si>
  <si>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</si>
  <si>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</si>
  <si>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</si>
  <si>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</si>
  <si>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</si>
  <si>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</si>
  <si>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</si>
  <si>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</si>
  <si>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</si>
  <si>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</si>
  <si>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</si>
  <si>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</si>
  <si>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</si>
  <si>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</si>
  <si>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</si>
  <si>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</si>
  <si>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</si>
  <si>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</si>
  <si>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</si>
  <si>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</si>
  <si>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</si>
  <si>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</si>
  <si>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</si>
  <si>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</si>
  <si>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</si>
  <si>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</si>
  <si>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</si>
  <si>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</si>
  <si>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</si>
  <si>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</si>
  <si>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</si>
  <si>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</si>
  <si>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</si>
  <si>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</si>
  <si>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</si>
  <si>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</si>
  <si>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</si>
  <si>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</si>
  <si>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</si>
  <si>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</si>
  <si>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</si>
  <si>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</si>
  <si>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</si>
  <si>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</si>
  <si>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</si>
  <si>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</si>
  <si>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</si>
  <si>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</si>
  <si>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</si>
  <si>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</si>
  <si>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</si>
  <si>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</si>
  <si>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</si>
  <si>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</si>
  <si>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</si>
  <si>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</si>
  <si>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</si>
  <si>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</si>
  <si>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</si>
  <si>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</si>
  <si>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</si>
  <si>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</si>
  <si>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</si>
  <si>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</si>
  <si>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</si>
  <si>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</si>
  <si>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</si>
  <si>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</si>
  <si>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</si>
  <si>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</si>
  <si>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</si>
  <si>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</si>
  <si>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</si>
  <si>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</si>
  <si>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</si>
  <si>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</si>
  <si>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</si>
  <si>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</si>
  <si>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</si>
  <si>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</si>
  <si>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</si>
  <si>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</si>
  <si>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</si>
  <si>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</si>
  <si>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</si>
  <si>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</si>
  <si>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</si>
  <si>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</si>
  <si>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</si>
  <si>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</si>
  <si>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</si>
  <si>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</si>
  <si>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</si>
  <si>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</si>
  <si>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</si>
  <si>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</si>
  <si>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</si>
  <si>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</si>
  <si>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</si>
  <si>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</si>
  <si>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</si>
  <si>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</si>
  <si>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</si>
  <si>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</si>
  <si>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</si>
  <si>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</si>
  <si>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</si>
  <si>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</si>
  <si>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</si>
  <si>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</si>
  <si>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</si>
  <si>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</si>
  <si>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</si>
  <si>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</si>
  <si>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</si>
  <si>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</si>
  <si>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</si>
  <si>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</si>
  <si>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</si>
  <si>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</si>
  <si>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</si>
  <si>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</si>
  <si>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</si>
  <si>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</si>
  <si>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</si>
  <si>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</si>
  <si>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</si>
  <si>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</si>
  <si>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</si>
  <si>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</si>
  <si>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</si>
  <si>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</si>
  <si>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</si>
  <si>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</si>
  <si>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</si>
  <si>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</si>
  <si>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</si>
  <si>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</si>
  <si>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</si>
  <si>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</si>
  <si>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</si>
  <si>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</si>
  <si>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</si>
  <si>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</si>
  <si>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</si>
  <si>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</si>
  <si>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</si>
  <si>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</si>
  <si>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</si>
  <si>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</si>
  <si>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</si>
  <si>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</si>
  <si>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</si>
  <si>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</si>
  <si>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</si>
  <si>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</si>
  <si>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</si>
  <si>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</si>
  <si>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</si>
  <si>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</si>
  <si>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</si>
  <si>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</si>
  <si>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</si>
  <si>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</si>
  <si>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</si>
  <si>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</si>
  <si>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</si>
  <si>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</si>
  <si>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</si>
  <si>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</si>
  <si>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</si>
  <si>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</si>
  <si>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</si>
  <si>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</si>
  <si>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</si>
  <si>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</si>
  <si>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</si>
  <si>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</si>
  <si>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</si>
  <si>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</si>
  <si>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</si>
  <si>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</si>
  <si>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</si>
  <si>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</si>
  <si>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</si>
  <si>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</si>
  <si>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</si>
  <si>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</si>
  <si>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</si>
  <si>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</si>
  <si>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</si>
  <si>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</si>
  <si>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</si>
  <si>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</si>
  <si>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</si>
  <si>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</si>
  <si>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</si>
  <si>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</si>
  <si>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</si>
  <si>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</si>
  <si>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</si>
  <si>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</si>
  <si>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</si>
  <si>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</si>
  <si>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</si>
  <si>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</si>
  <si>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</si>
  <si>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</si>
  <si>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</si>
  <si>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</si>
  <si>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</si>
  <si>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</si>
  <si>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</si>
  <si>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</si>
  <si>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</si>
  <si>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</si>
  <si>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</si>
  <si>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</si>
  <si>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</si>
  <si>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</si>
  <si>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</si>
  <si>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</si>
  <si>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</si>
  <si>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</si>
  <si>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</si>
  <si>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</si>
  <si>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</si>
  <si>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</si>
  <si>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</si>
  <si>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</si>
  <si>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</si>
  <si>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</si>
  <si>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</si>
  <si>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</si>
  <si>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</si>
  <si>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</si>
  <si>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</si>
  <si>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</si>
  <si>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</si>
  <si>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</si>
  <si>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</si>
  <si>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</si>
  <si>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</si>
  <si>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</si>
  <si>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</si>
  <si>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</si>
  <si>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</si>
  <si>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</si>
  <si>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</si>
  <si>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</si>
  <si>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</si>
  <si>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</si>
  <si>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</si>
  <si>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</si>
  <si>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</si>
  <si>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</si>
  <si>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</si>
  <si>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</si>
  <si>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</si>
  <si>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</si>
  <si>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</si>
  <si>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</si>
  <si>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</si>
  <si>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</si>
  <si>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</si>
  <si>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</si>
  <si>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</si>
  <si>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</si>
  <si>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</si>
  <si>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</si>
  <si>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</si>
  <si>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</si>
  <si>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</si>
  <si>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</si>
  <si>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</si>
  <si>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</si>
  <si>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</si>
  <si>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</si>
  <si>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</si>
  <si>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</si>
  <si>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</si>
  <si>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</si>
  <si>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</si>
  <si>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</si>
  <si>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</si>
  <si>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</si>
  <si>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</si>
  <si>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</si>
  <si>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</si>
  <si>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</si>
  <si>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</si>
  <si>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</si>
  <si>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</si>
  <si>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</si>
  <si>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</si>
  <si>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</si>
  <si>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</si>
  <si>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</si>
  <si>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</si>
  <si>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</si>
  <si>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</si>
  <si>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</si>
  <si>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</si>
  <si>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</si>
  <si>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</si>
  <si>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</si>
  <si>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</si>
  <si>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</si>
  <si>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</si>
  <si>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</si>
  <si>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</si>
  <si>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</si>
  <si>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</si>
  <si>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</si>
  <si>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</si>
  <si>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</si>
  <si>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</si>
  <si>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</si>
  <si>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</si>
  <si>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</si>
  <si>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</si>
  <si>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</si>
  <si>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</si>
  <si>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</si>
  <si>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</si>
  <si>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</si>
  <si>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</si>
  <si>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</si>
  <si>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</si>
  <si>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</si>
  <si>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</si>
  <si>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</si>
  <si>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</si>
  <si>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</si>
  <si>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</si>
  <si>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</si>
  <si>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</si>
  <si>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</si>
  <si>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</si>
  <si>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</si>
  <si>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</si>
  <si>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</si>
  <si>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</si>
  <si>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</si>
  <si>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</si>
  <si>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</si>
  <si>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</si>
  <si>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</si>
  <si>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</si>
  <si>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</si>
  <si>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</si>
  <si>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</si>
  <si>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</si>
  <si>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</si>
  <si>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</si>
  <si>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</si>
  <si>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</si>
  <si>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</si>
  <si>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</si>
  <si>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</si>
  <si>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</si>
  <si>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</si>
  <si>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</si>
  <si>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</si>
  <si>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</si>
  <si>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</si>
  <si>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</si>
  <si>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</si>
  <si>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</si>
  <si>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</si>
  <si>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</si>
  <si>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</si>
  <si>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</si>
  <si>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</si>
  <si>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</si>
  <si>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</si>
  <si>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</si>
  <si>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</si>
  <si>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</si>
  <si>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</si>
  <si>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</si>
  <si>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</si>
  <si>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</si>
  <si>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</si>
  <si>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</si>
  <si>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</si>
  <si>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</si>
  <si>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</si>
  <si>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</si>
  <si>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</si>
  <si>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</si>
  <si>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</si>
  <si>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</si>
  <si>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</si>
  <si>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</si>
  <si>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</si>
  <si>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</si>
  <si>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</si>
  <si>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</si>
  <si>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</si>
  <si>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</si>
  <si>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</si>
  <si>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</si>
  <si>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</si>
  <si>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</si>
  <si>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</si>
  <si>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</si>
  <si>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</si>
  <si>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</si>
  <si>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</si>
  <si>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</si>
  <si>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</si>
  <si>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</si>
  <si>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</si>
  <si>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</si>
  <si>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</si>
  <si>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</si>
  <si>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</si>
  <si>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</si>
  <si>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</si>
  <si>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</si>
  <si>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</si>
  <si>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</si>
  <si>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</si>
  <si>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</si>
  <si>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</si>
  <si>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</si>
  <si>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</si>
  <si>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</si>
  <si>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</si>
  <si>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</si>
  <si>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</si>
  <si>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</si>
  <si>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</si>
  <si>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</si>
  <si>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</si>
  <si>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</si>
  <si>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</si>
  <si>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</si>
  <si>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</si>
  <si>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</si>
  <si>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</si>
  <si>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</si>
  <si>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</si>
  <si>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</si>
  <si>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</si>
  <si>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</si>
  <si>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</si>
  <si>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</si>
  <si>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</si>
  <si>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</si>
  <si>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</si>
  <si>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</si>
  <si>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</si>
  <si>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</si>
  <si>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</si>
  <si>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</si>
  <si>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</si>
  <si>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</si>
  <si>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</si>
  <si>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</si>
  <si>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</si>
  <si>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</si>
  <si>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</si>
  <si>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</si>
  <si>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</si>
  <si>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</si>
  <si>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</si>
  <si>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</si>
  <si>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</si>
  <si>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</si>
  <si>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</si>
  <si>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</si>
  <si>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</si>
  <si>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</si>
  <si>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</si>
  <si>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</si>
  <si>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</si>
  <si>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</si>
  <si>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</si>
  <si>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</si>
  <si>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</si>
  <si>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</si>
  <si>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</si>
  <si>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</si>
  <si>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</si>
  <si>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</si>
  <si>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</si>
  <si>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</si>
  <si>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</si>
  <si>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</si>
  <si>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</si>
  <si>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</si>
  <si>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</si>
  <si>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</si>
  <si>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</si>
  <si>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</si>
  <si>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</si>
  <si>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</si>
  <si>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</si>
  <si>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</si>
  <si>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</si>
  <si>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</si>
  <si>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</si>
  <si>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</si>
  <si>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</si>
  <si>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</si>
  <si>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</si>
  <si>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</si>
  <si>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</si>
  <si>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</si>
  <si>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</si>
  <si>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</si>
  <si>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</si>
  <si>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</si>
  <si>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</si>
  <si>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</si>
  <si>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</si>
  <si>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</si>
  <si>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</si>
  <si>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</si>
  <si>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</si>
  <si>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</si>
  <si>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</si>
  <si>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</si>
  <si>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</si>
  <si>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</si>
  <si>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</si>
  <si>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</si>
  <si>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</si>
  <si>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</si>
  <si>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</si>
  <si>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</si>
  <si>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</si>
  <si>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</si>
  <si>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</si>
  <si>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</si>
  <si>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</si>
  <si>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</si>
  <si>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</si>
  <si>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</si>
  <si>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</si>
  <si>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</si>
  <si>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</si>
  <si>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</si>
  <si>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</si>
  <si>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</si>
  <si>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</si>
  <si>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</si>
  <si>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</si>
  <si>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</si>
  <si>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</si>
  <si>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</si>
  <si>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</si>
  <si>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</si>
  <si>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</si>
  <si>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</si>
  <si>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</si>
  <si>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</si>
  <si>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</si>
  <si>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</si>
  <si>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</si>
  <si>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</si>
  <si>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</si>
  <si>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</si>
  <si>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</si>
  <si>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</si>
  <si>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</si>
  <si>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</si>
  <si>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</si>
  <si>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</si>
  <si>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</si>
  <si>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</si>
  <si>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</si>
  <si>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</si>
  <si>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</si>
  <si>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</si>
  <si>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</si>
  <si>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</si>
  <si>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</si>
  <si>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</si>
  <si>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</si>
  <si>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</si>
  <si>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</si>
  <si>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</si>
  <si>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</si>
  <si>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</si>
  <si>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</si>
  <si>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</si>
  <si>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</si>
  <si>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</si>
  <si>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</si>
  <si>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</si>
  <si>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</si>
  <si>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</si>
  <si>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</si>
  <si>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</si>
  <si>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</si>
  <si>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</si>
  <si>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</si>
  <si>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</si>
  <si>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</si>
  <si>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</si>
  <si>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</si>
  <si>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</si>
  <si>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</si>
  <si>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</si>
  <si>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</si>
  <si>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</si>
  <si>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</si>
  <si>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</si>
  <si>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</si>
  <si>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</si>
  <si>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</si>
  <si>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</si>
  <si>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</si>
  <si>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</si>
  <si>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</si>
  <si>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</si>
  <si>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</si>
  <si>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</si>
  <si>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</si>
  <si>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</si>
  <si>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</si>
  <si>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</si>
  <si>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</si>
  <si>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</si>
  <si>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</si>
  <si>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</si>
  <si>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</si>
  <si>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</si>
  <si>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</si>
  <si>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</si>
  <si>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</si>
  <si>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</si>
  <si>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</si>
  <si>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</si>
  <si>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</si>
  <si>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</si>
  <si>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</si>
  <si>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</si>
  <si>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</si>
  <si>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</si>
  <si>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</si>
  <si>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</si>
  <si>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</si>
  <si>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</si>
  <si>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</si>
  <si>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</si>
  <si>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</si>
  <si>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</si>
  <si>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</si>
  <si>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</si>
  <si>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</si>
  <si>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</si>
  <si>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</si>
  <si>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</si>
  <si>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</si>
  <si>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</si>
  <si>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</si>
  <si>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</si>
  <si>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</si>
  <si>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</si>
  <si>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</si>
  <si>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</si>
  <si>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</si>
  <si>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</si>
  <si>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</si>
  <si>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</si>
  <si>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</si>
  <si>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</si>
  <si>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</si>
  <si>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</si>
  <si>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</si>
  <si>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</si>
  <si>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</si>
  <si>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</si>
  <si>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</si>
  <si>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</si>
  <si>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</si>
  <si>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</si>
  <si>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</si>
  <si>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</si>
  <si>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</si>
  <si>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</si>
  <si>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</si>
  <si>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</si>
  <si>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</si>
  <si>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</si>
  <si>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</si>
  <si>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</si>
  <si>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</si>
  <si>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</si>
  <si>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</si>
  <si>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</si>
  <si>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</si>
  <si>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</si>
  <si>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</si>
  <si>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</si>
  <si>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</si>
  <si>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</si>
  <si>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</si>
  <si>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</si>
  <si>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</si>
  <si>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</si>
  <si>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</si>
  <si>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</si>
  <si>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</si>
  <si>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</si>
  <si>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</si>
  <si>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</si>
  <si>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</si>
  <si>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</si>
  <si>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</si>
  <si>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</si>
  <si>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</si>
  <si>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</si>
  <si>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</si>
  <si>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</si>
  <si>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</si>
  <si>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</si>
  <si>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</si>
  <si>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</si>
  <si>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</si>
  <si>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</si>
  <si>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</si>
  <si>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</si>
  <si>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</si>
  <si>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</si>
  <si>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</si>
  <si>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</si>
  <si>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</si>
  <si>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</si>
  <si>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</si>
  <si>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</si>
  <si>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</si>
  <si>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</si>
  <si>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</si>
  <si>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</si>
  <si>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</si>
  <si>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</si>
  <si>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</si>
  <si>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</si>
  <si>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</si>
  <si>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</si>
  <si>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</si>
  <si>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</si>
  <si>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</si>
  <si>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</si>
  <si>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</si>
  <si>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</si>
  <si>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</si>
  <si>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</si>
  <si>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</si>
  <si>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</si>
  <si>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</si>
  <si>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</si>
  <si>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</si>
  <si>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</si>
  <si>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</si>
  <si>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</si>
  <si>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</si>
  <si>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</si>
  <si>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</si>
  <si>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</si>
  <si>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</si>
  <si>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</si>
  <si>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</si>
  <si>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</si>
  <si>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</si>
  <si>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</si>
  <si>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</si>
  <si>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</si>
  <si>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</si>
  <si>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</si>
  <si>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</si>
  <si>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</si>
  <si>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</si>
  <si>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</si>
  <si>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</si>
  <si>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</si>
  <si>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</si>
  <si>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</si>
  <si>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</si>
  <si>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</si>
  <si>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</si>
  <si>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</si>
  <si>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</si>
  <si>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</si>
  <si>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</si>
  <si>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</si>
  <si>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</si>
  <si>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</si>
  <si>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</si>
  <si>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</si>
  <si>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</si>
  <si>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</si>
  <si>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</si>
  <si>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</si>
  <si>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</si>
  <si>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</si>
  <si>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</si>
  <si>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</si>
  <si>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</si>
  <si>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</si>
  <si>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</si>
  <si>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</si>
  <si>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</si>
  <si>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</si>
  <si>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</si>
  <si>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</si>
  <si>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</si>
  <si>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</si>
  <si>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</si>
  <si>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</si>
  <si>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</si>
  <si>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</si>
  <si>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</si>
  <si>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</si>
  <si>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</si>
  <si>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</si>
  <si>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</si>
  <si>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</si>
  <si>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</si>
  <si>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</si>
  <si>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</si>
  <si>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</si>
  <si>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</si>
  <si>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</si>
  <si>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</si>
  <si>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</si>
  <si>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</si>
  <si>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</si>
  <si>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</si>
  <si>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</si>
  <si>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</si>
  <si>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</si>
  <si>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</si>
  <si>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</si>
  <si>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</si>
  <si>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</si>
  <si>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</si>
  <si>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</si>
  <si>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</si>
  <si>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</si>
  <si>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</si>
  <si>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</si>
  <si>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</si>
  <si>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</si>
  <si>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</si>
  <si>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</si>
  <si>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</si>
  <si>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</si>
  <si>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</si>
  <si>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</si>
  <si>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</si>
  <si>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</si>
  <si>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</si>
  <si>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</si>
  <si>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</si>
  <si>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</si>
  <si>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</si>
  <si>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</si>
  <si>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</si>
  <si>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</si>
  <si>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</si>
  <si>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</si>
  <si>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</si>
  <si>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</si>
  <si>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</si>
  <si>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</si>
  <si>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</si>
  <si>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</si>
  <si>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</si>
  <si>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</si>
  <si>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</si>
  <si>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</si>
  <si>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</si>
  <si>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</si>
  <si>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</si>
  <si>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</si>
  <si>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</si>
  <si>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</si>
  <si>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</si>
  <si>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</si>
  <si>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</si>
  <si>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</si>
  <si>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</si>
  <si>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</si>
  <si>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</si>
  <si>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</si>
  <si>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</si>
  <si>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</si>
  <si>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</si>
  <si>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</si>
  <si>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</si>
  <si>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</si>
  <si>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</si>
  <si>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</si>
  <si>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</si>
  <si>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</si>
  <si>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</si>
  <si>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</si>
  <si>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</si>
  <si>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</si>
  <si>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</si>
  <si>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</si>
  <si>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</si>
  <si>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</si>
  <si>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</si>
  <si>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</si>
  <si>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</si>
  <si>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</si>
  <si>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</si>
  <si>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</si>
  <si>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</si>
  <si>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</si>
  <si>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</si>
  <si>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</si>
  <si>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</si>
  <si>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</si>
  <si>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</si>
  <si>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</si>
  <si>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</si>
  <si>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</si>
  <si>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</si>
  <si>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</si>
  <si>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</si>
  <si>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</si>
  <si>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</si>
  <si>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</si>
  <si>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</si>
  <si>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</si>
  <si>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</si>
  <si>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</si>
  <si>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</si>
  <si>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</si>
  <si>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</si>
  <si>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</si>
  <si>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</si>
  <si>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</si>
  <si>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</si>
  <si>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</si>
  <si>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</si>
  <si>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</si>
  <si>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</si>
  <si>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</si>
  <si>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</si>
  <si>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</si>
  <si>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</si>
  <si>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</si>
  <si>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</si>
  <si>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</si>
  <si>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</si>
  <si>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</si>
  <si>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</si>
  <si>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</si>
  <si>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</si>
  <si>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</si>
  <si>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</si>
  <si>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</si>
  <si>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</si>
  <si>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</si>
  <si>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</si>
  <si>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</si>
  <si>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</si>
  <si>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</si>
  <si>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</si>
  <si>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</si>
  <si>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</si>
  <si>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</si>
  <si>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</si>
  <si>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</si>
  <si>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</si>
  <si>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</si>
  <si>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</si>
  <si>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</si>
  <si>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</si>
  <si>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</si>
  <si>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</si>
  <si>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</si>
  <si>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</si>
  <si>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</si>
  <si>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</si>
  <si>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</si>
  <si>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</si>
  <si>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</si>
  <si>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</si>
  <si>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</si>
  <si>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</si>
  <si>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</si>
  <si>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</si>
  <si>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</si>
  <si>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</si>
  <si>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</si>
  <si>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</si>
  <si>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</si>
  <si>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</si>
  <si>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</si>
  <si>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</si>
  <si>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</si>
  <si>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</si>
  <si>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</si>
  <si>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</si>
  <si>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</si>
  <si>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</si>
  <si>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</si>
  <si>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</si>
  <si>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</si>
  <si>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</si>
  <si>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</si>
  <si>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</si>
  <si>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</si>
  <si>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</si>
  <si>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</si>
  <si>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</si>
  <si>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</si>
  <si>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</si>
  <si>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</si>
  <si>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</si>
  <si>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</si>
  <si>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</si>
  <si>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</si>
  <si>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</si>
  <si>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</si>
  <si>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</si>
  <si>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</si>
  <si>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</si>
  <si>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</si>
  <si>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</si>
  <si>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</si>
  <si>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</si>
  <si>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</si>
  <si>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</si>
  <si>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</si>
  <si>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</si>
  <si>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</si>
  <si>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</si>
  <si>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</si>
  <si>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</si>
  <si>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</si>
  <si>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</si>
  <si>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</si>
  <si>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</si>
  <si>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</si>
  <si>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</si>
  <si>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</si>
  <si>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</si>
  <si>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</si>
  <si>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</si>
  <si>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</si>
  <si>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</si>
  <si>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</si>
  <si>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</si>
  <si>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</si>
  <si>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</si>
  <si>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</si>
  <si>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</si>
  <si>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</si>
  <si>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</si>
  <si>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</si>
  <si>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</si>
  <si>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</si>
  <si>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</si>
  <si>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</si>
  <si>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</si>
  <si>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</si>
  <si>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</si>
  <si>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</si>
  <si>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</si>
  <si>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</si>
  <si>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</si>
  <si>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</si>
  <si>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</si>
  <si>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</si>
  <si>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</si>
  <si>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</si>
  <si>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</si>
  <si>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</si>
  <si>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</si>
  <si>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</si>
  <si>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</si>
  <si>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</si>
  <si>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</si>
  <si>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</si>
  <si>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</si>
  <si>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</si>
  <si>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</si>
  <si>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</si>
  <si>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</si>
  <si>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</si>
  <si>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</si>
  <si>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</si>
  <si>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</si>
  <si>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</si>
  <si>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</si>
  <si>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</si>
  <si>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</si>
  <si>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</si>
  <si>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</si>
  <si>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</si>
  <si>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</si>
  <si>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</si>
  <si>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</si>
  <si>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</si>
  <si>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</si>
  <si>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</si>
  <si>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</si>
  <si>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</si>
  <si>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</si>
  <si>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</si>
  <si>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</si>
  <si>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</si>
  <si>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</si>
  <si>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</si>
  <si>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</si>
  <si>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</si>
  <si>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</si>
  <si>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</si>
  <si>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</si>
  <si>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</si>
  <si>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</si>
  <si>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</si>
  <si>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</si>
  <si>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</si>
  <si>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</si>
  <si>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</si>
  <si>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</si>
  <si>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</si>
  <si>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</si>
  <si>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</si>
  <si>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</si>
  <si>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</si>
  <si>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</si>
  <si>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</si>
  <si>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</si>
  <si>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</si>
  <si>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</si>
  <si>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</si>
  <si>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</si>
  <si>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</si>
  <si>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</si>
  <si>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</si>
  <si>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</si>
  <si>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</si>
  <si>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</si>
  <si>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</si>
  <si>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</si>
  <si>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</si>
  <si>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</si>
  <si>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</si>
  <si>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</si>
  <si>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</si>
  <si>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</si>
  <si>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</si>
  <si>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</si>
  <si>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</si>
  <si>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</si>
  <si>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</si>
  <si>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</si>
  <si>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</si>
  <si>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</si>
  <si>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</si>
  <si>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</si>
  <si>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</si>
  <si>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</si>
  <si>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</si>
  <si>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</si>
  <si>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</si>
  <si>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</si>
  <si>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</si>
  <si>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</si>
  <si>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</si>
  <si>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</si>
  <si>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</si>
  <si>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</si>
  <si>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</si>
  <si>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</si>
  <si>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</si>
  <si>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</si>
  <si>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</si>
  <si>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</si>
  <si>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</si>
  <si>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</si>
  <si>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</si>
  <si>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</si>
  <si>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</si>
  <si>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</si>
  <si>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</si>
  <si>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</si>
  <si>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</si>
  <si>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</si>
  <si>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</si>
  <si>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</si>
  <si>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</si>
  <si>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</si>
  <si>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</si>
  <si>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</si>
  <si>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</si>
  <si>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</si>
  <si>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</si>
  <si>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</si>
  <si>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</si>
  <si>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</si>
  <si>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</si>
  <si>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</si>
  <si>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</si>
  <si>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</si>
  <si>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</si>
  <si>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</si>
  <si>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</si>
  <si>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</si>
  <si>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</si>
  <si>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</si>
  <si>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</si>
  <si>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</si>
  <si>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</si>
  <si>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</si>
  <si>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</si>
  <si>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</si>
  <si>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</si>
  <si>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</si>
  <si>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</si>
  <si>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</si>
  <si>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</si>
  <si>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</si>
  <si>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</si>
  <si>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</si>
  <si>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</si>
  <si>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</si>
  <si>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</si>
  <si>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</si>
  <si>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</si>
  <si>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</si>
  <si>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</si>
  <si>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</si>
  <si>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</si>
  <si>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</si>
  <si>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</si>
  <si>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</si>
  <si>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</si>
  <si>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</si>
  <si>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</si>
  <si>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</si>
  <si>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</si>
  <si>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</si>
  <si>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</si>
  <si>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</si>
  <si>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</si>
  <si>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</si>
  <si>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</si>
  <si>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</si>
  <si>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</si>
  <si>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</si>
  <si>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</si>
  <si>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</si>
  <si>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</si>
  <si>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</si>
  <si>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</si>
  <si>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</si>
  <si>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</si>
  <si>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</si>
  <si>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</si>
  <si>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</si>
  <si>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</si>
  <si>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</si>
  <si>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</si>
  <si>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</si>
  <si>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</si>
  <si>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</si>
  <si>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</si>
  <si>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</si>
  <si>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</si>
  <si>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</si>
  <si>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</si>
  <si>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</si>
  <si>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</si>
  <si>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</si>
  <si>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</si>
  <si>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</si>
  <si>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</si>
  <si>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</si>
  <si>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</si>
  <si>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</si>
  <si>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</si>
  <si>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</si>
  <si>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</si>
  <si>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</si>
  <si>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</si>
  <si>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</si>
  <si>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</si>
  <si>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</si>
  <si>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</si>
  <si>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</si>
  <si>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</si>
  <si>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</si>
  <si>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</si>
  <si>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</si>
  <si>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</si>
  <si>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</si>
  <si>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</si>
  <si>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</si>
  <si>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</si>
  <si>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</si>
  <si>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</si>
  <si>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</si>
  <si>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</si>
  <si>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</si>
  <si>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</si>
  <si>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</si>
  <si>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</si>
  <si>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</si>
  <si>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</si>
  <si>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</si>
  <si>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</si>
  <si>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</si>
  <si>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</si>
  <si>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</si>
  <si>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</si>
  <si>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</si>
  <si>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</si>
  <si>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</si>
  <si>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</si>
  <si>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</si>
  <si>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</si>
  <si>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</si>
  <si>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</si>
  <si>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</si>
  <si>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</si>
  <si>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</si>
  <si>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</si>
  <si>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</si>
  <si>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</si>
  <si>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</si>
  <si>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</si>
  <si>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</si>
  <si>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</si>
  <si>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</si>
  <si>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</si>
  <si>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</si>
  <si>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</si>
  <si>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</si>
  <si>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</si>
  <si>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</si>
  <si>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</si>
  <si>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</si>
  <si>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</si>
  <si>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</si>
  <si>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</si>
  <si>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</si>
  <si>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</si>
  <si>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</si>
  <si>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</si>
  <si>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</si>
  <si>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</si>
  <si>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</si>
  <si>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</si>
  <si>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</si>
  <si>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</si>
  <si>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</si>
  <si>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</si>
  <si>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</si>
  <si>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</si>
  <si>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</si>
  <si>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</si>
  <si>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</si>
  <si>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</si>
  <si>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</si>
  <si>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</si>
  <si>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</si>
  <si>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</si>
  <si>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</si>
  <si>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</si>
  <si>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</si>
  <si>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</si>
  <si>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</si>
  <si>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</si>
  <si>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</si>
  <si>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</si>
  <si>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</si>
  <si>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</si>
  <si>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</si>
  <si>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</si>
  <si>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</si>
  <si>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</si>
  <si>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</si>
  <si>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</si>
  <si>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</si>
  <si>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</si>
  <si>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</si>
  <si>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</si>
  <si>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</si>
  <si>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</si>
  <si>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</si>
  <si>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</si>
  <si>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</si>
  <si>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</si>
  <si>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</si>
  <si>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</si>
  <si>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</si>
  <si>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</si>
  <si>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</si>
  <si>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</si>
  <si>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</si>
  <si>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</si>
  <si>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</si>
  <si>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</si>
  <si>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</si>
  <si>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</si>
  <si>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</si>
  <si>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</si>
  <si>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</si>
  <si>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</si>
  <si>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</si>
  <si>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</si>
  <si>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</si>
  <si>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</si>
  <si>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</si>
  <si>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</si>
  <si>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</si>
  <si>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</si>
  <si>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</si>
  <si>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</si>
  <si>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</si>
  <si>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</si>
  <si>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</si>
  <si>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</si>
  <si>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</si>
  <si>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</si>
  <si>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</si>
  <si>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</si>
  <si>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</si>
  <si>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</si>
  <si>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</si>
  <si>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</si>
  <si>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</si>
  <si>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</si>
  <si>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</si>
  <si>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</si>
  <si>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</si>
  <si>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</si>
  <si>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</si>
  <si>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</si>
  <si>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</si>
  <si>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</si>
  <si>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</si>
  <si>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</si>
  <si>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</si>
  <si>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</si>
  <si>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</si>
  <si>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</si>
  <si>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</si>
  <si>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</si>
  <si>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</si>
  <si>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</si>
  <si>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</si>
  <si>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</si>
  <si>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</si>
  <si>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</si>
  <si>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</si>
  <si>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</si>
  <si>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</si>
  <si>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</si>
  <si>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</si>
  <si>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</si>
  <si>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</si>
  <si>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</si>
  <si>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</si>
  <si>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</si>
  <si>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</si>
  <si>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</si>
  <si>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</si>
  <si>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</si>
  <si>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</si>
  <si>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</si>
  <si>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</si>
  <si>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</si>
  <si>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</si>
  <si>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</si>
  <si>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</si>
  <si>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</si>
  <si>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</si>
  <si>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</si>
  <si>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</si>
  <si>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</si>
  <si>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</si>
  <si>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</si>
  <si>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</si>
  <si>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</si>
  <si>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</si>
  <si>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</si>
  <si>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</si>
  <si>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</si>
  <si>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</si>
  <si>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</si>
  <si>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</si>
  <si>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</si>
  <si>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</si>
  <si>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</si>
  <si>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</si>
  <si>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</si>
  <si>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</si>
  <si>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</si>
  <si>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</si>
  <si>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</si>
  <si>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</si>
  <si>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</si>
  <si>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</si>
  <si>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</si>
  <si>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</si>
  <si>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</si>
  <si>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</si>
  <si>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</si>
  <si>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</si>
  <si>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</si>
  <si>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</si>
  <si>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</si>
  <si>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</si>
  <si>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</si>
  <si>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</si>
  <si>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</si>
  <si>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</si>
  <si>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</si>
  <si>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</si>
  <si>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</si>
  <si>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</si>
  <si>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</si>
  <si>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</si>
  <si>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</si>
  <si>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</si>
  <si>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</si>
  <si>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</si>
  <si>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</si>
  <si>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</si>
  <si>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</si>
  <si>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</si>
  <si>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</si>
  <si>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</si>
  <si>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</si>
  <si>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</si>
  <si>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</si>
  <si>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</si>
  <si>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</si>
  <si>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</si>
  <si>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</si>
  <si>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</si>
  <si>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</si>
  <si>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</si>
  <si>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</si>
  <si>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</si>
  <si>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</si>
  <si>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</si>
  <si>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</si>
  <si>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</si>
  <si>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</si>
  <si>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</si>
  <si>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</si>
  <si>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</si>
  <si>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</si>
  <si>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</si>
  <si>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</si>
  <si>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</si>
  <si>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</si>
  <si>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</si>
  <si>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</si>
  <si>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</si>
  <si>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</si>
  <si>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</si>
  <si>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</si>
  <si>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</si>
  <si>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</si>
  <si>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</si>
  <si>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</si>
  <si>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</si>
  <si>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</si>
  <si>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</si>
  <si>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</si>
  <si>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</si>
  <si>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</si>
  <si>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</si>
  <si>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</si>
  <si>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</si>
  <si>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</si>
  <si>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</si>
  <si>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</si>
  <si>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</si>
  <si>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</si>
  <si>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</si>
  <si>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</si>
  <si>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</si>
  <si>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</si>
  <si>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</si>
  <si>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</si>
  <si>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</si>
  <si>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</si>
  <si>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</si>
  <si>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</si>
  <si>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</si>
  <si>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</si>
  <si>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</si>
  <si>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</si>
  <si>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</si>
  <si>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</si>
  <si>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</si>
  <si>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</si>
  <si>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</si>
  <si>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</si>
  <si>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</si>
  <si>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</si>
  <si>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</si>
  <si>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</si>
  <si>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</si>
  <si>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</si>
  <si>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</si>
  <si>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</si>
  <si>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</si>
  <si>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</si>
  <si>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</si>
  <si>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</si>
  <si>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</si>
  <si>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</si>
  <si>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</si>
  <si>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</si>
  <si>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</si>
  <si>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</si>
  <si>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</si>
  <si>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</si>
  <si>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</si>
  <si>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</si>
  <si>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</si>
  <si>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</si>
  <si>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</si>
  <si>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</si>
  <si>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</si>
  <si>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</si>
  <si>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</si>
  <si>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</si>
  <si>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</si>
  <si>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</si>
  <si>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</si>
  <si>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</si>
  <si>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</si>
  <si>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</si>
  <si>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</si>
  <si>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</si>
  <si>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</si>
  <si>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</si>
  <si>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</si>
  <si>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</si>
  <si>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</si>
  <si>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</si>
  <si>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</si>
  <si>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</si>
  <si>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</si>
  <si>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</si>
  <si>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</si>
  <si>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</si>
  <si>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</si>
  <si>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</si>
  <si>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</si>
  <si>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</si>
  <si>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</si>
  <si>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</si>
  <si>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</si>
  <si>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</si>
  <si>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</si>
  <si>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</si>
  <si>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</si>
  <si>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</si>
  <si>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</si>
  <si>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</si>
  <si>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</si>
  <si>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</si>
  <si>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</si>
  <si>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</si>
  <si>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</si>
  <si>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</si>
  <si>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</si>
  <si>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</si>
  <si>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</si>
  <si>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</si>
  <si>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</si>
  <si>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</si>
  <si>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</si>
  <si>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</si>
  <si>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</si>
  <si>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</si>
  <si>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</si>
  <si>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</si>
  <si>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</si>
  <si>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</si>
  <si>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</si>
  <si>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</si>
  <si>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</si>
  <si>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</si>
  <si>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</si>
  <si>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</si>
  <si>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</si>
  <si>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</si>
  <si>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</si>
  <si>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</si>
  <si>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</si>
  <si>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</si>
  <si>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</si>
  <si>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</si>
  <si>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</si>
  <si>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</si>
  <si>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</si>
  <si>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</si>
  <si>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</si>
  <si>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</si>
  <si>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</si>
  <si>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</si>
  <si>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</si>
  <si>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</si>
  <si>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</si>
  <si>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</si>
  <si>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</si>
  <si>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</si>
  <si>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</si>
  <si>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</si>
  <si>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</si>
  <si>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</si>
  <si>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</si>
  <si>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</si>
  <si>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</si>
  <si>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</si>
  <si>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</si>
  <si>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</si>
  <si>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</si>
  <si>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</si>
  <si>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</si>
  <si>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</si>
  <si>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</si>
  <si>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</si>
  <si>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</si>
  <si>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</si>
  <si>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</si>
  <si>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</si>
  <si>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</si>
  <si>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</si>
  <si>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</si>
  <si>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</si>
  <si>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</si>
  <si>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</si>
  <si>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</si>
  <si>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</si>
  <si>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</si>
  <si>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</si>
  <si>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</si>
  <si>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</si>
  <si>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</si>
  <si>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</si>
  <si>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</si>
  <si>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</si>
  <si>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</si>
  <si>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</si>
  <si>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</si>
  <si>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</si>
  <si>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</si>
  <si>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</si>
  <si>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</si>
  <si>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</si>
  <si>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</si>
  <si>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</si>
  <si>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</si>
  <si>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</si>
  <si>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</si>
  <si>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</si>
  <si>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</si>
  <si>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</si>
  <si>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</si>
  <si>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</si>
  <si>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</si>
  <si>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</si>
  <si>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</si>
  <si>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</si>
  <si>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</si>
  <si>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</si>
  <si>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</si>
  <si>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</si>
  <si>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</si>
  <si>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</si>
  <si>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</si>
  <si>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</si>
  <si>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</si>
  <si>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</si>
  <si>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</si>
  <si>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</si>
  <si>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</si>
  <si>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</si>
  <si>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</si>
  <si>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</si>
  <si>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</si>
  <si>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</si>
  <si>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</si>
  <si>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</si>
  <si>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</si>
  <si>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</si>
  <si>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</si>
  <si>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</si>
  <si>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</si>
  <si>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</si>
  <si>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</si>
  <si>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</si>
  <si>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</si>
  <si>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</si>
  <si>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</si>
  <si>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</si>
  <si>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</si>
  <si>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</si>
  <si>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</si>
  <si>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</si>
  <si>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</si>
  <si>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</si>
  <si>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</si>
  <si>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</si>
  <si>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</si>
  <si>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</si>
  <si>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</si>
  <si>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</si>
  <si>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</si>
  <si>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</si>
  <si>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</si>
  <si>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</si>
  <si>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</si>
  <si>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</si>
  <si>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</si>
  <si>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</si>
  <si>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</si>
  <si>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</si>
  <si>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</si>
  <si>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</si>
  <si>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</si>
  <si>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</si>
  <si>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</si>
  <si>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</si>
  <si>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</si>
  <si>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</si>
  <si>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</si>
  <si>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</si>
  <si>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</si>
  <si>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</si>
  <si>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</si>
  <si>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</si>
  <si>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</si>
  <si>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</si>
  <si>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</si>
  <si>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</si>
  <si>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</si>
  <si>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</si>
  <si>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</si>
  <si>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</si>
  <si>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</si>
  <si>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</si>
  <si>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</si>
  <si>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</si>
  <si>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</si>
  <si>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</si>
  <si>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</si>
  <si>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</si>
  <si>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</si>
  <si>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</si>
  <si>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</si>
  <si>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</si>
  <si>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</si>
  <si>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</si>
  <si>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</si>
  <si>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</si>
  <si>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</si>
  <si>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</si>
  <si>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</si>
  <si>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</si>
  <si>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</si>
  <si>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</si>
  <si>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</si>
  <si>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</si>
  <si>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</si>
  <si>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</si>
  <si>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</si>
  <si>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</si>
  <si>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</si>
  <si>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</si>
  <si>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</si>
  <si>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</si>
  <si>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</si>
  <si>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</si>
  <si>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</si>
  <si>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</si>
  <si>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</si>
  <si>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</si>
  <si>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</si>
  <si>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</si>
  <si>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</si>
  <si>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</si>
  <si>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</si>
  <si>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</si>
  <si>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</si>
  <si>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</si>
  <si>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</si>
  <si>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</si>
  <si>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</si>
  <si>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</si>
  <si>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</si>
  <si>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</si>
  <si>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</si>
  <si>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</si>
  <si>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</si>
  <si>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</si>
  <si>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</si>
  <si>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</si>
  <si>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</si>
  <si>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</si>
  <si>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</si>
  <si>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</si>
  <si>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</si>
  <si>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</si>
  <si>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</si>
  <si>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</si>
  <si>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</si>
  <si>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</si>
  <si>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</si>
  <si>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</si>
  <si>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</si>
  <si>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</si>
  <si>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</si>
  <si>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</si>
  <si>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</si>
  <si>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</si>
  <si>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</si>
  <si>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</si>
  <si>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</si>
  <si>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</si>
  <si>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</si>
  <si>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</si>
  <si>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</si>
  <si>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</si>
  <si>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</si>
  <si>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</si>
  <si>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</si>
  <si>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</si>
  <si>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</si>
  <si>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</si>
  <si>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</si>
  <si>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</si>
  <si>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</si>
  <si>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</si>
  <si>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</si>
  <si>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</si>
  <si>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</si>
  <si>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</si>
  <si>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</si>
  <si>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</si>
  <si>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</si>
  <si>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</si>
  <si>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</si>
  <si>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</si>
  <si>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</si>
  <si>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</si>
  <si>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</si>
  <si>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</si>
  <si>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</si>
  <si>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</si>
  <si>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</si>
  <si>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</si>
  <si>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</si>
  <si>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</si>
  <si>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</si>
  <si>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</si>
  <si>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</si>
  <si>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</si>
  <si>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</si>
  <si>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</si>
  <si>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</si>
  <si>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</si>
  <si>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</si>
  <si>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</si>
  <si>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</si>
  <si>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</si>
  <si>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</si>
  <si>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</si>
  <si>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</si>
  <si>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</si>
  <si>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</si>
  <si>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</si>
  <si>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</si>
  <si>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</si>
  <si>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</si>
  <si>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</si>
  <si>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</si>
  <si>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</si>
  <si>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</si>
  <si>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</si>
  <si>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</si>
  <si>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</si>
  <si>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</si>
  <si>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</si>
  <si>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</si>
  <si>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</si>
  <si>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</si>
  <si>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</si>
  <si>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</si>
  <si>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</si>
  <si>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</si>
  <si>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</si>
  <si>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</si>
  <si>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</si>
  <si>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</si>
  <si>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</si>
  <si>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</si>
  <si>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</si>
  <si>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</si>
  <si>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</si>
  <si>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</si>
  <si>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</si>
  <si>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</si>
  <si>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</si>
  <si>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</si>
  <si>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</si>
  <si>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</si>
  <si>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</si>
  <si>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</si>
  <si>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</si>
  <si>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</si>
  <si>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</si>
  <si>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</si>
  <si>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</si>
  <si>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</si>
  <si>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</si>
  <si>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</si>
  <si>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</si>
  <si>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</si>
  <si>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</si>
  <si>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</si>
  <si>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</si>
  <si>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</si>
  <si>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</si>
  <si>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</si>
  <si>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</si>
  <si>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</si>
  <si>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</si>
  <si>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</si>
  <si>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</si>
  <si>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</si>
  <si>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</si>
  <si>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</si>
  <si>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</si>
  <si>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</si>
  <si>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</si>
  <si>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</si>
  <si>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</si>
  <si>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</si>
  <si>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</si>
  <si>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</si>
  <si>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</si>
  <si>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</si>
  <si>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</si>
  <si>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</si>
  <si>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</si>
  <si>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</si>
  <si>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</si>
  <si>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</si>
  <si>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</si>
  <si>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</si>
  <si>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</si>
  <si>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</si>
  <si>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</si>
  <si>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</si>
  <si>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</si>
  <si>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</si>
  <si>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</si>
  <si>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</si>
  <si>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</si>
  <si>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</si>
  <si>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</si>
  <si>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</si>
  <si>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</si>
  <si>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</si>
  <si>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</si>
  <si>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</si>
  <si>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</si>
  <si>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</si>
  <si>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</si>
  <si>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</si>
  <si>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</si>
  <si>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</si>
  <si>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</si>
  <si>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</si>
  <si>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</si>
  <si>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</si>
  <si>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</si>
  <si>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</si>
  <si>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</si>
  <si>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</si>
  <si>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</si>
  <si>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</si>
  <si>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</si>
  <si>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</si>
  <si>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</si>
  <si>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</si>
  <si>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</si>
  <si>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</si>
  <si>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</si>
  <si>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</si>
  <si>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</si>
  <si>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</si>
  <si>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</si>
  <si>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</si>
  <si>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</si>
  <si>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</si>
  <si>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</si>
  <si>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</si>
  <si>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</si>
  <si>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</si>
  <si>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</si>
  <si>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</si>
  <si>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</si>
  <si>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</si>
  <si>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</si>
  <si>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</si>
  <si>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</si>
  <si>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</si>
  <si>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</si>
  <si>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</si>
  <si>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</si>
  <si>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</si>
  <si>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</si>
  <si>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</si>
  <si>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</si>
  <si>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</si>
  <si>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Used for the jurisdiction England and Wales, and also for green gilts, and for [old&amp;#8209;style 8&amp;#8209;month ILGs](http://www.jdawiseman.com/papers/finmkts/gilt_statics_non-conventionals.html#ILG_8M).</t>
  </si>
  <si>
    <t>F0B000</t>
  </si>
  <si>
    <t>_character</t>
  </si>
  <si>
    <t>ExportControl.Alternate_viewbox</t>
  </si>
  <si>
    <t>Star_5_2.TightWidth</t>
  </si>
  <si>
    <t>Star_5_2.TightHeight</t>
  </si>
  <si>
    <t>AUD.TightWidth</t>
  </si>
  <si>
    <t>AUD.TightHeight</t>
  </si>
  <si>
    <t>JOD.TightWidth</t>
  </si>
  <si>
    <t>JOD.TightHeight</t>
  </si>
  <si>
    <t>CAD.TightWidth</t>
  </si>
  <si>
    <t>CAD.TightHeight</t>
  </si>
  <si>
    <t>CAD_2.TightWidth</t>
  </si>
  <si>
    <t>CAD_2.TightHeight</t>
  </si>
  <si>
    <t>HKD.TightWidth</t>
  </si>
  <si>
    <t>HKD.TightHeight</t>
  </si>
  <si>
    <t>RUB.TightWidth</t>
  </si>
  <si>
    <t>RUB.TightHeight</t>
  </si>
  <si>
    <t>AED.TightWidth</t>
  </si>
  <si>
    <t>AED.TightHeight</t>
  </si>
  <si>
    <t>ZAR.TightWidth</t>
  </si>
  <si>
    <t>ZAR.TightHeight</t>
  </si>
  <si>
    <t>_NDB.TightWidth</t>
  </si>
  <si>
    <t>_NDB.TightHeight</t>
  </si>
  <si>
    <t>CUP</t>
  </si>
  <si>
    <t>fill='#002590'</t>
  </si>
  <si>
    <t>XXX_0_FFF</t>
  </si>
  <si>
    <t>XXX_0_0F0</t>
  </si>
  <si>
    <t>XXX_0_F00</t>
  </si>
  <si>
    <t>XXX_0_00F</t>
  </si>
  <si>
    <t>XXX_0_F0F</t>
  </si>
  <si>
    <t>XXX_0_0FF</t>
  </si>
  <si>
    <t>XXX_0_FF0</t>
  </si>
  <si>
    <t>XXX_6_FFF</t>
  </si>
  <si>
    <t>XXX_6_0F0</t>
  </si>
  <si>
    <t>XXX_6_F00</t>
  </si>
  <si>
    <t>XXX_6_00F</t>
  </si>
  <si>
    <t>XXX_6_F0F</t>
  </si>
  <si>
    <t>XXX_6_0FF</t>
  </si>
  <si>
    <t>XXX_6_FF0</t>
  </si>
  <si>
    <t>Based on the [generic currency symbol](https://en.wikipedia.org/wiki/Currency_sign_(generic)), &amp;curren;, also known as the scarab character.</t>
  </si>
  <si>
    <t xml:space="preserve"> XXX_0_FFF XXX_0_0F0 XXX_0_F00 XXX_0_00F XXX_0_F0F XXX_0_0FF XXX_0_FF0 XXX_6_FFF XXX_6_0F0 XXX_6_F00 XXX_6_00F XXX_6_F0F XXX_6_0FF XXX_6_FF0 </t>
  </si>
  <si>
    <t>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</si>
</sst>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2">
    <dxf>
      <font>
        <b/>
        <i val="0"/>
      </font>
      <fill>
        <patternFill>
          <bgColor rgb="FFD3FFD9"/>
        </patternFill>
      </fill>
    </dxf>
    <dxf>
      <font>
        <color rgb="FFCC0000"/>
      </font>
    </dxf>
  </dxfs>
  <tableStyles count="0" defaultTableStyle="TableStyleMedium2" defaultPivotStyle="PivotStyleLight16"/>
  <colors>
    <mruColors>
      <color rgb="FFCC0000"/>
      <color rgb="FFD3FFD9"/>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127000</xdr:colOff>
      <xdr:row>34</xdr:row>
      <xdr:rowOff>50800</xdr:rowOff>
    </xdr:from>
    <xdr:to>
      <xdr:col>13</xdr:col>
      <xdr:colOff>127000</xdr:colOff>
      <xdr:row>50</xdr:row>
      <xdr:rowOff>63500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342900</xdr:colOff>
      <xdr:row>13</xdr:row>
      <xdr:rowOff>88900</xdr:rowOff>
    </xdr:from>
    <xdr:to>
      <xdr:col>12</xdr:col>
      <xdr:colOff>812800</xdr:colOff>
      <xdr:row>29</xdr:row>
      <xdr:rowOff>101600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787400</xdr:colOff>
      <xdr:row>19</xdr:row>
      <xdr:rowOff>190500</xdr:rowOff>
    </xdr:from>
    <xdr:to>
      <xdr:col>14</xdr:col>
      <xdr:colOff>431800</xdr:colOff>
      <xdr:row>36</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88900</xdr:colOff>
      <xdr:row>12</xdr:row>
      <xdr:rowOff>63500</xdr:rowOff>
    </xdr:from>
    <xdr:to>
      <xdr:col>7</xdr:col>
      <xdr:colOff>127000</xdr:colOff>
      <xdr:row>17</xdr:row>
      <xdr:rowOff>114300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914400" y="2514600"/>
          <a:ext cx="4991100"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marker</a:t>
          </a:r>
          <a:r>
            <a:rPr lang="en-GB" sz="1400" baseline="0"/>
            <a:t> not cleanly programmed, because of the multiple awkward back-and-forward relationships. But result seems good.</a:t>
          </a:r>
        </a:p>
        <a:p>
          <a:endParaRPr lang="en-GB" sz="1400" baseline="0"/>
        </a:p>
        <a:p>
          <a:r>
            <a:rPr lang="en-GB" sz="1400" baseline="0"/>
            <a:t> Also, uses a cubic Bézier, but a quadratic might have sufficed.</a:t>
          </a:r>
          <a:endParaRPr lang="en-GB" sz="14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30</xdr:col>
      <xdr:colOff>241300</xdr:colOff>
      <xdr:row>13</xdr:row>
      <xdr:rowOff>25400</xdr:rowOff>
    </xdr:from>
    <xdr:to>
      <xdr:col>33</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8"/>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2629</v>
      </c>
      <c r="M2" t="str">
        <f xml:space="preserve"> L2</f>
        <v>USD_2</v>
      </c>
      <c r="N2" t="str">
        <f xml:space="preserve"> L2</f>
        <v>USD_2</v>
      </c>
      <c r="P2" t="s">
        <v>2632</v>
      </c>
      <c r="Q2" t="str">
        <f xml:space="preserve"> P2</f>
        <v>USD_3</v>
      </c>
      <c r="R2" t="str">
        <f xml:space="preserve"> P2</f>
        <v>USD_3</v>
      </c>
      <c r="T2" t="s">
        <v>782</v>
      </c>
      <c r="U2" t="str">
        <f xml:space="preserve"> T2</f>
        <v>EU</v>
      </c>
      <c r="V2" t="str">
        <f xml:space="preserve"> T2</f>
        <v>EU</v>
      </c>
      <c r="X2" t="s">
        <v>2633</v>
      </c>
      <c r="Y2" t="str">
        <f xml:space="preserve"> X2</f>
        <v>EU_2</v>
      </c>
      <c r="Z2" t="str">
        <f xml:space="preserve"> X2</f>
        <v>EU_2</v>
      </c>
      <c r="AB2" t="s">
        <v>2634</v>
      </c>
      <c r="AC2" t="str">
        <f xml:space="preserve"> AB2</f>
        <v>EU_3</v>
      </c>
      <c r="AD2" t="str">
        <f xml:space="preserve"> AB2</f>
        <v>EU_3</v>
      </c>
      <c r="AF2" t="s">
        <v>2635</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c r="DC3" t="e">
        <f xml:space="preserve"> NA()</f>
        <v>#N/A</v>
      </c>
    </row>
    <row r="4" spans="2:107">
      <c r="C4" s="4" t="s">
        <v>2072</v>
      </c>
      <c r="D4" s="1">
        <f xml:space="preserve"> SQRT(Star_5_2.AreaMultiplier_Default * BasicBBoxArea)</f>
        <v>12.720196495140689</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2636</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2630</v>
      </c>
      <c r="Q10" s="5"/>
      <c r="R10" s="5" t="s">
        <v>2631</v>
      </c>
      <c r="U10" s="5"/>
      <c r="V10" s="5" t="s">
        <v>2073</v>
      </c>
      <c r="Y10" s="5"/>
      <c r="Z10" s="5" t="s">
        <v>2073</v>
      </c>
      <c r="AC10" s="5"/>
      <c r="AD10" s="5" t="s">
        <v>2638</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2637</v>
      </c>
      <c r="AC11" s="5"/>
      <c r="AD11" s="5" t="s">
        <v>2639</v>
      </c>
      <c r="AG11" s="5"/>
      <c r="AH11" s="5" t="s">
        <v>2638</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c r="DC13" s="21" t="e">
        <f xml:space="preserve"> NA()</f>
        <v>#N/A</v>
      </c>
    </row>
    <row r="14" spans="2:107">
      <c r="D14" s="1"/>
    </row>
    <row r="15" spans="2:107">
      <c r="J15" cm="1">
        <f t="array" ref="J15" xml:space="preserve"> SVG_length(J$76:J$87)</f>
        <v>320</v>
      </c>
      <c r="N15" cm="1">
        <f t="array" ref="N15" xml:space="preserve"> SVG_length(N$76:N$87)</f>
        <v>324</v>
      </c>
      <c r="R15" cm="1">
        <f t="array" ref="R15" xml:space="preserve"> SVG_length(R$76:R$87)</f>
        <v>324</v>
      </c>
      <c r="V15" cm="1">
        <f t="array" ref="V15" xml:space="preserve"> SVG_length(V$76:V$87)</f>
        <v>303</v>
      </c>
      <c r="Z15" cm="1">
        <f t="array" ref="Z15" xml:space="preserve"> SVG_length(Z$76:Z$87)</f>
        <v>303</v>
      </c>
      <c r="AD15" cm="1">
        <f t="array" ref="AD15" xml:space="preserve"> SVG_length(AD$76:AD$87)</f>
        <v>306</v>
      </c>
      <c r="AH15" cm="1">
        <f t="array" ref="AH15" xml:space="preserve"> SVG_length(AH$76:AH$87)</f>
        <v>303</v>
      </c>
      <c r="AL15" cm="1">
        <f t="array" ref="AL15" xml:space="preserve"> SVG_length(AL$76:AL$87)</f>
        <v>392</v>
      </c>
      <c r="AP15" cm="1">
        <f t="array" ref="AP15" xml:space="preserve"> SVG_length(AP$76:AP$87)</f>
        <v>403</v>
      </c>
      <c r="AT15" cm="1">
        <f t="array" ref="AT15" xml:space="preserve"> SVG_length(AT$76:AT$87)</f>
        <v>275</v>
      </c>
      <c r="AX15" cm="1">
        <f t="array" ref="AX15" xml:space="preserve"> SVG_length(AX$76:AX$87)</f>
        <v>395</v>
      </c>
      <c r="BB15" cm="1">
        <f t="array" ref="BB15" xml:space="preserve"> SVG_length(BB$76:BB$87)</f>
        <v>368</v>
      </c>
      <c r="BF15" cm="1">
        <f t="array" ref="BF15" xml:space="preserve"> SVG_length(BF$76:BF$87)</f>
        <v>390</v>
      </c>
      <c r="BJ15" cm="1">
        <f t="array" ref="BJ15" xml:space="preserve"> SVG_length(BJ$76:BJ$87)</f>
        <v>310</v>
      </c>
      <c r="BN15" cm="1">
        <f t="array" ref="BN15" xml:space="preserve"> SVG_length(BN$76:BN$87)</f>
        <v>563</v>
      </c>
      <c r="BR15" cm="1">
        <f t="array" ref="BR15" xml:space="preserve"> SVG_length(BR$76:BR$87)</f>
        <v>390</v>
      </c>
      <c r="BV15" cm="1">
        <f t="array" ref="BV15" xml:space="preserve"> SVG_length(BV$76:BV$87)</f>
        <v>372</v>
      </c>
      <c r="BZ15" cm="1">
        <f t="array" ref="BZ15" xml:space="preserve"> SVG_length(BZ$76:BZ$87)</f>
        <v>366</v>
      </c>
      <c r="CD15" cm="1">
        <f t="array" ref="CD15" xml:space="preserve"> SVG_length(CD$76:CD$87)</f>
        <v>328</v>
      </c>
      <c r="CH15" cm="1">
        <f t="array" ref="CH15" xml:space="preserve"> SVG_length(CH$76:CH$87)</f>
        <v>290</v>
      </c>
      <c r="CL15" cm="1">
        <f t="array" ref="CL15" xml:space="preserve"> SVG_length(CL$76:CL$87)</f>
        <v>435</v>
      </c>
      <c r="CP15" cm="1">
        <f t="array" ref="CP15" xml:space="preserve"> SVG_length(CP$76:CP$87)</f>
        <v>322</v>
      </c>
      <c r="CT15" cm="1">
        <f t="array" ref="CT15" xml:space="preserve"> SVG_length(CT$76:CT$87)</f>
        <v>432</v>
      </c>
      <c r="CX15" cm="1">
        <f t="array" ref="CX15" xml:space="preserve"> SVG_length(CX$76:CX$87)</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7">
      <c r="B49" t="s">
        <v>145</v>
      </c>
      <c r="C49" s="1">
        <f xml:space="preserve"> - C43</f>
        <v>-0.33236956456518563</v>
      </c>
      <c r="D49" s="1">
        <f xml:space="preserve"> D43</f>
        <v>-2.2928337120379547E-2</v>
      </c>
      <c r="BL49">
        <f t="shared" si="120"/>
        <v>0.33237</v>
      </c>
      <c r="BM49">
        <f t="shared" si="121"/>
        <v>2.2929999999999999E-2</v>
      </c>
      <c r="BN49" t="str">
        <v>L.33237 .02293Z</v>
      </c>
    </row>
    <row r="50" spans="2:107">
      <c r="C50" s="1"/>
      <c r="D50" s="1"/>
    </row>
    <row r="51" spans="2:107">
      <c r="C51" s="1"/>
      <c r="D51" s="1"/>
    </row>
    <row r="52" spans="2:107">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7">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7">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7">
      <c r="C55" s="1"/>
      <c r="D55" s="1"/>
    </row>
    <row r="56" spans="2:107">
      <c r="C56" s="1"/>
      <c r="D56" s="1"/>
    </row>
    <row r="57" spans="2:107">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7">
      <c r="B58" t="s">
        <v>147</v>
      </c>
      <c r="C58" s="1">
        <f xml:space="preserve"> - C54</f>
        <v>-0.28236956456518564</v>
      </c>
      <c r="D58" s="1">
        <f xml:space="preserve"> D54</f>
        <v>-0.17681251397914222</v>
      </c>
      <c r="BL58">
        <f t="shared" si="124"/>
        <v>0.28237000000000001</v>
      </c>
      <c r="BM58">
        <f t="shared" si="125"/>
        <v>0.17680999999999999</v>
      </c>
      <c r="BN58" t="str">
        <v>L.28237 .17681</v>
      </c>
    </row>
    <row r="59" spans="2:107">
      <c r="B59" t="s">
        <v>147</v>
      </c>
      <c r="C59" s="1">
        <f xml:space="preserve"> - C53</f>
        <v>-8.0901699437494742E-2</v>
      </c>
      <c r="D59" s="1">
        <f xml:space="preserve"> D53</f>
        <v>-0.32318748602085767</v>
      </c>
      <c r="BL59">
        <f t="shared" si="124"/>
        <v>8.09E-2</v>
      </c>
      <c r="BM59">
        <f t="shared" si="125"/>
        <v>0.32318999999999998</v>
      </c>
      <c r="BN59" t="str">
        <v>L.0809 .32319Z</v>
      </c>
    </row>
    <row r="62" spans="2:107">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c r="DC62" t="e">
        <f xml:space="preserve"> NA()</f>
        <v>#N/A</v>
      </c>
    </row>
    <row r="63" spans="2:107">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c r="DC63" t="e">
        <f xml:space="preserve"> NA()</f>
        <v>#N/A</v>
      </c>
    </row>
    <row r="64" spans="2:107">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c r="DC64" t="e">
        <f xml:space="preserve"> NA()</f>
        <v>#N/A</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c r="DC65" t="e">
        <f xml:space="preserve"> NA()</f>
        <v>#N/A</v>
      </c>
    </row>
    <row r="66" spans="5:107">
      <c r="J66">
        <f xml:space="preserve"> SQRT(_xlfn.SINGLE(Star_5_2.AreaMultiplier) * BasicBBoxArea * _xlfn.SINGLE(Star_5_2.Aspect))</f>
        <v>15.381096640736642</v>
      </c>
      <c r="N66">
        <f xml:space="preserve"> SQRT(_xlfn.SINGLE(Star_5_2.AreaMultiplier) * BasicBBoxArea * _xlfn.SINGLE(Star_5_2.Aspect))</f>
        <v>15.381096640736642</v>
      </c>
      <c r="R66">
        <f xml:space="preserve"> SQRT(_xlfn.SINGLE(Star_5_2.AreaMultiplier) * BasicBBoxArea * _xlfn.SINGLE(Star_5_2.Aspect))</f>
        <v>15.381096640736642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15.4</v>
      </c>
      <c r="R68">
        <f xml:space="preserve"> VALUE(TEXT( IF(Star_5_2.AreaMultiplier_Default=_xlfn.SINGLE(Star_5_2.AreaMultiplier), Star_5_2.OuterPoints_Default * SQRT(_xlfn.SINGLE(Star_5_2.Aspect)), SQRT(_xlfn.SINGLE(Star_5_2.AreaMultiplier) * BasicBBoxArea * _xlfn.SINGLE(Star_5_2.Aspect)) ), SVG.NumberFormatHeight))</f>
        <v>15.4</v>
      </c>
      <c r="V68">
        <f xml:space="preserve"> VALUE(TEXT( IF(Star_5_2.AreaMultiplier_Default=_xlfn.SINGLE(Star_5_2.AreaMultiplier), Star_5_2.OuterPoints_Default * SQRT(_xlfn.SINGLE(Star_5_2.Aspect)), SQRT(_xlfn.SINGLE(Star_5_2.AreaMultiplier) * BasicBBoxArea * _xlfn.SINGLE(Star_5_2.Aspect)) ), SVG.NumberFormatHeight))</f>
        <v>10</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10</v>
      </c>
      <c r="AH68">
        <f xml:space="preserve"> VALUE(TEXT( IF(Star_5_2.AreaMultiplier_Default=_xlfn.SINGLE(Star_5_2.AreaMultiplier), Star_5_2.OuterPoints_Default * SQRT(_xlfn.SINGLE(Star_5_2.Aspect)), SQRT(_xlfn.SINGLE(Star_5_2.AreaMultiplier) * BasicBBoxArea * _xlfn.SINGLE(Star_5_2.Aspect)) ), SVG.NumberFormatHeight))</f>
        <v>10</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12.7</v>
      </c>
      <c r="AT68">
        <f xml:space="preserve"> VALUE(TEXT( IF(Star_5_2.AreaMultiplier_Default=_xlfn.SINGLE(Star_5_2.AreaMultiplier), Star_5_2.OuterPoints_Default * SQRT(_xlfn.SINGLE(Star_5_2.Aspect)), SQRT(_xlfn.SINGLE(Star_5_2.AreaMultiplier) * BasicBBoxArea * _xlfn.SINGLE(Star_5_2.Aspect)) ), SVG.NumberFormatHeight))</f>
        <v>10</v>
      </c>
      <c r="AX68">
        <f xml:space="preserve"> VALUE(TEXT( IF(Star_5_2.AreaMultiplier_Default=_xlfn.SINGLE(Star_5_2.AreaMultiplier), Star_5_2.OuterPoints_Default * SQRT(_xlfn.SINGLE(Star_5_2.Aspect)), SQRT(_xlfn.SINGLE(Star_5_2.AreaMultiplier) * BasicBBoxArea * _xlfn.SINGLE(Star_5_2.Aspect)) ), SVG.NumberFormatHeight))</f>
        <v>12.6</v>
      </c>
      <c r="BB68">
        <f xml:space="preserve"> VALUE(TEXT( IF(Star_5_2.AreaMultiplier_Default=_xlfn.SINGLE(Star_5_2.AreaMultiplier), Star_5_2.OuterPoints_Default * SQRT(_xlfn.SINGLE(Star_5_2.Aspect)), SQRT(_xlfn.SINGLE(Star_5_2.AreaMultiplier) * BasicBBoxArea * _xlfn.SINGLE(Star_5_2.Aspect)) ), SVG.NumberFormatHeight))</f>
        <v>12.4</v>
      </c>
      <c r="BF68">
        <f xml:space="preserve"> VALUE(TEXT( IF(Star_5_2.AreaMultiplier_Default=_xlfn.SINGLE(Star_5_2.AreaMultiplier), Star_5_2.OuterPoints_Default * SQRT(_xlfn.SINGLE(Star_5_2.Aspect)), SQRT(_xlfn.SINGLE(Star_5_2.AreaMultiplier) * BasicBBoxArea * _xlfn.SINGLE(Star_5_2.Aspect)) ), SVG.NumberFormatHeight))</f>
        <v>10</v>
      </c>
      <c r="BJ68">
        <f xml:space="preserve"> VALUE(TEXT( IF(Star_5_2.AreaMultiplier_Default=_xlfn.SINGLE(Star_5_2.AreaMultiplier), Star_5_2.OuterPoints_Default * SQRT(_xlfn.SINGLE(Star_5_2.Aspect)), SQRT(_xlfn.SINGLE(Star_5_2.AreaMultiplier) * BasicBBoxArea * _xlfn.SINGLE(Star_5_2.Aspect)) ), SVG.NumberFormatHeight))</f>
        <v>10</v>
      </c>
      <c r="BN68">
        <f xml:space="preserve"> VALUE(TEXT( IF(Star_5_2.AreaMultiplier_Default=_xlfn.SINGLE(Star_5_2.AreaMultiplier), Star_5_2.OuterPoints_Default * SQRT(_xlfn.SINGLE(Star_5_2.Aspect)), SQRT(_xlfn.SINGLE(Star_5_2.AreaMultiplier) * BasicBBoxArea * _xlfn.SINGLE(Star_5_2.Aspect)) ), SVG.NumberFormatHeight))</f>
        <v>13</v>
      </c>
      <c r="BR68">
        <f xml:space="preserve"> VALUE(TEXT( IF(Star_5_2.AreaMultiplier_Default=_xlfn.SINGLE(Star_5_2.AreaMultiplier), Star_5_2.OuterPoints_Default * SQRT(_xlfn.SINGLE(Star_5_2.Aspect)), SQRT(_xlfn.SINGLE(Star_5_2.AreaMultiplier) * BasicBBoxArea * _xlfn.SINGLE(Star_5_2.Aspect)) ), SVG.NumberFormatHeight))</f>
        <v>9.9</v>
      </c>
      <c r="BV68">
        <f xml:space="preserve"> VALUE(TEXT( IF(Star_5_2.AreaMultiplier_Default=_xlfn.SINGLE(Star_5_2.AreaMultiplier), Star_5_2.OuterPoints_Default * SQRT(_xlfn.SINGLE(Star_5_2.Aspect)), SQRT(_xlfn.SINGLE(Star_5_2.AreaMultiplier) * BasicBBoxArea * _xlfn.SINGLE(Star_5_2.Aspect)) ), SVG.NumberFormatHeight))</f>
        <v>13</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H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L68">
        <f xml:space="preserve"> VALUE(TEXT( IF(Star_5_2.AreaMultiplier_Default=_xlfn.SINGLE(Star_5_2.AreaMultiplier), Star_5_2.OuterPoints_Default * SQRT(_xlfn.SINGLE(Star_5_2.Aspect)), SQRT(_xlfn.SINGLE(Star_5_2.AreaMultiplier) * BasicBBoxArea * _xlfn.SINGLE(Star_5_2.Aspect)) ), SVG.NumberFormatHeight))</f>
        <v>13</v>
      </c>
      <c r="CP68">
        <f xml:space="preserve"> VALUE(TEXT( IF(Star_5_2.AreaMultiplier_Default=_xlfn.SINGLE(Star_5_2.AreaMultiplier), Star_5_2.OuterPoints_Default * SQRT(_xlfn.SINGLE(Star_5_2.Aspect)), SQRT(_xlfn.SINGLE(Star_5_2.AreaMultiplier) * BasicBBoxArea * _xlfn.SINGLE(Star_5_2.Aspect)) ), SVG.NumberFormatHeight))</f>
        <v>10</v>
      </c>
      <c r="CT68">
        <f xml:space="preserve"> VALUE(TEXT( IF(Star_5_2.AreaMultiplier_Default=_xlfn.SINGLE(Star_5_2.AreaMultiplier), Star_5_2.OuterPoints_Default * SQRT(_xlfn.SINGLE(Star_5_2.Aspect)), SQRT(_xlfn.SINGLE(Star_5_2.AreaMultiplier) * BasicBBoxArea * _xlfn.SINGLE(Star_5_2.Aspect)) ), SVG.NumberFormatHeight))</f>
        <v>13</v>
      </c>
      <c r="CX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107">
      <c r="F69" s="4" t="s">
        <v>80</v>
      </c>
      <c r="J69">
        <f xml:space="preserve"> _xlfn.SINGLE(Star_5_2.Height) / _xlfn.SINGLE(Star_5_2.Aspect)</f>
        <v>14.646324000000002</v>
      </c>
      <c r="N69">
        <f xml:space="preserve"> _xlfn.SINGLE(Star_5_2.Height) / _xlfn.SINGLE(Star_5_2.Aspect)</f>
        <v>14.646324000000002</v>
      </c>
      <c r="R69">
        <f xml:space="preserve"> _xlfn.SINGLE(Star_5_2.Height) / _xlfn.SINGLE(Star_5_2.Aspect)</f>
        <v>14.646324000000002</v>
      </c>
      <c r="V69">
        <f xml:space="preserve"> _xlfn.SINGLE(Star_5_2.Height) / _xlfn.SINGLE(Star_5_2.Aspect)</f>
        <v>10</v>
      </c>
      <c r="Z69">
        <f xml:space="preserve"> _xlfn.SINGLE(Star_5_2.Height) / _xlfn.SINGLE(Star_5_2.Aspect)</f>
        <v>10</v>
      </c>
      <c r="AD69">
        <f xml:space="preserve"> _xlfn.SINGLE(Star_5_2.Height) / _xlfn.SINGLE(Star_5_2.Aspect)</f>
        <v>10</v>
      </c>
      <c r="AH69">
        <f xml:space="preserve"> _xlfn.SINGLE(Star_5_2.Height) / _xlfn.SINGLE(Star_5_2.Aspect)</f>
        <v>10</v>
      </c>
      <c r="AL69">
        <f xml:space="preserve"> _xlfn.SINGLE(Star_5_2.Height) / _xlfn.SINGLE(Star_5_2.Aspect)</f>
        <v>10</v>
      </c>
      <c r="AP69">
        <f xml:space="preserve"> _xlfn.SINGLE(Star_5_2.Height) / _xlfn.SINGLE(Star_5_2.Aspect)</f>
        <v>12.761231222086884</v>
      </c>
      <c r="AT69">
        <f xml:space="preserve"> _xlfn.SINGLE(Star_5_2.Height) / _xlfn.SINGLE(Star_5_2.Aspect)</f>
        <v>10</v>
      </c>
      <c r="AX69">
        <f xml:space="preserve"> _xlfn.SINGLE(Star_5_2.Height) / _xlfn.SINGLE(Star_5_2.Aspect)</f>
        <v>12.836959459459459</v>
      </c>
      <c r="BB69">
        <f xml:space="preserve"> _xlfn.SINGLE(Star_5_2.Height) / _xlfn.SINGLE(Star_5_2.Aspect)</f>
        <v>13.038083822261477</v>
      </c>
      <c r="BF69">
        <f xml:space="preserve"> _xlfn.SINGLE(Star_5_2.Height) / _xlfn.SINGLE(Star_5_2.Aspect)</f>
        <v>10</v>
      </c>
      <c r="BJ69">
        <f xml:space="preserve"> _xlfn.SINGLE(Star_5_2.Height) / _xlfn.SINGLE(Star_5_2.Aspect)</f>
        <v>10</v>
      </c>
      <c r="BN69">
        <f xml:space="preserve"> _xlfn.SINGLE(Star_5_2.Height) / _xlfn.SINGLE(Star_5_2.Aspect)</f>
        <v>12.36378</v>
      </c>
      <c r="BR69">
        <f xml:space="preserve"> _xlfn.SINGLE(Star_5_2.Height) / _xlfn.SINGLE(Star_5_2.Aspect)</f>
        <v>8.6686981191551968</v>
      </c>
      <c r="BV69">
        <f xml:space="preserve"> _xlfn.SINGLE(Star_5_2.Height) / _xlfn.SINGLE(Star_5_2.Aspect)</f>
        <v>12.363722222222224</v>
      </c>
      <c r="BZ69">
        <f xml:space="preserve"> _xlfn.SINGLE(Star_5_2.Height) / _xlfn.SINGLE(Star_5_2.Aspect)</f>
        <v>12.36378</v>
      </c>
      <c r="CD69">
        <f xml:space="preserve"> _xlfn.SINGLE(Star_5_2.Height) / _xlfn.SINGLE(Star_5_2.Aspect)</f>
        <v>9.1999999999999993</v>
      </c>
      <c r="CH69">
        <f xml:space="preserve"> _xlfn.SINGLE(Star_5_2.Height) / _xlfn.SINGLE(Star_5_2.Aspect)</f>
        <v>9.1999999999999993</v>
      </c>
      <c r="CL69">
        <f xml:space="preserve"> _xlfn.SINGLE(Star_5_2.Height) / _xlfn.SINGLE(Star_5_2.Aspect)</f>
        <v>12.363722222222224</v>
      </c>
      <c r="CP69">
        <f xml:space="preserve"> _xlfn.SINGLE(Star_5_2.Height) / _xlfn.SINGLE(Star_5_2.Aspect)</f>
        <v>10</v>
      </c>
      <c r="CT69">
        <f xml:space="preserve"> _xlfn.SINGLE(Star_5_2.Height) / _xlfn.SINGLE(Star_5_2.Aspect)</f>
        <v>12.363722222222224</v>
      </c>
      <c r="CX69">
        <f xml:space="preserve"> _xlfn.SINGLE(Star_5_2.Height) / _xlfn.SINGLE(Star_5_2.Aspect)</f>
        <v>10</v>
      </c>
    </row>
    <row r="71" spans="5:107">
      <c r="F71" s="4" t="s">
        <v>2724</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DC71" t="e">
        <f xml:space="preserve"> NA()</f>
        <v>#N/A</v>
      </c>
    </row>
    <row r="72" spans="5:107">
      <c r="F72" s="4" t="s">
        <v>2742</v>
      </c>
      <c r="J72">
        <f xml:space="preserve"> ROUND(_xlfn.SINGLE(Star_5_2.Width) * (_xlfn.SINGLE(Star_5_2.MaxX) - _xlfn.SINGLE(Star_5_2.MinX)) / MAX(_xlfn.SINGLE(Star_5_2.MaxX),  -_xlfn.SINGLE(Star_5_2.MinX)) / 2, svgSizeDecimalPlaces)</f>
        <v>14.646319999999999</v>
      </c>
      <c r="N72">
        <f xml:space="preserve"> ROUND(_xlfn.SINGLE(Star_5_2.Width) * (_xlfn.SINGLE(Star_5_2.MaxX) - _xlfn.SINGLE(Star_5_2.MinX)) / MAX(_xlfn.SINGLE(Star_5_2.MaxX),  -_xlfn.SINGLE(Star_5_2.MinX)) / 2, svgSizeDecimalPlaces)</f>
        <v>14.646319999999999</v>
      </c>
      <c r="R72">
        <f xml:space="preserve"> ROUND(_xlfn.SINGLE(Star_5_2.Width) * (_xlfn.SINGLE(Star_5_2.MaxX) - _xlfn.SINGLE(Star_5_2.MinX)) / MAX(_xlfn.SINGLE(Star_5_2.MaxX),  -_xlfn.SINGLE(Star_5_2.MinX)) / 2, svgSizeDecimalPlaces)</f>
        <v>14.646319999999999</v>
      </c>
      <c r="AP72">
        <f xml:space="preserve"> ROUND(_xlfn.SINGLE(Star_5_2.Width) * (_xlfn.SINGLE(Star_5_2.MaxX) - _xlfn.SINGLE(Star_5_2.MinX)) / MAX(_xlfn.SINGLE(Star_5_2.MaxX),  -_xlfn.SINGLE(Star_5_2.MinX)) / 2, svgSizeDecimalPlaces)</f>
        <v>12.07841</v>
      </c>
      <c r="AX72">
        <f xml:space="preserve"> ROUND(_xlfn.SINGLE(Star_5_2.Width) * (_xlfn.SINGLE(Star_5_2.MaxX) - _xlfn.SINGLE(Star_5_2.MinX)) / MAX(_xlfn.SINGLE(Star_5_2.MaxX),  -_xlfn.SINGLE(Star_5_2.MinX)) / 2, svgSizeDecimalPlaces)</f>
        <v>11.98329</v>
      </c>
      <c r="BB72">
        <f xml:space="preserve"> ROUND(_xlfn.SINGLE(Star_5_2.Width) * (_xlfn.SINGLE(Star_5_2.MaxX) - _xlfn.SINGLE(Star_5_2.MinX)) / MAX(_xlfn.SINGLE(Star_5_2.MaxX),  -_xlfn.SINGLE(Star_5_2.MinX)) / 2, svgSizeDecimalPlaces)</f>
        <v>11.79308</v>
      </c>
      <c r="BN72">
        <f xml:space="preserve"> ROUND(_xlfn.SINGLE(Star_5_2.Width) * (_xlfn.SINGLE(Star_5_2.MaxX) - _xlfn.SINGLE(Star_5_2.MinX)) / MAX(_xlfn.SINGLE(Star_5_2.MaxX),  -_xlfn.SINGLE(Star_5_2.MinX)) / 2, svgSizeDecimalPlaces)</f>
        <v>12.36378</v>
      </c>
      <c r="BV72">
        <f xml:space="preserve"> ROUND(_xlfn.SINGLE(Star_5_2.Width) * (_xlfn.SINGLE(Star_5_2.MaxX) - _xlfn.SINGLE(Star_5_2.MinX)) / MAX(_xlfn.SINGLE(Star_5_2.MaxX),  -_xlfn.SINGLE(Star_5_2.MinX)) / 2, svgSizeDecimalPlaces)</f>
        <v>12.363720000000001</v>
      </c>
      <c r="BZ72">
        <f xml:space="preserve"> ROUND(_xlfn.SINGLE(Star_5_2.Width) * (_xlfn.SINGLE(Star_5_2.MaxX) - _xlfn.SINGLE(Star_5_2.MinX)) / MAX(_xlfn.SINGLE(Star_5_2.MaxX),  -_xlfn.SINGLE(Star_5_2.MinX)) / 2, svgSizeDecimalPlaces)</f>
        <v>12.36378</v>
      </c>
      <c r="CL72">
        <f xml:space="preserve"> ROUND(_xlfn.SINGLE(Star_5_2.Width) * (_xlfn.SINGLE(Star_5_2.MaxX) - _xlfn.SINGLE(Star_5_2.MinX)) / MAX(_xlfn.SINGLE(Star_5_2.MaxX),  -_xlfn.SINGLE(Star_5_2.MinX)) / 2, svgSizeDecimalPlaces)</f>
        <v>12.363720000000001</v>
      </c>
      <c r="CT72">
        <f xml:space="preserve"> ROUND(_xlfn.SINGLE(Star_5_2.Width) * (_xlfn.SINGLE(Star_5_2.MaxX) - _xlfn.SINGLE(Star_5_2.MinX)) / MAX(_xlfn.SINGLE(Star_5_2.MaxX),  -_xlfn.SINGLE(Star_5_2.MinX)) / 2, svgSizeDecimalPlaces)</f>
        <v>12.363720000000001</v>
      </c>
      <c r="DC72" t="e">
        <f xml:space="preserve"> ROUND(_xlfn.SINGLE(Star_5_2.Width) * (_xlfn.SINGLE(Star_5_2.TightMaxX) - _xlfn.SINGLE(Star_5_2.TightMinX)) / MAX(_xlfn.SINGLE(Star_5_2.MaxX),  -_xlfn.SINGLE(Star_5_2.MinX)) / 2, svgSizeDecimalPlaces)</f>
        <v>#NAME?</v>
      </c>
    </row>
    <row r="73" spans="5:107">
      <c r="F73" s="4" t="s">
        <v>2743</v>
      </c>
      <c r="J73">
        <f xml:space="preserve"> ROUND(_xlfn.SINGLE(Star_5_2.Height) * (_xlfn.SINGLE(Star_5_2.MaxY) - _xlfn.SINGLE(Star_5_2.MinY)) / MAX(_xlfn.SINGLE(Star_5_2.MaxY),  -_xlfn.SINGLE(Star_5_2.MinY)) / 2, svgSizeDecimalPlaces)</f>
        <v>13.929449999999999</v>
      </c>
      <c r="N73">
        <f xml:space="preserve"> ROUND(_xlfn.SINGLE(Star_5_2.Height) * (_xlfn.SINGLE(Star_5_2.MaxY) - _xlfn.SINGLE(Star_5_2.MinY)) / MAX(_xlfn.SINGLE(Star_5_2.MaxY),  -_xlfn.SINGLE(Star_5_2.MinY)) / 2, svgSizeDecimalPlaces)</f>
        <v>13.929449999999999</v>
      </c>
      <c r="R73">
        <f xml:space="preserve"> ROUND(_xlfn.SINGLE(Star_5_2.Height) * (_xlfn.SINGLE(Star_5_2.MaxY) - _xlfn.SINGLE(Star_5_2.MinY)) / MAX(_xlfn.SINGLE(Star_5_2.MaxY),  -_xlfn.SINGLE(Star_5_2.MinY)) / 2, svgSizeDecimalPlaces)</f>
        <v>13.929449999999999</v>
      </c>
      <c r="AP73">
        <f xml:space="preserve"> ROUND(_xlfn.SINGLE(Star_5_2.Height) * (_xlfn.SINGLE(Star_5_2.MaxY) - _xlfn.SINGLE(Star_5_2.MinY)) / MAX(_xlfn.SINGLE(Star_5_2.MaxY),  -_xlfn.SINGLE(Star_5_2.MinY)) / 2, svgSizeDecimalPlaces)</f>
        <v>12.136670000000001</v>
      </c>
      <c r="AX73">
        <f xml:space="preserve"> ROUND(_xlfn.SINGLE(Star_5_2.Height) * (_xlfn.SINGLE(Star_5_2.MaxY) - _xlfn.SINGLE(Star_5_2.MinY)) / MAX(_xlfn.SINGLE(Star_5_2.MaxY),  -_xlfn.SINGLE(Star_5_2.MinY)) / 2, svgSizeDecimalPlaces)</f>
        <v>12.2087</v>
      </c>
      <c r="BB73">
        <f xml:space="preserve"> ROUND(_xlfn.SINGLE(Star_5_2.Height) * (_xlfn.SINGLE(Star_5_2.MaxY) - _xlfn.SINGLE(Star_5_2.MinY)) / MAX(_xlfn.SINGLE(Star_5_2.MaxY),  -_xlfn.SINGLE(Star_5_2.MinY)) / 2, svgSizeDecimalPlaces)</f>
        <v>12.4</v>
      </c>
      <c r="BN73">
        <f xml:space="preserve"> ROUND(_xlfn.SINGLE(Star_5_2.Height) * (_xlfn.SINGLE(Star_5_2.MaxY) - _xlfn.SINGLE(Star_5_2.MinY)) / MAX(_xlfn.SINGLE(Star_5_2.MaxY),  -_xlfn.SINGLE(Star_5_2.MinY)) / 2, svgSizeDecimalPlaces)</f>
        <v>11.75863</v>
      </c>
      <c r="BV73">
        <f xml:space="preserve"> ROUND(_xlfn.SINGLE(Star_5_2.Height) * (_xlfn.SINGLE(Star_5_2.MaxY) - _xlfn.SINGLE(Star_5_2.MinY)) / MAX(_xlfn.SINGLE(Star_5_2.MaxY),  -_xlfn.SINGLE(Star_5_2.MinY)) / 2, svgSizeDecimalPlaces)</f>
        <v>11.758620000000001</v>
      </c>
      <c r="BZ73">
        <f xml:space="preserve"> ROUND(_xlfn.SINGLE(Star_5_2.Height) * (_xlfn.SINGLE(Star_5_2.MaxY) - _xlfn.SINGLE(Star_5_2.MinY)) / MAX(_xlfn.SINGLE(Star_5_2.MaxY),  -_xlfn.SINGLE(Star_5_2.MinY)) / 2, svgSizeDecimalPlaces)</f>
        <v>11.75863</v>
      </c>
      <c r="CL73">
        <f xml:space="preserve"> ROUND(_xlfn.SINGLE(Star_5_2.Height) * (_xlfn.SINGLE(Star_5_2.MaxY) - _xlfn.SINGLE(Star_5_2.MinY)) / MAX(_xlfn.SINGLE(Star_5_2.MaxY),  -_xlfn.SINGLE(Star_5_2.MinY)) / 2, svgSizeDecimalPlaces)</f>
        <v>11.758620000000001</v>
      </c>
      <c r="CT73">
        <f xml:space="preserve"> ROUND(_xlfn.SINGLE(Star_5_2.Height) * (_xlfn.SINGLE(Star_5_2.MaxY) - _xlfn.SINGLE(Star_5_2.MinY)) / MAX(_xlfn.SINGLE(Star_5_2.MaxY),  -_xlfn.SINGLE(Star_5_2.MinY)) / 2, svgSizeDecimalPlaces)</f>
        <v>11.758620000000001</v>
      </c>
      <c r="DC73" t="e">
        <f xml:space="preserve"> ROUND(_xlfn.SINGLE(Star_5_2.Height) * (_xlfn.SINGLE(Star_5_2.TightMaxY) - _xlfn.SINGLE(Star_5_2.TightMinY)) / MAX(_xlfn.SINGLE(Star_5_2.MaxY),  -_xlfn.SINGLE(Star_5_2.MinY)) / 2, svgSizeDecimalPlaces)</f>
        <v>#NAME?</v>
      </c>
    </row>
    <row r="75" spans="5:107" ht="17" thickBot="1">
      <c r="F75" s="6" t="s">
        <v>95</v>
      </c>
    </row>
    <row r="76" spans="5:107">
      <c r="E76" t="s">
        <v>1738</v>
      </c>
      <c r="G76" s="12" t="str">
        <f xml:space="preserve"> ""</f>
        <v/>
      </c>
      <c r="H76" s="7"/>
      <c r="I76" s="7"/>
      <c r="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6" s="7" t="str">
        <f xml:space="preserve"> ""</f>
        <v/>
      </c>
      <c r="L76" s="7"/>
      <c r="M76" s="7"/>
      <c r="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O76" s="7"/>
      <c r="P76" s="7"/>
      <c r="Q76" s="7"/>
      <c r="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S76" s="7"/>
      <c r="T76" s="7"/>
      <c r="U76" s="7"/>
      <c r="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W76" s="7" t="str">
        <f xml:space="preserve"> ""</f>
        <v/>
      </c>
      <c r="X76" s="7"/>
      <c r="Y76" s="7"/>
      <c r="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A76" s="7"/>
      <c r="AB76" s="7"/>
      <c r="AC76" s="7"/>
      <c r="A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E76" s="7"/>
      <c r="AF76" s="7"/>
      <c r="AG76" s="7"/>
      <c r="A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I76" s="7"/>
      <c r="AJ76" s="7"/>
      <c r="AK76" s="7"/>
      <c r="A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AM76" s="7" t="str">
        <f xml:space="preserve"> ""</f>
        <v/>
      </c>
      <c r="AN76" s="7"/>
      <c r="AO76" s="7"/>
      <c r="A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AQ76" s="7" t="str">
        <f xml:space="preserve"> ""</f>
        <v/>
      </c>
      <c r="AR76" s="7"/>
      <c r="AS76" s="7"/>
      <c r="A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U76" s="7" t="str">
        <f xml:space="preserve"> ""</f>
        <v/>
      </c>
      <c r="AV76" s="7"/>
      <c r="AW76" s="7"/>
      <c r="A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Y76" s="7" t="str">
        <f xml:space="preserve"> ""</f>
        <v/>
      </c>
      <c r="AZ76" s="7"/>
      <c r="BA76" s="7"/>
      <c r="BB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BC76" s="7" t="str">
        <f xml:space="preserve"> ""</f>
        <v/>
      </c>
      <c r="BD76" s="7"/>
      <c r="BE76" s="7"/>
      <c r="BF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BG76" s="7" t="str">
        <f xml:space="preserve"> ""</f>
        <v/>
      </c>
      <c r="BH76" s="7"/>
      <c r="BI76" s="7"/>
      <c r="B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BK76" s="7" t="str">
        <f xml:space="preserve"> ""</f>
        <v/>
      </c>
      <c r="BL76" s="7"/>
      <c r="BM76" s="7"/>
      <c r="B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BO76" s="7" t="str">
        <f xml:space="preserve"> ""</f>
        <v/>
      </c>
      <c r="BP76" s="7"/>
      <c r="BQ76" s="7"/>
      <c r="B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BS76" s="7"/>
      <c r="BT76" s="7"/>
      <c r="BU76" s="7"/>
      <c r="B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W76" s="7" t="str">
        <f xml:space="preserve"> ""</f>
        <v/>
      </c>
      <c r="BX76" s="7"/>
      <c r="BY76" s="7"/>
      <c r="B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CA76" s="7" t="str">
        <f xml:space="preserve"> ""</f>
        <v/>
      </c>
      <c r="CB76" s="7"/>
      <c r="CC76" s="7"/>
      <c r="C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CE76" s="7" t="str">
        <f xml:space="preserve"> ""</f>
        <v/>
      </c>
      <c r="CF76" s="7"/>
      <c r="CG76" s="7"/>
      <c r="C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CI76" s="7" t="str">
        <f xml:space="preserve"> ""</f>
        <v/>
      </c>
      <c r="CJ76" s="7"/>
      <c r="CK76" s="7"/>
      <c r="C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M76" s="7"/>
      <c r="CN76" s="7"/>
      <c r="CO76" s="7"/>
      <c r="C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CQ76" s="7"/>
      <c r="CR76" s="7"/>
      <c r="CS76" s="7"/>
      <c r="C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U76" s="7"/>
      <c r="CV76" s="7"/>
      <c r="CW76" s="7"/>
      <c r="C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Y76" s="7"/>
      <c r="CZ76" s="7"/>
      <c r="DA76" s="7"/>
      <c r="DB76" s="7"/>
      <c r="DC76" s="8"/>
    </row>
    <row r="77" spans="5:107">
      <c r="E77" t="s">
        <v>1739</v>
      </c>
      <c r="G77" s="13" t="str">
        <f t="shared" ref="G77:G87" si="126" xml:space="preserve"> ""</f>
        <v/>
      </c>
      <c r="K77" t="str">
        <f t="shared" ref="K77:K87" si="127" xml:space="preserve"> ""</f>
        <v/>
      </c>
      <c r="V77" s="27" t="str">
        <f xml:space="preserve"> "&lt;circle " &amp; _xlfn.SINGLE(Star_5_2.SVG_painting_Outer) &amp; " r='" &amp; ROUND(_xlfn.SINGLE(Star_5_2.SizeOuter), _xlfn.SINGLE(Star_5_2.DecimalPlaces)) &amp; "'/&gt;"</f>
        <v>&lt;circle fill='#F3F'  r='10'/&gt;</v>
      </c>
      <c r="W77" t="str">
        <f t="shared" ref="W77:W87" si="128" xml:space="preserve"> ""</f>
        <v/>
      </c>
      <c r="Z77" s="27" t="str">
        <f xml:space="preserve"> "&lt;circle " &amp; _xlfn.SINGLE(Star_5_2.SVG_painting_Outer) &amp; " r='" &amp; ROUND(_xlfn.SINGLE(Star_5_2.SizeOuter), _xlfn.SINGLE(Star_5_2.DecimalPlaces)) &amp; "'/&gt;"</f>
        <v>&lt;circle fill='#F3F'  r='10'/&gt;</v>
      </c>
      <c r="AD77" s="27" t="str">
        <f xml:space="preserve"> "&lt;circle " &amp; _xlfn.SINGLE(Star_5_2.SVG_painting_Outer) &amp; " r='" &amp; ROUND(_xlfn.SINGLE(Star_5_2.SizeOuter), _xlfn.SINGLE(Star_5_2.DecimalPlaces)) &amp; "'/&gt;"</f>
        <v>&lt;circle fill='#F3F'  r='10'/&gt;</v>
      </c>
      <c r="AH77" s="27" t="str">
        <f xml:space="preserve"> "&lt;circle " &amp; _xlfn.SINGLE(Star_5_2.SVG_painting_Outer) &amp; " r='" &amp; ROUND(_xlfn.SINGLE(Star_5_2.SizeOuter), _xlfn.SINGLE(Star_5_2.DecimalPlaces)) &amp; "'/&gt;"</f>
        <v>&lt;circle fill='#F3F'  r='10'/&gt;</v>
      </c>
      <c r="AL77" s="27" t="str">
        <f xml:space="preserve"> "&lt;circle " &amp; _xlfn.SINGLE(Star_5_2.SVG_painting_Outer) &amp; " r='" &amp; ROUND(_xlfn.SINGLE(Star_5_2.SizeOuter), _xlfn.SINGLE(Star_5_2.DecimalPlaces)) &amp; "'/&gt;"</f>
        <v>&lt;circle fill='#012169' r='5'/&gt;</v>
      </c>
      <c r="AM77" t="str">
        <f t="shared" ref="AM77:AM87" si="129" xml:space="preserve"> ""</f>
        <v/>
      </c>
      <c r="AQ77" t="str">
        <f t="shared" ref="AQ77:AQ87" si="130" xml:space="preserve"> ""</f>
        <v/>
      </c>
      <c r="AT77" s="27" t="str">
        <f xml:space="preserve"> "&lt;circle " &amp; _xlfn.SINGLE(Star_5_2.SVG_painting_Outer) &amp; " r='" &amp; ROUND(_xlfn.SINGLE(Star_5_2.SizeOuter), _xlfn.SINGLE(Star_5_2.DecimalPlaces)) &amp; "'/&gt;"</f>
        <v>&lt;circle fill='#A78337' r='1'/&gt;</v>
      </c>
      <c r="AU77" t="str">
        <f t="shared" ref="AU77:AU87" si="131" xml:space="preserve"> ""</f>
        <v/>
      </c>
      <c r="AY77" t="str">
        <f t="shared" ref="AY77:AY87" si="132" xml:space="preserve"> ""</f>
        <v/>
      </c>
      <c r="BC77" t="str">
        <f t="shared" ref="BC77:BC87" si="133" xml:space="preserve"> ""</f>
        <v/>
      </c>
      <c r="BF77" s="27" t="str">
        <f xml:space="preserve"> "&lt;circle " &amp; _xlfn.SINGLE(Star_5_2.SVG_painting_Outer) &amp; " r='" &amp; ROUND(_xlfn.SINGLE(Star_5_2.SizeOuter), _xlfn.SINGLE(Star_5_2.DecimalPlaces)) &amp; "'/&gt;"</f>
        <v>&lt;circle fill='#0F47AF' r='4'/&gt;</v>
      </c>
      <c r="BG77" t="str">
        <f t="shared" ref="BG77:BG87" si="134" xml:space="preserve"> ""</f>
        <v/>
      </c>
      <c r="BJ77" s="27" t="str">
        <f xml:space="preserve"> "&lt;circle " &amp; _xlfn.SINGLE(Star_5_2.SVG_painting_Outer) &amp; " r='" &amp; ROUND(_xlfn.SINGLE(Star_5_2.SizeOuter), _xlfn.SINGLE(Star_5_2.DecimalPlaces)) &amp; "'/&gt;"</f>
        <v>&lt;circle fill='#E70013' r='16'/&gt;</v>
      </c>
      <c r="BK77" t="str">
        <f t="shared" ref="BK77:BK87" si="135" xml:space="preserve"> ""</f>
        <v/>
      </c>
      <c r="BO77" t="str">
        <f t="shared" ref="BO77:BO87" si="136" xml:space="preserve"> ""</f>
        <v/>
      </c>
      <c r="BR77" s="27" t="str" cm="1">
        <f t="array" ref="BR77" xml:space="preserve"> svgPathRect(_xlfn.SINGLE(Star_5_2.DecimalPlaces), _xlfn.SINGLE(Star_5_2.SVG_painting_Outer), _xlfn.SINGLE(Star_5_2.SizeOuter), _xlfn.SINGLE(Star_5_2.MaxY))</f>
        <v>&lt;path fill='#006633' d='M6 6.85224H-6V-6.85224H6Z'/&gt;</v>
      </c>
      <c r="BW77" t="str">
        <f t="shared" ref="BW77:BW87" si="137" xml:space="preserve"> ""</f>
        <v/>
      </c>
      <c r="CA77" t="str">
        <f t="shared" ref="CA77:CA87" si="138" xml:space="preserve"> ""</f>
        <v/>
      </c>
      <c r="CD77" s="27" t="str" cm="1">
        <f t="array" ref="CD77" xml:space="preserve"> svgPathRect(DecimalPlaces, _xlfn.SINGLE(Star_5_2.SVG_painting_Outer), _xlfn.SINGLE(Star_5_2.SizeOuter), _xlfn.SINGLE(Star_5_2.SizeOuter))</f>
        <v>&lt;path fill='#D52B1E' d='M8 8V-8H-8V8Z'/&gt;</v>
      </c>
      <c r="CE77" t="str">
        <f t="shared" ref="CE77:CE87" si="139" xml:space="preserve"> ""</f>
        <v/>
      </c>
      <c r="CH77" s="27" t="str" cm="1">
        <f t="array" ref="CH77" xml:space="preserve"> svgPathRect(DecimalPlaces, _xlfn.SINGLE(Star_5_2.SVG_painting_Outer), _xlfn.SINGLE(Star_5_2.SizeOuter), _xlfn.SINGLE(Star_5_2.SizeOuter))</f>
        <v>&lt;path fill='#072357' d='M1 1V-1H-1V1Z'/&gt;</v>
      </c>
      <c r="CI77" t="str">
        <f t="shared" ref="CI77:CI87" si="140" xml:space="preserve"> ""</f>
        <v/>
      </c>
      <c r="CP77" s="27" t="str">
        <f xml:space="preserve"> "&lt;circle " &amp; _xlfn.SINGLE(Star_5_2.SVG_painting_Outer) &amp; " r='40'/&gt;"</f>
        <v>&lt;circle fill='#024FA2' r='40'/&gt;</v>
      </c>
      <c r="CX77" t="str">
        <f xml:space="preserve"> "&lt;circle r='" &amp; ROUND(_xlfn.SINGLE(Star_5_2.SizeOuter), _xlfn.SINGLE(Star_5_2.DecimalPlaces)) &amp; "' " &amp; _xlfn.SINGLE(Star_5_2.SVG_painting_Outer) &amp;"/&gt;"</f>
        <v>&lt;circle r='3' fill='#1EB53A'/&gt;</v>
      </c>
      <c r="DC77" s="9"/>
    </row>
    <row r="78" spans="5:107">
      <c r="E78" t="s">
        <v>1740</v>
      </c>
      <c r="G78" s="13" t="str">
        <f t="shared" si="126"/>
        <v/>
      </c>
      <c r="K78" t="str">
        <f t="shared" si="127"/>
        <v/>
      </c>
      <c r="V78" s="27" t="str">
        <f xml:space="preserve"> "&lt;circle " &amp; _xlfn.SINGLE(Star_5_2.SVG_painting_Middle) &amp; " r='" &amp; _xlfn.SINGLE(Star_5_2.SizeMiddle) &amp; "'/&gt;"</f>
        <v>&lt;circle fill='#FFF' r='8'/&gt;</v>
      </c>
      <c r="W78" t="str">
        <f t="shared" si="128"/>
        <v/>
      </c>
      <c r="Z78" s="27" t="str">
        <f xml:space="preserve"> "&lt;circle " &amp; _xlfn.SINGLE(Star_5_2.SVG_painting_Middle) &amp; " r='" &amp; _xlfn.SINGLE(Star_5_2.SizeMiddle) &amp; "'/&gt;"</f>
        <v>&lt;circle fill='#FFF' r='8'/&gt;</v>
      </c>
      <c r="AD78" s="27" t="str">
        <f xml:space="preserve"> "&lt;circle " &amp; _xlfn.SINGLE(Star_5_2.SVG_painting_Middle) &amp; " r='" &amp; _xlfn.SINGLE(Star_5_2.SizeMiddle) &amp; "'/&gt;"</f>
        <v>&lt;circle fill='#039' r='8'/&gt;</v>
      </c>
      <c r="AH78" s="27" t="str">
        <f xml:space="preserve"> "&lt;circle " &amp; _xlfn.SINGLE(Star_5_2.SVG_painting_Middle) &amp; " r='" &amp; _xlfn.SINGLE(Star_5_2.SizeMiddle) &amp; "'/&gt;"</f>
        <v>&lt;circle fill='#FFF' r='8'/&gt;</v>
      </c>
      <c r="AM78" t="str">
        <f t="shared" si="129"/>
        <v/>
      </c>
      <c r="AQ78" t="str">
        <f t="shared" si="130"/>
        <v/>
      </c>
      <c r="AU78" t="str">
        <f t="shared" si="131"/>
        <v/>
      </c>
      <c r="AY78" t="str">
        <f t="shared" si="132"/>
        <v/>
      </c>
      <c r="BC78" t="str">
        <f t="shared" si="133"/>
        <v/>
      </c>
      <c r="BG78" t="str">
        <f t="shared" si="134"/>
        <v/>
      </c>
      <c r="BJ78" s="27" t="str">
        <f xml:space="preserve"> "&lt;circle " &amp; _xlfn.SINGLE(Star_5_2.SVG_painting_Middle) &amp; " r='" &amp; ROUND(_xlfn.SINGLE(Star_5_2.SizeMiddle), _xlfn.SINGLE(Star_5_2.DecimalPlaces)) &amp; "'/&gt;"</f>
        <v>&lt;circle fill='#FFF' r='14'/&gt;</v>
      </c>
      <c r="BK78" t="str">
        <f t="shared" si="135"/>
        <v/>
      </c>
      <c r="BO78" t="str">
        <f t="shared" si="136"/>
        <v/>
      </c>
      <c r="BR78" s="27" t="str" cm="1">
        <f t="array" ref="BR78" xml:space="preserve"> svgPathRect(_xlfn.SINGLE(Star_5_2.DecimalPlaces), _xlfn.SINGLE(Star_5_2.SVG_painting_Middle), _xlfn.SINGLE(Star_5_2.SizeMiddle), _xlfn.SINGLE(Star_5_2.MaxY) + _xlfn.SINGLE(Star_5_2.SizeMiddle) - _xlfn.SINGLE(Star_5_2.SizeOuter))</f>
        <v>&lt;path fill='#FFF' d='M4.8541 5.70634H-4.8541V-5.70634H4.8541Z'/&gt;</v>
      </c>
      <c r="BW78" t="str">
        <f t="shared" si="137"/>
        <v/>
      </c>
      <c r="CA78" t="str">
        <f t="shared" si="138"/>
        <v/>
      </c>
      <c r="CD78" s="27" t="str" cm="1">
        <f t="array" ref="CD78" xml:space="preserve"> svgPathRect(DecimalPlaces, _xlfn.SINGLE(Star_5_2.SVG_painting_Middle), _xlfn.SINGLE(Star_5_2.SizeMiddle), _xlfn.SINGLE(Star_5_2.SizeMiddle))</f>
        <v>&lt;path fill='#FFF' d='M7 7V-7H-7V7Z'/&gt;</v>
      </c>
      <c r="CE78" t="str">
        <f t="shared" si="139"/>
        <v/>
      </c>
      <c r="CI78" t="str">
        <f t="shared" si="140"/>
        <v/>
      </c>
      <c r="CP78" s="27" t="str">
        <f xml:space="preserve"> "&lt;circle " &amp; _xlfn.SINGLE(Star_5_2.SVG_painting_Middle) &amp; " r='32'/&gt;"</f>
        <v>&lt;circle fill='#ED1C27' r='32'/&gt;</v>
      </c>
      <c r="CX78"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8" s="9"/>
    </row>
    <row r="79" spans="5:107">
      <c r="E79" t="s">
        <v>1741</v>
      </c>
      <c r="G79" s="13" t="str">
        <f t="shared" si="126"/>
        <v/>
      </c>
      <c r="J79" t="str" cm="1">
        <f t="array" ref="J79"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9" t="str">
        <f t="shared" si="127"/>
        <v/>
      </c>
      <c r="N79" t="str" cm="1">
        <f t="array" ref="N79"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9" t="str" cm="1">
        <f t="array" ref="R79"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9" t="str" cm="1">
        <f t="array" ref="V79" xml:space="preserve"> IF(_xlfn.SINGLE(Star_5_2.MultipleStars), "&lt;defs&gt;&lt;path id='" &amp; _xlfn.SINGLE(Star_5_2.ID) &amp; "-s' d='" &amp; _xlfn.TEXTJOIN(" ", TRUE, IF("Path"=Star_5_2.Part,V$17:V$59,"")) &amp; "'/&gt;&lt;/defs&gt;", "")</f>
        <v/>
      </c>
      <c r="W79" t="str">
        <f t="shared" si="128"/>
        <v/>
      </c>
      <c r="Z79" t="str" cm="1">
        <f t="array" ref="Z79" xml:space="preserve"> IF(_xlfn.SINGLE(Star_5_2.MultipleStars), "&lt;defs&gt;&lt;path id='" &amp; _xlfn.SINGLE(Star_5_2.ID) &amp; "-s' d='" &amp; _xlfn.TEXTJOIN(" ", TRUE, IF("Path"=Star_5_2.Part,Z$17:Z$59,"")) &amp; "'/&gt;&lt;/defs&gt;", "")</f>
        <v/>
      </c>
      <c r="AD79" t="str" cm="1">
        <f t="array" ref="AD79" xml:space="preserve"> IF(_xlfn.SINGLE(Star_5_2.MultipleStars), "&lt;defs&gt;&lt;path id='" &amp; _xlfn.SINGLE(Star_5_2.ID) &amp; "-s' d='" &amp; _xlfn.TEXTJOIN(" ", TRUE, IF("Path"=Star_5_2.Part,AD$17:AD$59,"")) &amp; "'/&gt;&lt;/defs&gt;", "")</f>
        <v/>
      </c>
      <c r="AH79" t="str" cm="1">
        <f t="array" ref="AH79" xml:space="preserve"> IF(_xlfn.SINGLE(Star_5_2.MultipleStars), "&lt;defs&gt;&lt;path id='" &amp; _xlfn.SINGLE(Star_5_2.ID) &amp; "-s' d='" &amp; _xlfn.TEXTJOIN(" ", TRUE, IF("Path"=Star_5_2.Part,AH$17:AH$59,"")) &amp; "'/&gt;&lt;/defs&gt;", "")</f>
        <v/>
      </c>
      <c r="AL79" t="str" cm="1">
        <f t="array" ref="AL79"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9" t="str">
        <f t="shared" si="129"/>
        <v/>
      </c>
      <c r="AP79" t="str" cm="1">
        <f t="array" ref="AP79"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9" t="str">
        <f t="shared" si="130"/>
        <v/>
      </c>
      <c r="AT79" t="str" cm="1">
        <f t="array" ref="AT79" xml:space="preserve"> IF(_xlfn.SINGLE(Star_5_2.MultipleStars), "&lt;defs&gt;&lt;path id='" &amp; _xlfn.SINGLE(Star_5_2.ID) &amp; "-s' d='" &amp; _xlfn.TEXTJOIN(" ", TRUE, IF("Path"=Star_5_2.Part,AT$17:AT$59,"")) &amp; "'/&gt;&lt;/defs&gt;", "")</f>
        <v/>
      </c>
      <c r="AU79" t="str">
        <f t="shared" si="131"/>
        <v/>
      </c>
      <c r="AX79" t="str" cm="1">
        <f t="array" ref="AX79"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9" t="str">
        <f t="shared" si="132"/>
        <v/>
      </c>
      <c r="BB79" t="str" cm="1">
        <f t="array" ref="BB79"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9" t="str">
        <f t="shared" si="133"/>
        <v/>
      </c>
      <c r="BF79" t="str" cm="1">
        <f t="array" ref="BF79"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9" t="str">
        <f t="shared" si="134"/>
        <v/>
      </c>
      <c r="BJ79" t="str" cm="1">
        <f t="array" ref="BJ79" xml:space="preserve"> IF(_xlfn.SINGLE(Star_5_2.MultipleStars), "&lt;defs&gt;&lt;path id='" &amp; _xlfn.SINGLE(Star_5_2.ID) &amp; "-s' d='" &amp; _xlfn.TEXTJOIN(" ", TRUE, IF("Path"=Star_5_2.Part,BJ$17:BJ$59,"")) &amp; "'/&gt;&lt;/defs&gt;", "")</f>
        <v/>
      </c>
      <c r="BK79" t="str">
        <f t="shared" si="135"/>
        <v/>
      </c>
      <c r="BN79" t="str" cm="1">
        <f t="array" ref="BN79" xml:space="preserve"> IF(_xlfn.SINGLE(Star_5_2.MultipleStars), "&lt;defs&gt;&lt;path id='" &amp; _xlfn.SINGLE(Star_5_2.ID) &amp; "-s' d='" &amp; _xlfn.TEXTJOIN(" ", TRUE, IF("Path"=Star_5_2.Part,BN$17:BN$59,"")) &amp; "'/&gt;&lt;/defs&gt;", "")</f>
        <v/>
      </c>
      <c r="BO79" t="str">
        <f t="shared" si="136"/>
        <v/>
      </c>
      <c r="BR79" t="str" cm="1">
        <f t="array" ref="BR79" xml:space="preserve"> IF(_xlfn.SINGLE(Star_5_2.MultipleStars), "&lt;defs&gt;&lt;path id='" &amp; _xlfn.SINGLE(Star_5_2.ID) &amp; "-s' d='" &amp; _xlfn.TEXTJOIN(" ", TRUE, IF("Path"=Star_5_2.Part,BR$17:BR$59,"")) &amp; "'/&gt;&lt;/defs&gt;", "")</f>
        <v/>
      </c>
      <c r="BV79" t="str" cm="1">
        <f t="array" ref="BV79"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9" t="str">
        <f t="shared" si="137"/>
        <v/>
      </c>
      <c r="BZ79" t="str" cm="1">
        <f t="array" ref="BZ79"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9" t="str">
        <f t="shared" si="138"/>
        <v/>
      </c>
      <c r="CD79" t="str" cm="1">
        <f t="array" ref="CD79" xml:space="preserve"> IF(_xlfn.SINGLE(Star_5_2.MultipleStars), "&lt;defs&gt;&lt;path id='" &amp; _xlfn.SINGLE(Star_5_2.ID) &amp; "-s' d='" &amp; _xlfn.TEXTJOIN(" ", TRUE, IF("Path"=Star_5_2.Part,CD$17:CD$59,"")) &amp; "'/&gt;&lt;/defs&gt;", "")</f>
        <v/>
      </c>
      <c r="CE79" t="str">
        <f t="shared" si="139"/>
        <v/>
      </c>
      <c r="CH79" t="str" cm="1">
        <f t="array" ref="CH79" xml:space="preserve"> IF(_xlfn.SINGLE(Star_5_2.MultipleStars), "&lt;defs&gt;&lt;path id='" &amp; _xlfn.SINGLE(Star_5_2.ID) &amp; "-s' d='" &amp; _xlfn.TEXTJOIN(" ", TRUE, IF("Path"=Star_5_2.Part,CH$17:CH$59,"")) &amp; "'/&gt;&lt;/defs&gt;", "")</f>
        <v/>
      </c>
      <c r="CI79" t="str">
        <f t="shared" si="140"/>
        <v/>
      </c>
      <c r="CL79" t="str" cm="1">
        <f t="array" ref="CL79"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9" t="str" cm="1">
        <f t="array" ref="CT79"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9" t="str" cm="1">
        <f t="array" ref="CX79" xml:space="preserve"> IF(_xlfn.SINGLE(Star_5_2.MultipleStars), "&lt;defs&gt;&lt;path id='" &amp; _xlfn.SINGLE(Star_5_2.ID) &amp; "-s' d='" &amp; _xlfn.TEXTJOIN(" ", TRUE, IF("Path"=Star_5_2.Part,CX$17:CX$59,"")) &amp; "'/&gt;&lt;/defs&gt;", "")</f>
        <v/>
      </c>
      <c r="DC79" s="9"/>
    </row>
    <row r="80" spans="5:107">
      <c r="E80" t="s">
        <v>1753</v>
      </c>
      <c r="G80" s="13" t="str">
        <f t="shared" si="126"/>
        <v/>
      </c>
      <c r="K80" t="str">
        <f t="shared" si="127"/>
        <v/>
      </c>
      <c r="V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80" t="str">
        <f t="shared" si="128"/>
        <v/>
      </c>
      <c r="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80" s="55"/>
      <c r="AM80" t="str">
        <f t="shared" si="129"/>
        <v/>
      </c>
      <c r="AP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80" t="str">
        <f t="shared" si="130"/>
        <v/>
      </c>
      <c r="A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80" t="str">
        <f t="shared" si="131"/>
        <v/>
      </c>
      <c r="A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80" t="str">
        <f t="shared" si="132"/>
        <v/>
      </c>
      <c r="BB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80" t="str">
        <f t="shared" si="133"/>
        <v/>
      </c>
      <c r="BF80" s="55"/>
      <c r="BG80" t="str">
        <f t="shared" si="134"/>
        <v/>
      </c>
      <c r="BJ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80" t="str">
        <f t="shared" si="135"/>
        <v/>
      </c>
      <c r="BN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80" t="str">
        <f t="shared" si="136"/>
        <v/>
      </c>
      <c r="BR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80" t="str">
        <f t="shared" si="137"/>
        <v/>
      </c>
      <c r="B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80" t="str">
        <f t="shared" si="138"/>
        <v/>
      </c>
      <c r="C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80" t="str">
        <f t="shared" si="139"/>
        <v/>
      </c>
      <c r="C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80" t="str">
        <f t="shared" si="140"/>
        <v/>
      </c>
      <c r="CL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80" s="9"/>
    </row>
    <row r="81" spans="3:107">
      <c r="E81" t="s">
        <v>1754</v>
      </c>
      <c r="G81" s="13" t="str">
        <f t="shared" si="126"/>
        <v/>
      </c>
      <c r="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81" t="str">
        <f t="shared" si="127"/>
        <v/>
      </c>
      <c r="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81" t="str">
        <f t="shared" si="128"/>
        <v/>
      </c>
      <c r="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81" t="str">
        <f t="shared" si="129"/>
        <v/>
      </c>
      <c r="AP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81" t="str">
        <f t="shared" si="130"/>
        <v/>
      </c>
      <c r="A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81" t="str">
        <f t="shared" si="131"/>
        <v/>
      </c>
      <c r="A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81" t="str">
        <f t="shared" si="132"/>
        <v/>
      </c>
      <c r="BB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81" t="str">
        <f t="shared" si="133"/>
        <v/>
      </c>
      <c r="BF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81" t="str">
        <f t="shared" si="134"/>
        <v/>
      </c>
      <c r="B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81" t="str">
        <f t="shared" si="135"/>
        <v/>
      </c>
      <c r="B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81" t="str">
        <f t="shared" si="136"/>
        <v/>
      </c>
      <c r="B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81" t="str">
        <f t="shared" si="137"/>
        <v/>
      </c>
      <c r="B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81" t="str">
        <f t="shared" si="138"/>
        <v/>
      </c>
      <c r="C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81" t="str">
        <f t="shared" si="139"/>
        <v/>
      </c>
      <c r="C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81" t="str">
        <f t="shared" si="140"/>
        <v/>
      </c>
      <c r="C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81" s="9"/>
    </row>
    <row r="82" spans="3:107">
      <c r="E82" t="s">
        <v>1755</v>
      </c>
      <c r="G82" s="13" t="str">
        <f t="shared" si="126"/>
        <v/>
      </c>
      <c r="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2" t="str">
        <f t="shared" si="127"/>
        <v/>
      </c>
      <c r="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2" t="str">
        <f t="shared" si="128"/>
        <v/>
      </c>
      <c r="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2" t="str">
        <f t="shared" si="129"/>
        <v/>
      </c>
      <c r="AP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2" t="str">
        <f t="shared" si="130"/>
        <v/>
      </c>
      <c r="AT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2" t="str">
        <f t="shared" si="131"/>
        <v/>
      </c>
      <c r="AX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2" t="str">
        <f t="shared" si="132"/>
        <v/>
      </c>
      <c r="BB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2" t="str">
        <f t="shared" si="133"/>
        <v/>
      </c>
      <c r="BF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2" t="str">
        <f t="shared" si="134"/>
        <v/>
      </c>
      <c r="B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2" t="str">
        <f t="shared" si="135"/>
        <v/>
      </c>
      <c r="B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2" t="str">
        <f t="shared" si="136"/>
        <v/>
      </c>
      <c r="B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2" t="str">
        <f t="shared" si="137"/>
        <v/>
      </c>
      <c r="B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2" t="str">
        <f t="shared" si="138"/>
        <v/>
      </c>
      <c r="C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2" t="str">
        <f t="shared" si="139"/>
        <v/>
      </c>
      <c r="C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2" t="str">
        <f t="shared" si="140"/>
        <v/>
      </c>
      <c r="C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2" s="9"/>
    </row>
    <row r="83" spans="3:107">
      <c r="E83" t="s">
        <v>1756</v>
      </c>
      <c r="G83" s="13" t="str">
        <f t="shared" si="126"/>
        <v/>
      </c>
      <c r="J83" t="str" cm="1">
        <f t="array" ref="J83" xml:space="preserve"> IF(AND(LEN(_xlfn.SINGLE(Star_5_2.SVG_painting_Outer))&gt;0, _xlfn.SINGLE(Star_5_2.SizeOuter)&gt;0, NOT(_xlfn.SINGLE(Star_5_2.MultipleStars))),  "&lt;path " &amp; _xlfn.SINGLE(Star_5_2.SVG_painting_Outer) &amp; " d='" &amp; _xlfn.TEXTJOIN(" ", TRUE, IF("Path"=Star_5_2.Part,J$17:J$59,"")) &amp; "'/&gt;", "")</f>
        <v/>
      </c>
      <c r="K83" t="str">
        <f t="shared" si="127"/>
        <v/>
      </c>
      <c r="N83" t="str" cm="1">
        <f t="array" ref="N83" xml:space="preserve"> IF(AND(LEN(_xlfn.SINGLE(Star_5_2.SVG_painting_Outer))&gt;0, _xlfn.SINGLE(Star_5_2.SizeOuter)&gt;0, NOT(_xlfn.SINGLE(Star_5_2.MultipleStars))),  "&lt;path " &amp; _xlfn.SINGLE(Star_5_2.SVG_painting_Outer) &amp; " d='" &amp; _xlfn.TEXTJOIN(" ", TRUE, IF("Path"=Star_5_2.Part,N$17:N$59,"")) &amp; "'/&gt;", "")</f>
        <v/>
      </c>
      <c r="R83" t="str" cm="1">
        <f t="array" ref="R83" xml:space="preserve"> IF(AND(LEN(_xlfn.SINGLE(Star_5_2.SVG_painting_Outer))&gt;0, _xlfn.SINGLE(Star_5_2.SizeOuter)&gt;0, NOT(_xlfn.SINGLE(Star_5_2.MultipleStars))),  "&lt;path " &amp; _xlfn.SINGLE(Star_5_2.SVG_painting_Outer) &amp; " d='" &amp; _xlfn.TEXTJOIN(" ", TRUE, IF("Path"=Star_5_2.Part,R$17:R$59,"")) &amp; "'/&gt;", "")</f>
        <v/>
      </c>
      <c r="V83" s="55"/>
      <c r="W83" t="str">
        <f t="shared" si="128"/>
        <v/>
      </c>
      <c r="Z83" s="55"/>
      <c r="AD83" s="55"/>
      <c r="AH83" s="55"/>
      <c r="AL83" t="str" cm="1">
        <f t="array" ref="AL83" xml:space="preserve"> IF(AND(LEN(_xlfn.SINGLE(Star_5_2.SVG_painting_Outer))&gt;0, _xlfn.SINGLE(Star_5_2.SizeOuter)&gt;0, NOT(_xlfn.SINGLE(Star_5_2.MultipleStars))),  "&lt;path " &amp; _xlfn.SINGLE(Star_5_2.SVG_painting_Outer) &amp; " d='" &amp; _xlfn.TEXTJOIN(" ", TRUE, IF("Path"=Star_5_2.Part,AL$17:AL$59,"")) &amp; "'/&gt;", "")</f>
        <v/>
      </c>
      <c r="AM83" t="str">
        <f t="shared" si="129"/>
        <v/>
      </c>
      <c r="AP83" t="str" cm="1">
        <f t="array" ref="AP83" xml:space="preserve"> IF(AND(LEN(_xlfn.SINGLE(Star_5_2.SVG_painting_Outer))&gt;0, _xlfn.SINGLE(Star_5_2.SizeOuter)&gt;0, NOT(_xlfn.SINGLE(Star_5_2.MultipleStars))),  "&lt;path " &amp; _xlfn.SINGLE(Star_5_2.SVG_painting_Outer) &amp; " d='" &amp; _xlfn.TEXTJOIN(" ", TRUE, IF("Path"=Star_5_2.Part,AP$17:AP$59,"")) &amp; "'/&gt;", "")</f>
        <v/>
      </c>
      <c r="AQ83" t="str">
        <f t="shared" si="130"/>
        <v/>
      </c>
      <c r="AT83" s="55"/>
      <c r="AU83" t="str">
        <f t="shared" si="131"/>
        <v/>
      </c>
      <c r="AX83" t="str" cm="1">
        <f t="array" ref="AX83" xml:space="preserve"> IF(AND(LEN(_xlfn.SINGLE(Star_5_2.SVG_painting_Outer))&gt;0, _xlfn.SINGLE(Star_5_2.SizeOuter)&gt;0, NOT(_xlfn.SINGLE(Star_5_2.MultipleStars))),  "&lt;path " &amp; _xlfn.SINGLE(Star_5_2.SVG_painting_Outer) &amp; " d='" &amp; _xlfn.TEXTJOIN(" ", TRUE, IF("Path"=Star_5_2.Part,AX$17:AX$59,"")) &amp; "'/&gt;", "")</f>
        <v/>
      </c>
      <c r="AY83" t="str">
        <f t="shared" si="132"/>
        <v/>
      </c>
      <c r="BB83" t="str" cm="1">
        <f t="array" ref="BB83" xml:space="preserve"> IF(AND(LEN(_xlfn.SINGLE(Star_5_2.SVG_painting_Outer))&gt;0, _xlfn.SINGLE(Star_5_2.SizeOuter)&gt;0, NOT(_xlfn.SINGLE(Star_5_2.MultipleStars))),  "&lt;path " &amp; _xlfn.SINGLE(Star_5_2.SVG_painting_Outer) &amp; " d='" &amp; _xlfn.TEXTJOIN(" ", TRUE, IF("Path"=Star_5_2.Part,BB$17:BB$59,"")) &amp; "'/&gt;", "")</f>
        <v/>
      </c>
      <c r="BC83" t="str">
        <f t="shared" si="133"/>
        <v/>
      </c>
      <c r="BF83" t="str" cm="1">
        <f t="array" ref="BF83" xml:space="preserve"> IF(AND(LEN(_xlfn.SINGLE(Star_5_2.SVG_painting_Outer))&gt;0, _xlfn.SINGLE(Star_5_2.SizeOuter)&gt;0, NOT(_xlfn.SINGLE(Star_5_2.MultipleStars))),  "&lt;path " &amp; _xlfn.SINGLE(Star_5_2.SVG_painting_Outer) &amp; " d='" &amp; _xlfn.TEXTJOIN(" ", TRUE, IF("Path"=Star_5_2.Part,BF$17:BF$59,"")) &amp; "'/&gt;", "")</f>
        <v/>
      </c>
      <c r="BG83" t="str">
        <f t="shared" si="134"/>
        <v/>
      </c>
      <c r="BJ83" s="55"/>
      <c r="BK83" t="str">
        <f t="shared" si="135"/>
        <v/>
      </c>
      <c r="BN83" t="str" cm="1">
        <f t="array" ref="BN83"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3" t="str">
        <f t="shared" si="136"/>
        <v/>
      </c>
      <c r="BR83" s="55"/>
      <c r="BV83" t="str" cm="1">
        <f t="array" ref="BV83" xml:space="preserve"> IF(AND(LEN(_xlfn.SINGLE(Star_5_2.SVG_painting_Outer))&gt;0, _xlfn.SINGLE(Star_5_2.SizeOuter)&gt;0, NOT(_xlfn.SINGLE(Star_5_2.MultipleStars))),  "&lt;path " &amp; _xlfn.SINGLE(Star_5_2.SVG_painting_Outer) &amp; " d='" &amp; _xlfn.TEXTJOIN(" ", TRUE, IF("Path"=Star_5_2.Part,BV$17:BV$59,"")) &amp; "'/&gt;", "")</f>
        <v/>
      </c>
      <c r="BW83" t="str">
        <f t="shared" si="137"/>
        <v/>
      </c>
      <c r="BZ83" t="str" cm="1">
        <f t="array" ref="BZ83" xml:space="preserve"> IF(AND(LEN(_xlfn.SINGLE(Star_5_2.SVG_painting_Outer))&gt;0, _xlfn.SINGLE(Star_5_2.SizeOuter)&gt;0, NOT(_xlfn.SINGLE(Star_5_2.MultipleStars))),  "&lt;path " &amp; _xlfn.SINGLE(Star_5_2.SVG_painting_Outer) &amp; " d='" &amp; _xlfn.TEXTJOIN(" ", TRUE, IF("Path"=Star_5_2.Part,BZ$17:BZ$59,"")) &amp; "'/&gt;", "")</f>
        <v/>
      </c>
      <c r="CA83" t="str">
        <f t="shared" si="138"/>
        <v/>
      </c>
      <c r="CD83" s="55"/>
      <c r="CE83" t="str">
        <f t="shared" si="139"/>
        <v/>
      </c>
      <c r="CH83" s="55"/>
      <c r="CI83" t="str">
        <f t="shared" si="140"/>
        <v/>
      </c>
      <c r="CL83" t="str" cm="1">
        <f t="array" ref="CL83" xml:space="preserve"> IF(AND(LEN(_xlfn.SINGLE(Star_5_2.SVG_painting_Outer))&gt;0, _xlfn.SINGLE(Star_5_2.SizeOuter)&gt;0, NOT(_xlfn.SINGLE(Star_5_2.MultipleStars))),  "&lt;path " &amp; _xlfn.SINGLE(Star_5_2.SVG_painting_Outer) &amp; " d='" &amp; _xlfn.TEXTJOIN(" ", TRUE, IF("Path"=Star_5_2.Part,CL$17:CL$59,"")) &amp; "'/&gt;", "")</f>
        <v/>
      </c>
      <c r="CP83" s="55"/>
      <c r="CT83" t="str" cm="1">
        <f t="array" ref="CT83" xml:space="preserve"> IF(AND(LEN(_xlfn.SINGLE(Star_5_2.SVG_painting_Outer))&gt;0, _xlfn.SINGLE(Star_5_2.SizeOuter)&gt;0, NOT(_xlfn.SINGLE(Star_5_2.MultipleStars))),  "&lt;path " &amp; _xlfn.SINGLE(Star_5_2.SVG_painting_Outer) &amp; " d='" &amp; _xlfn.TEXTJOIN(" ", TRUE, IF("Path"=Star_5_2.Part,CT$17:CT$59,"")) &amp; "'/&gt;", "")</f>
        <v/>
      </c>
      <c r="DC83" s="9"/>
    </row>
    <row r="84" spans="3:107">
      <c r="E84" t="s">
        <v>1757</v>
      </c>
      <c r="G84" s="13" t="str">
        <f t="shared" si="126"/>
        <v/>
      </c>
      <c r="J84" t="str" cm="1">
        <f t="array" ref="J84" xml:space="preserve"> IF(AND(LEN(_xlfn.SINGLE(Star_5_2.SVG_painting_Middle))&gt;0, _xlfn.SINGLE(Star_5_2.SizeMiddle)&gt;0, NOT(_xlfn.SINGLE(Star_5_2.MultipleStars))),  "&lt;path " &amp; _xlfn.SINGLE(Star_5_2.SVG_painting_Middle) &amp; " d='" &amp; _xlfn.TEXTJOIN(" ", TRUE, IF("Path"=Star_5_2.Part,J$17:J$59,"")) &amp; "'/&gt;", "")</f>
        <v/>
      </c>
      <c r="K84" t="str">
        <f t="shared" si="127"/>
        <v/>
      </c>
      <c r="N84" t="str" cm="1">
        <f t="array" ref="N84" xml:space="preserve"> IF(AND(LEN(_xlfn.SINGLE(Star_5_2.SVG_painting_Middle))&gt;0, _xlfn.SINGLE(Star_5_2.SizeMiddle)&gt;0, NOT(_xlfn.SINGLE(Star_5_2.MultipleStars))),  "&lt;path " &amp; _xlfn.SINGLE(Star_5_2.SVG_painting_Middle) &amp; " d='" &amp; _xlfn.TEXTJOIN(" ", TRUE, IF("Path"=Star_5_2.Part,N$17:N$59,"")) &amp; "'/&gt;", "")</f>
        <v/>
      </c>
      <c r="R84" t="str" cm="1">
        <f t="array" ref="R84" xml:space="preserve"> IF(AND(LEN(_xlfn.SINGLE(Star_5_2.SVG_painting_Middle))&gt;0, _xlfn.SINGLE(Star_5_2.SizeMiddle)&gt;0, NOT(_xlfn.SINGLE(Star_5_2.MultipleStars))),  "&lt;path " &amp; _xlfn.SINGLE(Star_5_2.SVG_painting_Middle) &amp; " d='" &amp; _xlfn.TEXTJOIN(" ", TRUE, IF("Path"=Star_5_2.Part,R$17:R$59,"")) &amp; "'/&gt;", "")</f>
        <v/>
      </c>
      <c r="V84" s="55"/>
      <c r="W84" t="str">
        <f t="shared" si="128"/>
        <v/>
      </c>
      <c r="Z84" s="55"/>
      <c r="AD84" s="55"/>
      <c r="AH84" s="55"/>
      <c r="AL84" t="str" cm="1">
        <f t="array" ref="AL84" xml:space="preserve"> IF(AND(LEN(_xlfn.SINGLE(Star_5_2.SVG_painting_Middle))&gt;0, _xlfn.SINGLE(Star_5_2.SizeMiddle)&gt;0, NOT(_xlfn.SINGLE(Star_5_2.MultipleStars))),  "&lt;path " &amp; _xlfn.SINGLE(Star_5_2.SVG_painting_Middle) &amp; " d='" &amp; _xlfn.TEXTJOIN(" ", TRUE, IF("Path"=Star_5_2.Part,AL$17:AL$59,"")) &amp; "'/&gt;", "")</f>
        <v/>
      </c>
      <c r="AM84" t="str">
        <f t="shared" si="129"/>
        <v/>
      </c>
      <c r="AP84" t="str" cm="1">
        <f t="array" ref="AP84" xml:space="preserve"> IF(AND(LEN(_xlfn.SINGLE(Star_5_2.SVG_painting_Middle))&gt;0, _xlfn.SINGLE(Star_5_2.SizeMiddle)&gt;0, NOT(_xlfn.SINGLE(Star_5_2.MultipleStars))),  "&lt;path " &amp; _xlfn.SINGLE(Star_5_2.SVG_painting_Middle) &amp; " d='" &amp; _xlfn.TEXTJOIN(" ", TRUE, IF("Path"=Star_5_2.Part,AP$17:AP$59,"")) &amp; "'/&gt;", "")</f>
        <v/>
      </c>
      <c r="AQ84" t="str">
        <f t="shared" si="130"/>
        <v/>
      </c>
      <c r="AT84" t="str" cm="1">
        <f t="array" ref="AT84"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4" t="str">
        <f t="shared" si="131"/>
        <v/>
      </c>
      <c r="AX84" t="str" cm="1">
        <f t="array" ref="AX84" xml:space="preserve"> IF(AND(LEN(_xlfn.SINGLE(Star_5_2.SVG_painting_Middle))&gt;0, _xlfn.SINGLE(Star_5_2.SizeMiddle)&gt;0, NOT(_xlfn.SINGLE(Star_5_2.MultipleStars))),  "&lt;path " &amp; _xlfn.SINGLE(Star_5_2.SVG_painting_Middle) &amp; " d='" &amp; _xlfn.TEXTJOIN(" ", TRUE, IF("Path"=Star_5_2.Part,AX$17:AX$59,"")) &amp; "'/&gt;", "")</f>
        <v/>
      </c>
      <c r="AY84" t="str">
        <f t="shared" si="132"/>
        <v/>
      </c>
      <c r="BB84" t="str" cm="1">
        <f t="array" ref="BB84" xml:space="preserve"> IF(AND(LEN(_xlfn.SINGLE(Star_5_2.SVG_painting_Middle))&gt;0, _xlfn.SINGLE(Star_5_2.SizeMiddle)&gt;0, NOT(_xlfn.SINGLE(Star_5_2.MultipleStars))),  "&lt;path " &amp; _xlfn.SINGLE(Star_5_2.SVG_painting_Middle) &amp; " d='" &amp; _xlfn.TEXTJOIN(" ", TRUE, IF("Path"=Star_5_2.Part,BB$17:BB$59,"")) &amp; "'/&gt;", "")</f>
        <v/>
      </c>
      <c r="BC84" t="str">
        <f t="shared" si="133"/>
        <v/>
      </c>
      <c r="BF84" t="str" cm="1">
        <f t="array" ref="BF84" xml:space="preserve"> IF(AND(LEN(_xlfn.SINGLE(Star_5_2.SVG_painting_Middle))&gt;0, _xlfn.SINGLE(Star_5_2.SizeMiddle)&gt;0, NOT(_xlfn.SINGLE(Star_5_2.MultipleStars))),  "&lt;path " &amp; _xlfn.SINGLE(Star_5_2.SVG_painting_Middle) &amp; " d='" &amp; _xlfn.TEXTJOIN(" ", TRUE, IF("Path"=Star_5_2.Part,BF$17:BF$59,"")) &amp; "'/&gt;", "")</f>
        <v/>
      </c>
      <c r="BG84" t="str">
        <f t="shared" si="134"/>
        <v/>
      </c>
      <c r="BJ84" s="55"/>
      <c r="BK84" t="str">
        <f t="shared" si="135"/>
        <v/>
      </c>
      <c r="BN84" t="str" cm="1">
        <f t="array" ref="BN84" xml:space="preserve"> IF(AND(LEN(_xlfn.SINGLE(Star_5_2.SVG_painting_Middle))&gt;0, _xlfn.SINGLE(Star_5_2.SizeMiddle)&gt;0, NOT(_xlfn.SINGLE(Star_5_2.MultipleStars))),  "&lt;path " &amp; _xlfn.SINGLE(Star_5_2.SVG_painting_Middle) &amp; " d='" &amp; _xlfn.TEXTJOIN(" ", TRUE, IF("Path"=Star_5_2.Part,BN$17:BN$59,"")) &amp; "'/&gt;", "")</f>
        <v/>
      </c>
      <c r="BO84" t="str">
        <f t="shared" si="136"/>
        <v/>
      </c>
      <c r="BR84" s="55"/>
      <c r="BV84" t="str" cm="1">
        <f t="array" ref="BV84" xml:space="preserve"> IF(AND(LEN(_xlfn.SINGLE(Star_5_2.SVG_painting_Middle))&gt;0, _xlfn.SINGLE(Star_5_2.SizeMiddle)&gt;0, NOT(_xlfn.SINGLE(Star_5_2.MultipleStars))),  "&lt;path " &amp; _xlfn.SINGLE(Star_5_2.SVG_painting_Middle) &amp; " d='" &amp; _xlfn.TEXTJOIN(" ", TRUE, IF("Path"=Star_5_2.Part,BV$17:BV$59,"")) &amp; "'/&gt;", "")</f>
        <v/>
      </c>
      <c r="BW84" t="str">
        <f t="shared" si="137"/>
        <v/>
      </c>
      <c r="BZ84" t="str" cm="1">
        <f t="array" ref="BZ84" xml:space="preserve"> IF(AND(LEN(_xlfn.SINGLE(Star_5_2.SVG_painting_Middle))&gt;0, _xlfn.SINGLE(Star_5_2.SizeMiddle)&gt;0, NOT(_xlfn.SINGLE(Star_5_2.MultipleStars))),  "&lt;path " &amp; _xlfn.SINGLE(Star_5_2.SVG_painting_Middle) &amp; " d='" &amp; _xlfn.TEXTJOIN(" ", TRUE, IF("Path"=Star_5_2.Part,BZ$17:BZ$59,"")) &amp; "'/&gt;", "")</f>
        <v/>
      </c>
      <c r="CA84" t="str">
        <f t="shared" si="138"/>
        <v/>
      </c>
      <c r="CD84" s="55"/>
      <c r="CE84" t="str">
        <f t="shared" si="139"/>
        <v/>
      </c>
      <c r="CH84" t="str" cm="1">
        <f t="array" ref="CH84" xml:space="preserve"> IF(AND(LEN(_xlfn.SINGLE(Star_5_2.SVG_painting_Middle))&gt;0, _xlfn.SINGLE(Star_5_2.SizeMiddle)&gt;0, NOT(_xlfn.SINGLE(Star_5_2.MultipleStars))),  "&lt;path " &amp; _xlfn.SINGLE(Star_5_2.SVG_painting_Middle) &amp; " d='" &amp; _xlfn.TEXTJOIN(" ", TRUE, IF("Path"=Star_5_2.Part,CH$17:CH$59,"")) &amp; "'/&gt;", "")</f>
        <v/>
      </c>
      <c r="CI84" t="str">
        <f t="shared" si="140"/>
        <v/>
      </c>
      <c r="CL84" t="str" cm="1">
        <f t="array" ref="CL84" xml:space="preserve"> IF(AND(LEN(_xlfn.SINGLE(Star_5_2.SVG_painting_Middle))&gt;0, _xlfn.SINGLE(Star_5_2.SizeMiddle)&gt;0, NOT(_xlfn.SINGLE(Star_5_2.MultipleStars))),  "&lt;path " &amp; _xlfn.SINGLE(Star_5_2.SVG_painting_Middle) &amp; " d='" &amp; _xlfn.TEXTJOIN(" ", TRUE, IF("Path"=Star_5_2.Part,CL$17:CL$59,"")) &amp; "'/&gt;", "")</f>
        <v/>
      </c>
      <c r="CP84" s="55"/>
      <c r="CT84" t="str" cm="1">
        <f t="array" ref="CT84" xml:space="preserve"> IF(AND(LEN(_xlfn.SINGLE(Star_5_2.SVG_painting_Middle))&gt;0, _xlfn.SINGLE(Star_5_2.SizeMiddle)&gt;0, NOT(_xlfn.SINGLE(Star_5_2.MultipleStars))),  "&lt;path " &amp; _xlfn.SINGLE(Star_5_2.SVG_painting_Middle) &amp; " d='" &amp; _xlfn.TEXTJOIN(" ", TRUE, IF("Path"=Star_5_2.Part,CT$17:CT$59,"")) &amp; "'/&gt;", "")</f>
        <v/>
      </c>
      <c r="DC84" s="9"/>
    </row>
    <row r="85" spans="3:107">
      <c r="E85" t="s">
        <v>1758</v>
      </c>
      <c r="G85" s="13" t="str">
        <f t="shared" si="126"/>
        <v/>
      </c>
      <c r="J85" t="str" cm="1">
        <f t="array" ref="J85" xml:space="preserve"> IF(AND(LEN(_xlfn.SINGLE(Star_5_2.SVG_painting_Inner))&gt;0, _xlfn.SINGLE(Star_5_2.SizeInner)&gt;0, NOT(_xlfn.SINGLE(Star_5_2.MultipleStars))),  "&lt;path " &amp; _xlfn.SINGLE(Star_5_2.SVG_painting_Inner) &amp; " d='" &amp; _xlfn.TEXTJOIN(" ", TRUE, IF("Path"=Star_5_2.Part,J$17:J$59,"")) &amp; "'/&gt;", "")</f>
        <v/>
      </c>
      <c r="K85" t="str">
        <f t="shared" si="127"/>
        <v/>
      </c>
      <c r="N85" t="str" cm="1">
        <f t="array" ref="N85" xml:space="preserve"> IF(AND(LEN(_xlfn.SINGLE(Star_5_2.SVG_painting_Inner))&gt;0, _xlfn.SINGLE(Star_5_2.SizeInner)&gt;0, NOT(_xlfn.SINGLE(Star_5_2.MultipleStars))),  "&lt;path " &amp; _xlfn.SINGLE(Star_5_2.SVG_painting_Inner) &amp; " d='" &amp; _xlfn.TEXTJOIN(" ", TRUE, IF("Path"=Star_5_2.Part,N$17:N$59,"")) &amp; "'/&gt;", "")</f>
        <v/>
      </c>
      <c r="R85" t="str" cm="1">
        <f t="array" ref="R85" xml:space="preserve"> IF(AND(LEN(_xlfn.SINGLE(Star_5_2.SVG_painting_Inner))&gt;0, _xlfn.SINGLE(Star_5_2.SizeInner)&gt;0, NOT(_xlfn.SINGLE(Star_5_2.MultipleStars))),  "&lt;path " &amp; _xlfn.SINGLE(Star_5_2.SVG_painting_Inner) &amp; " d='" &amp; _xlfn.TEXTJOIN(" ", TRUE, IF("Path"=Star_5_2.Part,R$17:R$59,"")) &amp; "'/&gt;", "")</f>
        <v/>
      </c>
      <c r="V85" t="str" cm="1">
        <f t="array" ref="V85"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5" t="str">
        <f t="shared" si="128"/>
        <v/>
      </c>
      <c r="Z85" t="str" cm="1">
        <f t="array" ref="Z85"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5" t="str" cm="1">
        <f t="array" ref="AD85"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5" t="str" cm="1">
        <f t="array" ref="AH85"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5" t="str" cm="1">
        <f t="array" ref="AL85" xml:space="preserve"> IF(AND(LEN(_xlfn.SINGLE(Star_5_2.SVG_painting_Inner))&gt;0, _xlfn.SINGLE(Star_5_2.SizeInner)&gt;0, NOT(_xlfn.SINGLE(Star_5_2.MultipleStars))),  "&lt;path " &amp; _xlfn.SINGLE(Star_5_2.SVG_painting_Inner) &amp; " d='" &amp; _xlfn.TEXTJOIN(" ", TRUE, IF("Path"=Star_5_2.Part,AL$17:AL$59,"")) &amp; "'/&gt;", "")</f>
        <v/>
      </c>
      <c r="AM85" t="str">
        <f t="shared" si="129"/>
        <v/>
      </c>
      <c r="AQ85" t="str">
        <f t="shared" si="130"/>
        <v/>
      </c>
      <c r="AT85" t="str" cm="1">
        <f t="array" ref="AT85" xml:space="preserve"> IF(AND(LEN(_xlfn.SINGLE(Star_5_2.SVG_painting_Inner))&gt;0, _xlfn.SINGLE(Star_5_2.SizeInner)&gt;0, NOT(_xlfn.SINGLE(Star_5_2.MultipleStars))),  "&lt;path " &amp; _xlfn.SINGLE(Star_5_2.SVG_painting_Inner) &amp; " d='" &amp; _xlfn.TEXTJOIN(" ", TRUE, IF("Path"=Star_5_2.Part,AT$17:AT$59,"")) &amp; "'/&gt;", "")</f>
        <v/>
      </c>
      <c r="AU85" t="str">
        <f t="shared" si="131"/>
        <v/>
      </c>
      <c r="AX85" t="str" cm="1">
        <f t="array" ref="AX85" xml:space="preserve"> IF(AND(LEN(_xlfn.SINGLE(Star_5_2.SVG_painting_Inner))&gt;0, _xlfn.SINGLE(Star_5_2.SizeInner)&gt;0, NOT(_xlfn.SINGLE(Star_5_2.MultipleStars))),  "&lt;path " &amp; _xlfn.SINGLE(Star_5_2.SVG_painting_Inner) &amp; " d='" &amp; _xlfn.TEXTJOIN(" ", TRUE, IF("Path"=Star_5_2.Part,AX$17:AX$59,"")) &amp; "'/&gt;", "")</f>
        <v/>
      </c>
      <c r="AY85" t="str">
        <f t="shared" si="132"/>
        <v/>
      </c>
      <c r="BB85" t="str" cm="1">
        <f t="array" ref="BB85" xml:space="preserve"> IF(AND(LEN(_xlfn.SINGLE(Star_5_2.SVG_painting_Inner))&gt;0, _xlfn.SINGLE(Star_5_2.SizeInner)&gt;0, NOT(_xlfn.SINGLE(Star_5_2.MultipleStars))),  "&lt;path " &amp; _xlfn.SINGLE(Star_5_2.SVG_painting_Inner) &amp; " d='" &amp; _xlfn.TEXTJOIN(" ", TRUE, IF("Path"=Star_5_2.Part,BB$17:BB$59,"")) &amp; "'/&gt;", "")</f>
        <v/>
      </c>
      <c r="BC85" t="str">
        <f t="shared" si="133"/>
        <v/>
      </c>
      <c r="BF85" t="str" cm="1">
        <f t="array" ref="BF85" xml:space="preserve"> IF(AND(LEN(_xlfn.SINGLE(Star_5_2.SVG_painting_Inner))&gt;0, _xlfn.SINGLE(Star_5_2.SizeInner)&gt;0, NOT(_xlfn.SINGLE(Star_5_2.MultipleStars))),  "&lt;path " &amp; _xlfn.SINGLE(Star_5_2.SVG_painting_Inner) &amp; " d='" &amp; _xlfn.TEXTJOIN(" ", TRUE, IF("Path"=Star_5_2.Part,BF$17:BF$59,"")) &amp; "'/&gt;", "")</f>
        <v/>
      </c>
      <c r="BG85" t="str">
        <f t="shared" si="134"/>
        <v/>
      </c>
      <c r="BJ85" t="str" cm="1">
        <f t="array" ref="BJ85"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5" t="str">
        <f t="shared" si="135"/>
        <v/>
      </c>
      <c r="BN85" s="27" t="str" cm="1">
        <f t="array" ref="BN85"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5" t="str">
        <f t="shared" si="136"/>
        <v/>
      </c>
      <c r="BR85" t="str" cm="1">
        <f t="array" ref="BR85"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5" t="str" cm="1">
        <f t="array" ref="BV85" xml:space="preserve"> IF(AND(LEN(_xlfn.SINGLE(Star_5_2.SVG_painting_Inner))&gt;0, _xlfn.SINGLE(Star_5_2.SizeInner)&gt;0, NOT(_xlfn.SINGLE(Star_5_2.MultipleStars))),  "&lt;path " &amp; _xlfn.SINGLE(Star_5_2.SVG_painting_Inner) &amp; " d='" &amp; _xlfn.TEXTJOIN(" ", TRUE, IF("Path"=Star_5_2.Part,BV$17:BV$59,"")) &amp; "'/&gt;", "")</f>
        <v/>
      </c>
      <c r="BW85" t="str">
        <f t="shared" si="137"/>
        <v/>
      </c>
      <c r="BZ85" t="str" cm="1">
        <f t="array" ref="BZ85" xml:space="preserve"> IF(AND(LEN(_xlfn.SINGLE(Star_5_2.SVG_painting_Inner))&gt;0, _xlfn.SINGLE(Star_5_2.SizeInner)&gt;0, NOT(_xlfn.SINGLE(Star_5_2.MultipleStars))),  "&lt;path " &amp; _xlfn.SINGLE(Star_5_2.SVG_painting_Inner) &amp; " d='" &amp; _xlfn.TEXTJOIN(" ", TRUE, IF("Path"=Star_5_2.Part,BZ$17:BZ$59,"")) &amp; "'/&gt;", "")</f>
        <v/>
      </c>
      <c r="CA85" t="str">
        <f t="shared" si="138"/>
        <v/>
      </c>
      <c r="CD85" t="str" cm="1">
        <f t="array" ref="CD85"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5" t="str">
        <f t="shared" si="139"/>
        <v/>
      </c>
      <c r="CH85" t="str" cm="1">
        <f t="array" ref="CH85"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5" t="str">
        <f t="shared" si="140"/>
        <v/>
      </c>
      <c r="CL85" t="str" cm="1">
        <f t="array" ref="CL85" xml:space="preserve"> IF(AND(LEN(_xlfn.SINGLE(Star_5_2.SVG_painting_Inner))&gt;0, _xlfn.SINGLE(Star_5_2.SizeInner)&gt;0, NOT(_xlfn.SINGLE(Star_5_2.MultipleStars))),  "&lt;path " &amp; _xlfn.SINGLE(Star_5_2.SVG_painting_Inner) &amp; " d='" &amp; _xlfn.TEXTJOIN(" ", TRUE, IF("Path"=Star_5_2.Part,CL$17:CL$59,"")) &amp; "'/&gt;", "")</f>
        <v/>
      </c>
      <c r="CP85" t="str" cm="1">
        <f t="array" ref="CP85"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5" t="str" cm="1">
        <f t="array" ref="CT85" xml:space="preserve"> IF(AND(LEN(_xlfn.SINGLE(Star_5_2.SVG_painting_Inner))&gt;0, _xlfn.SINGLE(Star_5_2.SizeInner)&gt;0, NOT(_xlfn.SINGLE(Star_5_2.MultipleStars))),  "&lt;path " &amp; _xlfn.SINGLE(Star_5_2.SVG_painting_Inner) &amp; " d='" &amp; _xlfn.TEXTJOIN(" ", TRUE, IF("Path"=Star_5_2.Part,CT$17:CT$59,"")) &amp; "'/&gt;", "")</f>
        <v/>
      </c>
      <c r="CX85" t="str" cm="1">
        <f t="array" ref="CX85"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5" s="9"/>
    </row>
    <row r="86" spans="3:107">
      <c r="E86" t="s">
        <v>1761</v>
      </c>
      <c r="G86" s="13" t="str">
        <f t="shared" si="126"/>
        <v/>
      </c>
      <c r="K86" t="str">
        <f t="shared" si="127"/>
        <v/>
      </c>
      <c r="W86" t="str">
        <f t="shared" si="128"/>
        <v/>
      </c>
      <c r="AM86" t="str">
        <f t="shared" si="129"/>
        <v/>
      </c>
      <c r="AQ86" t="str">
        <f t="shared" si="130"/>
        <v/>
      </c>
      <c r="AU86" t="str">
        <f t="shared" si="131"/>
        <v/>
      </c>
      <c r="AY86" t="str">
        <f t="shared" si="132"/>
        <v/>
      </c>
      <c r="BC86" t="str">
        <f t="shared" si="133"/>
        <v/>
      </c>
      <c r="BG86" t="str">
        <f t="shared" si="134"/>
        <v/>
      </c>
      <c r="BK86" t="str">
        <f t="shared" si="135"/>
        <v/>
      </c>
      <c r="BO86" t="str">
        <f t="shared" si="136"/>
        <v/>
      </c>
      <c r="BW86" t="str">
        <f t="shared" si="137"/>
        <v/>
      </c>
      <c r="CA86" t="str">
        <f t="shared" si="138"/>
        <v/>
      </c>
      <c r="CE86" t="str">
        <f t="shared" si="139"/>
        <v/>
      </c>
      <c r="CI86" t="str">
        <f t="shared" si="140"/>
        <v/>
      </c>
      <c r="DC86" s="9"/>
    </row>
    <row r="87" spans="3:107">
      <c r="G87" s="14" t="str">
        <f t="shared" si="126"/>
        <v/>
      </c>
      <c r="H87" s="10"/>
      <c r="I87" s="10"/>
      <c r="J87" s="10" t="s">
        <v>15</v>
      </c>
      <c r="K87" s="10" t="str">
        <f t="shared" si="127"/>
        <v/>
      </c>
      <c r="L87" s="10"/>
      <c r="M87" s="10"/>
      <c r="N87" s="10" t="s">
        <v>15</v>
      </c>
      <c r="O87" s="10"/>
      <c r="P87" s="10"/>
      <c r="Q87" s="10"/>
      <c r="R87" s="10" t="s">
        <v>15</v>
      </c>
      <c r="S87" s="10"/>
      <c r="T87" s="10"/>
      <c r="U87" s="10"/>
      <c r="V87" s="10" t="s">
        <v>15</v>
      </c>
      <c r="W87" s="10" t="str">
        <f t="shared" si="128"/>
        <v/>
      </c>
      <c r="X87" s="10"/>
      <c r="Y87" s="10"/>
      <c r="Z87" s="10" t="s">
        <v>15</v>
      </c>
      <c r="AA87" s="10"/>
      <c r="AB87" s="10"/>
      <c r="AC87" s="10"/>
      <c r="AD87" s="10" t="s">
        <v>15</v>
      </c>
      <c r="AE87" s="10"/>
      <c r="AF87" s="10"/>
      <c r="AG87" s="10"/>
      <c r="AH87" s="10" t="s">
        <v>15</v>
      </c>
      <c r="AI87" s="10"/>
      <c r="AJ87" s="10"/>
      <c r="AK87" s="10"/>
      <c r="AL87" s="10" t="s">
        <v>15</v>
      </c>
      <c r="AM87" s="10" t="str">
        <f t="shared" si="129"/>
        <v/>
      </c>
      <c r="AN87" s="10"/>
      <c r="AO87" s="10"/>
      <c r="AP87" s="10" t="s">
        <v>15</v>
      </c>
      <c r="AQ87" s="10" t="str">
        <f t="shared" si="130"/>
        <v/>
      </c>
      <c r="AR87" s="10"/>
      <c r="AS87" s="10"/>
      <c r="AT87" s="10" t="s">
        <v>15</v>
      </c>
      <c r="AU87" s="10" t="str">
        <f t="shared" si="131"/>
        <v/>
      </c>
      <c r="AV87" s="10"/>
      <c r="AW87" s="10"/>
      <c r="AX87" s="10" t="s">
        <v>15</v>
      </c>
      <c r="AY87" s="10" t="str">
        <f t="shared" si="132"/>
        <v/>
      </c>
      <c r="AZ87" s="10"/>
      <c r="BA87" s="10"/>
      <c r="BB87" s="10" t="s">
        <v>15</v>
      </c>
      <c r="BC87" s="10" t="str">
        <f t="shared" si="133"/>
        <v/>
      </c>
      <c r="BD87" s="10"/>
      <c r="BE87" s="10"/>
      <c r="BF87" s="10" t="s">
        <v>15</v>
      </c>
      <c r="BG87" s="10" t="str">
        <f t="shared" si="134"/>
        <v/>
      </c>
      <c r="BH87" s="10"/>
      <c r="BI87" s="10"/>
      <c r="BJ87" s="10" t="s">
        <v>15</v>
      </c>
      <c r="BK87" s="10" t="str">
        <f t="shared" si="135"/>
        <v/>
      </c>
      <c r="BL87" s="10"/>
      <c r="BM87" s="10"/>
      <c r="BN87" s="10" t="s">
        <v>15</v>
      </c>
      <c r="BO87" s="10" t="str">
        <f t="shared" si="136"/>
        <v/>
      </c>
      <c r="BP87" s="10"/>
      <c r="BQ87" s="10"/>
      <c r="BR87" s="10" t="s">
        <v>15</v>
      </c>
      <c r="BS87" s="10"/>
      <c r="BT87" s="10"/>
      <c r="BU87" s="10"/>
      <c r="BV87" s="10" t="s">
        <v>15</v>
      </c>
      <c r="BW87" s="10" t="str">
        <f t="shared" si="137"/>
        <v/>
      </c>
      <c r="BX87" s="10"/>
      <c r="BY87" s="10"/>
      <c r="BZ87" s="10" t="s">
        <v>15</v>
      </c>
      <c r="CA87" s="10" t="str">
        <f t="shared" si="138"/>
        <v/>
      </c>
      <c r="CB87" s="10"/>
      <c r="CC87" s="10"/>
      <c r="CD87" s="10" t="s">
        <v>15</v>
      </c>
      <c r="CE87" s="10" t="str">
        <f t="shared" si="139"/>
        <v/>
      </c>
      <c r="CF87" s="10"/>
      <c r="CG87" s="10"/>
      <c r="CH87" s="10" t="s">
        <v>15</v>
      </c>
      <c r="CI87" s="10" t="str">
        <f t="shared" si="140"/>
        <v/>
      </c>
      <c r="CJ87" s="10"/>
      <c r="CK87" s="10"/>
      <c r="CL87" s="10" t="s">
        <v>15</v>
      </c>
      <c r="CM87" s="10"/>
      <c r="CN87" s="10"/>
      <c r="CO87" s="10"/>
      <c r="CP87" s="10" t="s">
        <v>15</v>
      </c>
      <c r="CQ87" s="10"/>
      <c r="CR87" s="10"/>
      <c r="CS87" s="10"/>
      <c r="CT87" s="10" t="s">
        <v>15</v>
      </c>
      <c r="CU87" s="10"/>
      <c r="CV87" s="10"/>
      <c r="CW87" s="10"/>
      <c r="CX87" s="10" t="s">
        <v>15</v>
      </c>
      <c r="CY87" s="10"/>
      <c r="CZ87" s="10"/>
      <c r="DA87" s="10"/>
      <c r="DB87" s="10"/>
      <c r="DC87" s="11"/>
    </row>
    <row r="93" spans="3:107" outlineLevel="1">
      <c r="C93">
        <v>8</v>
      </c>
      <c r="E93" t="s">
        <v>1794</v>
      </c>
      <c r="J93">
        <f xml:space="preserve"> VALUE(TEXT( $C93 * Star_5_2.OuterPoints_Default * SQRT(Star_5_2.Aspect), SVG.NumberFormatHeight))</f>
        <v>104</v>
      </c>
      <c r="AP93">
        <f xml:space="preserve"> VALUE(TEXT( $C93 * Star_5_2.OuterPoints_Default * SQRT(Star_5_2.Aspect), SVG.NumberFormatHeight))</f>
        <v>102</v>
      </c>
      <c r="AX93">
        <f xml:space="preserve"> VALUE(TEXT( $C93 * Star_5_2.OuterPoints_Default * SQRT(Star_5_2.Aspect), SVG.NumberFormatHeight))</f>
        <v>101</v>
      </c>
      <c r="BR93">
        <f xml:space="preserve"> VALUE(TEXT( $C93 * Star_5_2.OuterPoints_Default * SQRT(Star_5_2.Aspect), SVG.NumberFormatHeight))</f>
        <v>109</v>
      </c>
    </row>
    <row r="94" spans="3:107">
      <c r="E94" t="s">
        <v>1793</v>
      </c>
      <c r="J94">
        <f xml:space="preserve"> ROUND(J$93 / _xlfn.SINGLE(Star_5_2.Aspect), svgSizeDecimalPlaces)</f>
        <v>98.910240000000002</v>
      </c>
      <c r="AP94">
        <f xml:space="preserve"> ROUND(AP$93 / _xlfn.SINGLE(Star_5_2.Aspect), svgSizeDecimalPlaces)</f>
        <v>102.49178000000001</v>
      </c>
      <c r="AX94">
        <f xml:space="preserve"> ROUND(AX$93 / _xlfn.SINGLE(Star_5_2.Aspect), svgSizeDecimalPlaces)</f>
        <v>102.89944</v>
      </c>
      <c r="BR94">
        <f xml:space="preserve"> ROUND(BR$93 / _xlfn.SINGLE(Star_5_2.Aspect), svgSizeDecimalPlaces)</f>
        <v>95.443240000000003</v>
      </c>
    </row>
    <row r="97" spans="3:70">
      <c r="E97" t="s">
        <v>1795</v>
      </c>
      <c r="J97" s="56" t="str">
        <f xml:space="preserve"> "&lt;svg width='" &amp; J$94 &amp; "' height='"  &amp; J$93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width='98.91024' height='104' viewBox='-9.5106 -10 19.0212 20'  id='USD' xmlns='http://www.w3.org/2000/svg'&gt;</v>
      </c>
      <c r="AP97" s="56" t="str">
        <f xml:space="preserve"> "&lt;svg width='" &amp; AP$94 &amp; "' height='"  &amp; AP$93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width='102.49178' height='102' viewBox='-9.8995 -9.852 19.799 19.704'  id='CNY' xmlns='http://www.w3.org/2000/svg'&gt;</v>
      </c>
      <c r="AX97" s="56" t="str">
        <f xml:space="preserve"> "&lt;svg width='" &amp; AX$94 &amp; "' height='"  &amp; AX$93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width='102.89944' height='101' viewBox='-9.9517 -9.768 19.9034 19.536'  id='PKR' xmlns='http://www.w3.org/2000/svg'&gt;</v>
      </c>
      <c r="BR97" s="56" t="str">
        <f xml:space="preserve"> "&lt;svg width='" &amp; BR$94 &amp; "' height='"  &amp; BR$93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width='95.44324' height='109' viewBox='-6 -6.85224 12 13.70448'  id='DZD' xmlns='http://www.w3.org/2000/svg'&gt;</v>
      </c>
    </row>
    <row r="98" spans="3:70">
      <c r="C98" t="s">
        <v>1808</v>
      </c>
      <c r="E98" t="s">
        <v>1797</v>
      </c>
      <c r="J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8" s="61" t="str">
        <f xml:space="preserve"> ""</f>
        <v/>
      </c>
    </row>
    <row r="99" spans="3:70">
      <c r="C99" t="s">
        <v>1807</v>
      </c>
      <c r="D99">
        <v>0.44</v>
      </c>
      <c r="E99" t="s">
        <v>1799</v>
      </c>
      <c r="J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9" s="61" t="str">
        <f xml:space="preserve"> ""</f>
        <v/>
      </c>
    </row>
    <row r="100" spans="3:70">
      <c r="E100" t="s">
        <v>1796</v>
      </c>
      <c r="J100" s="57" t="str">
        <f t="shared" ref="J100:J109" si="141" xml:space="preserve"> IF(ISTEXT(J77), J77, "")</f>
        <v/>
      </c>
      <c r="AP100" s="57" t="str">
        <f t="shared" ref="AP100:AP109" si="142" xml:space="preserve"> IF(ISTEXT(AP77), AP77, "")</f>
        <v/>
      </c>
      <c r="AX100" s="57" t="str">
        <f t="shared" ref="AX100:AX109" si="143" xml:space="preserve"> IF(ISTEXT(AX77), AX77, "")</f>
        <v/>
      </c>
      <c r="BR100" s="57" t="str">
        <f t="shared" ref="BR100:BR109" si="144" xml:space="preserve"> IF(ISTEXT(BR77), BR77, "")</f>
        <v>&lt;path fill='#006633' d='M6 6.85224H-6V-6.85224H6Z'/&gt;</v>
      </c>
    </row>
    <row r="101" spans="3:70">
      <c r="E101" t="s">
        <v>1796</v>
      </c>
      <c r="J101" s="57" t="str">
        <f t="shared" si="141"/>
        <v/>
      </c>
      <c r="AP101" s="57" t="str">
        <f t="shared" si="142"/>
        <v/>
      </c>
      <c r="AX101" s="57" t="str">
        <f t="shared" si="143"/>
        <v/>
      </c>
      <c r="BR101" s="57" t="str">
        <f t="shared" si="144"/>
        <v>&lt;path fill='#FFF' d='M4.8541 5.70634H-4.8541V-5.70634H4.8541Z'/&gt;</v>
      </c>
    </row>
    <row r="102" spans="3:70">
      <c r="E102" t="s">
        <v>1796</v>
      </c>
      <c r="J102" s="57" t="str">
        <f t="shared" si="141"/>
        <v>&lt;path id='USD-s' d='M0 -10 l-2.2451 6.9098 H-9.5106 l5.8779 4.2705 L-5.8779 8.0902 L0 3.8197 L5.8779 8.0902 L3.6327 1.1803 L9.5106 -3.0902 H2.2451Z'/&gt;</v>
      </c>
      <c r="AP102" s="57" t="str">
        <f t="shared" si="142"/>
        <v>&lt;defs&gt;&lt;path id='CNY-s' d='M-9.8995 1.4142 l7.1579 1.2454 L-1.7141 9.852 L1.6822 3.4293 L8.8401 4.6747 L3.7813 -.5402 L7.1776 -6.9629 L.6547 -3.7631 L-4.4041 -8.978 l1.0275 7.1924Z'/&gt;&lt;/defs&gt;</v>
      </c>
      <c r="AX102" s="57" t="str">
        <f t="shared" si="143"/>
        <v>&lt;defs&gt;&lt;path id='PKR-s' d='M7.4741 -6.6436 L.818 -3.731 L-4.0089 -9.1613 l.7133 7.2304 L-9.9517 .9817 l7.0969 1.5559 l.7132 7.2304 L1.5312 3.4993 l7.0969 1.556 L3.8012 -.375Z'/&gt;&lt;/defs&gt;</v>
      </c>
      <c r="BR102" s="57" t="str">
        <f t="shared" si="144"/>
        <v/>
      </c>
    </row>
    <row r="103" spans="3:70">
      <c r="E103" t="s">
        <v>1796</v>
      </c>
      <c r="J103" s="57" t="str">
        <f t="shared" si="141"/>
        <v/>
      </c>
      <c r="AP103" s="57" t="str">
        <f t="shared" si="142"/>
        <v>&lt;use href='#CNY-s' fill='#DE2910'/&gt;</v>
      </c>
      <c r="AX103" s="57" t="str">
        <f t="shared" si="143"/>
        <v>&lt;use href='#PKR-s' fill='#01411C'/&gt;</v>
      </c>
      <c r="BR103" s="57" t="str">
        <f t="shared" si="144"/>
        <v/>
      </c>
    </row>
    <row r="104" spans="3:70">
      <c r="E104" t="s">
        <v>1796</v>
      </c>
      <c r="J104" s="57" t="str">
        <f t="shared" si="141"/>
        <v>&lt;use href='#USD-s' fill='#FFF' transform='scale(0.6)'/&gt;</v>
      </c>
      <c r="AP104" s="57" t="str">
        <f t="shared" si="142"/>
        <v>&lt;use href='#CNY-s' fill='#FFDE00' transform='scale(0.7)'/&gt;</v>
      </c>
      <c r="AX104" s="57" t="str">
        <f t="shared" si="143"/>
        <v>&lt;use href='#PKR-s' fill='#FFF' transform='scale(0.7)'/&gt;</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
      </c>
    </row>
    <row r="107" spans="3:70">
      <c r="E107" t="s">
        <v>1796</v>
      </c>
      <c r="J107" s="57" t="str">
        <f t="shared" si="141"/>
        <v/>
      </c>
      <c r="AP107" s="57" t="str">
        <f t="shared" si="142"/>
        <v/>
      </c>
      <c r="AX107" s="57" t="str">
        <f t="shared" si="143"/>
        <v/>
      </c>
      <c r="BR107" s="57" t="str">
        <f t="shared" si="144"/>
        <v/>
      </c>
    </row>
    <row r="108" spans="3:70">
      <c r="E108" t="s">
        <v>1796</v>
      </c>
      <c r="J108" s="57" t="str">
        <f t="shared" si="141"/>
        <v/>
      </c>
      <c r="AP108" s="57" t="str">
        <f t="shared" si="142"/>
        <v/>
      </c>
      <c r="AX108" s="57" t="str">
        <f t="shared" si="143"/>
        <v/>
      </c>
      <c r="BR108" s="57" t="str">
        <f t="shared" si="144"/>
        <v>&lt;path fill='#D21034' d='M6 0 L1.8541 -1.34708 V-5.70634 L-.7082 -2.17963 L-4.8541 -3.52671 L-2.2918 0 L-4.8541 3.52671 L-.7082 2.17963 L1.8541 5.70634 V1.34708Z'/&gt;</v>
      </c>
    </row>
    <row r="109" spans="3:70">
      <c r="E109" t="s">
        <v>1796</v>
      </c>
      <c r="J109" s="57" t="str">
        <f t="shared" si="141"/>
        <v/>
      </c>
      <c r="AP109" s="57" t="str">
        <f t="shared" si="142"/>
        <v/>
      </c>
      <c r="AX109" s="57" t="str">
        <f t="shared" si="143"/>
        <v/>
      </c>
      <c r="BR109" s="57" t="str">
        <f t="shared" si="144"/>
        <v/>
      </c>
    </row>
    <row r="110" spans="3:70">
      <c r="C110" t="s">
        <v>1798</v>
      </c>
      <c r="D110">
        <f xml:space="preserve"> D$99 / 2</f>
        <v>0.22</v>
      </c>
      <c r="E110" t="s">
        <v>1800</v>
      </c>
      <c r="J110" s="58" t="str">
        <f xml:space="preserve"> "&lt;circle fill='none' " &amp; $C110 &amp; " stroke-width='" &amp; $D110 &amp; "' r='" &amp; ROUND(ABS(Star_5_2.SizeOuter),Star_5_2.DecimalPlaces) &amp; "'/&gt;"</f>
        <v>&lt;circle fill='none' opacity='60%' stroke='#00AACC' stroke-width='0.22' r='10'/&gt;</v>
      </c>
      <c r="AP110" s="58" t="str">
        <f xml:space="preserve"> "&lt;circle fill='none' " &amp; $C110 &amp; " stroke-width='" &amp; $D110 &amp; "' r='" &amp; ROUND(ABS(Star_5_2.SizeOuter),Star_5_2.DecimalPlaces) &amp; "'/&gt;"</f>
        <v>&lt;circle fill='none' opacity='60%' stroke='#00AACC' stroke-width='0.22' r='10'/&gt;</v>
      </c>
      <c r="AX110" s="58" t="str">
        <f xml:space="preserve"> "&lt;circle fill='none' " &amp; $C110 &amp; " stroke-width='" &amp; $D110 &amp; "' r='" &amp; ROUND(ABS(Star_5_2.SizeOuter),Star_5_2.DecimalPlaces) &amp; "'/&gt;"</f>
        <v>&lt;circle fill='none' opacity='60%' stroke='#00AACC' stroke-width='0.22' r='10'/&gt;</v>
      </c>
      <c r="BR110" s="58" t="str">
        <f xml:space="preserve"> "&lt;circle fill='none' " &amp; $C110 &amp; " stroke-width='" &amp; $D110 &amp; "' r='" &amp; ROUND(ABS(Star_5_2.SizeOuter),Star_5_2.DecimalPlaces) &amp; "'/&gt;"</f>
        <v>&lt;circle fill='none' opacity='60%' stroke='#00AACC' stroke-width='0.22' r='6'/&gt;</v>
      </c>
    </row>
    <row r="111" spans="3:70">
      <c r="C111" t="str">
        <f xml:space="preserve"> C$110</f>
        <v>opacity='60%' stroke='#00AACC'</v>
      </c>
      <c r="D111">
        <f xml:space="preserve"> D$110</f>
        <v>0.22</v>
      </c>
      <c r="E111" t="s">
        <v>1801</v>
      </c>
      <c r="J111" s="58" t="str">
        <f xml:space="preserve"> "&lt;circle fill='none' " &amp; $C110 &amp; " stroke-width='" &amp; $D110 &amp; "' r='" &amp; ROUND(ABS(Star_5_2.SizeMiddle),Star_5_2.DecimalPlaces) &amp; "'/&gt;"</f>
        <v>&lt;circle fill='none' opacity='60%' stroke='#00AACC' stroke-width='0.22' r='6'/&gt;</v>
      </c>
      <c r="AP111" s="58" t="str">
        <f xml:space="preserve"> "&lt;circle fill='none' " &amp; $C110 &amp; " stroke-width='" &amp; $D110 &amp; "' r='" &amp; ROUND(ABS(Star_5_2.SizeMiddle),Star_5_2.DecimalPlaces) &amp; "'/&gt;"</f>
        <v>&lt;circle fill='none' opacity='60%' stroke='#00AACC' stroke-width='0.22' r='7'/&gt;</v>
      </c>
      <c r="AX111" s="58" t="str">
        <f xml:space="preserve"> "&lt;circle fill='none' " &amp; $C110 &amp; " stroke-width='" &amp; $D110 &amp; "' r='" &amp; ROUND(ABS(Star_5_2.SizeMiddle),Star_5_2.DecimalPlaces) &amp; "'/&gt;"</f>
        <v>&lt;circle fill='none' opacity='60%' stroke='#00AACC' stroke-width='0.22' r='7'/&gt;</v>
      </c>
      <c r="BR111" s="61" t="str">
        <f xml:space="preserve"> ""</f>
        <v/>
      </c>
    </row>
    <row r="112" spans="3:70">
      <c r="C112" t="str">
        <f t="shared" ref="C112:D113" si="145" xml:space="preserve"> C$110</f>
        <v>opacity='60%' stroke='#00AACC'</v>
      </c>
      <c r="D112">
        <f t="shared" si="145"/>
        <v>0.22</v>
      </c>
      <c r="E112" t="s">
        <v>1802</v>
      </c>
      <c r="J112" s="58" t="str">
        <f xml:space="preserve"> "&lt;circle fill='none' " &amp; $C110 &amp; " stroke-width='" &amp; $D110 &amp; "' r='" &amp; ROUND(ABS(Star_5_2.SizeOuter * (3 - Sqrt5) / 2),Star_5_2.DecimalPlaces) &amp; "'/&gt;"</f>
        <v>&lt;circle fill='none' opacity='60%' stroke='#00AACC' stroke-width='0.22' r='3.8197'/&gt;</v>
      </c>
      <c r="AP112" s="58" t="str">
        <f xml:space="preserve"> "&lt;circle fill='none' " &amp; $C110 &amp; " stroke-width='" &amp; $D110 &amp; "' r='" &amp; ROUND(ABS(Star_5_2.SizeOuter * (3 - Sqrt5) / 2),Star_5_2.DecimalPlaces) &amp; "'/&gt;"</f>
        <v>&lt;circle fill='none' opacity='60%' stroke='#00AACC' stroke-width='0.22' r='3.8197'/&gt;</v>
      </c>
      <c r="AX112" s="58" t="str">
        <f xml:space="preserve"> "&lt;circle fill='none' " &amp; $C110 &amp; " stroke-width='" &amp; $D110 &amp; "' r='" &amp; ROUND(ABS(Star_5_2.SizeOuter * (3 - Sqrt5) / 2),Star_5_2.DecimalPlaces) &amp; "'/&gt;"</f>
        <v>&lt;circle fill='none' opacity='60%' stroke='#00AACC' stroke-width='0.22' r='3.8197'/&gt;</v>
      </c>
      <c r="BR112" s="58" t="str">
        <f xml:space="preserve"> "&lt;circle fill='none' " &amp; $C110 &amp; " stroke-width='" &amp; $D110 &amp; "' r='" &amp; ROUND(ABS(Star_5_2.SizeOuter * (3 - Sqrt5) / 2),Star_5_2.DecimalPlaces) &amp; "'/&gt;"</f>
        <v>&lt;circle fill='none' opacity='60%' stroke='#00AACC' stroke-width='0.22' r='2.2918'/&gt;</v>
      </c>
    </row>
    <row r="113" spans="3:70">
      <c r="C113" t="str">
        <f t="shared" si="145"/>
        <v>opacity='60%' stroke='#00AACC'</v>
      </c>
      <c r="D113">
        <f t="shared" si="145"/>
        <v>0.22</v>
      </c>
      <c r="E113" t="s">
        <v>1803</v>
      </c>
      <c r="J113" s="58" t="str">
        <f xml:space="preserve"> "&lt;circle fill='none' " &amp; $C110 &amp; " stroke-width='" &amp; $D110 &amp; "' r='" &amp; ROUND(ABS(Star_5_2.SizeMiddle * (3 - Sqrt5) / 2),Star_5_2.DecimalPlaces) &amp; "'/&gt;"</f>
        <v>&lt;circle fill='none' opacity='60%' stroke='#00AACC' stroke-width='0.22' r='2.2918'/&gt;</v>
      </c>
      <c r="AP113" s="58" t="str">
        <f xml:space="preserve"> "&lt;circle fill='none' " &amp; $C110 &amp; " stroke-width='" &amp; $D110 &amp; "' r='" &amp; ROUND(ABS(Star_5_2.SizeMiddle * (3 - Sqrt5) / 2),Star_5_2.DecimalPlaces) &amp; "'/&gt;"</f>
        <v>&lt;circle fill='none' opacity='60%' stroke='#00AACC' stroke-width='0.22' r='2.6738'/&gt;</v>
      </c>
      <c r="AX113" s="58" t="str">
        <f xml:space="preserve"> "&lt;circle fill='none' " &amp; $C110 &amp; " stroke-width='" &amp; $D110 &amp; "' r='" &amp; ROUND(ABS(Star_5_2.SizeMiddle * (3 - Sqrt5) / 2),Star_5_2.DecimalPlaces) &amp; "'/&gt;"</f>
        <v>&lt;circle fill='none' opacity='60%' stroke='#00AACC' stroke-width='0.22' r='2.6738'/&gt;</v>
      </c>
      <c r="BR113" s="61" t="str">
        <f xml:space="preserve"> ""</f>
        <v/>
      </c>
    </row>
    <row r="114" spans="3:70">
      <c r="C114" t="s">
        <v>1806</v>
      </c>
      <c r="D114">
        <f xml:space="preserve"> D$110</f>
        <v>0.22</v>
      </c>
      <c r="E114" t="s">
        <v>1805</v>
      </c>
      <c r="J114" s="58" t="str">
        <f xml:space="preserve"> "&lt;path " &amp; $C114 &amp; " stroke-width='" &amp; $D114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4" s="58" t="str">
        <f xml:space="preserve"> "&lt;path " &amp; $C114 &amp; " stroke-width='" &amp; $D114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4" s="58" t="str">
        <f xml:space="preserve"> "&lt;path " &amp; $C114 &amp; " stroke-width='" &amp; $D114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4" s="58" t="str">
        <f xml:space="preserve"> "&lt;path " &amp; $C114 &amp; " stroke-width='" &amp; $D114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5" spans="3:70">
      <c r="C115" t="str">
        <f xml:space="preserve"> C99</f>
        <v>fill='none' stroke='#0000FF'</v>
      </c>
      <c r="D115">
        <f xml:space="preserve"> D$110</f>
        <v>0.22</v>
      </c>
      <c r="E115" t="s">
        <v>1804</v>
      </c>
      <c r="J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6" spans="3:70">
      <c r="C116" t="s">
        <v>2073</v>
      </c>
      <c r="D116">
        <f xml:space="preserve"> D115 / 2</f>
        <v>0.11</v>
      </c>
      <c r="J116" s="58" t="str">
        <f xml:space="preserve"> "&lt;circle " &amp; $C116 &amp; " r='" &amp; $D116 &amp; "'/&gt;"</f>
        <v>&lt;circle fill='#FFF' r='0.11'/&gt;</v>
      </c>
      <c r="AP116" s="58" t="str">
        <f xml:space="preserve"> "&lt;circle " &amp; $C116 &amp; " r='" &amp; $D116 &amp; "'/&gt;"</f>
        <v>&lt;circle fill='#FFF' r='0.11'/&gt;</v>
      </c>
      <c r="AX116" s="58" t="str">
        <f xml:space="preserve"> "&lt;circle " &amp; $C116 &amp; " r='" &amp; $D116 &amp; "'/&gt;"</f>
        <v>&lt;circle fill='#FFF' r='0.11'/&gt;</v>
      </c>
      <c r="BR116" s="58" t="str">
        <f xml:space="preserve"> "&lt;circle " &amp; $C116 &amp; " r='" &amp; $D116 &amp; "'/&gt;"</f>
        <v>&lt;circle fill='#FFF' r='0.11'/&gt;</v>
      </c>
    </row>
    <row r="117" spans="3:70">
      <c r="C117">
        <v>16</v>
      </c>
      <c r="J117" s="60" t="str">
        <f xml:space="preserve"> "&lt;text x='" &amp; ROUND(_xlfn.SINGLE(Star_5_2.MinX) * -0.2, _xlfn.SINGLE(Star_5_2.DecimalPlaces)) &amp; "' y='" &amp;  ROUND((_xlfn.SINGLE(Star_5_2.MaxY) * -0.85), _xlfn.SINGLE(Star_5_2.DecimalPlaces) - 2) &amp; "' fill='black' dominant-baseline='middle' font-family='Consolas, monospace' font-size='" &amp; ROUND($C117 * (_xlfn.SINGLE(Star_5_2.MaxY) - _xlfn.SINGLE(Star_5_2.MinY)) / J$93, _xlfn.SINGLE(Star_5_2.DecimalPlaces)) &amp; "' font-weight='800'&gt;" &amp; _xlfn.SINGLE(Star_5_2.ID) &amp; "&lt;/text&gt;"</f>
        <v>&lt;text x='1.9021' y='-6.88' fill='black' dominant-baseline='middle' font-family='Consolas, monospace' font-size='2.7831' font-weight='800'&gt;USD&lt;/text&gt;</v>
      </c>
      <c r="AP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AP$93, _xlfn.SINGLE(Star_5_2.DecimalPlaces)) &amp; "' font-weight='800'&gt;" &amp; _xlfn.SINGLE(Star_5_2.ID) &amp; "&lt;/text&gt;"</f>
        <v>&lt;text x='0' y='8.37' fill='black' dominant-baseline='middle' font-family='Consolas, monospace' font-size='2.9537' font-weight='800'&gt;CNY&lt;/text&gt;</v>
      </c>
      <c r="AX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AX$93, _xlfn.SINGLE(Star_5_2.DecimalPlaces)) &amp; "' font-weight='800'&gt;" &amp; _xlfn.SINGLE(Star_5_2.ID) &amp; "&lt;/text&gt;"</f>
        <v>&lt;text x='0' y='8.3' fill='black' dominant-baseline='middle' font-family='Consolas, monospace' font-size='2.9987' font-weight='800'&gt;PKR&lt;/text&gt;</v>
      </c>
      <c r="BR117" s="60" t="str">
        <f xml:space="preserve"> "&lt;text x='" &amp; ROUND(_xlfn.SINGLE(Star_5_2.MinX) * 0.4, _xlfn.SINGLE(Star_5_2.DecimalPlaces)) &amp; "' y='" &amp;  ROUND((_xlfn.SINGLE(Star_5_2.MaxY) * 0.65), _xlfn.SINGLE(Star_5_2.DecimalPlaces) - 2) &amp; "' fill='black' dominant-baseline='middle' font-family='Consolas, monospace' font-size='" &amp; ROUND($C117 * (_xlfn.SINGLE(Star_5_2.MaxY) - _xlfn.SINGLE(Star_5_2.MinY)) / BR$93, _xlfn.SINGLE(Star_5_2.DecimalPlaces)) &amp; "' font-weight='800'&gt;" &amp; _xlfn.SINGLE(Star_5_2.ID) &amp; "&lt;/text&gt;"</f>
        <v>&lt;text x='-2.4' y='4.454' fill='black' dominant-baseline='middle' font-family='Consolas, monospace' font-size='2.01167' font-weight='800'&gt;DZD&lt;/text&gt;</v>
      </c>
    </row>
    <row r="118" spans="3:70">
      <c r="J118" s="59" t="s">
        <v>15</v>
      </c>
      <c r="AP118" s="59" t="s">
        <v>15</v>
      </c>
      <c r="AX118" s="59" t="s">
        <v>15</v>
      </c>
      <c r="BR118"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2658</v>
      </c>
      <c r="T2" t="s">
        <v>100</v>
      </c>
      <c r="V2" t="s">
        <v>101</v>
      </c>
      <c r="X2" t="s">
        <v>103</v>
      </c>
      <c r="Z2" t="s">
        <v>2280</v>
      </c>
      <c r="AB2" t="s">
        <v>105</v>
      </c>
      <c r="AD2" t="s">
        <v>708</v>
      </c>
      <c r="AF2" t="s">
        <v>1658</v>
      </c>
      <c r="AH2" t="s">
        <v>2233</v>
      </c>
      <c r="AJ2" t="s">
        <v>173</v>
      </c>
      <c r="AL2" t="s">
        <v>106</v>
      </c>
      <c r="AN2" t="s">
        <v>2023</v>
      </c>
      <c r="AP2" t="s">
        <v>2695</v>
      </c>
      <c r="AR2" t="s">
        <v>2699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xml:space="preserve"> VALUE(TEXT(SQRT(_xlfn.SINGLE(Circles.AreaMultiplier) * BasicBBoxArea * _xlfn.SINGLE(Circles.Aspect)), SVG.NumberFormatHeight))</f>
        <v>10</v>
      </c>
      <c r="Z6">
        <f t="shared" si="0"/>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c r="AN6">
        <f xml:space="preserve"> VALUE(TEXT(SQRT(_xlfn.SINGLE(Circles.AreaMultiplier) * BasicBBoxArea * _xlfn.SINGLE(Circles.Aspect)), SVG.NumberFormatHeight))</f>
        <v>10</v>
      </c>
      <c r="AP6">
        <f xml:space="preserve"> VALUE(TEXT(SQRT(_xlfn.SINGLE(Circles.AreaMultiplier) * BasicBBoxArea * _xlfn.SINGLE(Circles.Aspect)), SVG.NumberFormatHeight))</f>
        <v>10</v>
      </c>
      <c r="AR6">
        <f xml:space="preserve"> VALUE(TEXT(SQRT(_xlfn.SINGLE(Circles.AreaMultiplier) * BasicBBoxArea * _xlfn.SINGLE(Circles.Aspect)), SVG.NumberFormatHeight))</f>
        <v>10</v>
      </c>
    </row>
    <row r="7" spans="2:49">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xml:space="preserve"> _xlfn.SINGLE(Circles.Height) / _xlfn.SINGLE(Circles.Aspect)</f>
        <v>10</v>
      </c>
      <c r="Z7">
        <f t="shared" si="0"/>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c r="AN7">
        <f xml:space="preserve"> _xlfn.SINGLE(Circles.Height) / _xlfn.SINGLE(Circles.Aspect)</f>
        <v>10</v>
      </c>
      <c r="AP7">
        <f xml:space="preserve"> _xlfn.SINGLE(Circles.Height) / _xlfn.SINGLE(Circles.Aspect)</f>
        <v>10</v>
      </c>
      <c r="AR7">
        <f xml:space="preserve"> _xlfn.SINGLE(Circles.Height) / _xlfn.SINGLE(Circles.Aspect)</f>
        <v>10</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2659</v>
      </c>
      <c r="T14" t="s">
        <v>721</v>
      </c>
      <c r="V14" t="s">
        <v>721</v>
      </c>
      <c r="X14" t="s">
        <v>713</v>
      </c>
      <c r="Z14" t="str">
        <f t="shared" ref="Z14" si="7" xml:space="preserve"> $X14</f>
        <v>fill='#DA291C'</v>
      </c>
      <c r="AB14" t="s">
        <v>727</v>
      </c>
      <c r="AD14" t="s">
        <v>728</v>
      </c>
      <c r="AF14" t="s">
        <v>1659</v>
      </c>
      <c r="AH14" t="s">
        <v>2234</v>
      </c>
      <c r="AJ14" t="s">
        <v>718</v>
      </c>
      <c r="AL14" t="s">
        <v>719</v>
      </c>
      <c r="AN14" t="s">
        <v>2024</v>
      </c>
      <c r="AP14" t="s">
        <v>2696</v>
      </c>
      <c r="AR14" t="s">
        <v>2714</v>
      </c>
    </row>
    <row r="15" spans="2:49">
      <c r="B15" s="4" t="s">
        <v>109</v>
      </c>
      <c r="D15" t="str">
        <f xml:space="preserve"> "fill='#FFF'"</f>
        <v>fill='#FFF'</v>
      </c>
      <c r="H15" t="s">
        <v>711</v>
      </c>
      <c r="L15" t="s">
        <v>715</v>
      </c>
      <c r="N15" t="s">
        <v>2073</v>
      </c>
      <c r="P15" t="s">
        <v>1626</v>
      </c>
      <c r="R15" t="s">
        <v>2660</v>
      </c>
      <c r="T15" t="s">
        <v>723</v>
      </c>
      <c r="V15" t="s">
        <v>2073</v>
      </c>
      <c r="X15" t="s">
        <v>725</v>
      </c>
      <c r="Z15" s="28" t="s">
        <v>2283</v>
      </c>
      <c r="AB15" t="s">
        <v>2114</v>
      </c>
      <c r="AF15" t="s">
        <v>1661</v>
      </c>
      <c r="AH15" t="s">
        <v>2073</v>
      </c>
      <c r="AL15" t="s">
        <v>2073</v>
      </c>
      <c r="AN15" t="s">
        <v>2073</v>
      </c>
      <c r="AP15" t="s">
        <v>2073</v>
      </c>
      <c r="AR15" t="s">
        <v>2715</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2716</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c r="H85" s="4" t="s">
        <v>1547</v>
      </c>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c r="F67" s="4" t="s">
        <v>353</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11.6</v>
      </c>
    </row>
    <row r="8" spans="2:7">
      <c r="F8" s="4" t="s">
        <v>568</v>
      </c>
      <c r="G8" cm="1">
        <f t="array" ref="G8" xml:space="preserve"> EC.Height / EC.Aspect</f>
        <v>8.5473684210526315</v>
      </c>
    </row>
    <row r="9" spans="2:7">
      <c r="E9" cm="1">
        <f t="array" ref="E9" xml:space="preserve"> SVG_length(EC.svg)</f>
        <v>284</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2:7">
      <c r="G13" s="21" t="s">
        <v>2737</v>
      </c>
    </row>
    <row r="14" spans="2:7">
      <c r="G14" s="21" t="s">
        <v>2736</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8.3000000000000007</v>
      </c>
    </row>
    <row r="27" spans="2:7">
      <c r="F27" s="4" t="s">
        <v>254</v>
      </c>
      <c r="G27">
        <f xml:space="preserve"> VND.Height / VND.Aspect</f>
        <v>11.952000000000002</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2" spans="2:7">
      <c r="G32" s="21" t="s">
        <v>2735</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9.1</v>
      </c>
    </row>
    <row r="45" spans="2:7">
      <c r="F45" s="4" t="s">
        <v>623</v>
      </c>
      <c r="G45" cm="1">
        <f t="array" ref="G45" xml:space="preserve"> IT.Height / IT.Aspect</f>
        <v>10.973529411764707</v>
      </c>
    </row>
    <row r="46" spans="2:7">
      <c r="B46" s="4" t="s">
        <v>1678</v>
      </c>
      <c r="C46">
        <f xml:space="preserve"> 2 / 15</f>
        <v>0.13333333333333333</v>
      </c>
    </row>
    <row r="48" spans="2:7" ht="17" thickBot="1">
      <c r="B48" s="3" t="s">
        <v>2734</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width='10.97353' height='9.1'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U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99">
      <c r="B2" s="4" t="s">
        <v>360</v>
      </c>
      <c r="D2" t="s">
        <v>403</v>
      </c>
      <c r="F2" t="s">
        <v>2654</v>
      </c>
      <c r="H2" t="s">
        <v>784</v>
      </c>
      <c r="J2" t="s">
        <v>2722</v>
      </c>
      <c r="L2" t="s">
        <v>867</v>
      </c>
      <c r="N2" t="s">
        <v>1602</v>
      </c>
      <c r="P2" t="s">
        <v>2140</v>
      </c>
      <c r="R2" t="s">
        <v>166</v>
      </c>
      <c r="T2" t="s">
        <v>2762</v>
      </c>
      <c r="V2" t="s">
        <v>2663</v>
      </c>
      <c r="X2" t="s">
        <v>2664</v>
      </c>
      <c r="Z2" t="s">
        <v>490</v>
      </c>
      <c r="AB2" t="s">
        <v>2137</v>
      </c>
      <c r="AD2" t="s">
        <v>526</v>
      </c>
      <c r="AF2" t="s">
        <v>1762</v>
      </c>
      <c r="AH2" t="s">
        <v>168</v>
      </c>
      <c r="AJ2" t="s">
        <v>571</v>
      </c>
      <c r="AL2" t="s">
        <v>572</v>
      </c>
      <c r="AN2" t="s">
        <v>573</v>
      </c>
      <c r="AP2" t="s">
        <v>1615</v>
      </c>
      <c r="AR2" t="s">
        <v>1611</v>
      </c>
      <c r="AT2" t="s">
        <v>1608</v>
      </c>
      <c r="AV2" t="s">
        <v>574</v>
      </c>
      <c r="AX2" t="s">
        <v>2257</v>
      </c>
      <c r="AZ2" t="s">
        <v>649</v>
      </c>
      <c r="BB2" t="s">
        <v>2263</v>
      </c>
      <c r="BD2" t="s">
        <v>104</v>
      </c>
      <c r="BF2" t="s">
        <v>1654</v>
      </c>
      <c r="BH2" t="s">
        <v>371</v>
      </c>
      <c r="BJ2" t="s">
        <v>2289</v>
      </c>
      <c r="BL2" t="s">
        <v>783</v>
      </c>
      <c r="BN2" t="s">
        <v>2117</v>
      </c>
      <c r="BP2" t="s">
        <v>786</v>
      </c>
      <c r="BR2" t="s">
        <v>2018</v>
      </c>
      <c r="BT2" t="s">
        <v>1690</v>
      </c>
      <c r="BV2" t="s">
        <v>917</v>
      </c>
      <c r="BX2" t="s">
        <v>172</v>
      </c>
      <c r="BZ2" t="s">
        <v>2028</v>
      </c>
      <c r="CB2" t="s">
        <v>2297</v>
      </c>
      <c r="CD2" t="s">
        <v>2697</v>
      </c>
      <c r="CF2" t="s">
        <v>2764</v>
      </c>
      <c r="CG2" t="s">
        <v>2765</v>
      </c>
      <c r="CH2" t="s">
        <v>2766</v>
      </c>
      <c r="CI2" t="s">
        <v>2767</v>
      </c>
      <c r="CJ2" t="s">
        <v>2768</v>
      </c>
      <c r="CK2" t="s">
        <v>2769</v>
      </c>
      <c r="CL2" t="s">
        <v>2770</v>
      </c>
      <c r="CM2" t="s">
        <v>2771</v>
      </c>
      <c r="CN2" t="s">
        <v>2772</v>
      </c>
      <c r="CO2" t="s">
        <v>2773</v>
      </c>
      <c r="CP2" t="s">
        <v>2774</v>
      </c>
      <c r="CQ2" t="s">
        <v>2775</v>
      </c>
      <c r="CR2" t="s">
        <v>2776</v>
      </c>
      <c r="CS2" t="s">
        <v>2777</v>
      </c>
      <c r="CU2" t="e">
        <f xml:space="preserve"> NA()</f>
        <v>#N/A</v>
      </c>
    </row>
    <row r="3" spans="2:99">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f xml:space="preserve"> MODE(Squares.AreaMultiplier)</f>
        <v>0.85</v>
      </c>
      <c r="Z3">
        <v>1.2</v>
      </c>
      <c r="AB3">
        <f xml:space="preserve"> MODE(Circles.AreaMultiplier)</f>
        <v>1</v>
      </c>
      <c r="AD3">
        <f xml:space="preserve"> 1.625 * MODE(Squares.AreaMultiplier)</f>
        <v>1.3812499999999999</v>
      </c>
      <c r="AF3">
        <f xml:space="preserve"> 1.625 * MODE(Squares.AreaMultiplier)</f>
        <v>1.3812499999999999</v>
      </c>
      <c r="AH3">
        <f xml:space="preserve"> MODE(Squares.AreaMultiplier)</f>
        <v>0.85</v>
      </c>
      <c r="AJ3">
        <f xml:space="preserve"> MODE(Squares.AreaMultiplier)</f>
        <v>0.85</v>
      </c>
      <c r="AL3">
        <f xml:space="preserve"> MODE(Squares.AreaMultiplier)</f>
        <v>0.85</v>
      </c>
      <c r="AN3">
        <f xml:space="preserve"> MODE(Squares.AreaMultiplier)</f>
        <v>0.85</v>
      </c>
      <c r="AP3">
        <f xml:space="preserve"> EC.AreaMultiplier</f>
        <v>1</v>
      </c>
      <c r="AR3">
        <f xml:space="preserve"> MODE(Squares.AreaMultiplier)</f>
        <v>0.85</v>
      </c>
      <c r="AT3">
        <f xml:space="preserve"> MODE(Squares.AreaMultiplier)</f>
        <v>0.85</v>
      </c>
      <c r="AV3">
        <v>1</v>
      </c>
      <c r="AX3">
        <v>1</v>
      </c>
      <c r="AZ3">
        <v>0.875</v>
      </c>
      <c r="BB3">
        <v>0.875</v>
      </c>
      <c r="BD3">
        <f xml:space="preserve"> 1.625 * MODE(Squares.AreaMultiplier)</f>
        <v>1.3812499999999999</v>
      </c>
      <c r="BF3">
        <f xml:space="preserve"> MODE(Squares.AreaMultiplier)</f>
        <v>0.85</v>
      </c>
      <c r="BH3">
        <f xml:space="preserve"> 1.625 * MODE(Squares.AreaMultiplier)</f>
        <v>1.3812499999999999</v>
      </c>
      <c r="BJ3">
        <f xml:space="preserve"> 1.625 * MODE(Squares.AreaMultiplier)</f>
        <v>1.3812499999999999</v>
      </c>
      <c r="BL3">
        <f xml:space="preserve"> MODE(Squares.AreaMultiplier)</f>
        <v>0.85</v>
      </c>
      <c r="BN3">
        <f xml:space="preserve"> MODE(Squares.AreaMultiplier)</f>
        <v>0.85</v>
      </c>
      <c r="BP3">
        <f xml:space="preserve"> 1.625 * MODE(Squares.AreaMultiplier)</f>
        <v>1.3812499999999999</v>
      </c>
      <c r="BR3">
        <f xml:space="preserve"> MODE(Squares.AreaMultiplier)</f>
        <v>0.85</v>
      </c>
      <c r="BT3">
        <f xml:space="preserve"> MODE(Squares.AreaMultiplier)</f>
        <v>0.85</v>
      </c>
      <c r="BV3">
        <f xml:space="preserve"> MODE(Squares.AreaMultiplier)</f>
        <v>0.85</v>
      </c>
      <c r="BX3">
        <f xml:space="preserve"> MEDIAN(Circles.AreaMultiplier)</f>
        <v>1</v>
      </c>
      <c r="BZ3">
        <f xml:space="preserve"> MODE(Circles.AreaMultiplier)</f>
        <v>1</v>
      </c>
      <c r="CB3">
        <f xml:space="preserve"> MODE(Circles.AreaMultiplier)</f>
        <v>1</v>
      </c>
      <c r="CD3">
        <f xml:space="preserve"> MODE(Circles.AreaMultiplier)</f>
        <v>1</v>
      </c>
      <c r="CF3">
        <v>1.4</v>
      </c>
      <c r="CG3">
        <f xml:space="preserve"> $CF3</f>
        <v>1.4</v>
      </c>
      <c r="CH3">
        <f t="shared" ref="CH3:CS3" si="0" xml:space="preserve"> $CF3</f>
        <v>1.4</v>
      </c>
      <c r="CI3">
        <f t="shared" si="0"/>
        <v>1.4</v>
      </c>
      <c r="CJ3">
        <f t="shared" si="0"/>
        <v>1.4</v>
      </c>
      <c r="CK3">
        <f t="shared" si="0"/>
        <v>1.4</v>
      </c>
      <c r="CL3">
        <f t="shared" si="0"/>
        <v>1.4</v>
      </c>
      <c r="CM3">
        <f t="shared" si="0"/>
        <v>1.4</v>
      </c>
      <c r="CN3">
        <f t="shared" si="0"/>
        <v>1.4</v>
      </c>
      <c r="CO3">
        <f t="shared" si="0"/>
        <v>1.4</v>
      </c>
      <c r="CP3">
        <f t="shared" si="0"/>
        <v>1.4</v>
      </c>
      <c r="CQ3">
        <f t="shared" si="0"/>
        <v>1.4</v>
      </c>
      <c r="CR3">
        <f t="shared" si="0"/>
        <v>1.4</v>
      </c>
      <c r="CS3">
        <f t="shared" si="0"/>
        <v>1.4</v>
      </c>
    </row>
    <row r="5" spans="2:99">
      <c r="B5" s="4" t="s">
        <v>362</v>
      </c>
      <c r="BP5">
        <v>44</v>
      </c>
      <c r="BR5">
        <v>44</v>
      </c>
    </row>
    <row r="6" spans="2:99">
      <c r="B6" s="4" t="s">
        <v>2288</v>
      </c>
      <c r="BJ6" s="5" t="s">
        <v>2291</v>
      </c>
    </row>
    <row r="7" spans="2:99">
      <c r="B7" s="4" t="s">
        <v>372</v>
      </c>
      <c r="C7" s="5"/>
      <c r="D7" s="5" t="s">
        <v>709</v>
      </c>
      <c r="E7" s="5"/>
      <c r="F7" s="5" t="s">
        <v>2653</v>
      </c>
      <c r="G7" s="5"/>
      <c r="H7" s="5" t="s">
        <v>1810</v>
      </c>
      <c r="I7" s="5"/>
      <c r="J7" s="5" t="s">
        <v>1055</v>
      </c>
      <c r="K7" s="5"/>
      <c r="L7" s="5" t="s">
        <v>1492</v>
      </c>
      <c r="M7" s="5"/>
      <c r="N7" s="5" t="s">
        <v>1604</v>
      </c>
      <c r="O7" s="5"/>
      <c r="P7" s="5" t="s">
        <v>743</v>
      </c>
      <c r="Q7" s="5"/>
      <c r="R7" s="5" t="s">
        <v>716</v>
      </c>
      <c r="S7" s="5"/>
      <c r="T7" s="5" t="s">
        <v>2763</v>
      </c>
      <c r="U7" s="5"/>
      <c r="V7" s="5" t="s">
        <v>2114</v>
      </c>
      <c r="W7" s="5"/>
      <c r="X7" s="5" t="s">
        <v>1058</v>
      </c>
      <c r="Y7" s="5"/>
      <c r="Z7" s="5" t="s">
        <v>746</v>
      </c>
      <c r="AA7" s="5"/>
      <c r="AB7" s="5" t="s">
        <v>2138</v>
      </c>
      <c r="AC7" s="5"/>
      <c r="AD7" s="5" t="s">
        <v>716</v>
      </c>
      <c r="AE7" s="5"/>
      <c r="AF7" s="5" t="s">
        <v>1763</v>
      </c>
      <c r="AG7" s="5"/>
      <c r="AH7" s="5" t="s">
        <v>716</v>
      </c>
      <c r="AI7" s="5"/>
      <c r="AJ7" s="5"/>
      <c r="AK7" s="5"/>
      <c r="AL7" s="5"/>
      <c r="AM7" s="5"/>
      <c r="AN7" s="5"/>
      <c r="AO7" s="5"/>
      <c r="AP7" s="5" t="s">
        <v>1616</v>
      </c>
      <c r="AQ7" s="5"/>
      <c r="AR7" s="5"/>
      <c r="AS7" s="5"/>
      <c r="AT7" s="5"/>
      <c r="AU7" s="5"/>
      <c r="AV7" s="5" t="s">
        <v>719</v>
      </c>
      <c r="AW7" s="5"/>
      <c r="AX7" s="5" t="s">
        <v>719</v>
      </c>
      <c r="AY7" s="5"/>
      <c r="AZ7" s="5" t="s">
        <v>721</v>
      </c>
      <c r="BA7" s="5"/>
      <c r="BB7" s="5" t="s">
        <v>721</v>
      </c>
      <c r="BC7" s="5"/>
      <c r="BD7" s="5" t="s">
        <v>710</v>
      </c>
      <c r="BE7" s="5"/>
      <c r="BF7" s="5" t="s">
        <v>2073</v>
      </c>
      <c r="BG7" s="5"/>
      <c r="BH7" s="5" t="s">
        <v>1059</v>
      </c>
      <c r="BI7" s="5"/>
      <c r="BJ7" s="5" t="s">
        <v>2073</v>
      </c>
      <c r="BK7" s="5"/>
      <c r="BL7" s="5" t="s">
        <v>1031</v>
      </c>
      <c r="BM7" s="5"/>
      <c r="BN7" s="5" t="str">
        <f xml:space="preserve"> $BD$9</f>
        <v>fill='#00A3E0'</v>
      </c>
      <c r="BO7" s="5"/>
      <c r="BP7" s="5" t="s">
        <v>2073</v>
      </c>
      <c r="BQ7" s="5"/>
      <c r="BR7" s="5" t="s">
        <v>2019</v>
      </c>
      <c r="BS7" s="5"/>
      <c r="BT7" s="5" t="s">
        <v>1691</v>
      </c>
      <c r="BU7" s="5"/>
      <c r="BV7" s="5" t="s">
        <v>918</v>
      </c>
      <c r="BW7" s="5"/>
      <c r="BX7" s="5" t="s">
        <v>2425</v>
      </c>
      <c r="BY7" s="5"/>
      <c r="BZ7" s="5" t="s">
        <v>2031</v>
      </c>
      <c r="CA7" s="5"/>
      <c r="CB7" s="5" t="s">
        <v>2298</v>
      </c>
      <c r="CC7" s="5"/>
      <c r="CD7" s="5" t="s">
        <v>2706</v>
      </c>
      <c r="CE7" s="5"/>
      <c r="CF7" s="5" t="str">
        <f t="shared" ref="CF7:CS7" si="1" xml:space="preserve"> "fill='#" &amp; RIGHT(Simple.ID,3) &amp; "'"</f>
        <v>fill='#FFF'</v>
      </c>
      <c r="CG7" s="5" t="str">
        <f t="shared" si="1"/>
        <v>fill='#0F0'</v>
      </c>
      <c r="CH7" s="5" t="str">
        <f t="shared" si="1"/>
        <v>fill='#F00'</v>
      </c>
      <c r="CI7" s="5" t="str">
        <f t="shared" si="1"/>
        <v>fill='#00F'</v>
      </c>
      <c r="CJ7" s="5" t="str">
        <f t="shared" si="1"/>
        <v>fill='#F0F'</v>
      </c>
      <c r="CK7" s="5" t="str">
        <f t="shared" si="1"/>
        <v>fill='#0FF'</v>
      </c>
      <c r="CL7" s="5" t="str">
        <f t="shared" si="1"/>
        <v>fill='#FF0'</v>
      </c>
      <c r="CM7" s="5" t="str">
        <f t="shared" si="1"/>
        <v>fill='#FFF'</v>
      </c>
      <c r="CN7" s="5" t="str">
        <f t="shared" si="1"/>
        <v>fill='#0F0'</v>
      </c>
      <c r="CO7" s="5" t="str">
        <f t="shared" si="1"/>
        <v>fill='#F00'</v>
      </c>
      <c r="CP7" s="5" t="str">
        <f t="shared" si="1"/>
        <v>fill='#00F'</v>
      </c>
      <c r="CQ7" s="5" t="str">
        <f t="shared" si="1"/>
        <v>fill='#F0F'</v>
      </c>
      <c r="CR7" s="5" t="str">
        <f t="shared" si="1"/>
        <v>fill='#0FF'</v>
      </c>
      <c r="CS7" s="5" t="str">
        <f t="shared" si="1"/>
        <v>fill='#FF0'</v>
      </c>
      <c r="CT7" s="5"/>
      <c r="CU7" s="5"/>
    </row>
    <row r="8" spans="2:99">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2073</v>
      </c>
      <c r="W8" s="5"/>
      <c r="X8" s="5" t="s">
        <v>2665</v>
      </c>
      <c r="Y8" s="5"/>
      <c r="Z8" s="5" t="s">
        <v>2073</v>
      </c>
      <c r="AA8" s="5"/>
      <c r="AB8" s="5" t="s">
        <v>2139</v>
      </c>
      <c r="AC8" s="5"/>
      <c r="AD8" s="5" t="s">
        <v>741</v>
      </c>
      <c r="AE8" s="5"/>
      <c r="AF8" s="5" t="s">
        <v>1764</v>
      </c>
      <c r="AG8" s="5"/>
      <c r="AH8" s="5" t="s">
        <v>2073</v>
      </c>
      <c r="AI8" s="5"/>
      <c r="AJ8" s="5" t="s">
        <v>742</v>
      </c>
      <c r="AK8" s="5"/>
      <c r="AL8" s="5" t="s">
        <v>721</v>
      </c>
      <c r="AM8" s="5"/>
      <c r="AN8" s="5" t="s">
        <v>716</v>
      </c>
      <c r="AO8" s="5"/>
      <c r="AP8" s="5" t="s">
        <v>719</v>
      </c>
      <c r="AQ8" s="5"/>
      <c r="AR8" s="5" t="s">
        <v>750</v>
      </c>
      <c r="AS8" s="5"/>
      <c r="AT8" s="5" t="s">
        <v>1609</v>
      </c>
      <c r="AU8" s="5"/>
      <c r="AV8" s="5" t="s">
        <v>2073</v>
      </c>
      <c r="AW8" s="5"/>
      <c r="AX8" s="5" t="s">
        <v>2258</v>
      </c>
      <c r="AY8" s="5"/>
      <c r="AZ8" s="5" t="s">
        <v>2073</v>
      </c>
      <c r="BA8" s="5"/>
      <c r="BB8" s="5" t="s">
        <v>2114</v>
      </c>
      <c r="BC8" s="5"/>
      <c r="BD8" s="5" t="s">
        <v>2073</v>
      </c>
      <c r="BE8" s="5"/>
      <c r="BF8" s="5" t="s">
        <v>731</v>
      </c>
      <c r="BG8" s="5"/>
      <c r="BH8" s="5" t="s">
        <v>1060</v>
      </c>
      <c r="BI8" s="5"/>
      <c r="BJ8" s="5" t="s">
        <v>2114</v>
      </c>
      <c r="BK8" s="5"/>
      <c r="BL8" s="5" t="s">
        <v>2073</v>
      </c>
      <c r="BM8" s="5"/>
      <c r="BN8" s="5" t="s">
        <v>2073</v>
      </c>
      <c r="BO8" s="5"/>
      <c r="BP8" s="5" t="str">
        <f xml:space="preserve"> "stroke-width='" &amp; _xlfn.SINGLE(Simple.SVG_borderWidth) &amp; "' stroke-linejoin='round' stroke='#1B618C' fill='none' "</f>
        <v xml:space="preserve">stroke-width='44' stroke-linejoin='round' stroke='#1B618C' fill='none' </v>
      </c>
      <c r="BQ8" s="5"/>
      <c r="BR8" s="5" t="s">
        <v>2073</v>
      </c>
      <c r="BS8" s="5"/>
      <c r="BT8" s="5" t="s">
        <v>1692</v>
      </c>
      <c r="BU8" s="5"/>
      <c r="BV8" s="5" t="s">
        <v>919</v>
      </c>
      <c r="BW8" s="5"/>
      <c r="BX8" s="5" t="s">
        <v>2426</v>
      </c>
      <c r="BY8" s="5"/>
      <c r="BZ8" s="5" t="s">
        <v>2032</v>
      </c>
      <c r="CA8" s="5"/>
      <c r="CB8" s="5" t="s">
        <v>2299</v>
      </c>
      <c r="CC8" s="5"/>
      <c r="CD8" s="5" t="s">
        <v>2707</v>
      </c>
      <c r="CE8" s="5"/>
      <c r="CF8" s="5" t="str">
        <f t="shared" ref="CF8:CS8" si="2" xml:space="preserve"> IF(MID(Simple.ID,5,1)&lt;&gt;"0", "fill='#" &amp; REPT(MID(Simple.ID,5,1),3) &amp; "'", "")</f>
        <v/>
      </c>
      <c r="CG8" s="5" t="str">
        <f t="shared" si="2"/>
        <v/>
      </c>
      <c r="CH8" s="5" t="str">
        <f t="shared" si="2"/>
        <v/>
      </c>
      <c r="CI8" s="5" t="str">
        <f t="shared" si="2"/>
        <v/>
      </c>
      <c r="CJ8" s="5" t="str">
        <f t="shared" si="2"/>
        <v/>
      </c>
      <c r="CK8" s="5" t="str">
        <f t="shared" si="2"/>
        <v/>
      </c>
      <c r="CL8" s="5" t="str">
        <f t="shared" si="2"/>
        <v/>
      </c>
      <c r="CM8" s="5" t="str">
        <f t="shared" si="2"/>
        <v>fill='#666'</v>
      </c>
      <c r="CN8" s="5" t="str">
        <f t="shared" si="2"/>
        <v>fill='#666'</v>
      </c>
      <c r="CO8" s="5" t="str">
        <f t="shared" si="2"/>
        <v>fill='#666'</v>
      </c>
      <c r="CP8" s="5" t="str">
        <f t="shared" si="2"/>
        <v>fill='#666'</v>
      </c>
      <c r="CQ8" s="5" t="str">
        <f t="shared" si="2"/>
        <v>fill='#666'</v>
      </c>
      <c r="CR8" s="5" t="str">
        <f t="shared" si="2"/>
        <v>fill='#666'</v>
      </c>
      <c r="CS8" s="5" t="str">
        <f t="shared" si="2"/>
        <v>fill='#666'</v>
      </c>
      <c r="CT8" s="5"/>
      <c r="CU8" s="5"/>
    </row>
    <row r="9" spans="2:99">
      <c r="B9" s="4" t="s">
        <v>374</v>
      </c>
      <c r="C9" s="5"/>
      <c r="D9" s="5"/>
      <c r="E9" s="5"/>
      <c r="F9" s="5"/>
      <c r="G9" s="5"/>
      <c r="H9" s="5"/>
      <c r="I9" s="5"/>
      <c r="J9" s="5"/>
      <c r="K9" s="5"/>
      <c r="L9" s="5"/>
      <c r="M9" s="5"/>
      <c r="N9" s="5"/>
      <c r="O9" s="5"/>
      <c r="P9" s="5" t="s">
        <v>743</v>
      </c>
      <c r="Q9" s="5"/>
      <c r="R9" s="5"/>
      <c r="S9" s="5"/>
      <c r="T9" s="5"/>
      <c r="U9" s="5"/>
      <c r="V9" s="5"/>
      <c r="W9" s="5"/>
      <c r="X9" s="5" t="s">
        <v>2073</v>
      </c>
      <c r="Y9" s="5"/>
      <c r="Z9" s="5" t="s">
        <v>744</v>
      </c>
      <c r="AA9" s="5"/>
      <c r="AB9" s="5" t="s">
        <v>719</v>
      </c>
      <c r="AC9" s="5"/>
      <c r="AD9" s="5"/>
      <c r="AE9" s="5"/>
      <c r="AF9" s="5" t="s">
        <v>719</v>
      </c>
      <c r="AG9" s="5"/>
      <c r="AH9" s="5"/>
      <c r="AI9" s="5"/>
      <c r="AJ9" s="5" t="s">
        <v>745</v>
      </c>
      <c r="AK9" s="5"/>
      <c r="AL9" s="5" t="s">
        <v>719</v>
      </c>
      <c r="AM9" s="5"/>
      <c r="AN9" s="5" t="s">
        <v>719</v>
      </c>
      <c r="AO9" s="5"/>
      <c r="AP9" s="5" t="s">
        <v>2073</v>
      </c>
      <c r="AQ9" s="5"/>
      <c r="AR9" s="5" t="s">
        <v>719</v>
      </c>
      <c r="AS9" s="5"/>
      <c r="AT9" s="5" t="s">
        <v>1610</v>
      </c>
      <c r="AU9" s="5"/>
      <c r="AV9" s="5"/>
      <c r="AW9" s="5"/>
      <c r="AX9" s="5"/>
      <c r="AY9" s="5"/>
      <c r="AZ9" s="5"/>
      <c r="BA9" s="5"/>
      <c r="BB9" s="5"/>
      <c r="BC9" s="5"/>
      <c r="BD9" s="5" t="s">
        <v>726</v>
      </c>
      <c r="BE9" s="5"/>
      <c r="BF9" s="5"/>
      <c r="BG9" s="5"/>
      <c r="BH9" s="5" t="s">
        <v>2073</v>
      </c>
      <c r="BI9" s="5"/>
      <c r="BJ9" s="5" t="s">
        <v>2290</v>
      </c>
      <c r="BK9" s="5"/>
      <c r="BL9" s="5" t="s">
        <v>785</v>
      </c>
      <c r="BM9" s="5"/>
      <c r="BN9" s="5" t="str">
        <f xml:space="preserve"> $BD$7</f>
        <v>fill='#EF3340'</v>
      </c>
      <c r="BO9" s="5"/>
      <c r="BP9" s="5"/>
      <c r="BQ9" s="5"/>
      <c r="BR9" s="5" t="s">
        <v>2020</v>
      </c>
      <c r="BS9" s="5"/>
      <c r="BT9" s="5"/>
      <c r="BU9" s="5"/>
      <c r="BV9" s="5"/>
      <c r="BW9" s="5"/>
      <c r="BX9" s="5"/>
      <c r="BY9" s="5"/>
      <c r="BZ9" s="5" t="s">
        <v>2073</v>
      </c>
      <c r="CA9" s="5"/>
      <c r="CB9" s="5" t="s">
        <v>2300</v>
      </c>
      <c r="CC9" s="5"/>
      <c r="CD9" s="5"/>
      <c r="CE9" s="5"/>
      <c r="CF9" s="5"/>
      <c r="CG9" s="5"/>
      <c r="CH9" s="5"/>
      <c r="CI9" s="5"/>
      <c r="CJ9" s="5"/>
      <c r="CK9" s="5"/>
      <c r="CL9" s="5"/>
      <c r="CM9" s="5"/>
      <c r="CN9" s="5"/>
      <c r="CO9" s="5"/>
      <c r="CP9" s="5"/>
      <c r="CQ9" s="5"/>
      <c r="CR9" s="5"/>
      <c r="CS9" s="5"/>
      <c r="CT9" s="5"/>
      <c r="CU9" s="5"/>
    </row>
    <row r="10" spans="2:99">
      <c r="AC10" s="5"/>
      <c r="AF10" s="5"/>
      <c r="AJ10" s="5"/>
      <c r="AL10" s="5"/>
    </row>
    <row r="11" spans="2:99">
      <c r="B11" s="4" t="s">
        <v>364</v>
      </c>
      <c r="D11">
        <v>10</v>
      </c>
      <c r="F11">
        <v>10</v>
      </c>
      <c r="H11">
        <f xml:space="preserve"> $D11</f>
        <v>10</v>
      </c>
      <c r="J11">
        <f xml:space="preserve"> 2 * 2</f>
        <v>4</v>
      </c>
      <c r="L11">
        <f xml:space="preserve"> $J11</f>
        <v>4</v>
      </c>
      <c r="N11">
        <v>11</v>
      </c>
      <c r="P11">
        <v>27</v>
      </c>
      <c r="R11">
        <v>6</v>
      </c>
      <c r="T11">
        <v>17</v>
      </c>
      <c r="V11">
        <v>7</v>
      </c>
      <c r="X11">
        <v>4</v>
      </c>
      <c r="Z11">
        <v>67</v>
      </c>
      <c r="AB11">
        <v>8</v>
      </c>
      <c r="AD11">
        <f xml:space="preserve"> 83 * 10</f>
        <v>830</v>
      </c>
      <c r="AF11">
        <v>97</v>
      </c>
      <c r="AH11">
        <v>6</v>
      </c>
      <c r="AJ11">
        <v>1</v>
      </c>
      <c r="AL11">
        <v>2</v>
      </c>
      <c r="AN11">
        <v>2</v>
      </c>
      <c r="AP11">
        <v>216</v>
      </c>
      <c r="AR11">
        <v>4</v>
      </c>
      <c r="AT11">
        <v>4</v>
      </c>
      <c r="AV11">
        <v>11</v>
      </c>
      <c r="AX11">
        <v>11</v>
      </c>
      <c r="AZ11">
        <v>9</v>
      </c>
      <c r="BB11">
        <v>9</v>
      </c>
      <c r="BD11">
        <f xml:space="preserve"> Thirds_O * 2</f>
        <v>54</v>
      </c>
      <c r="BF11">
        <v>3</v>
      </c>
      <c r="BH11">
        <f xml:space="preserve"> Thirds_O * 3</f>
        <v>81</v>
      </c>
      <c r="BJ11">
        <f xml:space="preserve"> 4*90</f>
        <v>360</v>
      </c>
      <c r="BL11">
        <v>5</v>
      </c>
      <c r="BN11">
        <v>5</v>
      </c>
      <c r="BP11">
        <f xml:space="preserve"> 17*8 + _xlfn.SINGLE(Simple.SVG_borderWidth)/2</f>
        <v>158</v>
      </c>
      <c r="BR11">
        <v>8</v>
      </c>
      <c r="BT11">
        <v>5</v>
      </c>
      <c r="BV11">
        <v>20</v>
      </c>
      <c r="BX11">
        <v>40</v>
      </c>
      <c r="BZ11">
        <v>4</v>
      </c>
      <c r="CB11">
        <v>2</v>
      </c>
      <c r="CD11">
        <v>10</v>
      </c>
      <c r="CF11">
        <v>4</v>
      </c>
      <c r="CG11">
        <f xml:space="preserve"> $CF11</f>
        <v>4</v>
      </c>
      <c r="CH11">
        <f t="shared" ref="CH11:CS11" si="3" xml:space="preserve"> $CF11</f>
        <v>4</v>
      </c>
      <c r="CI11">
        <f t="shared" si="3"/>
        <v>4</v>
      </c>
      <c r="CJ11">
        <f t="shared" si="3"/>
        <v>4</v>
      </c>
      <c r="CK11">
        <f t="shared" si="3"/>
        <v>4</v>
      </c>
      <c r="CL11">
        <f t="shared" si="3"/>
        <v>4</v>
      </c>
      <c r="CM11">
        <f t="shared" si="3"/>
        <v>4</v>
      </c>
      <c r="CN11">
        <f t="shared" si="3"/>
        <v>4</v>
      </c>
      <c r="CO11">
        <f t="shared" si="3"/>
        <v>4</v>
      </c>
      <c r="CP11">
        <f t="shared" si="3"/>
        <v>4</v>
      </c>
      <c r="CQ11">
        <f t="shared" si="3"/>
        <v>4</v>
      </c>
      <c r="CR11">
        <f t="shared" si="3"/>
        <v>4</v>
      </c>
      <c r="CS11">
        <f t="shared" si="3"/>
        <v>4</v>
      </c>
    </row>
    <row r="12" spans="2:99">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15</v>
      </c>
      <c r="V12">
        <v>5</v>
      </c>
      <c r="X12">
        <v>3</v>
      </c>
      <c r="Z12">
        <v>80</v>
      </c>
      <c r="AB12">
        <f xml:space="preserve"> _xlfn.SINGLE(Simple.MaxX)</f>
        <v>8</v>
      </c>
      <c r="AD12">
        <f xml:space="preserve"> _xlfn.SINGLE(Simple.MaxX) * 53 / 83</f>
        <v>530</v>
      </c>
      <c r="AF12">
        <v>56</v>
      </c>
      <c r="AH12">
        <f xml:space="preserve"> _xlfn.SINGLE(Simple.MaxX)</f>
        <v>6</v>
      </c>
      <c r="AJ12">
        <f xml:space="preserve"> _xlfn.SINGLE(Simple.MaxX)</f>
        <v>1</v>
      </c>
      <c r="AL12">
        <f xml:space="preserve"> _xlfn.SINGLE(Simple.MaxX)</f>
        <v>2</v>
      </c>
      <c r="AN12">
        <f xml:space="preserve"> _xlfn.SINGLE(Simple.MaxX)</f>
        <v>2</v>
      </c>
      <c r="AP12">
        <v>432</v>
      </c>
      <c r="AR12">
        <f xml:space="preserve"> _xlfn.SINGLE(Simple.MaxX)</f>
        <v>4</v>
      </c>
      <c r="AT12">
        <f xml:space="preserve"> _xlfn.SINGLE(Simple.MaxX)</f>
        <v>4</v>
      </c>
      <c r="AV12">
        <v>8</v>
      </c>
      <c r="AX12">
        <v>8</v>
      </c>
      <c r="AZ12">
        <v>6</v>
      </c>
      <c r="BB12">
        <v>6</v>
      </c>
      <c r="BD12">
        <f xml:space="preserve"> _xlfn.SINGLE(Simple.MaxX)  / 2</f>
        <v>27</v>
      </c>
      <c r="BF12">
        <f xml:space="preserve"> _xlfn.SINGLE(Simple.MaxX)</f>
        <v>3</v>
      </c>
      <c r="BH12">
        <f xml:space="preserve"> Thirds_O * 2</f>
        <v>54</v>
      </c>
      <c r="BJ12">
        <f xml:space="preserve"> _xlfn.SINGLE(Simple.MaxX) * 3 / 4</f>
        <v>270</v>
      </c>
      <c r="BL12">
        <f xml:space="preserve"> _xlfn.SINGLE(Simple.MaxX)</f>
        <v>5</v>
      </c>
      <c r="BN12">
        <f xml:space="preserve"> _xlfn.SINGLE(Simple.MaxX)</f>
        <v>5</v>
      </c>
      <c r="BP12">
        <f xml:space="preserve"> 17*11 + _xlfn.SINGLE(Simple.SVG_borderWidth)/2</f>
        <v>209</v>
      </c>
      <c r="BR12">
        <f xml:space="preserve"> _xlfn.SINGLE(Simple.MaxX)</f>
        <v>8</v>
      </c>
      <c r="BT12">
        <f xml:space="preserve"> _xlfn.SINGLE(Simple.MaxX)</f>
        <v>5</v>
      </c>
      <c r="BV12">
        <v>39.5</v>
      </c>
      <c r="BX12">
        <v>32</v>
      </c>
      <c r="BZ12">
        <f xml:space="preserve"> _xlfn.SINGLE(Simple.MaxX)</f>
        <v>4</v>
      </c>
      <c r="CB12">
        <v>1</v>
      </c>
      <c r="CD12">
        <v>15</v>
      </c>
      <c r="CF12">
        <f t="shared" ref="CF12:CS12" si="4" xml:space="preserve"> _xlfn.SINGLE(Simple.MaxX)</f>
        <v>4</v>
      </c>
      <c r="CG12">
        <f t="shared" si="4"/>
        <v>4</v>
      </c>
      <c r="CH12">
        <f t="shared" si="4"/>
        <v>4</v>
      </c>
      <c r="CI12">
        <f t="shared" si="4"/>
        <v>4</v>
      </c>
      <c r="CJ12">
        <f t="shared" si="4"/>
        <v>4</v>
      </c>
      <c r="CK12">
        <f t="shared" si="4"/>
        <v>4</v>
      </c>
      <c r="CL12">
        <f t="shared" si="4"/>
        <v>4</v>
      </c>
      <c r="CM12">
        <f t="shared" si="4"/>
        <v>4</v>
      </c>
      <c r="CN12">
        <f t="shared" si="4"/>
        <v>4</v>
      </c>
      <c r="CO12">
        <f t="shared" si="4"/>
        <v>4</v>
      </c>
      <c r="CP12">
        <f t="shared" si="4"/>
        <v>4</v>
      </c>
      <c r="CQ12">
        <f t="shared" si="4"/>
        <v>4</v>
      </c>
      <c r="CR12">
        <f t="shared" si="4"/>
        <v>4</v>
      </c>
      <c r="CS12">
        <f t="shared" si="4"/>
        <v>4</v>
      </c>
    </row>
    <row r="13" spans="2:99">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-17</v>
      </c>
      <c r="V13">
        <f xml:space="preserve"> - _xlfn.SINGLE(Simple.MaxX)</f>
        <v>-7</v>
      </c>
      <c r="X13">
        <f xml:space="preserve"> - _xlfn.SINGLE(Simple.MaxX)</f>
        <v>-4</v>
      </c>
      <c r="Z13">
        <f xml:space="preserve"> - _xlfn.SINGLE(Simple.MaxX)</f>
        <v>-67</v>
      </c>
      <c r="AB13">
        <f xml:space="preserve"> - _xlfn.SINGLE(Simple.MaxX)</f>
        <v>-8</v>
      </c>
      <c r="AD13">
        <f xml:space="preserve"> - _xlfn.SINGLE(Simple.MaxX)</f>
        <v>-830</v>
      </c>
      <c r="AF13">
        <f xml:space="preserve"> - _xlfn.SINGLE(Simple.MaxX)</f>
        <v>-97</v>
      </c>
      <c r="AH13">
        <f xml:space="preserve"> - _xlfn.SINGLE(Simple.MaxX)</f>
        <v>-6</v>
      </c>
      <c r="AJ13">
        <f xml:space="preserve"> - _xlfn.SINGLE(Simple.MaxX)</f>
        <v>-1</v>
      </c>
      <c r="AL13">
        <f xml:space="preserve"> - _xlfn.SINGLE(Simple.MaxX)</f>
        <v>-2</v>
      </c>
      <c r="AN13">
        <f xml:space="preserve"> - _xlfn.SINGLE(Simple.MaxX)</f>
        <v>-2</v>
      </c>
      <c r="AP13">
        <f xml:space="preserve"> - _xlfn.SINGLE(Simple.MaxX)</f>
        <v>-216</v>
      </c>
      <c r="AR13">
        <f xml:space="preserve"> - _xlfn.SINGLE(Simple.MaxX)</f>
        <v>-4</v>
      </c>
      <c r="AT13">
        <f xml:space="preserve"> - _xlfn.SINGLE(Simple.MaxX)</f>
        <v>-4</v>
      </c>
      <c r="AV13">
        <f xml:space="preserve"> - _xlfn.SINGLE(Simple.MaxX)</f>
        <v>-11</v>
      </c>
      <c r="AX13">
        <f xml:space="preserve"> - _xlfn.SINGLE(Simple.MaxX)</f>
        <v>-11</v>
      </c>
      <c r="AZ13">
        <f xml:space="preserve"> - _xlfn.SINGLE(Simple.MaxX)</f>
        <v>-9</v>
      </c>
      <c r="BB13">
        <f xml:space="preserve"> - _xlfn.SINGLE(Simple.MaxX)</f>
        <v>-9</v>
      </c>
      <c r="BD13">
        <f xml:space="preserve"> - _xlfn.SINGLE(Simple.MaxX)</f>
        <v>-54</v>
      </c>
      <c r="BF13">
        <f xml:space="preserve"> - _xlfn.SINGLE(Simple.MaxX)</f>
        <v>-3</v>
      </c>
      <c r="BH13">
        <f xml:space="preserve"> - _xlfn.SINGLE(Simple.MaxX)</f>
        <v>-81</v>
      </c>
      <c r="BJ13">
        <f xml:space="preserve"> - _xlfn.SINGLE(Simple.MaxX)</f>
        <v>-360</v>
      </c>
      <c r="BL13">
        <f xml:space="preserve"> - _xlfn.SINGLE(Simple.MaxX)</f>
        <v>-5</v>
      </c>
      <c r="BN13">
        <f xml:space="preserve"> - _xlfn.SINGLE(Simple.MaxX)</f>
        <v>-5</v>
      </c>
      <c r="BP13">
        <f xml:space="preserve"> - _xlfn.SINGLE(Simple.MaxX)</f>
        <v>-158</v>
      </c>
      <c r="BR13">
        <f xml:space="preserve"> - _xlfn.SINGLE(Simple.MaxX)</f>
        <v>-8</v>
      </c>
      <c r="BT13">
        <f xml:space="preserve"> - _xlfn.SINGLE(Simple.MaxX)</f>
        <v>-5</v>
      </c>
      <c r="BV13">
        <f xml:space="preserve"> - _xlfn.SINGLE(Simple.MaxX)</f>
        <v>-20</v>
      </c>
      <c r="BX13">
        <f xml:space="preserve"> - _xlfn.SINGLE(Simple.MaxX)</f>
        <v>-40</v>
      </c>
      <c r="BZ13">
        <f xml:space="preserve"> - _xlfn.SINGLE(Simple.MaxX)</f>
        <v>-4</v>
      </c>
      <c r="CB13">
        <f xml:space="preserve"> - _xlfn.SINGLE(Simple.MaxX)</f>
        <v>-2</v>
      </c>
      <c r="CD13">
        <f xml:space="preserve"> - _xlfn.SINGLE(Simple.MaxX)</f>
        <v>-10</v>
      </c>
      <c r="CF13">
        <f t="shared" ref="CF13:CS13" si="5" xml:space="preserve"> - _xlfn.SINGLE(Simple.MaxX)</f>
        <v>-4</v>
      </c>
      <c r="CG13">
        <f t="shared" si="5"/>
        <v>-4</v>
      </c>
      <c r="CH13">
        <f t="shared" si="5"/>
        <v>-4</v>
      </c>
      <c r="CI13">
        <f t="shared" si="5"/>
        <v>-4</v>
      </c>
      <c r="CJ13">
        <f t="shared" si="5"/>
        <v>-4</v>
      </c>
      <c r="CK13">
        <f t="shared" si="5"/>
        <v>-4</v>
      </c>
      <c r="CL13">
        <f t="shared" si="5"/>
        <v>-4</v>
      </c>
      <c r="CM13">
        <f t="shared" si="5"/>
        <v>-4</v>
      </c>
      <c r="CN13">
        <f t="shared" si="5"/>
        <v>-4</v>
      </c>
      <c r="CO13">
        <f t="shared" si="5"/>
        <v>-4</v>
      </c>
      <c r="CP13">
        <f t="shared" si="5"/>
        <v>-4</v>
      </c>
      <c r="CQ13">
        <f t="shared" si="5"/>
        <v>-4</v>
      </c>
      <c r="CR13">
        <f t="shared" si="5"/>
        <v>-4</v>
      </c>
      <c r="CS13">
        <f t="shared" si="5"/>
        <v>-4</v>
      </c>
    </row>
    <row r="14" spans="2:99">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-15</v>
      </c>
      <c r="V14">
        <f xml:space="preserve"> - _xlfn.SINGLE(Simple.MaxY)</f>
        <v>-5</v>
      </c>
      <c r="X14">
        <f xml:space="preserve"> - _xlfn.SINGLE(Simple.MaxY)</f>
        <v>-3</v>
      </c>
      <c r="Z14">
        <f xml:space="preserve"> - _xlfn.SINGLE(Simple.MaxY)</f>
        <v>-80</v>
      </c>
      <c r="AB14">
        <f xml:space="preserve"> - _xlfn.SINGLE(Simple.MaxY)</f>
        <v>-8</v>
      </c>
      <c r="AD14">
        <f xml:space="preserve"> - _xlfn.SINGLE(Simple.MaxY)</f>
        <v>-530</v>
      </c>
      <c r="AF14">
        <f xml:space="preserve"> - _xlfn.SINGLE(Simple.MaxY)</f>
        <v>-56</v>
      </c>
      <c r="AH14">
        <f xml:space="preserve"> - _xlfn.SINGLE(Simple.MaxY)</f>
        <v>-6</v>
      </c>
      <c r="AJ14">
        <f xml:space="preserve"> - _xlfn.SINGLE(Simple.MaxY)</f>
        <v>-1</v>
      </c>
      <c r="AL14">
        <f xml:space="preserve"> - _xlfn.SINGLE(Simple.MaxY)</f>
        <v>-2</v>
      </c>
      <c r="AN14">
        <f xml:space="preserve"> - _xlfn.SINGLE(Simple.MaxY)</f>
        <v>-2</v>
      </c>
      <c r="AP14">
        <f xml:space="preserve"> - _xlfn.SINGLE(Simple.MaxY)</f>
        <v>-432</v>
      </c>
      <c r="AR14">
        <f xml:space="preserve"> - _xlfn.SINGLE(Simple.MaxY)</f>
        <v>-4</v>
      </c>
      <c r="AT14">
        <f xml:space="preserve"> - _xlfn.SINGLE(Simple.MaxY)</f>
        <v>-4</v>
      </c>
      <c r="AV14">
        <f xml:space="preserve"> - _xlfn.SINGLE(Simple.MaxY)</f>
        <v>-8</v>
      </c>
      <c r="AX14">
        <f xml:space="preserve"> - _xlfn.SINGLE(Simple.MaxY)</f>
        <v>-8</v>
      </c>
      <c r="AZ14">
        <f xml:space="preserve"> - _xlfn.SINGLE(Simple.MaxY)</f>
        <v>-6</v>
      </c>
      <c r="BB14">
        <f xml:space="preserve"> - _xlfn.SINGLE(Simple.MaxY)</f>
        <v>-6</v>
      </c>
      <c r="BD14">
        <f xml:space="preserve"> - _xlfn.SINGLE(Simple.MaxY)</f>
        <v>-27</v>
      </c>
      <c r="BF14">
        <f xml:space="preserve"> - _xlfn.SINGLE(Simple.MaxY)</f>
        <v>-3</v>
      </c>
      <c r="BH14">
        <f xml:space="preserve"> - _xlfn.SINGLE(Simple.MaxY)</f>
        <v>-54</v>
      </c>
      <c r="BJ14">
        <f xml:space="preserve"> - _xlfn.SINGLE(Simple.MaxY)</f>
        <v>-270</v>
      </c>
      <c r="BL14">
        <f xml:space="preserve"> - _xlfn.SINGLE(Simple.MaxY)</f>
        <v>-5</v>
      </c>
      <c r="BN14">
        <f xml:space="preserve"> - _xlfn.SINGLE(Simple.MaxY)</f>
        <v>-5</v>
      </c>
      <c r="BP14">
        <f xml:space="preserve"> - _xlfn.SINGLE(Simple.MaxY)</f>
        <v>-209</v>
      </c>
      <c r="BR14">
        <f xml:space="preserve"> - _xlfn.SINGLE(Simple.MaxY)</f>
        <v>-8</v>
      </c>
      <c r="BT14">
        <f xml:space="preserve"> - _xlfn.SINGLE(Simple.MaxY)</f>
        <v>-5</v>
      </c>
      <c r="BV14">
        <f xml:space="preserve"> - _xlfn.SINGLE(Simple.MaxY)</f>
        <v>-39.5</v>
      </c>
      <c r="BX14">
        <f xml:space="preserve"> - _xlfn.SINGLE(Simple.MaxY)</f>
        <v>-32</v>
      </c>
      <c r="BZ14">
        <f xml:space="preserve"> - _xlfn.SINGLE(Simple.MaxY)</f>
        <v>-4</v>
      </c>
      <c r="CB14">
        <f xml:space="preserve"> - _xlfn.SINGLE(Simple.MaxY)</f>
        <v>-1</v>
      </c>
      <c r="CD14">
        <f xml:space="preserve"> - _xlfn.SINGLE(Simple.MaxY)</f>
        <v>-15</v>
      </c>
      <c r="CF14">
        <f t="shared" ref="CF14:CS14" si="6" xml:space="preserve"> - _xlfn.SINGLE(Simple.MaxY)</f>
        <v>-4</v>
      </c>
      <c r="CG14">
        <f t="shared" si="6"/>
        <v>-4</v>
      </c>
      <c r="CH14">
        <f t="shared" si="6"/>
        <v>-4</v>
      </c>
      <c r="CI14">
        <f t="shared" si="6"/>
        <v>-4</v>
      </c>
      <c r="CJ14">
        <f t="shared" si="6"/>
        <v>-4</v>
      </c>
      <c r="CK14">
        <f t="shared" si="6"/>
        <v>-4</v>
      </c>
      <c r="CL14">
        <f t="shared" si="6"/>
        <v>-4</v>
      </c>
      <c r="CM14">
        <f t="shared" si="6"/>
        <v>-4</v>
      </c>
      <c r="CN14">
        <f t="shared" si="6"/>
        <v>-4</v>
      </c>
      <c r="CO14">
        <f t="shared" si="6"/>
        <v>-4</v>
      </c>
      <c r="CP14">
        <f t="shared" si="6"/>
        <v>-4</v>
      </c>
      <c r="CQ14">
        <f t="shared" si="6"/>
        <v>-4</v>
      </c>
      <c r="CR14">
        <f t="shared" si="6"/>
        <v>-4</v>
      </c>
      <c r="CS14">
        <f t="shared" si="6"/>
        <v>-4</v>
      </c>
    </row>
    <row r="17" spans="2:99">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0.88235294117647056</v>
      </c>
      <c r="V17">
        <f xml:space="preserve">  MAX( _xlfn.SINGLE(Simple.MaxY), - _xlfn.SINGLE(Simple.MinY ))   /   MAX( _xlfn.SINGLE(Simple.MaxX), - _xlfn.SINGLE(Simple.MinX ))</f>
        <v>0.7142857142857143</v>
      </c>
      <c r="X17">
        <f xml:space="preserve">  MAX( _xlfn.SINGLE(Simple.MaxY), - _xlfn.SINGLE(Simple.MinY ))   /   MAX( _xlfn.SINGLE(Simple.MaxX), - _xlfn.SINGLE(Simple.MinX ))</f>
        <v>0.75</v>
      </c>
      <c r="Z17">
        <f xml:space="preserve">  MAX( _xlfn.SINGLE(Simple.MaxY), - _xlfn.SINGLE(Simple.MinY ))   /   MAX( _xlfn.SINGLE(Simple.MaxX), - _xlfn.SINGLE(Simple.MinX ))</f>
        <v>1.1940298507462686</v>
      </c>
      <c r="AB17">
        <f xml:space="preserve">  MAX( _xlfn.SINGLE(Simple.MaxY), - _xlfn.SINGLE(Simple.MinY ))   /   MAX( _xlfn.SINGLE(Simple.MaxX), - _xlfn.SINGLE(Simple.MinX ))</f>
        <v>1</v>
      </c>
      <c r="AD17">
        <f xml:space="preserve">  MAX( _xlfn.SINGLE(Simple.MaxY), - _xlfn.SINGLE(Simple.MinY ))   /   MAX( _xlfn.SINGLE(Simple.MaxX), - _xlfn.SINGLE(Simple.MinX ))</f>
        <v>0.63855421686746983</v>
      </c>
      <c r="AF17">
        <f xml:space="preserve">  MAX( _xlfn.SINGLE(Simple.MaxY), - _xlfn.SINGLE(Simple.MinY ))   /   MAX( _xlfn.SINGLE(Simple.MaxX), - _xlfn.SINGLE(Simple.MinX ))</f>
        <v>0.57731958762886593</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1</v>
      </c>
      <c r="AP17">
        <f xml:space="preserve">  MAX( _xlfn.SINGLE(Simple.MaxY), - _xlfn.SINGLE(Simple.MinY ))   /   MAX( _xlfn.SINGLE(Simple.MaxX), - _xlfn.SINGLE(Simple.MinX ))</f>
        <v>2</v>
      </c>
      <c r="AR17">
        <f xml:space="preserve">  MAX( _xlfn.SINGLE(Simple.MaxY), - _xlfn.SINGLE(Simple.MinY ))   /   MAX( _xlfn.SINGLE(Simple.MaxX), - _xlfn.SINGLE(Simple.MinX ))</f>
        <v>1</v>
      </c>
      <c r="AT17">
        <f xml:space="preserve">  MAX( _xlfn.SINGLE(Simple.MaxY), - _xlfn.SINGLE(Simple.MinY ))   /   MAX( _xlfn.SINGLE(Simple.MaxX), - _xlfn.SINGLE(Simple.MinX ))</f>
        <v>1</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0.72727272727272729</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0.66666666666666663</v>
      </c>
      <c r="BD17">
        <f xml:space="preserve">  MAX( _xlfn.SINGLE(Simple.MaxY), - _xlfn.SINGLE(Simple.MinY ))   /   MAX( _xlfn.SINGLE(Simple.MaxX), - _xlfn.SINGLE(Simple.MinX ))</f>
        <v>0.5</v>
      </c>
      <c r="BF17">
        <f xml:space="preserve">  MAX( _xlfn.SINGLE(Simple.MaxY), - _xlfn.SINGLE(Simple.MinY ))   /   MAX( _xlfn.SINGLE(Simple.MaxX), - _xlfn.SINGLE(Simple.MinX ))</f>
        <v>1</v>
      </c>
      <c r="BH17">
        <f xml:space="preserve">  MAX( _xlfn.SINGLE(Simple.MaxY), - _xlfn.SINGLE(Simple.MinY ))   /   MAX( _xlfn.SINGLE(Simple.MaxX), - _xlfn.SINGLE(Simple.MinX ))</f>
        <v>0.66666666666666663</v>
      </c>
      <c r="BJ17">
        <f xml:space="preserve">  MAX( _xlfn.SINGLE(Simple.MaxY), - _xlfn.SINGLE(Simple.MinY ))   /   MAX( _xlfn.SINGLE(Simple.MaxX), - _xlfn.SINGLE(Simple.MinX ))</f>
        <v>0.75</v>
      </c>
      <c r="BL17">
        <f xml:space="preserve">  MAX( _xlfn.SINGLE(Simple.MaxY), - _xlfn.SINGLE(Simple.MinY ))   /   MAX( _xlfn.SINGLE(Simple.MaxX), - _xlfn.SINGLE(Simple.MinX ))</f>
        <v>1</v>
      </c>
      <c r="BN17">
        <f xml:space="preserve">  MAX( _xlfn.SINGLE(Simple.MaxY), - _xlfn.SINGLE(Simple.MinY ))   /   MAX( _xlfn.SINGLE(Simple.MaxX), - _xlfn.SINGLE(Simple.MinX ))</f>
        <v>1</v>
      </c>
      <c r="BP17">
        <f xml:space="preserve">  MAX( _xlfn.SINGLE(Simple.MaxY), - _xlfn.SINGLE(Simple.MinY ))   /   MAX( _xlfn.SINGLE(Simple.MaxX), - _xlfn.SINGLE(Simple.MinX ))</f>
        <v>1.3227848101265822</v>
      </c>
      <c r="BR17">
        <f xml:space="preserve">  MAX( _xlfn.SINGLE(Simple.MaxY), - _xlfn.SINGLE(Simple.MinY ))   /   MAX( _xlfn.SINGLE(Simple.MaxX), - _xlfn.SINGLE(Simple.MinX ))</f>
        <v>1</v>
      </c>
      <c r="BT17">
        <f xml:space="preserve">  MAX( _xlfn.SINGLE(Simple.MaxY), - _xlfn.SINGLE(Simple.MinY ))   /   MAX( _xlfn.SINGLE(Simple.MaxX), - _xlfn.SINGLE(Simple.MinX ))</f>
        <v>1</v>
      </c>
      <c r="BV17">
        <f xml:space="preserve">  MAX( _xlfn.SINGLE(Simple.MaxY), - _xlfn.SINGLE(Simple.MinY ))   /   MAX( _xlfn.SINGLE(Simple.MaxX), - _xlfn.SINGLE(Simple.MinX ))</f>
        <v>1.9750000000000001</v>
      </c>
      <c r="BX17">
        <f xml:space="preserve">  MAX( _xlfn.SINGLE(Simple.MaxY), - _xlfn.SINGLE(Simple.MinY ))   /   MAX( _xlfn.SINGLE(Simple.MaxX), - _xlfn.SINGLE(Simple.MinX ))</f>
        <v>0.8</v>
      </c>
      <c r="BZ17">
        <f xml:space="preserve">  MAX( _xlfn.SINGLE(Simple.MaxY), - _xlfn.SINGLE(Simple.MinY ))   /   MAX( _xlfn.SINGLE(Simple.MaxX), - _xlfn.SINGLE(Simple.MinX ))</f>
        <v>1</v>
      </c>
      <c r="CB17">
        <f xml:space="preserve">  MAX( _xlfn.SINGLE(Simple.MaxY), - _xlfn.SINGLE(Simple.MinY ))   /   MAX( _xlfn.SINGLE(Simple.MaxX), - _xlfn.SINGLE(Simple.MinX ))</f>
        <v>0.5</v>
      </c>
      <c r="CD17">
        <f xml:space="preserve">  MAX( _xlfn.SINGLE(Simple.MaxY), - _xlfn.SINGLE(Simple.MinY ))   /   MAX( _xlfn.SINGLE(Simple.MaxX), - _xlfn.SINGLE(Simple.MinX ))</f>
        <v>1.5</v>
      </c>
      <c r="CF17">
        <f t="shared" ref="CF17:CS17" si="7" xml:space="preserve">  MAX( _xlfn.SINGLE(Simple.MaxY), - _xlfn.SINGLE(Simple.MinY ))   /   MAX( _xlfn.SINGLE(Simple.MaxX), - _xlfn.SINGLE(Simple.MinX ))</f>
        <v>1</v>
      </c>
      <c r="CG17">
        <f t="shared" si="7"/>
        <v>1</v>
      </c>
      <c r="CH17">
        <f t="shared" si="7"/>
        <v>1</v>
      </c>
      <c r="CI17">
        <f t="shared" si="7"/>
        <v>1</v>
      </c>
      <c r="CJ17">
        <f t="shared" si="7"/>
        <v>1</v>
      </c>
      <c r="CK17">
        <f t="shared" si="7"/>
        <v>1</v>
      </c>
      <c r="CL17">
        <f t="shared" si="7"/>
        <v>1</v>
      </c>
      <c r="CM17">
        <f t="shared" si="7"/>
        <v>1</v>
      </c>
      <c r="CN17">
        <f t="shared" si="7"/>
        <v>1</v>
      </c>
      <c r="CO17">
        <f t="shared" si="7"/>
        <v>1</v>
      </c>
      <c r="CP17">
        <f t="shared" si="7"/>
        <v>1</v>
      </c>
      <c r="CQ17">
        <f t="shared" si="7"/>
        <v>1</v>
      </c>
      <c r="CR17">
        <f t="shared" si="7"/>
        <v>1</v>
      </c>
      <c r="CS17">
        <f t="shared" si="7"/>
        <v>1</v>
      </c>
    </row>
    <row r="18" spans="2:99">
      <c r="B18" s="4" t="s">
        <v>368</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10</v>
      </c>
      <c r="J18">
        <f xml:space="preserve"> VALUE(TEXT(SQRT(_xlfn.SINGLE(Simple.AreaMultiplier) * BasicBBoxArea * _xlfn.SINGLE(Simple.Aspect)), SVG.NumberFormatHeight))</f>
        <v>11.2</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11.3</v>
      </c>
      <c r="P18">
        <f xml:space="preserve"> VALUE(TEXT(SQRT(_xlfn.SINGLE(Simple.AreaMultiplier) * BasicBBoxArea * _xlfn.SINGLE(Simple.Aspect)), SVG.NumberFormatHeight))</f>
        <v>14.7</v>
      </c>
      <c r="R18">
        <f xml:space="preserve"> VALUE(TEXT(SQRT(_xlfn.SINGLE(Simple.AreaMultiplier) * BasicBBoxArea * _xlfn.SINGLE(Simple.Aspect)), SVG.NumberFormatHeight))</f>
        <v>8.4</v>
      </c>
      <c r="T18">
        <f xml:space="preserve"> VALUE(TEXT(SQRT(_xlfn.SINGLE(Simple.AreaMultiplier) * BasicBBoxArea * _xlfn.SINGLE(Simple.Aspect)), SVG.NumberFormatHeight))</f>
        <v>8.6999999999999993</v>
      </c>
      <c r="V18">
        <f xml:space="preserve"> VALUE(TEXT(SQRT(_xlfn.SINGLE(Simple.AreaMultiplier) * BasicBBoxArea * _xlfn.SINGLE(Simple.Aspect)), SVG.NumberFormatHeight))</f>
        <v>7.8</v>
      </c>
      <c r="X18">
        <f xml:space="preserve"> VALUE(TEXT(SQRT(_xlfn.SINGLE(Simple.AreaMultiplier) * BasicBBoxArea * _xlfn.SINGLE(Simple.Aspect)), SVG.NumberFormatHeight))</f>
        <v>8</v>
      </c>
      <c r="Z18">
        <f xml:space="preserve"> VALUE(TEXT(SQRT(_xlfn.SINGLE(Simple.AreaMultiplier) * BasicBBoxArea * _xlfn.SINGLE(Simple.Aspect)), SVG.NumberFormatHeight))</f>
        <v>12</v>
      </c>
      <c r="AB18">
        <f xml:space="preserve"> VALUE(TEXT(SQRT(_xlfn.SINGLE(Simple.AreaMultiplier) * BasicBBoxArea * _xlfn.SINGLE(Simple.Aspect)), SVG.NumberFormatHeight))</f>
        <v>10</v>
      </c>
      <c r="AD18">
        <f xml:space="preserve"> VALUE(TEXT(SQRT(_xlfn.SINGLE(Simple.AreaMultiplier) * BasicBBoxArea * _xlfn.SINGLE(Simple.Aspect)), SVG.NumberFormatHeight))</f>
        <v>9.4</v>
      </c>
      <c r="AF18">
        <f xml:space="preserve"> VALUE(TEXT(SQRT(_xlfn.SINGLE(Simple.AreaMultiplier) * BasicBBoxArea * _xlfn.SINGLE(Simple.Aspect)), SVG.NumberFormatHeight))</f>
        <v>8.9</v>
      </c>
      <c r="AH18">
        <f xml:space="preserve"> VALUE(TEXT(SQRT(_xlfn.SINGLE(Simple.AreaMultiplier) * BasicBBoxArea * _xlfn.SINGLE(Simple.Aspect)), SVG.NumberFormatHeight))</f>
        <v>9.1999999999999993</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9.1999999999999993</v>
      </c>
      <c r="AP18">
        <f xml:space="preserve"> VALUE(TEXT(SQRT(_xlfn.SINGLE(Simple.AreaMultiplier) * BasicBBoxArea * _xlfn.SINGLE(Simple.Aspect)), SVG.NumberFormatHeight))</f>
        <v>14.1</v>
      </c>
      <c r="AR18">
        <f xml:space="preserve"> VALUE(TEXT(SQRT(_xlfn.SINGLE(Simple.AreaMultiplier) * BasicBBoxArea * _xlfn.SINGLE(Simple.Aspect)), SVG.NumberFormatHeight))</f>
        <v>9.1999999999999993</v>
      </c>
      <c r="AT18">
        <f xml:space="preserve"> VALUE(TEXT(SQRT(_xlfn.SINGLE(Simple.AreaMultiplier) * BasicBBoxArea * _xlfn.SINGLE(Simple.Aspect)), SVG.NumberFormatHeight))</f>
        <v>9.1999999999999993</v>
      </c>
      <c r="AV18">
        <f xml:space="preserve"> VALUE(TEXT(SQRT(_xlfn.SINGLE(Simple.AreaMultiplier) * BasicBBoxArea * _xlfn.SINGLE(Simple.Aspect)), SVG.NumberFormatHeight))</f>
        <v>8.5</v>
      </c>
      <c r="AX18">
        <f xml:space="preserve"> VALUE(TEXT(SQRT(_xlfn.SINGLE(Simple.AreaMultiplier) * BasicBBoxArea * _xlfn.SINGLE(Simple.Aspect)), SVG.NumberFormatHeight))</f>
        <v>8.5</v>
      </c>
      <c r="AZ18">
        <f xml:space="preserve"> VALUE(TEXT(SQRT(_xlfn.SINGLE(Simple.AreaMultiplier) * BasicBBoxArea * _xlfn.SINGLE(Simple.Aspect)), SVG.NumberFormatHeight))</f>
        <v>7.6</v>
      </c>
      <c r="BB18">
        <f xml:space="preserve"> VALUE(TEXT(SQRT(_xlfn.SINGLE(Simple.AreaMultiplier) * BasicBBoxArea * _xlfn.SINGLE(Simple.Aspect)), SVG.NumberFormatHeight))</f>
        <v>7.6</v>
      </c>
      <c r="BD18">
        <f xml:space="preserve"> VALUE(TEXT(SQRT(_xlfn.SINGLE(Simple.AreaMultiplier) * BasicBBoxArea * _xlfn.SINGLE(Simple.Aspect)), SVG.NumberFormatHeight))</f>
        <v>8.3000000000000007</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9.6</v>
      </c>
      <c r="BJ18">
        <f xml:space="preserve"> VALUE(TEXT(SQRT(_xlfn.SINGLE(Simple.AreaMultiplier) * BasicBBoxArea * _xlfn.SINGLE(Simple.Aspect)), SVG.NumberFormatHeight))</f>
        <v>10.199999999999999</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9.1999999999999993</v>
      </c>
      <c r="BP18">
        <f xml:space="preserve"> VALUE(TEXT(SQRT(_xlfn.SINGLE(Simple.AreaMultiplier) * BasicBBoxArea * _xlfn.SINGLE(Simple.Aspect)), SVG.NumberFormatHeight))</f>
        <v>13.5</v>
      </c>
      <c r="BR18">
        <f xml:space="preserve"> VALUE(TEXT(SQRT(_xlfn.SINGLE(Simple.AreaMultiplier) * BasicBBoxArea * _xlfn.SINGLE(Simple.Aspect)), SVG.NumberFormatHeight))</f>
        <v>9.1999999999999993</v>
      </c>
      <c r="BT18">
        <f xml:space="preserve"> VALUE(TEXT(SQRT(_xlfn.SINGLE(Simple.AreaMultiplier) * BasicBBoxArea * _xlfn.SINGLE(Simple.Aspect)), SVG.NumberFormatHeight))</f>
        <v>9.1999999999999993</v>
      </c>
      <c r="BV18">
        <f xml:space="preserve"> VALUE(TEXT(SQRT(_xlfn.SINGLE(Simple.AreaMultiplier) * BasicBBoxArea * _xlfn.SINGLE(Simple.Aspect)), SVG.NumberFormatHeight))</f>
        <v>13</v>
      </c>
      <c r="BX18">
        <f xml:space="preserve"> VALUE(TEXT(SQRT(_xlfn.SINGLE(Simple.AreaMultiplier) * BasicBBoxArea * _xlfn.SINGLE(Simple.Aspect)), SVG.NumberFormatHeight))</f>
        <v>8.9</v>
      </c>
      <c r="BZ18">
        <f xml:space="preserve"> VALUE(TEXT(SQRT(_xlfn.SINGLE(Simple.AreaMultiplier) * BasicBBoxArea * _xlfn.SINGLE(Simple.Aspect)), SVG.NumberFormatHeight))</f>
        <v>10</v>
      </c>
      <c r="CB18">
        <f xml:space="preserve"> VALUE(TEXT(SQRT(_xlfn.SINGLE(Simple.AreaMultiplier) * BasicBBoxArea * _xlfn.SINGLE(Simple.Aspect)), SVG.NumberFormatHeight))</f>
        <v>7.1</v>
      </c>
      <c r="CD18">
        <f xml:space="preserve"> VALUE(TEXT(SQRT(_xlfn.SINGLE(Simple.AreaMultiplier) * BasicBBoxArea * _xlfn.SINGLE(Simple.Aspect)), SVG.NumberFormatHeight))</f>
        <v>12.2</v>
      </c>
      <c r="CF18">
        <f t="shared" ref="CF18:CS18" si="8" xml:space="preserve"> VALUE(TEXT(SQRT(_xlfn.SINGLE(Simple.AreaMultiplier) * BasicBBoxArea * _xlfn.SINGLE(Simple.Aspect)), SVG.NumberFormatHeight))</f>
        <v>11.8</v>
      </c>
      <c r="CG18">
        <f t="shared" si="8"/>
        <v>11.8</v>
      </c>
      <c r="CH18">
        <f t="shared" si="8"/>
        <v>11.8</v>
      </c>
      <c r="CI18">
        <f t="shared" si="8"/>
        <v>11.8</v>
      </c>
      <c r="CJ18">
        <f t="shared" si="8"/>
        <v>11.8</v>
      </c>
      <c r="CK18">
        <f t="shared" si="8"/>
        <v>11.8</v>
      </c>
      <c r="CL18">
        <f t="shared" si="8"/>
        <v>11.8</v>
      </c>
      <c r="CM18">
        <f t="shared" si="8"/>
        <v>11.8</v>
      </c>
      <c r="CN18">
        <f t="shared" si="8"/>
        <v>11.8</v>
      </c>
      <c r="CO18">
        <f t="shared" si="8"/>
        <v>11.8</v>
      </c>
      <c r="CP18">
        <f t="shared" si="8"/>
        <v>11.8</v>
      </c>
      <c r="CQ18">
        <f t="shared" si="8"/>
        <v>11.8</v>
      </c>
      <c r="CR18">
        <f t="shared" si="8"/>
        <v>11.8</v>
      </c>
      <c r="CS18">
        <f t="shared" si="8"/>
        <v>11.8</v>
      </c>
    </row>
    <row r="19" spans="2:99">
      <c r="B19" s="4" t="s">
        <v>369</v>
      </c>
      <c r="D19">
        <f xml:space="preserve"> _xlfn.SINGLE(Simple.Height) / _xlfn.SINGLE(Simple.Aspect)</f>
        <v>10</v>
      </c>
      <c r="F19">
        <f xml:space="preserve"> _xlfn.SINGLE(Simple.Height) / _xlfn.SINGLE(Simple.Aspect)</f>
        <v>10</v>
      </c>
      <c r="H19">
        <f xml:space="preserve"> _xlfn.SINGLE(Simple.Height) / _xlfn.SINGLE(Simple.Aspect)</f>
        <v>10</v>
      </c>
      <c r="J19">
        <f xml:space="preserve"> _xlfn.SINGLE(Simple.Height) / _xlfn.SINGLE(Simple.Aspect)</f>
        <v>11.2</v>
      </c>
      <c r="L19">
        <f xml:space="preserve"> _xlfn.SINGLE(Simple.Height) / _xlfn.SINGLE(Simple.Aspect)</f>
        <v>11.2</v>
      </c>
      <c r="N19">
        <f xml:space="preserve"> _xlfn.SINGLE(Simple.Height) / _xlfn.SINGLE(Simple.Aspect)</f>
        <v>8.8785714285714299</v>
      </c>
      <c r="P19">
        <f xml:space="preserve"> _xlfn.SINGLE(Simple.Height) / _xlfn.SINGLE(Simple.Aspect)</f>
        <v>8.8199999999999985</v>
      </c>
      <c r="R19">
        <f xml:space="preserve"> _xlfn.SINGLE(Simple.Height) / _xlfn.SINGLE(Simple.Aspect)</f>
        <v>10.08</v>
      </c>
      <c r="T19">
        <f xml:space="preserve"> _xlfn.SINGLE(Simple.Height) / _xlfn.SINGLE(Simple.Aspect)</f>
        <v>9.86</v>
      </c>
      <c r="V19">
        <f xml:space="preserve"> _xlfn.SINGLE(Simple.Height) / _xlfn.SINGLE(Simple.Aspect)</f>
        <v>10.92</v>
      </c>
      <c r="X19">
        <f xml:space="preserve"> _xlfn.SINGLE(Simple.Height) / _xlfn.SINGLE(Simple.Aspect)</f>
        <v>10.666666666666666</v>
      </c>
      <c r="Z19">
        <f xml:space="preserve"> _xlfn.SINGLE(Simple.Height) / _xlfn.SINGLE(Simple.Aspect)</f>
        <v>10.050000000000001</v>
      </c>
      <c r="AB19">
        <f xml:space="preserve"> _xlfn.SINGLE(Simple.Height) / _xlfn.SINGLE(Simple.Aspect)</f>
        <v>10</v>
      </c>
      <c r="AD19">
        <f xml:space="preserve"> _xlfn.SINGLE(Simple.Height) / _xlfn.SINGLE(Simple.Aspect)</f>
        <v>14.720754716981133</v>
      </c>
      <c r="AF19">
        <f xml:space="preserve"> _xlfn.SINGLE(Simple.Height) / _xlfn.SINGLE(Simple.Aspect)</f>
        <v>15.416071428571431</v>
      </c>
      <c r="AH19">
        <f xml:space="preserve"> _xlfn.SINGLE(Simple.Height) / _xlfn.SINGLE(Simple.Aspect)</f>
        <v>9.1999999999999993</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9.1999999999999993</v>
      </c>
      <c r="AP19">
        <f xml:space="preserve"> _xlfn.SINGLE(Simple.Height) / _xlfn.SINGLE(Simple.Aspect)</f>
        <v>7.05</v>
      </c>
      <c r="AR19">
        <f xml:space="preserve"> _xlfn.SINGLE(Simple.Height) / _xlfn.SINGLE(Simple.Aspect)</f>
        <v>9.1999999999999993</v>
      </c>
      <c r="AT19">
        <f xml:space="preserve"> _xlfn.SINGLE(Simple.Height) / _xlfn.SINGLE(Simple.Aspect)</f>
        <v>9.1999999999999993</v>
      </c>
      <c r="AV19">
        <f xml:space="preserve"> _xlfn.SINGLE(Simple.Height) / _xlfn.SINGLE(Simple.Aspect)</f>
        <v>11.6875</v>
      </c>
      <c r="AX19">
        <f xml:space="preserve"> _xlfn.SINGLE(Simple.Height) / _xlfn.SINGLE(Simple.Aspect)</f>
        <v>11.6875</v>
      </c>
      <c r="AZ19">
        <f xml:space="preserve"> _xlfn.SINGLE(Simple.Height) / _xlfn.SINGLE(Simple.Aspect)</f>
        <v>11.4</v>
      </c>
      <c r="BB19">
        <f xml:space="preserve"> _xlfn.SINGLE(Simple.Height) / _xlfn.SINGLE(Simple.Aspect)</f>
        <v>11.4</v>
      </c>
      <c r="BD19">
        <f xml:space="preserve"> _xlfn.SINGLE(Simple.Height) / _xlfn.SINGLE(Simple.Aspect)</f>
        <v>16.600000000000001</v>
      </c>
      <c r="BF19">
        <f xml:space="preserve"> _xlfn.SINGLE(Simple.Height) / _xlfn.SINGLE(Simple.Aspect)</f>
        <v>9.1999999999999993</v>
      </c>
      <c r="BH19">
        <f xml:space="preserve"> _xlfn.SINGLE(Simple.Height) / _xlfn.SINGLE(Simple.Aspect)</f>
        <v>14.4</v>
      </c>
      <c r="BJ19">
        <f xml:space="preserve"> _xlfn.SINGLE(Simple.Height) / _xlfn.SINGLE(Simple.Aspect)</f>
        <v>13.6</v>
      </c>
      <c r="BL19">
        <f xml:space="preserve"> _xlfn.SINGLE(Simple.Height) / _xlfn.SINGLE(Simple.Aspect)</f>
        <v>9.1999999999999993</v>
      </c>
      <c r="BN19">
        <f xml:space="preserve"> _xlfn.SINGLE(Simple.Height) / _xlfn.SINGLE(Simple.Aspect)</f>
        <v>9.1999999999999993</v>
      </c>
      <c r="BP19">
        <f xml:space="preserve"> _xlfn.SINGLE(Simple.Height) / _xlfn.SINGLE(Simple.Aspect)</f>
        <v>10.205741626794259</v>
      </c>
      <c r="BR19">
        <f xml:space="preserve"> _xlfn.SINGLE(Simple.Height) / _xlfn.SINGLE(Simple.Aspect)</f>
        <v>9.1999999999999993</v>
      </c>
      <c r="BT19">
        <f xml:space="preserve"> _xlfn.SINGLE(Simple.Height) / _xlfn.SINGLE(Simple.Aspect)</f>
        <v>9.1999999999999993</v>
      </c>
      <c r="BV19">
        <f xml:space="preserve"> _xlfn.SINGLE(Simple.Height) / _xlfn.SINGLE(Simple.Aspect)</f>
        <v>6.5822784810126578</v>
      </c>
      <c r="BX19">
        <f xml:space="preserve"> _xlfn.SINGLE(Simple.Height) / _xlfn.SINGLE(Simple.Aspect)</f>
        <v>11.125</v>
      </c>
      <c r="BZ19">
        <f xml:space="preserve"> _xlfn.SINGLE(Simple.Height) / _xlfn.SINGLE(Simple.Aspect)</f>
        <v>10</v>
      </c>
      <c r="CB19">
        <f xml:space="preserve"> _xlfn.SINGLE(Simple.Height) / _xlfn.SINGLE(Simple.Aspect)</f>
        <v>14.2</v>
      </c>
      <c r="CD19">
        <f xml:space="preserve"> _xlfn.SINGLE(Simple.Height) / _xlfn.SINGLE(Simple.Aspect)</f>
        <v>8.1333333333333329</v>
      </c>
      <c r="CF19">
        <f t="shared" ref="CF19:CS19" si="9" xml:space="preserve"> _xlfn.SINGLE(Simple.Height) / _xlfn.SINGLE(Simple.Aspect)</f>
        <v>11.8</v>
      </c>
      <c r="CG19">
        <f t="shared" si="9"/>
        <v>11.8</v>
      </c>
      <c r="CH19">
        <f t="shared" si="9"/>
        <v>11.8</v>
      </c>
      <c r="CI19">
        <f t="shared" si="9"/>
        <v>11.8</v>
      </c>
      <c r="CJ19">
        <f t="shared" si="9"/>
        <v>11.8</v>
      </c>
      <c r="CK19">
        <f t="shared" si="9"/>
        <v>11.8</v>
      </c>
      <c r="CL19">
        <f t="shared" si="9"/>
        <v>11.8</v>
      </c>
      <c r="CM19">
        <f t="shared" si="9"/>
        <v>11.8</v>
      </c>
      <c r="CN19">
        <f t="shared" si="9"/>
        <v>11.8</v>
      </c>
      <c r="CO19">
        <f t="shared" si="9"/>
        <v>11.8</v>
      </c>
      <c r="CP19">
        <f t="shared" si="9"/>
        <v>11.8</v>
      </c>
      <c r="CQ19">
        <f t="shared" si="9"/>
        <v>11.8</v>
      </c>
      <c r="CR19">
        <f t="shared" si="9"/>
        <v>11.8</v>
      </c>
      <c r="CS19">
        <f t="shared" si="9"/>
        <v>11.8</v>
      </c>
    </row>
    <row r="22" spans="2:99">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216</v>
      </c>
      <c r="P22" cm="1">
        <f t="array" ref="P22" xml:space="preserve"> SVG_length(P$24:P$29)</f>
        <v>399</v>
      </c>
      <c r="R22" cm="1">
        <f t="array" ref="R22" xml:space="preserve"> SVG_length(R$24:R$29)</f>
        <v>202</v>
      </c>
      <c r="T22" cm="1">
        <f t="array" ref="T22" xml:space="preserve"> SVG_length(T$24:T$29)</f>
        <v>214</v>
      </c>
      <c r="V22" cm="1">
        <f t="array" ref="V22" xml:space="preserve"> SVG_length(V$24:V$29)</f>
        <v>172</v>
      </c>
      <c r="X22" cm="1">
        <f t="array" ref="X22" xml:space="preserve"> SVG_length(X$24:X$29)</f>
        <v>226</v>
      </c>
      <c r="Z22" cm="1">
        <f t="array" ref="Z22" xml:space="preserve"> SVG_length(Z$24:Z$29)</f>
        <v>325</v>
      </c>
      <c r="AB22" cm="1">
        <f t="array" ref="AB22" xml:space="preserve"> SVG_length(AB$24:AB$29)</f>
        <v>281</v>
      </c>
      <c r="AD22" cm="1">
        <f t="array" ref="AD22" xml:space="preserve"> SVG_length(AD$24:AD$29)</f>
        <v>229</v>
      </c>
      <c r="AF22" cm="1">
        <f t="array" ref="AF22" xml:space="preserve"> SVG_length(AF$24:AF$29)</f>
        <v>311</v>
      </c>
      <c r="AH22" cm="1">
        <f t="array" ref="AH22" xml:space="preserve"> SVG_length(AH$24:AH$29)</f>
        <v>185</v>
      </c>
      <c r="AJ22" cm="1">
        <f t="array" ref="AJ22" xml:space="preserve"> SVG_length(AJ$24:AJ$29)</f>
        <v>196</v>
      </c>
      <c r="AL22" cm="1">
        <f t="array" ref="AL22" xml:space="preserve"> SVG_length(AL$24:AL$29)</f>
        <v>185</v>
      </c>
      <c r="AN22" cm="1">
        <f t="array" ref="AN22" xml:space="preserve"> SVG_length(AN$24:AN$29)</f>
        <v>186</v>
      </c>
      <c r="AP22" cm="1">
        <f t="array" ref="AP22" xml:space="preserve"> SVG_length(AP$24:AP$29)</f>
        <v>433</v>
      </c>
      <c r="AR22" cm="1">
        <f t="array" ref="AR22" xml:space="preserve"> SVG_length(AR$24:AR$29)</f>
        <v>179</v>
      </c>
      <c r="AT22" cm="1">
        <f t="array" ref="AT22" xml:space="preserve"> SVG_length(AT$24:AT$29)</f>
        <v>189</v>
      </c>
      <c r="AV22" cm="1">
        <f t="array" ref="AV22" xml:space="preserve"> SVG_length(AV$24:AV$29)</f>
        <v>210</v>
      </c>
      <c r="AX22" cm="1">
        <f t="array" ref="AX22" xml:space="preserve"> SVG_length(AX$24:AX$29)</f>
        <v>210</v>
      </c>
      <c r="AZ22" cm="1">
        <f t="array" ref="AZ22" xml:space="preserve"> SVG_length(AZ$24:AZ$29)</f>
        <v>186</v>
      </c>
      <c r="BB22" cm="1">
        <f t="array" ref="BB22" xml:space="preserve"> SVG_length(BB$24:BB$29)</f>
        <v>174</v>
      </c>
      <c r="BD22" cm="1">
        <f t="array" ref="BD22" xml:space="preserve"> SVG_length(BD$24:BD$29)</f>
        <v>259</v>
      </c>
      <c r="BF22" cm="1">
        <f t="array" ref="BF22" xml:space="preserve"> SVG_length(BF$24:BF$29)</f>
        <v>215</v>
      </c>
      <c r="BH22" cm="1">
        <f t="array" ref="BH22" xml:space="preserve"> SVG_length(BH$24:BH$29)</f>
        <v>260</v>
      </c>
      <c r="BJ22" cm="1">
        <f t="array" ref="BJ22" xml:space="preserve"> SVG_length(BJ$24:BJ$29)</f>
        <v>310</v>
      </c>
      <c r="BL22" cm="1">
        <f t="array" ref="BL22" xml:space="preserve"> SVG_length(BL$24:BL$29)</f>
        <v>263</v>
      </c>
      <c r="BN22" cm="1">
        <f t="array" ref="BN22" xml:space="preserve"> SVG_length(BN$24:BN$29)</f>
        <v>263</v>
      </c>
      <c r="BP22" cm="1">
        <f t="array" ref="BP22" xml:space="preserve"> SVG_length(BP$24:BP$29)</f>
        <v>291</v>
      </c>
      <c r="BR22" cm="1">
        <f t="array" ref="BR22" xml:space="preserve"> SVG_length(BR$24:BR$29)</f>
        <v>285</v>
      </c>
      <c r="BT22" cm="1">
        <f t="array" ref="BT22" xml:space="preserve"> SVG_length(BT$24:BT$29)</f>
        <v>196</v>
      </c>
      <c r="BV22" cm="1">
        <f t="array" ref="BV22" xml:space="preserve"> SVG_length(BV$24:BV$29)</f>
        <v>255</v>
      </c>
      <c r="BX22" cm="1">
        <f t="array" ref="BX22" xml:space="preserve"> SVG_length(BX$24:BX$29)</f>
        <v>375</v>
      </c>
      <c r="BZ22" cm="1">
        <f t="array" ref="BZ22" xml:space="preserve"> SVG_length(BZ$24:BZ$29)</f>
        <v>236</v>
      </c>
      <c r="CB22" cm="1">
        <f t="array" ref="CB22" xml:space="preserve"> SVG_length(CB$24:CB$29)</f>
        <v>238</v>
      </c>
      <c r="CD22" cm="1">
        <f t="array" ref="CD22" xml:space="preserve"> SVG_length(CD$24:CD$29)</f>
        <v>266</v>
      </c>
    </row>
    <row r="23" spans="2:99">
      <c r="B23" s="4" t="s">
        <v>370</v>
      </c>
    </row>
    <row r="24" spans="2:99">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width='9.86' height='8.7' viewBox='-17 -15 34 30'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width='10.92' height='7.8' viewBox='-7 -5 14 10'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width='10.66667' height='8' viewBox='-4 -3 8 6'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CC24" s="7" t="str">
        <f xml:space="preserve"> ""</f>
        <v/>
      </c>
      <c r="C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width='8.13333' height='12.2' viewBox='-10 -15 20 30'  id='%thisID%' xmlns='http://www.w3.org/2000/svg'&gt;</v>
      </c>
      <c r="CE24" s="7" t="str">
        <f t="shared" ref="CE24:CE29" si="10" xml:space="preserve"> ""</f>
        <v/>
      </c>
      <c r="CF24" s="16" t="str">
        <f t="shared" ref="CF24:CS24" si="11"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width='11.8' height='11.8' viewBox='-4 -4 8 8'  id='%thisID%' xmlns='http://www.w3.org/2000/svg'&gt;</v>
      </c>
      <c r="CG24" s="16" t="str">
        <f t="shared" si="11"/>
        <v>&lt;svg width='11.8' height='11.8' viewBox='-4 -4 8 8'  id='%thisID%' xmlns='http://www.w3.org/2000/svg'&gt;</v>
      </c>
      <c r="CH24" s="16" t="str">
        <f t="shared" si="11"/>
        <v>&lt;svg width='11.8' height='11.8' viewBox='-4 -4 8 8'  id='%thisID%' xmlns='http://www.w3.org/2000/svg'&gt;</v>
      </c>
      <c r="CI24" s="16" t="str">
        <f t="shared" si="11"/>
        <v>&lt;svg width='11.8' height='11.8' viewBox='-4 -4 8 8'  id='%thisID%' xmlns='http://www.w3.org/2000/svg'&gt;</v>
      </c>
      <c r="CJ24" s="16" t="str">
        <f t="shared" si="11"/>
        <v>&lt;svg width='11.8' height='11.8' viewBox='-4 -4 8 8'  id='%thisID%' xmlns='http://www.w3.org/2000/svg'&gt;</v>
      </c>
      <c r="CK24" s="16" t="str">
        <f t="shared" si="11"/>
        <v>&lt;svg width='11.8' height='11.8' viewBox='-4 -4 8 8'  id='%thisID%' xmlns='http://www.w3.org/2000/svg'&gt;</v>
      </c>
      <c r="CL24" s="16" t="str">
        <f t="shared" si="11"/>
        <v>&lt;svg width='11.8' height='11.8' viewBox='-4 -4 8 8'  id='%thisID%' xmlns='http://www.w3.org/2000/svg'&gt;</v>
      </c>
      <c r="CM24" s="16" t="str">
        <f t="shared" si="11"/>
        <v>&lt;svg width='11.8' height='11.8' viewBox='-4 -4 8 8'  id='%thisID%' xmlns='http://www.w3.org/2000/svg'&gt;</v>
      </c>
      <c r="CN24" s="16" t="str">
        <f t="shared" si="11"/>
        <v>&lt;svg width='11.8' height='11.8' viewBox='-4 -4 8 8'  id='%thisID%' xmlns='http://www.w3.org/2000/svg'&gt;</v>
      </c>
      <c r="CO24" s="16" t="str">
        <f t="shared" si="11"/>
        <v>&lt;svg width='11.8' height='11.8' viewBox='-4 -4 8 8'  id='%thisID%' xmlns='http://www.w3.org/2000/svg'&gt;</v>
      </c>
      <c r="CP24" s="16" t="str">
        <f t="shared" si="11"/>
        <v>&lt;svg width='11.8' height='11.8' viewBox='-4 -4 8 8'  id='%thisID%' xmlns='http://www.w3.org/2000/svg'&gt;</v>
      </c>
      <c r="CQ24" s="16" t="str">
        <f t="shared" si="11"/>
        <v>&lt;svg width='11.8' height='11.8' viewBox='-4 -4 8 8'  id='%thisID%' xmlns='http://www.w3.org/2000/svg'&gt;</v>
      </c>
      <c r="CR24" s="16" t="str">
        <f t="shared" si="11"/>
        <v>&lt;svg width='11.8' height='11.8' viewBox='-4 -4 8 8'  id='%thisID%' xmlns='http://www.w3.org/2000/svg'&gt;</v>
      </c>
      <c r="CS24" s="16" t="str">
        <f t="shared" si="11"/>
        <v>&lt;svg width='11.8' height='11.8' viewBox='-4 -4 8 8'  id='%thisID%' xmlns='http://www.w3.org/2000/svg'&gt;</v>
      </c>
      <c r="CT24" s="7" t="str">
        <f t="shared" ref="CT24:CT29" si="12" xml:space="preserve"> ""</f>
        <v/>
      </c>
      <c r="CU24" s="8" t="str">
        <f xml:space="preserve"> ""</f>
        <v/>
      </c>
    </row>
    <row r="25" spans="2:99">
      <c r="C25" t="str">
        <f t="shared" ref="C25:CU29" si="13" xml:space="preserve"> ""</f>
        <v/>
      </c>
      <c r="D25" s="21" t="str">
        <f xml:space="preserve"> IF(_xlfn.SINGLE(Simple.MaxX)&lt;&gt;0, "&lt;circle " &amp; _xlfn.SINGLE(Simple.SVG_painting_2) &amp; " r='" &amp; ROUND(_xlfn.SINGLE(Simple.MaxY), DecimalPlaces) &amp; "'/&gt;", "")</f>
        <v>&lt;circle  fill='#FF33FF'  r='10'/&gt;</v>
      </c>
      <c r="E25" t="str">
        <f t="shared" si="13"/>
        <v/>
      </c>
      <c r="F25" s="21" t="str">
        <f xml:space="preserve"> IF(_xlfn.SINGLE(Simple.MaxX)&lt;&gt;0, "&lt;circle " &amp; _xlfn.SINGLE(Simple.SVG_painting_2) &amp; " r='" &amp; ROUND(_xlfn.SINGLE(Simple.MaxY), DecimalPlaces) &amp; "'/&gt;", "")</f>
        <v>&lt;circle  fill='#039'  r='10'/&gt;</v>
      </c>
      <c r="G25" t="str">
        <f t="shared" si="13"/>
        <v/>
      </c>
      <c r="H25" s="21" t="str">
        <f xml:space="preserve"> IF(_xlfn.SINGLE(Simple.MaxX)&lt;&gt;0, "&lt;circle " &amp; _xlfn.SINGLE(Simple.SVG_painting_2) &amp; " r='" &amp; ROUND(_xlfn.SINGLE(Simple.MaxY), DecimalPlaces) &amp; "'/&gt;", "")</f>
        <v>&lt;circle  fill='#FF33FF' r='10'/&gt;</v>
      </c>
      <c r="I25" t="str">
        <f t="shared" si="13"/>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3"/>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3"/>
        <v/>
      </c>
      <c r="N25" s="5" t="str">
        <f xml:space="preserve"> "&lt;ellipse " &amp; _xlfn.SINGLE(Simple.SVG_painting_1) &amp; " ry='14' rx='11'/&gt;"</f>
        <v>&lt;ellipse fill='#C4272F' ry='14' rx='11'/&gt;</v>
      </c>
      <c r="O25" t="str">
        <f t="shared" si="13"/>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3"/>
        <v/>
      </c>
      <c r="R25" s="21" t="str" cm="1">
        <f t="array" ref="R25" xml:space="preserve"> svgPathRect(DecimalPlaces, _xlfn.SINGLE(Simple.SVG_painting_2), _xlfn.SINGLE(Simple.MaxX), _xlfn.SINGLE(Simple.MaxY))</f>
        <v>&lt;path fill='#009639' d='M6 5V-5H-6V5Z'/&gt;</v>
      </c>
      <c r="S25" t="str">
        <f t="shared" si="13"/>
        <v/>
      </c>
      <c r="T25" s="21" t="str" cm="1">
        <f t="array" ref="T25" xml:space="preserve"> svgPathRect(DecimalPlaces, _xlfn.SINGLE(Simple.SVG_painting_2), _xlfn.SINGLE(Simple.MaxX), _xlfn.SINGLE(Simple.MaxY))</f>
        <v>&lt;path fill='#002590' d='M17 15V-15H-17V15Z'/&gt;</v>
      </c>
      <c r="U25" t="str">
        <f t="shared" si="13"/>
        <v/>
      </c>
      <c r="V25" s="21" t="str" cm="1">
        <f t="array" ref="V25" xml:space="preserve"> svgPathRect(DecimalPlaces, _xlfn.SINGLE(Simple.SVG_painting_2), _xlfn.SINGLE(Simple.MaxX), _xlfn.SINGLE(Simple.MaxY))</f>
        <v>&lt;path fill='#000' d='M7 5V-5H-7V5Z'/&gt;</v>
      </c>
      <c r="W25" t="str">
        <f t="shared" si="13"/>
        <v/>
      </c>
      <c r="X25" s="21" t="str" cm="1">
        <f t="array" ref="X25" xml:space="preserve"> svgPathRect(DecimalPlaces, _xlfn.SINGLE(Simple.SVG_painting_2), _xlfn.SINGLE(Simple.MaxX), _xlfn.SINGLE(Simple.MaxY))</f>
        <v>&lt;path fill='#00843D' d='M4 3V-3H-4V3Z'/&gt;</v>
      </c>
      <c r="Y25" t="str">
        <f t="shared" si="13"/>
        <v/>
      </c>
      <c r="Z25" s="21" t="str">
        <f xml:space="preserve"> "&lt;defs&gt;&lt;path id='" &amp; _xlfn.SINGLE(Simple.ID) &amp; "-m' d='M56 -47L-67 -80 -56 47 67 80Z'/&gt;&lt;/defs&gt;"</f>
        <v>&lt;defs&gt;&lt;path id='IRR-m' d='M56 -47L-67 -80 -56 47 67 80Z'/&gt;&lt;/defs&gt;</v>
      </c>
      <c r="AA25" t="str">
        <f t="shared" si="13"/>
        <v/>
      </c>
      <c r="AB25" s="21" t="str">
        <f xml:space="preserve"> "&lt;circle " &amp; _xlfn.SINGLE(Simple.SVG_painting_2) &amp; " r='7'/&gt;"</f>
        <v>&lt;circle fill='#C8102E'  r='7'/&gt;</v>
      </c>
      <c r="AC25" t="str">
        <f t="shared" si="13"/>
        <v/>
      </c>
      <c r="AD25" s="5" t="str">
        <f xml:space="preserve"> "&lt;path " &amp; _xlfn.SINGLE(Simple.SVG_painting_2) &amp; " d='M" &amp; _xlfn.SINGLE(Simple.MaxX) &amp; " 0L0 " &amp; _xlfn.SINGLE(Simple.MaxY) &amp; "L" &amp; _xlfn.SINGLE(Simple.MinX) &amp; " 0L0 " &amp; _xlfn.SINGLE(Simple.MinY) &amp; "Z'/&gt;"</f>
        <v>&lt;path fill='#009639' d='M830 0L0 530L-830 0L0 -530Z'/&gt;</v>
      </c>
      <c r="AE25" t="str">
        <f t="shared" si="13"/>
        <v/>
      </c>
      <c r="AF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G25" t="str">
        <f t="shared" si="13"/>
        <v/>
      </c>
      <c r="AH25" s="21" t="str" cm="1">
        <f t="array" ref="AH25" xml:space="preserve"> svgPathRect(DecimalPlaces, _xlfn.SINGLE(Simple.SVG_painting_2), _xlfn.SINGLE(Simple.MaxX), _xlfn.SINGLE(Simple.MaxY))</f>
        <v>&lt;path fill='#009639' d='M6 6V-6H-6V6Z'/&gt;</v>
      </c>
      <c r="AI25" t="str">
        <f t="shared" si="13"/>
        <v/>
      </c>
      <c r="AJ25" s="21"/>
      <c r="AK25" t="str">
        <f t="shared" si="13"/>
        <v/>
      </c>
      <c r="AL25" s="21"/>
      <c r="AM25" t="str">
        <f t="shared" si="13"/>
        <v/>
      </c>
      <c r="AN25" s="21"/>
      <c r="AO25" t="str">
        <f t="shared" si="13"/>
        <v/>
      </c>
      <c r="AP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Q25" t="str">
        <f t="shared" si="13"/>
        <v/>
      </c>
      <c r="AR25" s="21"/>
      <c r="AS25" t="str">
        <f t="shared" si="13"/>
        <v/>
      </c>
      <c r="AT25" s="21"/>
      <c r="AU25" t="str">
        <f t="shared" si="13"/>
        <v/>
      </c>
      <c r="AV25" s="21" t="str" cm="1">
        <f t="array" ref="AV25" xml:space="preserve"> svgPathRect(DecimalPlaces, _xlfn.SINGLE(Simple.SVG_painting_2), _xlfn.SINGLE(Simple.MaxX), _xlfn.SINGLE(Simple.MaxY))</f>
        <v>&lt;path fill='black' d='M11 8V-8H-11V8Z'/&gt;</v>
      </c>
      <c r="AW25" t="str">
        <f t="shared" si="13"/>
        <v/>
      </c>
      <c r="AX25" s="21" t="str" cm="1">
        <f t="array" ref="AX25" xml:space="preserve"> svgPathRect(DecimalPlaces, _xlfn.SINGLE(Simple.SVG_painting_2), _xlfn.SINGLE(Simple.MaxX), _xlfn.SINGLE(Simple.MaxY))</f>
        <v>&lt;path fill='black' d='M11 8V-8H-11V8Z'/&gt;</v>
      </c>
      <c r="AY25" t="str">
        <f t="shared" si="13"/>
        <v/>
      </c>
      <c r="AZ25" s="21" t="str" cm="1">
        <f t="array" ref="AZ25" xml:space="preserve"> svgPathRect(DecimalPlaces, _xlfn.SINGLE(Simple.SVG_painting_2), _xlfn.SINGLE(Simple.MaxX), _xlfn.SINGLE(Simple.MaxY))</f>
        <v>&lt;path fill='#C8102E' d='M9 6V-6H-9V6Z'/&gt;</v>
      </c>
      <c r="BA25" t="str">
        <f t="shared" si="13"/>
        <v/>
      </c>
      <c r="BB25" s="21" t="str" cm="1">
        <f t="array" ref="BB25" xml:space="preserve"> svgPathRect(DecimalPlaces, _xlfn.SINGLE(Simple.SVG_painting_2), _xlfn.SINGLE(Simple.MaxX), _xlfn.SINGLE(Simple.MaxY))</f>
        <v>&lt;path fill='#C8102E' d='M9 6V-6H-9V6Z'/&gt;</v>
      </c>
      <c r="BC25" t="str">
        <f t="shared" si="13"/>
        <v/>
      </c>
      <c r="BD25" s="5" t="str">
        <f xml:space="preserve"> "&lt;path " &amp; _xlfn.SINGLE(Simple.SVG_painting_2) &amp; " d='M" &amp; (2*Thirds_O) &amp; " 0L0 " &amp; (Thirds_O) &amp; "L" &amp; (-2*Thirds_O) &amp; " 0L0 " &amp; (-Thirds_O) &amp; "Z'/&gt;"</f>
        <v>&lt;path fill='#EF3340' d='M54 0L0 27L-54 0L0 -27Z'/&gt;</v>
      </c>
      <c r="BE25" t="str">
        <f t="shared" si="13"/>
        <v/>
      </c>
      <c r="BF25" s="5" t="str">
        <f xml:space="preserve"> "&lt;path " &amp; _xlfn.SINGLE(Simple.SVG_painting_2) &amp; " d='M1 3H-1L-3 1V-1L-1 -3H1L3 -1V1Z'/&gt;"</f>
        <v>&lt;path fill='#FFF' d='M1 3H-1L-3 1V-1L-1 -3H1L3 -1V1Z'/&gt;</v>
      </c>
      <c r="BG25" t="str">
        <f t="shared" si="13"/>
        <v/>
      </c>
      <c r="BH25" s="5" t="str">
        <f xml:space="preserve"> "&lt;path " &amp; _xlfn.SINGLE(Simple.SVG_painting_2) &amp; " d='M" &amp; (3*Thirds_O) &amp; " 0L0 " &amp; (2*Thirds_O) &amp; "L" &amp; (-3*Thirds_O) &amp; " 0L0 " &amp; (-2*Thirds_O) &amp; "Z'/&gt;"</f>
        <v>&lt;path fill='#11457E' d='M81 0L0 54L-81 0L0 -54Z'/&gt;</v>
      </c>
      <c r="BI25" t="str">
        <f t="shared" si="13"/>
        <v/>
      </c>
      <c r="BJ25" s="5" t="str">
        <f xml:space="preserve"> _xlfn.LET(_xlpm.f,90,   "&lt;path " &amp; _xlfn.SINGLE(Simple.SVG_painting_3) &amp; " d='M" &amp; (4*_xlpm.f) &amp; " 0L0 " &amp; (3*_xlpm.f) &amp; "L" &amp; (-4*_xlpm.f) &amp; " 0L0 " &amp; (-3*_xlpm.f) &amp; "Z'/&gt;")</f>
        <v>&lt;path fill='#009736' d='M360 0L0 270L-360 0L0 -270Z'/&gt;</v>
      </c>
      <c r="BK25" t="str">
        <f t="shared" si="13"/>
        <v/>
      </c>
      <c r="BL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M25" t="str">
        <f t="shared" si="13"/>
        <v/>
      </c>
      <c r="BN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O25" t="str">
        <f t="shared" si="13"/>
        <v/>
      </c>
      <c r="BP25" s="5" t="str">
        <f xml:space="preserve"> "&lt;path " &amp; _xlfn.SINGLE(Simple.SVG_painting_2) &amp; " d='M0 -187L136 0 0 187 -136 0Z'/&gt;"</f>
        <v>&lt;path fill='#FFF' d='M0 -187L136 0 0 187 -136 0Z'/&gt;</v>
      </c>
      <c r="BQ25" t="str">
        <f t="shared" si="13"/>
        <v/>
      </c>
      <c r="BR25" s="21" t="str" cm="1">
        <f t="array" ref="BR25" xml:space="preserve"> svgPathRect(DecimalPlaces, _xlfn.SINGLE(Simple.SVG_painting_2), _xlfn.SINGLE(Simple.MaxX), _xlfn.SINGLE(Simple.MaxY))</f>
        <v>&lt;path fill='#2BCE75' d='M8 8V-8H-8V8Z'/&gt;</v>
      </c>
      <c r="BS25" t="str">
        <f t="shared" si="13"/>
        <v/>
      </c>
      <c r="BT25" s="21" t="str" cm="1">
        <f t="array" ref="BT25" xml:space="preserve"> svgPathRect(DecimalPlaces, _xlfn.SINGLE(Simple.SVG_painting_2), _xlfn.SINGLE(Simple.MaxX), _xlfn.SINGLE(Simple.MaxY))</f>
        <v>&lt;path fill='#244AA5' d='M5 5V-5H-5V5Z'/&gt;</v>
      </c>
      <c r="BU25" t="str">
        <f t="shared" si="13"/>
        <v/>
      </c>
      <c r="BV25" s="5" t="str">
        <f xml:space="preserve"> "&lt;rect " &amp; _xlfn.SINGLE(Simple.SVG_painting_2) &amp; " x='-20' y='-39.5' width='40' height='79' rx='6'/&gt;"</f>
        <v>&lt;rect fill='#D95B14' x='-20' y='-39.5' width='40' height='79' rx='6'/&gt;</v>
      </c>
      <c r="BW25" t="str">
        <f t="shared" si="13"/>
        <v/>
      </c>
      <c r="BX25" s="21" t="str">
        <f xml:space="preserve"> "&lt;ellipse rx='" &amp; _xlfn.SINGLE(Simple.MaxX) &amp; "' ry='" &amp; _xlfn.SINGLE(Simple.MaxY) &amp; "' " &amp; _xlfn.SINGLE(Simple.SVG_painting_2) &amp; "/&gt;"</f>
        <v>&lt;ellipse rx='40' ry='32' fill='#003399'/&gt;</v>
      </c>
      <c r="BY25" t="str">
        <f t="shared" si="13"/>
        <v/>
      </c>
      <c r="BZ25" s="21" t="str">
        <f xml:space="preserve"> "&lt;path " &amp; _xlfn.SINGLE(Simple.SVG_painting_2) &amp; " d='M-4 0A4 4 0 0 1 0 -4L4 0A4 4 0 0 1 0 4Z'/&gt;"</f>
        <v>&lt;path fill='#198D66' d='M-4 0A4 4 0 0 1 0 -4L4 0A4 4 0 0 1 0 4Z'/&gt;</v>
      </c>
      <c r="CA25" t="str">
        <f t="shared" si="13"/>
        <v/>
      </c>
      <c r="CB25" s="21" t="str">
        <f xml:space="preserve"> "&lt;ellipse rx='" &amp; _xlfn.SINGLE(Simple.MaxX) &amp; "' ry='" &amp; _xlfn.SINGLE(Simple.MaxY) &amp; "' " &amp; _xlfn.SINGLE(Simple.SVG_painting_2) &amp; "/&gt;"</f>
        <v>&lt;ellipse rx='2' ry='1' fill='#2A936A'/&gt;</v>
      </c>
      <c r="CC25" t="str">
        <f t="shared" si="13"/>
        <v/>
      </c>
      <c r="CD25" s="21" t="str">
        <f xml:space="preserve"> "&lt;ellipse " &amp; _xlfn.SINGLE(Simple.SVG_painting_2) &amp; " rx='" &amp; _xlfn.SINGLE(Simple.MaxX) &amp; "' ry='" &amp; _xlfn.SINGLE(Simple.MaxY) &amp; "'/&gt;"</f>
        <v>&lt;ellipse fill='#572600' rx='10' ry='15'/&gt;</v>
      </c>
      <c r="CE25" t="str">
        <f t="shared" si="13"/>
        <v/>
      </c>
      <c r="CF25" t="str">
        <f t="shared" ref="CF25:CS25" si="14" xml:space="preserve"> IF(LEN(_xlfn.SINGLE(Simple.SVG_painting_1))&gt;0, "&lt;g " &amp; _xlfn.SINGLE(Simple.SVG_painting_1) &amp; "&gt;", "")</f>
        <v/>
      </c>
      <c r="CG25" t="str">
        <f t="shared" si="14"/>
        <v/>
      </c>
      <c r="CH25" t="str">
        <f t="shared" si="14"/>
        <v/>
      </c>
      <c r="CI25" t="str">
        <f t="shared" si="14"/>
        <v/>
      </c>
      <c r="CJ25" t="str">
        <f t="shared" si="14"/>
        <v/>
      </c>
      <c r="CK25" t="str">
        <f t="shared" si="14"/>
        <v/>
      </c>
      <c r="CL25" t="str">
        <f t="shared" si="14"/>
        <v/>
      </c>
      <c r="CM25" t="str">
        <f t="shared" si="14"/>
        <v>&lt;g fill='#666'&gt;</v>
      </c>
      <c r="CN25" t="str">
        <f t="shared" si="14"/>
        <v>&lt;g fill='#666'&gt;</v>
      </c>
      <c r="CO25" t="str">
        <f t="shared" si="14"/>
        <v>&lt;g fill='#666'&gt;</v>
      </c>
      <c r="CP25" t="str">
        <f t="shared" si="14"/>
        <v>&lt;g fill='#666'&gt;</v>
      </c>
      <c r="CQ25" t="str">
        <f t="shared" si="14"/>
        <v>&lt;g fill='#666'&gt;</v>
      </c>
      <c r="CR25" t="str">
        <f t="shared" si="14"/>
        <v>&lt;g fill='#666'&gt;</v>
      </c>
      <c r="CS25" t="str">
        <f t="shared" si="14"/>
        <v>&lt;g fill='#666'&gt;</v>
      </c>
      <c r="CT25" t="str">
        <f t="shared" si="13"/>
        <v/>
      </c>
      <c r="CU25" s="9" t="str">
        <f t="shared" si="13"/>
        <v/>
      </c>
    </row>
    <row r="26" spans="2:99">
      <c r="C26" t="str">
        <f t="shared" si="13"/>
        <v/>
      </c>
      <c r="D26" s="21" t="str">
        <f xml:space="preserve"> IF(_xlfn.SINGLE(Simple.MaxX)&lt;&gt;0, "&lt;circle " &amp; _xlfn.SINGLE(Simple.SVG_painting_1) &amp; " r='" &amp; ROUND(_xlfn.SINGLE(Simple.MaxY) - 2, DecimalPlaces) &amp; "'/&gt;", "")</f>
        <v>&lt;circle  fill='#FFF'  r='8'/&gt;</v>
      </c>
      <c r="E26" t="str">
        <f t="shared" si="13"/>
        <v/>
      </c>
      <c r="F26" s="21" t="str">
        <f xml:space="preserve"> IF(_xlfn.SINGLE(Simple.MaxX)&lt;&gt;0, "&lt;circle " &amp; _xlfn.SINGLE(Simple.SVG_painting_1) &amp; " r='" &amp; ROUND(_xlfn.SINGLE(Simple.MaxY) - 2, DecimalPlaces) &amp; "'/&gt;", "")</f>
        <v>&lt;circle  fill='#FFF'  r='8'/&gt;</v>
      </c>
      <c r="G26" t="str">
        <f t="shared" si="13"/>
        <v/>
      </c>
      <c r="H26" s="21" t="str">
        <f xml:space="preserve"> IF(_xlfn.SINGLE(Simple.MaxX)&lt;&gt;0, "&lt;circle " &amp; _xlfn.SINGLE(Simple.SVG_painting_1) &amp; " r='" &amp; ROUND(_xlfn.SINGLE(Simple.MaxY) - 2, DecimalPlaces) &amp; "'/&gt;", "")</f>
        <v>&lt;circle  fill='#FFF'  r='8'/&gt;</v>
      </c>
      <c r="I26" t="str">
        <f t="shared" si="13"/>
        <v/>
      </c>
      <c r="J26" s="5" t="str">
        <f xml:space="preserve"> "&lt;circle " &amp; _xlfn.SINGLE(Simple.SVG_painting_1) &amp; " r='" &amp; (_xlfn.SINGLE(Simple.MaxX) / 2) &amp; "'/&gt;"</f>
        <v>&lt;circle fill='#FFF' r='2'/&gt;</v>
      </c>
      <c r="K26" t="str">
        <f t="shared" si="13"/>
        <v/>
      </c>
      <c r="L26" s="5" t="str">
        <f xml:space="preserve"> "&lt;circle " &amp; _xlfn.SINGLE(Simple.SVG_painting_1) &amp; " r='" &amp; (_xlfn.SINGLE(Simple.MaxX) / 2) &amp; "'/&gt;"</f>
        <v>&lt;circle fill='#0C4077' r='2'/&gt;</v>
      </c>
      <c r="M26" t="str">
        <f t="shared" si="13"/>
        <v/>
      </c>
      <c r="N26" s="5" t="str">
        <f xml:space="preserve"> "&lt;circle " &amp; _xlfn.SINGLE(Simple.SVG_painting_2) &amp; " r='8'/&gt;"</f>
        <v>&lt;circle fill='#F9CF02' r='8'/&gt;</v>
      </c>
      <c r="O26" t="str">
        <f t="shared" si="13"/>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3"/>
        <v/>
      </c>
      <c r="R26" s="21" t="str">
        <f xml:space="preserve"> "&lt;path " &amp; _xlfn.SINGLE(Simple.SVG_painting_1) &amp; " d='M -4 -3 H4 v2 H-4 Z   M -4 1 H4 v2 H-4 Z'/&gt;"</f>
        <v>&lt;path fill='#FFF' d='M -4 -3 H4 v2 H-4 Z   M -4 1 H4 v2 H-4 Z'/&gt;</v>
      </c>
      <c r="S26" t="str">
        <f t="shared" si="13"/>
        <v/>
      </c>
      <c r="T26" s="21" t="str">
        <f xml:space="preserve"> "&lt;path " &amp; _xlfn.SINGLE(Simple.SVG_painting_1) &amp; " d='M -11 -9 H11 v6 H-11 Z   M -11 3 H11 v6 H-11 Z'/&gt;"</f>
        <v>&lt;path fill='#FFF' d='M -11 -9 H11 v6 H-11 Z   M -11 3 H11 v6 H-11 Z'/&gt;</v>
      </c>
      <c r="U26" t="str">
        <f t="shared" si="13"/>
        <v/>
      </c>
      <c r="V26" s="21" t="str" cm="1">
        <f t="array" ref="V26" xml:space="preserve"> svgPathRect(DecimalPlaces, _xlfn.SINGLE(Simple.SVG_painting_1), _xlfn.SINGLE(Simple.MaxX) - 3, _xlfn.SINGLE(Simple.MaxY) - 3)</f>
        <v>&lt;path fill='#FFF' d='M4 2V-2H-4V2Z'/&gt;</v>
      </c>
      <c r="W26" t="str">
        <f t="shared" si="13"/>
        <v/>
      </c>
      <c r="X26" s="21" t="str" cm="1">
        <f t="array" ref="X26" xml:space="preserve"> svgPathRect(DecimalPlaces, _xlfn.SINGLE(Simple.SVG_painting_1), _xlfn.SINGLE(Simple.MaxX) - 1, _xlfn.SINGLE(Simple.MaxY) - 1)</f>
        <v>&lt;path fill='#F9423A' d='M3 2V-2H-3V2Z'/&gt;</v>
      </c>
      <c r="Y26" t="str">
        <f t="shared" si="13"/>
        <v/>
      </c>
      <c r="Z26" s="21" t="str">
        <f xml:space="preserve"> "&lt;use href='#" &amp; _xlfn.SINGLE(Simple.ID) &amp; "-m' " &amp; _xlfn.SINGLE(Simple.SVG_painting_2) &amp; "/&gt;"</f>
        <v>&lt;use href='#IRR-m' fill='#239F40'/&gt;</v>
      </c>
      <c r="AA26" t="str">
        <f t="shared" si="13"/>
        <v/>
      </c>
      <c r="AB26" s="21" t="str">
        <f xml:space="preserve"> "&lt;path " &amp; _xlfn.SINGLE(Simple.SVG_painting_1) &amp; " transform='rotate(36)' d='M7 1V-1H-7V1Z'/&gt;"</f>
        <v>&lt;path fill='#FFCD00'  transform='rotate(36)' d='M7 1V-1H-7V1Z'/&gt;</v>
      </c>
      <c r="AC26" t="str">
        <f t="shared" si="13"/>
        <v/>
      </c>
      <c r="AD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E26" t="str">
        <f t="shared" si="13"/>
        <v/>
      </c>
      <c r="AF26" s="5" t="str">
        <f xml:space="preserve"> "&lt;use href='#" &amp; _xlfn.SINGLE(Simple.ID) &amp; "-h' " &amp; _xlfn.SINGLE(Simple.SVG_painting_2) &amp; "/&gt;"</f>
        <v>&lt;use href='#BSD-h' fill='#00778B'/&gt;</v>
      </c>
      <c r="AG26" t="str">
        <f t="shared" si="13"/>
        <v/>
      </c>
      <c r="AH26" s="21" t="str" cm="1">
        <f t="array" ref="AH26" xml:space="preserve"> svgPathRect(DecimalPlaces, _xlfn.SINGLE(Simple.SVG_painting_1), _xlfn.SINGLE(Simple.MaxX) / 3, _xlfn.SINGLE(Simple.MaxY) - 1)</f>
        <v>&lt;path fill='#FFF' d='M2 5V-5H-2V5Z'/&gt;</v>
      </c>
      <c r="AI26" t="str">
        <f t="shared" si="13"/>
        <v/>
      </c>
      <c r="AJ26" s="5" t="str">
        <f xml:space="preserve"> "&lt;path " &amp; _xlfn.SINGLE(Simple.SVG_painting_1) &amp; " d='M1 0V1H0L-1 0V-1H0Z'/&gt;"</f>
        <v>&lt;path fill='#002D62' d='M1 0V1H0L-1 0V-1H0Z'/&gt;</v>
      </c>
      <c r="AK26" t="str">
        <f t="shared" si="13"/>
        <v/>
      </c>
      <c r="AL26" s="5" t="str">
        <f xml:space="preserve"> "&lt;path " &amp; _xlfn.SINGLE(Simple.SVG_painting_1) &amp; " d='M1 2H-2V-2L2 2V-2H-1 -2Z'/&gt;"</f>
        <v>&lt;path fill='#C8102E' d='M1 2H-2V-2L2 2V-2H-1 -2Z'/&gt;</v>
      </c>
      <c r="AM26" t="str">
        <f t="shared" si="13"/>
        <v/>
      </c>
      <c r="AN26" s="5" t="str">
        <f xml:space="preserve"> "&lt;path " &amp; _xlfn.SINGLE(Simple.SVG_painting_1) &amp; " d='M1 0L2 2H-2L-1 0L-2 -2H2Z'/&gt;"</f>
        <v>&lt;path fill='#009639' d='M1 0L2 2H-2L-1 0L-2 -2H2Z'/&gt;</v>
      </c>
      <c r="AO26" t="str">
        <f t="shared" si="13"/>
        <v/>
      </c>
      <c r="AP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Q26" t="str">
        <f t="shared" si="13"/>
        <v/>
      </c>
      <c r="AR26" s="5" t="str" cm="1">
        <f t="array" ref="AR26" xml:space="preserve"> svgPathRect(DecimalPlaces, _xlfn.SINGLE(Simple.SVG_painting_1), _xlfn.SINGLE(Simple.MaxX), _xlfn.SINGLE(Simple.MaxY))</f>
        <v>&lt;path fill='#FCD116' d='M4 4V-4H-4V4Z'/&gt;</v>
      </c>
      <c r="AS26" t="str">
        <f t="shared" si="13"/>
        <v/>
      </c>
      <c r="AT26" s="5" t="str" cm="1">
        <f t="array" ref="AT26" xml:space="preserve"> svgPathRect(DecimalPlaces, _xlfn.SINGLE(Simple.SVG_painting_1), _xlfn.SINGLE(Simple.MaxX), _xlfn.SINGLE(Simple.MaxY))</f>
        <v>&lt;path fill='#007FFF' d='M4 4V-4H-4V4Z'/&gt;</v>
      </c>
      <c r="AU26" t="str">
        <f t="shared" si="13"/>
        <v/>
      </c>
      <c r="AV26" s="21" t="str">
        <f xml:space="preserve"> "&lt;path " &amp; _xlfn.SINGLE(Simple.SVG_painting_1) &amp; " d='M -9 -7 h 4 v 14 h -4 Z   M 5 -7 h 4 v 14 h -4 Z   M -3 -7 h 6 v 14 h -6 Z'/&gt;"</f>
        <v>&lt;path fill='#FFF' d='M -9 -7 h 4 v 14 h -4 Z   M 5 -7 h 4 v 14 h -4 Z   M -3 -7 h 6 v 14 h -6 Z'/&gt;</v>
      </c>
      <c r="AW26" t="str">
        <f t="shared" si="13"/>
        <v/>
      </c>
      <c r="AX26" s="21" t="str">
        <f xml:space="preserve"> "&lt;path " &amp; _xlfn.SINGLE(Simple.SVG_painting_1) &amp; " d='M -9 -7 h 4 v 14 h -4 Z   M 5 -7 h 4 v 14 h -4 Z   M -3 -7 h 6 v 14 h -6 Z'/&gt;"</f>
        <v>&lt;path fill='#FF0000' d='M -9 -7 h 4 v 14 h -4 Z   M 5 -7 h 4 v 14 h -4 Z   M -3 -7 h 6 v 14 h -6 Z'/&gt;</v>
      </c>
      <c r="AY26" t="str">
        <f t="shared" si="13"/>
        <v/>
      </c>
      <c r="AZ26" s="21" t="str" cm="1">
        <f t="array" ref="AZ26" xml:space="preserve"> svgPathRect(DecimalPlaces, _xlfn.SINGLE(Simple.SVG_painting_1), 7, 2)</f>
        <v>&lt;path fill='#FFF' d='M7 2V-2H-7V2Z'/&gt;</v>
      </c>
      <c r="BA26" t="str">
        <f t="shared" si="13"/>
        <v/>
      </c>
      <c r="BB26" s="21" t="str" cm="1">
        <f t="array" ref="BB26" xml:space="preserve"> svgPathRect(DecimalPlaces, _xlfn.SINGLE(Simple.SVG_painting_1), 7, 2)</f>
        <v>&lt;path fill='#000' d='M7 2V-2H-7V2Z'/&gt;</v>
      </c>
      <c r="BC26" t="str">
        <f t="shared" si="13"/>
        <v/>
      </c>
      <c r="BD26" s="5" t="str">
        <f xml:space="preserve"> "&lt;path " &amp; _xlfn.SINGLE(Simple.SVG_painting_1) &amp; " d='M" &amp; (2*Thirds_M) &amp; " 0L0 " &amp; (Thirds_M) &amp; "L" &amp; (-2*Thirds_M) &amp; " 0L0 " &amp; (-Thirds_M) &amp; "Z'/&gt;"</f>
        <v>&lt;path fill='#FFF' d='M38 0L0 19L-38 0L0 -19Z'/&gt;</v>
      </c>
      <c r="BE26" t="str">
        <f t="shared" si="13"/>
        <v/>
      </c>
      <c r="BF26" s="5" t="str">
        <f xml:space="preserve"> "&lt;path " &amp; _xlfn.SINGLE(Simple.SVG_painting_1) &amp; " d='M3 1V3H1V-3H3v2H-3V-3h2V3H-3V1Z'/&gt;"</f>
        <v>&lt;path fill='red' d='M3 1V3H1V-3H3v2H-3V-3h2V3H-3V1Z'/&gt;</v>
      </c>
      <c r="BG26" t="str">
        <f t="shared" si="13"/>
        <v/>
      </c>
      <c r="BH26" s="5" t="str">
        <f xml:space="preserve"> "&lt;path " &amp; _xlfn.SINGLE(Simple.SVG_painting_1) &amp; " d='M" &amp; (3*Thirds_M) &amp; " 0L0 " &amp; (2*Thirds_M) &amp; "L" &amp; (-3*Thirds_M) &amp; " 0L0 " &amp; (-2*Thirds_M) &amp; "Z'/&gt;"</f>
        <v>&lt;path fill='#D7141A' d='M57 0L0 38L-57 0L0 -38Z'/&gt;</v>
      </c>
      <c r="BI26" t="str">
        <f t="shared" si="13"/>
        <v/>
      </c>
      <c r="BJ26" s="5" t="str">
        <f xml:space="preserve"> _xlfn.LET(_xlpm.f,69,   "&lt;path " &amp; _xlfn.SINGLE(Simple.SVG_painting_2) &amp; " d='M" &amp; (4*_xlpm.f) &amp; " 0L0 " &amp; (3*_xlpm.f) &amp; "L" &amp; (-4*_xlpm.f) &amp; " 0L0 " &amp; (-3*_xlpm.f) &amp; "Z'/&gt;")</f>
        <v>&lt;path fill='#FFF' d='M276 0L0 207L-276 0L0 -207Z'/&gt;</v>
      </c>
      <c r="BK26" t="str">
        <f t="shared" si="13"/>
        <v/>
      </c>
      <c r="BL26" s="5" t="str">
        <f xml:space="preserve"> "&lt;path " &amp; _xlfn.SINGLE(Simple.SVG_painting_1) &amp; " d='M3 1V3H-3V1L3 -1V-3H-3v2Z'/&gt;"</f>
        <v>&lt;path fill='#FFF' d='M3 1V3H-3V1L3 -1V-3H-3v2Z'/&gt;</v>
      </c>
      <c r="BM26" t="str">
        <f t="shared" si="13"/>
        <v/>
      </c>
      <c r="BN26" s="5" t="str">
        <f xml:space="preserve"> "&lt;path " &amp; _xlfn.SINGLE(Simple.SVG_painting_1) &amp; " d='M3 1V3H-3V1L3 -1V-3H-3v2Z'/&gt;"</f>
        <v>&lt;path fill='#FFF' d='M3 1V3H-3V1L3 -1V-3H-3v2Z'/&gt;</v>
      </c>
      <c r="BO26" t="str">
        <f t="shared" si="13"/>
        <v/>
      </c>
      <c r="BP26" s="5" t="str">
        <f xml:space="preserve"> "&lt;path " &amp; _xlfn.SINGLE(Simple.SVG_painting_1) &amp; " d='M0 -187L136 0L0 187L-136 0L0 -187V187'/&gt;"</f>
        <v>&lt;path stroke-width='44' stroke-linejoin='round' stroke='#1B618C' fill='none'  d='M0 -187L136 0L0 187L-136 0L0 -187V187'/&gt;</v>
      </c>
      <c r="BQ26" t="str">
        <f t="shared" si="13"/>
        <v/>
      </c>
      <c r="BR26" s="5" t="str">
        <f xml:space="preserve"> "&lt;circle " &amp; _xlfn.SINGLE(Simple.SVG_painting_1) &amp; " r='" &amp; (_xlfn.SINGLE(Simple.MaxX) - 1) &amp; "'/&gt;"</f>
        <v>&lt;circle fill='#FFF' r='7'/&gt;</v>
      </c>
      <c r="BS26" t="str">
        <f t="shared" si="13"/>
        <v/>
      </c>
      <c r="BT26" s="5" t="str">
        <f xml:space="preserve"> "&lt;path " &amp; _xlfn.SINGLE(Simple.SVG_painting_1) &amp; " d='M4 1L-1 4L-4 -1L1 -4Z'/&gt;"</f>
        <v>&lt;path fill='#D0A650' d='M4 1L-1 4L-4 -1L1 -4Z'/&gt;</v>
      </c>
      <c r="BU26" t="str">
        <f t="shared" si="13"/>
        <v/>
      </c>
      <c r="BV26" s="5" t="str">
        <f xml:space="preserve"> "&lt;rect " &amp; _xlfn.SINGLE(Simple.SVG_painting_1) &amp; " x='-16' y='-35.5' width='32' height='71' rx='2'/&gt;"</f>
        <v>&lt;rect fill='#C7C7C7' x='-16' y='-35.5' width='32' height='71' rx='2'/&gt;</v>
      </c>
      <c r="BW26" t="str">
        <f t="shared" si="13"/>
        <v/>
      </c>
      <c r="BX26" s="5" t="str">
        <f xml:space="preserve"> "&lt;path id='" &amp; _xlfn.SINGLE(Simple.ID) &amp; "-a' " &amp; _xlfn.SINGLE(Simple.SVG_painting_1) &amp; " d='M35.9073 2C34.5565 16.5521 18.8814 28 0 28S-34.5565 16.5521 -35.9073 2Z'/&gt;"</f>
        <v>&lt;path id='_EIB-a' fill='#9D9D9C' d='M35.9073 2C34.5565 16.5521 18.8814 28 0 28S-34.5565 16.5521 -35.9073 2Z'/&gt;</v>
      </c>
      <c r="BY26" t="str">
        <f t="shared" si="13"/>
        <v/>
      </c>
      <c r="BZ26" s="21" t="str">
        <f xml:space="preserve"> "&lt;path " &amp; _xlfn.SINGLE(Simple.SVG_painting_1) &amp; " d='M0 -4A4 4 0 0 1 4 0L-4 0A4 4 0 0 0 0 4Z'/&gt;"</f>
        <v>&lt;path fill='#FCB90E' d='M0 -4A4 4 0 0 1 4 0L-4 0A4 4 0 0 0 0 4Z'/&gt;</v>
      </c>
      <c r="CA26" t="str">
        <f t="shared" si="13"/>
        <v/>
      </c>
      <c r="CB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C26" t="str">
        <f t="shared" si="13"/>
        <v/>
      </c>
      <c r="CD26" s="21" t="str">
        <f xml:space="preserve"> "&lt;g " &amp; _xlfn.SINGLE(Simple.SVG_painting_1) &amp; "&gt;&lt;ellipse ry='" &amp; _xlfn.SINGLE(Simple.MaxY) &amp; "' rx='2'/&gt;&lt;ellipse ry='2' rx='4' cx='6'/&gt;&lt;ellipse ry='2' rx='4' cx='-6'/&gt;&lt;/g&gt;"</f>
        <v>&lt;g fill='#FDB813'&gt;&lt;ellipse ry='15' rx='2'/&gt;&lt;ellipse ry='2' rx='4' cx='6'/&gt;&lt;ellipse ry='2' rx='4' cx='-6'/&gt;&lt;/g&gt;</v>
      </c>
      <c r="CE26" t="str">
        <f t="shared" si="10"/>
        <v/>
      </c>
      <c r="CF26" t="str">
        <f xml:space="preserve"> "&lt;path d='" &amp; $CG$40 &amp; $CG$47 &amp; "'/&gt;&lt;circle r='3.18198'/&gt;"</f>
        <v>&lt;path d='M-3 -4l-1 1L3 4L4 3ZM4 -3L3 -4L-4 3l1 1Z'/&gt;&lt;circle r='3.18198'/&gt;</v>
      </c>
      <c r="CG26" t="str">
        <f xml:space="preserve"> $CF26</f>
        <v>&lt;path d='M-3 -4l-1 1L3 4L4 3ZM4 -3L3 -4L-4 3l1 1Z'/&gt;&lt;circle r='3.18198'/&gt;</v>
      </c>
      <c r="CH26" t="str">
        <f t="shared" ref="CH26:CS26" si="15" xml:space="preserve"> $CF26</f>
        <v>&lt;path d='M-3 -4l-1 1L3 4L4 3ZM4 -3L3 -4L-4 3l1 1Z'/&gt;&lt;circle r='3.18198'/&gt;</v>
      </c>
      <c r="CI26" t="str">
        <f t="shared" si="15"/>
        <v>&lt;path d='M-3 -4l-1 1L3 4L4 3ZM4 -3L3 -4L-4 3l1 1Z'/&gt;&lt;circle r='3.18198'/&gt;</v>
      </c>
      <c r="CJ26" t="str">
        <f t="shared" si="15"/>
        <v>&lt;path d='M-3 -4l-1 1L3 4L4 3ZM4 -3L3 -4L-4 3l1 1Z'/&gt;&lt;circle r='3.18198'/&gt;</v>
      </c>
      <c r="CK26" t="str">
        <f t="shared" si="15"/>
        <v>&lt;path d='M-3 -4l-1 1L3 4L4 3ZM4 -3L3 -4L-4 3l1 1Z'/&gt;&lt;circle r='3.18198'/&gt;</v>
      </c>
      <c r="CL26" t="str">
        <f t="shared" si="15"/>
        <v>&lt;path d='M-3 -4l-1 1L3 4L4 3ZM4 -3L3 -4L-4 3l1 1Z'/&gt;&lt;circle r='3.18198'/&gt;</v>
      </c>
      <c r="CM26" t="str">
        <f t="shared" si="15"/>
        <v>&lt;path d='M-3 -4l-1 1L3 4L4 3ZM4 -3L3 -4L-4 3l1 1Z'/&gt;&lt;circle r='3.18198'/&gt;</v>
      </c>
      <c r="CN26" t="str">
        <f t="shared" si="15"/>
        <v>&lt;path d='M-3 -4l-1 1L3 4L4 3ZM4 -3L3 -4L-4 3l1 1Z'/&gt;&lt;circle r='3.18198'/&gt;</v>
      </c>
      <c r="CO26" t="str">
        <f t="shared" si="15"/>
        <v>&lt;path d='M-3 -4l-1 1L3 4L4 3ZM4 -3L3 -4L-4 3l1 1Z'/&gt;&lt;circle r='3.18198'/&gt;</v>
      </c>
      <c r="CP26" t="str">
        <f t="shared" si="15"/>
        <v>&lt;path d='M-3 -4l-1 1L3 4L4 3ZM4 -3L3 -4L-4 3l1 1Z'/&gt;&lt;circle r='3.18198'/&gt;</v>
      </c>
      <c r="CQ26" t="str">
        <f t="shared" si="15"/>
        <v>&lt;path d='M-3 -4l-1 1L3 4L4 3ZM4 -3L3 -4L-4 3l1 1Z'/&gt;&lt;circle r='3.18198'/&gt;</v>
      </c>
      <c r="CR26" t="str">
        <f t="shared" si="15"/>
        <v>&lt;path d='M-3 -4l-1 1L3 4L4 3ZM4 -3L3 -4L-4 3l1 1Z'/&gt;&lt;circle r='3.18198'/&gt;</v>
      </c>
      <c r="CS26" t="str">
        <f t="shared" si="15"/>
        <v>&lt;path d='M-3 -4l-1 1L3 4L4 3ZM4 -3L3 -4L-4 3l1 1Z'/&gt;&lt;circle r='3.18198'/&gt;</v>
      </c>
      <c r="CT26" t="str">
        <f t="shared" si="12"/>
        <v/>
      </c>
      <c r="CU26" s="9" t="str">
        <f t="shared" si="13"/>
        <v/>
      </c>
    </row>
    <row r="27" spans="2:99">
      <c r="C27" t="str">
        <f t="shared" si="13"/>
        <v/>
      </c>
      <c r="D27" s="21" t="str" cm="1">
        <f t="array" ref="D27" xml:space="preserve"> svgPathRect(DecimalPlaces, _xlfn.SINGLE(Simple.SVG_painting_2), D$36, 1)</f>
        <v>&lt;path fill='#FF33FF' d='M9 1V-1H-9V1Z'/&gt;</v>
      </c>
      <c r="E27" t="str">
        <f t="shared" si="13"/>
        <v/>
      </c>
      <c r="F27" s="21" t="str" cm="1">
        <f t="array" ref="F27" xml:space="preserve"> svgPathRect(DecimalPlaces, _xlfn.SINGLE(Simple.SVG_painting_2), F$36, 1)</f>
        <v>&lt;path fill='#039' d='M9 1V-1H-9V1Z'/&gt;</v>
      </c>
      <c r="G27" t="str">
        <f t="shared" si="13"/>
        <v/>
      </c>
      <c r="H27" s="21" t="str">
        <f xml:space="preserve"> "&lt;path " &amp; _xlfn.SINGLE(Simple.SVG_painting_2) &amp; " d='M" &amp; H$39 &amp; " 1V3H" &amp; (-H$39) &amp; "V1Z M" &amp; H$39 &amp; " -1V-3H" &amp; (-H$39) &amp; "V-1Z'/&gt;"</f>
        <v>&lt;path  fill='#FF33FF' d='M9 1V3H-9V1Z M9 -1V-3H-9V-1Z'/&gt;</v>
      </c>
      <c r="I27" t="str">
        <f t="shared" si="13"/>
        <v/>
      </c>
      <c r="J27" s="5"/>
      <c r="K27" t="str">
        <f t="shared" si="13"/>
        <v/>
      </c>
      <c r="L27" s="5"/>
      <c r="M27" t="str">
        <f t="shared" si="13"/>
        <v/>
      </c>
      <c r="N27" s="5" t="str">
        <f xml:space="preserve"> "&lt;circle " &amp; _xlfn.SINGLE(Simple.SVG_painting_1) &amp; " r='5'/&gt;"</f>
        <v>&lt;circle fill='#C4272F' r='5'/&gt;</v>
      </c>
      <c r="O27" t="str">
        <f t="shared" si="13"/>
        <v/>
      </c>
      <c r="P27" s="21" t="str" cm="1">
        <f t="array" ref="P27" xml:space="preserve"> svgPathRect(DecimalPlaces, _xlfn.SINGLE(Simple.SVG_painting_0), 3, 5)</f>
        <v>&lt;path fill='#CF101A' d='M3 5V-5H-3V5Z'/&gt;</v>
      </c>
      <c r="Q27" t="str">
        <f t="shared" si="13"/>
        <v/>
      </c>
      <c r="R27" s="21"/>
      <c r="S27" t="str">
        <f t="shared" si="13"/>
        <v/>
      </c>
      <c r="T27" s="21"/>
      <c r="U27" t="str">
        <f t="shared" si="13"/>
        <v/>
      </c>
      <c r="V27" s="21"/>
      <c r="W27" t="str">
        <f t="shared" si="13"/>
        <v/>
      </c>
      <c r="X27" s="21" t="str" cm="1">
        <f t="array" ref="X27" xml:space="preserve"> svgPathRect(DecimalPlaces, _xlfn.SINGLE(Simple.SVG_painting_0), _xlfn.SINGLE(Simple.MaxX) - 2, _xlfn.SINGLE(Simple.MaxY) - 2)</f>
        <v>&lt;path fill='#FFF' d='M2 1V-1H-2V1Z'/&gt;</v>
      </c>
      <c r="Y27" t="str">
        <f t="shared" si="13"/>
        <v/>
      </c>
      <c r="Z27" s="21" t="str">
        <f xml:space="preserve"> "&lt;use href='#" &amp; _xlfn.SINGLE(Simple.ID) &amp; "-m' " &amp; _xlfn.SINGLE(Simple.SVG_painting_1) &amp; " transform='scale(" &amp; ROUND(Thirds_M/Thirds_O,2) &amp; ")'/&gt;"</f>
        <v>&lt;use href='#IRR-m' fill='#FFF' transform='scale(0.7)'/&gt;</v>
      </c>
      <c r="AA27" t="str">
        <f t="shared" si="13"/>
        <v/>
      </c>
      <c r="AB27" s="21" t="str">
        <f xml:space="preserve"> "&lt;path " &amp; _xlfn.SINGLE(Simple.SVG_painting_0) &amp; " d='M0 -8A8 8 0 0 0 0 8 8 8 0 0 0 0 -8ZM0 -6A6 6 0 0 1 0 6 6 6 0 0 1 0 -6Z'/&gt;"</f>
        <v>&lt;path fill='black' d='M0 -8A8 8 0 0 0 0 8 8 8 0 0 0 0 -8ZM0 -6A6 6 0 0 1 0 6 6 6 0 0 1 0 -6Z'/&gt;</v>
      </c>
      <c r="AC27" t="str">
        <f t="shared" si="13"/>
        <v/>
      </c>
      <c r="AD27" s="5"/>
      <c r="AE27" t="str">
        <f t="shared" si="13"/>
        <v/>
      </c>
      <c r="AF27" s="5" t="str">
        <f xml:space="preserve"> "&lt;use href='#" &amp; _xlfn.SINGLE(Simple.ID) &amp; "-h' " &amp; _xlfn.SINGLE(Simple.SVG_painting_1) &amp; " transform='scale(" &amp; ROUND(Thirds_M / Thirds_O, 2) &amp; ")'/&gt;"</f>
        <v>&lt;use href='#BSD-h' fill='#FFC72C' transform='scale(0.7)'/&gt;</v>
      </c>
      <c r="AG27" t="str">
        <f t="shared" si="13"/>
        <v/>
      </c>
      <c r="AI27" t="str">
        <f t="shared" si="13"/>
        <v/>
      </c>
      <c r="AJ27" s="5" t="str">
        <f xml:space="preserve"> "&lt;path " &amp; _xlfn.SINGLE(Simple.SVG_painting_0) &amp; " d='M1 0V-1H0V1H-1V0Z'/&gt;"</f>
        <v>&lt;path fill='#CE1126' d='M1 0V-1H0V1H-1V0Z'/&gt;</v>
      </c>
      <c r="AK27" t="str">
        <f t="shared" si="13"/>
        <v/>
      </c>
      <c r="AL27" s="5" t="str">
        <f xml:space="preserve"> "&lt;path " &amp; _xlfn.SINGLE(Simple.SVG_painting_0) &amp; " d='M-2 -2H-1L2 2H1Z'/&gt;"</f>
        <v>&lt;path fill='black' d='M-2 -2H-1L2 2H1Z'/&gt;</v>
      </c>
      <c r="AM27" t="str">
        <f t="shared" si="13"/>
        <v/>
      </c>
      <c r="AN27" s="5" t="str">
        <f xml:space="preserve"> "&lt;path " &amp; _xlfn.SINGLE(Simple.SVG_painting_0) &amp; " d='M2 2V-2L-2 2V-2Z'/&gt;"</f>
        <v>&lt;path fill='black' d='M2 2V-2L-2 2V-2Z'/&gt;</v>
      </c>
      <c r="AO27" t="str">
        <f t="shared" si="13"/>
        <v/>
      </c>
      <c r="AP27" s="5" t="str">
        <f xml:space="preserve"> "&lt;use href='#" &amp; _xlfn.SINGLE(Simple.ID) &amp; "-m' transform='translate(-288,0)'/&gt;"</f>
        <v>&lt;use href='#KYS-m' transform='translate(-288,0)'/&gt;</v>
      </c>
      <c r="AQ27" t="str">
        <f t="shared" si="13"/>
        <v/>
      </c>
      <c r="AR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S27" t="str">
        <f t="shared" si="13"/>
        <v/>
      </c>
      <c r="AT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U27" t="str">
        <f t="shared" si="13"/>
        <v/>
      </c>
      <c r="AV27" s="21"/>
      <c r="AW27" t="str">
        <f t="shared" si="13"/>
        <v/>
      </c>
      <c r="AX27" s="21"/>
      <c r="AY27" t="str">
        <f t="shared" si="13"/>
        <v/>
      </c>
      <c r="BA27" t="str">
        <f t="shared" si="13"/>
        <v/>
      </c>
      <c r="BC27" t="str">
        <f t="shared" si="13"/>
        <v/>
      </c>
      <c r="BD27" s="5" t="str">
        <f xml:space="preserve"> "&lt;path " &amp; _xlfn.SINGLE(Simple.SVG_painting_0) &amp; " d='M" &amp; (2*Thirds_I) &amp; " 0L0 " &amp; (Thirds_I) &amp; "L" &amp; (-2*Thirds_I) &amp; " 0L0 " &amp; (-Thirds_I) &amp; "Z'/&gt;"</f>
        <v>&lt;path fill='#00A3E0' d='M20 0L0 10L-20 0L0 -10Z'/&gt;</v>
      </c>
      <c r="BE27" t="str">
        <f t="shared" si="13"/>
        <v/>
      </c>
      <c r="BF27" s="5"/>
      <c r="BG27" t="str">
        <f t="shared" si="13"/>
        <v/>
      </c>
      <c r="BH27" s="5" t="str">
        <f xml:space="preserve"> "&lt;path " &amp; _xlfn.SINGLE(Simple.SVG_painting_0) &amp; " d='M" &amp; (3*Thirds_I) &amp; " 0L0 " &amp; (2*Thirds_I) &amp; "L" &amp; (-3*Thirds_I) &amp; " 0L0 " &amp; (-2*Thirds_I) &amp; "Z'/&gt;"</f>
        <v>&lt;path fill='#FFF' d='M30 0L0 20L-30 0L0 -20Z'/&gt;</v>
      </c>
      <c r="BI27" t="str">
        <f t="shared" si="13"/>
        <v/>
      </c>
      <c r="BJ27" s="5" t="str">
        <f xml:space="preserve"> _xlfn.LET(_xlpm.f,47,   "&lt;path " &amp; _xlfn.SINGLE(Simple.SVG_painting_1) &amp; " d='M" &amp; (4*_xlpm.f) &amp; " 0L0 " &amp; (3*_xlpm.f) &amp; "L" &amp; (-4*_xlpm.f) &amp; " 0L0 " &amp; (-3*_xlpm.f) &amp; "Z'/&gt;")</f>
        <v>&lt;path fill='#000' d='M188 0L0 141L-188 0L0 -141Z'/&gt;</v>
      </c>
      <c r="BK27" t="str">
        <f t="shared" si="13"/>
        <v/>
      </c>
      <c r="BL27" s="21" t="str" cm="1">
        <f t="array" ref="BL27" xml:space="preserve"> svgPathRect(DecimalPlaces, _xlfn.SINGLE(Simple.SVG_painting_0), 3, 1)</f>
        <v>&lt;path fill='#FFD500' d='M3 1V-1H-3V1Z'/&gt;</v>
      </c>
      <c r="BM27" t="str">
        <f t="shared" si="13"/>
        <v/>
      </c>
      <c r="BN27" s="21" t="str" cm="1">
        <f t="array" ref="BN27" xml:space="preserve"> svgPathRect(DecimalPlaces, _xlfn.SINGLE(Simple.SVG_painting_0), 3, 1)</f>
        <v>&lt;path fill='#EF3340' d='M3 1V-1H-3V1Z'/&gt;</v>
      </c>
      <c r="BO27" t="str">
        <f t="shared" si="13"/>
        <v/>
      </c>
      <c r="BP27" s="5"/>
      <c r="BQ27" t="str">
        <f t="shared" si="13"/>
        <v/>
      </c>
      <c r="BR27" s="5" t="str">
        <f xml:space="preserve"> "&lt;circle " &amp; _xlfn.SINGLE(Simple.SVG_painting_0) &amp; " r='" &amp; (_xlfn.SINGLE(Simple.MaxX) - 3) &amp; "'/&gt;"</f>
        <v>&lt;circle fill='#0046C2' r='5'/&gt;</v>
      </c>
      <c r="BS27" t="str">
        <f t="shared" si="13"/>
        <v/>
      </c>
      <c r="BT27" s="5"/>
      <c r="BU27" t="str">
        <f t="shared" si="13"/>
        <v/>
      </c>
      <c r="BW27" t="str">
        <f t="shared" si="13"/>
        <v/>
      </c>
      <c r="BX27" s="5" t="str">
        <f xml:space="preserve"> "&lt;use href='#" &amp; _xlfn.SINGLE(Simple.ID) &amp; "-a' transform='rotate(180)'/&gt;"</f>
        <v>&lt;use href='#_EIB-a' transform='rotate(180)'/&gt;</v>
      </c>
      <c r="BY27" t="str">
        <f t="shared" si="13"/>
        <v/>
      </c>
      <c r="BZ27" s="62" t="str" cm="1">
        <f t="array" ref="BZ27" xml:space="preserve"> IF(FALSE, svgPathRect(DecimalPlaces, _xlfn.SINGLE(Simple.SVG_painting_0),  2,  1), "")</f>
        <v/>
      </c>
      <c r="CA27" t="str">
        <f t="shared" si="13"/>
        <v/>
      </c>
      <c r="CB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C27" t="str">
        <f t="shared" si="13"/>
        <v/>
      </c>
      <c r="CD27" s="21"/>
      <c r="CE27" t="str">
        <f t="shared" si="10"/>
        <v/>
      </c>
      <c r="CF27" t="str">
        <f t="shared" ref="CF27:CS27" si="16" xml:space="preserve"> IF(LEN(Simple.SVG_painting_1)&gt;0, "&lt;/g&gt;", "")</f>
        <v/>
      </c>
      <c r="CG27" t="str">
        <f t="shared" si="16"/>
        <v/>
      </c>
      <c r="CH27" t="str">
        <f t="shared" si="16"/>
        <v/>
      </c>
      <c r="CI27" t="str">
        <f t="shared" si="16"/>
        <v/>
      </c>
      <c r="CJ27" t="str">
        <f t="shared" si="16"/>
        <v/>
      </c>
      <c r="CK27" t="str">
        <f t="shared" si="16"/>
        <v/>
      </c>
      <c r="CL27" t="str">
        <f t="shared" si="16"/>
        <v/>
      </c>
      <c r="CM27" t="str">
        <f t="shared" si="16"/>
        <v>&lt;/g&gt;</v>
      </c>
      <c r="CN27" t="str">
        <f t="shared" si="16"/>
        <v>&lt;/g&gt;</v>
      </c>
      <c r="CO27" t="str">
        <f t="shared" si="16"/>
        <v>&lt;/g&gt;</v>
      </c>
      <c r="CP27" t="str">
        <f t="shared" si="16"/>
        <v>&lt;/g&gt;</v>
      </c>
      <c r="CQ27" t="str">
        <f t="shared" si="16"/>
        <v>&lt;/g&gt;</v>
      </c>
      <c r="CR27" t="str">
        <f t="shared" si="16"/>
        <v>&lt;/g&gt;</v>
      </c>
      <c r="CS27" t="str">
        <f t="shared" si="16"/>
        <v>&lt;/g&gt;</v>
      </c>
      <c r="CT27" t="str">
        <f t="shared" si="12"/>
        <v/>
      </c>
      <c r="CU27" s="9" t="str">
        <f t="shared" si="13"/>
        <v/>
      </c>
    </row>
    <row r="28" spans="2:99">
      <c r="C28" t="str">
        <f t="shared" si="13"/>
        <v/>
      </c>
      <c r="D28" s="21"/>
      <c r="E28" t="str">
        <f t="shared" si="13"/>
        <v/>
      </c>
      <c r="F28" s="21"/>
      <c r="G28" t="str">
        <f t="shared" si="13"/>
        <v/>
      </c>
      <c r="H28" s="21"/>
      <c r="I28" t="str">
        <f t="shared" si="13"/>
        <v/>
      </c>
      <c r="J28" s="5"/>
      <c r="K28" t="str">
        <f t="shared" si="13"/>
        <v/>
      </c>
      <c r="L28" s="5"/>
      <c r="M28" t="str">
        <f t="shared" si="13"/>
        <v/>
      </c>
      <c r="N28" s="5"/>
      <c r="O28" t="str">
        <f t="shared" si="13"/>
        <v/>
      </c>
      <c r="P28" s="21"/>
      <c r="Q28" t="str">
        <f t="shared" si="13"/>
        <v/>
      </c>
      <c r="R28" s="21"/>
      <c r="S28" t="str">
        <f t="shared" si="13"/>
        <v/>
      </c>
      <c r="T28" s="21"/>
      <c r="U28" t="str">
        <f t="shared" si="13"/>
        <v/>
      </c>
      <c r="V28" s="21"/>
      <c r="W28" t="str">
        <f t="shared" si="13"/>
        <v/>
      </c>
      <c r="X28" s="21"/>
      <c r="Y28" t="str">
        <f t="shared" si="13"/>
        <v/>
      </c>
      <c r="Z28" s="21" t="str">
        <f xml:space="preserve"> "&lt;use href='#" &amp; _xlfn.SINGLE(Simple.ID) &amp; "-m' " &amp; _xlfn.SINGLE(Simple.SVG_painting_0) &amp; " transform='scale(" &amp; ROUND(Thirds_I/Thirds_O,2) &amp; ")'/&gt;"</f>
        <v>&lt;use href='#IRR-m' fill='#DA0000' transform='scale(0.37)'/&gt;</v>
      </c>
      <c r="AA28" t="str">
        <f t="shared" si="13"/>
        <v/>
      </c>
      <c r="AB28" s="21"/>
      <c r="AC28" t="str">
        <f t="shared" si="13"/>
        <v/>
      </c>
      <c r="AD28" s="5"/>
      <c r="AE28" t="str">
        <f t="shared" si="13"/>
        <v/>
      </c>
      <c r="AF28" s="5" t="str">
        <f xml:space="preserve"> "&lt;use href='#" &amp; _xlfn.SINGLE(Simple.ID) &amp; "-h' " &amp; _xlfn.SINGLE(Simple.SVG_painting_0) &amp; " transform='scale(" &amp; ROUND(Thirds_I / Thirds_O, 2) &amp; ")'/&gt;"</f>
        <v>&lt;use href='#BSD-h' fill='black' transform='scale(0.37)'/&gt;</v>
      </c>
      <c r="AG28" t="str">
        <f t="shared" si="13"/>
        <v/>
      </c>
      <c r="AI28" t="str">
        <f t="shared" si="13"/>
        <v/>
      </c>
      <c r="AJ28" s="5"/>
      <c r="AK28" t="str">
        <f t="shared" si="13"/>
        <v/>
      </c>
      <c r="AL28" s="5"/>
      <c r="AM28" t="str">
        <f t="shared" si="13"/>
        <v/>
      </c>
      <c r="AN28" s="5"/>
      <c r="AO28" t="str">
        <f t="shared" si="13"/>
        <v/>
      </c>
      <c r="AP28" s="5" t="str">
        <f xml:space="preserve"> "&lt;ellipse " &amp; _xlfn.SINGLE(Simple.SVG_painting_0) &amp; " rx='48' ry='72'/&gt;"</f>
        <v>&lt;ellipse fill='#FFF' rx='48' ry='72'/&gt;</v>
      </c>
      <c r="AQ28" t="str">
        <f t="shared" si="13"/>
        <v/>
      </c>
      <c r="AR28" s="5"/>
      <c r="AS28" t="str">
        <f t="shared" si="13"/>
        <v/>
      </c>
      <c r="AT28" s="5"/>
      <c r="AU28" t="str">
        <f t="shared" si="13"/>
        <v/>
      </c>
      <c r="AV28" s="21"/>
      <c r="AW28" t="str">
        <f t="shared" si="13"/>
        <v/>
      </c>
      <c r="AX28" s="21"/>
      <c r="AY28" t="str">
        <f t="shared" si="13"/>
        <v/>
      </c>
      <c r="BA28" t="str">
        <f t="shared" si="13"/>
        <v/>
      </c>
      <c r="BC28" t="str">
        <f t="shared" si="13"/>
        <v/>
      </c>
      <c r="BD28" s="5"/>
      <c r="BE28" t="str">
        <f t="shared" si="13"/>
        <v/>
      </c>
      <c r="BF28" s="5"/>
      <c r="BG28" t="str">
        <f t="shared" si="13"/>
        <v/>
      </c>
      <c r="BH28" s="5"/>
      <c r="BI28" t="str">
        <f t="shared" si="13"/>
        <v/>
      </c>
      <c r="BJ28" s="5" t="str">
        <f xml:space="preserve"> _xlfn.LET(_xlpm.f,24,   "&lt;path " &amp; _xlfn.SINGLE(Simple.SVG_painting_0) &amp; " d='M" &amp; (4*_xlpm.f) &amp; " 0L0 " &amp; (3*_xlpm.f) &amp; "L" &amp; (-4*_xlpm.f) &amp; " 0L0 " &amp; (-3*_xlpm.f) &amp; "Z'/&gt;")</f>
        <v>&lt;path fill='#EE2A35' d='M96 0L0 72L-96 0L0 -72Z'/&gt;</v>
      </c>
      <c r="BK28" t="str">
        <f t="shared" si="13"/>
        <v/>
      </c>
      <c r="BL28" s="21"/>
      <c r="BM28" t="str">
        <f t="shared" si="13"/>
        <v/>
      </c>
      <c r="BN28" s="21"/>
      <c r="BO28" t="str">
        <f t="shared" si="13"/>
        <v/>
      </c>
      <c r="BP28" s="5"/>
      <c r="BQ28" t="str">
        <f t="shared" si="13"/>
        <v/>
      </c>
      <c r="BR28" s="5" t="str">
        <f xml:space="preserve"> "&lt;path transform='rotate(45)' " &amp; _xlfn.SINGLE(Simple.SVG_painting_1) &amp; " d='M1 6V-6L3 -5V5Z M-1 -6V6L-3 5V-5Z'/&gt;"</f>
        <v>&lt;path transform='rotate(45)' fill='#FFF' d='M1 6V-6L3 -5V5Z M-1 -6V6L-3 5V-5Z'/&gt;</v>
      </c>
      <c r="BS28" t="str">
        <f t="shared" si="13"/>
        <v/>
      </c>
      <c r="BT28" s="5"/>
      <c r="BU28" t="str">
        <f t="shared" si="13"/>
        <v/>
      </c>
      <c r="BW28" t="str">
        <f t="shared" si="13"/>
        <v/>
      </c>
      <c r="BX28" s="5" t="str">
        <f xml:space="preserve"> "&lt;path " &amp; _xlfn.SINGLE(Simple.SVG_painting_2) &amp; " d='M31 17H-31L-34 13H34Z M-31 -17H31L34 -13H-34Z'/&gt;"</f>
        <v>&lt;path fill='#003399' d='M31 17H-31L-34 13H34Z M-31 -17H31L34 -13H-34Z'/&gt;</v>
      </c>
      <c r="BY28" t="str">
        <f t="shared" si="13"/>
        <v/>
      </c>
      <c r="BZ28" s="5"/>
      <c r="CA28" t="str">
        <f t="shared" si="13"/>
        <v/>
      </c>
      <c r="CB28" s="5"/>
      <c r="CC28" t="str">
        <f t="shared" si="13"/>
        <v/>
      </c>
      <c r="CD28" s="5"/>
      <c r="CE28" t="str">
        <f t="shared" si="10"/>
        <v/>
      </c>
      <c r="CF28" t="str">
        <f t="shared" ref="CF28:CS28" si="17" xml:space="preserve"> "&lt;circle " &amp; _xlfn.SINGLE(Simple.SVG_painting_2) &amp; " r='1.76777'/&gt;"</f>
        <v>&lt;circle fill='#FFF' r='1.76777'/&gt;</v>
      </c>
      <c r="CG28" t="str">
        <f t="shared" si="17"/>
        <v>&lt;circle fill='#0F0' r='1.76777'/&gt;</v>
      </c>
      <c r="CH28" t="str">
        <f t="shared" si="17"/>
        <v>&lt;circle fill='#F00' r='1.76777'/&gt;</v>
      </c>
      <c r="CI28" t="str">
        <f t="shared" si="17"/>
        <v>&lt;circle fill='#00F' r='1.76777'/&gt;</v>
      </c>
      <c r="CJ28" t="str">
        <f t="shared" si="17"/>
        <v>&lt;circle fill='#F0F' r='1.76777'/&gt;</v>
      </c>
      <c r="CK28" t="str">
        <f t="shared" si="17"/>
        <v>&lt;circle fill='#0FF' r='1.76777'/&gt;</v>
      </c>
      <c r="CL28" t="str">
        <f t="shared" si="17"/>
        <v>&lt;circle fill='#FF0' r='1.76777'/&gt;</v>
      </c>
      <c r="CM28" t="str">
        <f t="shared" si="17"/>
        <v>&lt;circle fill='#FFF' r='1.76777'/&gt;</v>
      </c>
      <c r="CN28" t="str">
        <f t="shared" si="17"/>
        <v>&lt;circle fill='#0F0' r='1.76777'/&gt;</v>
      </c>
      <c r="CO28" t="str">
        <f t="shared" si="17"/>
        <v>&lt;circle fill='#F00' r='1.76777'/&gt;</v>
      </c>
      <c r="CP28" t="str">
        <f t="shared" si="17"/>
        <v>&lt;circle fill='#00F' r='1.76777'/&gt;</v>
      </c>
      <c r="CQ28" t="str">
        <f t="shared" si="17"/>
        <v>&lt;circle fill='#F0F' r='1.76777'/&gt;</v>
      </c>
      <c r="CR28" t="str">
        <f t="shared" si="17"/>
        <v>&lt;circle fill='#0FF' r='1.76777'/&gt;</v>
      </c>
      <c r="CS28" t="str">
        <f t="shared" si="17"/>
        <v>&lt;circle fill='#FF0' r='1.76777'/&gt;</v>
      </c>
      <c r="CT28" t="str">
        <f t="shared" si="12"/>
        <v/>
      </c>
      <c r="CU28" s="9" t="str">
        <f t="shared" si="13"/>
        <v/>
      </c>
    </row>
    <row r="29" spans="2:99">
      <c r="C29" s="10" t="str">
        <f t="shared" si="13"/>
        <v/>
      </c>
      <c r="D29" s="15" t="s">
        <v>15</v>
      </c>
      <c r="E29" s="10" t="str">
        <f t="shared" si="13"/>
        <v/>
      </c>
      <c r="F29" s="15" t="s">
        <v>15</v>
      </c>
      <c r="G29" s="10" t="str">
        <f t="shared" si="13"/>
        <v/>
      </c>
      <c r="H29" s="15" t="s">
        <v>15</v>
      </c>
      <c r="I29" s="10" t="str">
        <f t="shared" si="13"/>
        <v/>
      </c>
      <c r="J29" s="15" t="s">
        <v>15</v>
      </c>
      <c r="K29" s="10" t="str">
        <f t="shared" si="13"/>
        <v/>
      </c>
      <c r="L29" s="15" t="s">
        <v>15</v>
      </c>
      <c r="M29" s="10" t="str">
        <f t="shared" si="13"/>
        <v/>
      </c>
      <c r="N29" s="15" t="s">
        <v>15</v>
      </c>
      <c r="O29" s="10" t="str">
        <f t="shared" si="13"/>
        <v/>
      </c>
      <c r="P29" s="15" t="s">
        <v>15</v>
      </c>
      <c r="Q29" s="10" t="str">
        <f t="shared" si="13"/>
        <v/>
      </c>
      <c r="R29" s="15" t="s">
        <v>15</v>
      </c>
      <c r="S29" s="10" t="str">
        <f t="shared" si="13"/>
        <v/>
      </c>
      <c r="T29" s="15" t="s">
        <v>15</v>
      </c>
      <c r="U29" s="10" t="str">
        <f t="shared" si="13"/>
        <v/>
      </c>
      <c r="V29" s="15" t="s">
        <v>15</v>
      </c>
      <c r="W29" s="10" t="str">
        <f t="shared" si="13"/>
        <v/>
      </c>
      <c r="X29" s="15" t="s">
        <v>15</v>
      </c>
      <c r="Y29" s="10" t="str">
        <f t="shared" si="13"/>
        <v/>
      </c>
      <c r="Z29" s="24" t="s">
        <v>15</v>
      </c>
      <c r="AA29" s="10" t="str">
        <f t="shared" si="13"/>
        <v/>
      </c>
      <c r="AB29" s="24" t="s">
        <v>15</v>
      </c>
      <c r="AC29" s="10" t="str">
        <f t="shared" si="13"/>
        <v/>
      </c>
      <c r="AD29" s="15" t="s">
        <v>15</v>
      </c>
      <c r="AE29" s="10" t="str">
        <f t="shared" si="13"/>
        <v/>
      </c>
      <c r="AF29" s="15" t="s">
        <v>15</v>
      </c>
      <c r="AG29" s="10" t="str">
        <f t="shared" si="13"/>
        <v/>
      </c>
      <c r="AH29" s="15" t="s">
        <v>15</v>
      </c>
      <c r="AI29" s="10" t="str">
        <f t="shared" si="13"/>
        <v/>
      </c>
      <c r="AJ29" s="15" t="s">
        <v>15</v>
      </c>
      <c r="AK29" s="10" t="str">
        <f t="shared" si="13"/>
        <v/>
      </c>
      <c r="AL29" s="15" t="s">
        <v>15</v>
      </c>
      <c r="AM29" s="10" t="str">
        <f t="shared" si="13"/>
        <v/>
      </c>
      <c r="AN29" s="15" t="s">
        <v>15</v>
      </c>
      <c r="AO29" s="10" t="str">
        <f t="shared" si="13"/>
        <v/>
      </c>
      <c r="AP29" s="15" t="s">
        <v>15</v>
      </c>
      <c r="AQ29" s="10" t="str">
        <f t="shared" si="13"/>
        <v/>
      </c>
      <c r="AR29" s="15" t="s">
        <v>15</v>
      </c>
      <c r="AS29" s="10" t="str">
        <f t="shared" si="13"/>
        <v/>
      </c>
      <c r="AT29" s="15" t="s">
        <v>15</v>
      </c>
      <c r="AU29" s="10" t="str">
        <f t="shared" si="13"/>
        <v/>
      </c>
      <c r="AV29" s="15" t="s">
        <v>15</v>
      </c>
      <c r="AW29" s="10" t="str">
        <f t="shared" si="13"/>
        <v/>
      </c>
      <c r="AX29" s="15" t="s">
        <v>15</v>
      </c>
      <c r="AY29" s="10" t="str">
        <f t="shared" si="13"/>
        <v/>
      </c>
      <c r="AZ29" s="15" t="s">
        <v>15</v>
      </c>
      <c r="BA29" s="10" t="str">
        <f t="shared" si="13"/>
        <v/>
      </c>
      <c r="BB29" s="15" t="s">
        <v>15</v>
      </c>
      <c r="BC29" s="10" t="str">
        <f t="shared" si="13"/>
        <v/>
      </c>
      <c r="BD29" s="15" t="s">
        <v>15</v>
      </c>
      <c r="BE29" s="10" t="str">
        <f t="shared" si="13"/>
        <v/>
      </c>
      <c r="BF29" s="15" t="s">
        <v>15</v>
      </c>
      <c r="BG29" s="10" t="str">
        <f t="shared" si="13"/>
        <v/>
      </c>
      <c r="BH29" s="15" t="s">
        <v>15</v>
      </c>
      <c r="BI29" s="10" t="str">
        <f t="shared" si="13"/>
        <v/>
      </c>
      <c r="BJ29" s="15" t="s">
        <v>15</v>
      </c>
      <c r="BK29" s="10" t="str">
        <f t="shared" si="13"/>
        <v/>
      </c>
      <c r="BL29" s="15" t="s">
        <v>15</v>
      </c>
      <c r="BM29" s="10" t="str">
        <f t="shared" si="13"/>
        <v/>
      </c>
      <c r="BN29" s="15" t="s">
        <v>15</v>
      </c>
      <c r="BO29" s="10" t="str">
        <f t="shared" si="13"/>
        <v/>
      </c>
      <c r="BP29" s="15" t="s">
        <v>15</v>
      </c>
      <c r="BQ29" s="10" t="str">
        <f t="shared" si="13"/>
        <v/>
      </c>
      <c r="BR29" s="15" t="s">
        <v>15</v>
      </c>
      <c r="BS29" s="10" t="str">
        <f t="shared" si="13"/>
        <v/>
      </c>
      <c r="BT29" s="15" t="s">
        <v>15</v>
      </c>
      <c r="BU29" s="10" t="str">
        <f t="shared" si="13"/>
        <v/>
      </c>
      <c r="BV29" s="15" t="s">
        <v>15</v>
      </c>
      <c r="BW29" s="10" t="str">
        <f t="shared" si="13"/>
        <v/>
      </c>
      <c r="BX29" s="15" t="s">
        <v>15</v>
      </c>
      <c r="BY29" s="10" t="str">
        <f t="shared" si="13"/>
        <v/>
      </c>
      <c r="BZ29" s="15" t="s">
        <v>15</v>
      </c>
      <c r="CA29" s="10" t="str">
        <f t="shared" si="13"/>
        <v/>
      </c>
      <c r="CB29" s="15" t="s">
        <v>15</v>
      </c>
      <c r="CC29" s="10" t="str">
        <f t="shared" si="13"/>
        <v/>
      </c>
      <c r="CD29" s="15" t="s">
        <v>15</v>
      </c>
      <c r="CE29" s="10" t="str">
        <f t="shared" si="10"/>
        <v/>
      </c>
      <c r="CF29" s="15" t="s">
        <v>15</v>
      </c>
      <c r="CG29" s="15" t="str">
        <f xml:space="preserve"> $CF29</f>
        <v>&lt;/svg&gt;</v>
      </c>
      <c r="CH29" s="15" t="str">
        <f t="shared" ref="CH29:CS29" si="18" xml:space="preserve"> $CF29</f>
        <v>&lt;/svg&gt;</v>
      </c>
      <c r="CI29" s="15" t="str">
        <f t="shared" si="18"/>
        <v>&lt;/svg&gt;</v>
      </c>
      <c r="CJ29" s="15" t="str">
        <f t="shared" si="18"/>
        <v>&lt;/svg&gt;</v>
      </c>
      <c r="CK29" s="15" t="str">
        <f t="shared" si="18"/>
        <v>&lt;/svg&gt;</v>
      </c>
      <c r="CL29" s="15" t="str">
        <f t="shared" si="18"/>
        <v>&lt;/svg&gt;</v>
      </c>
      <c r="CM29" s="15" t="str">
        <f t="shared" si="18"/>
        <v>&lt;/svg&gt;</v>
      </c>
      <c r="CN29" s="15" t="str">
        <f t="shared" si="18"/>
        <v>&lt;/svg&gt;</v>
      </c>
      <c r="CO29" s="15" t="str">
        <f t="shared" si="18"/>
        <v>&lt;/svg&gt;</v>
      </c>
      <c r="CP29" s="15" t="str">
        <f t="shared" si="18"/>
        <v>&lt;/svg&gt;</v>
      </c>
      <c r="CQ29" s="15" t="str">
        <f t="shared" si="18"/>
        <v>&lt;/svg&gt;</v>
      </c>
      <c r="CR29" s="15" t="str">
        <f t="shared" si="18"/>
        <v>&lt;/svg&gt;</v>
      </c>
      <c r="CS29" s="15" t="str">
        <f t="shared" si="18"/>
        <v>&lt;/svg&gt;</v>
      </c>
      <c r="CT29" s="10" t="str">
        <f t="shared" si="12"/>
        <v/>
      </c>
      <c r="CU29" s="11" t="str">
        <f t="shared" si="13"/>
        <v/>
      </c>
    </row>
    <row r="32" spans="2:99">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CUP</v>
      </c>
      <c r="V32" t="str">
        <f xml:space="preserve"> _xlfn.SINGLE(Simple.ID)</f>
        <v>AFN</v>
      </c>
      <c r="X32" t="str">
        <f xml:space="preserve"> _xlfn.SINGLE(Simple.ID)</f>
        <v>MGA</v>
      </c>
      <c r="Z32" t="str">
        <f xml:space="preserve"> _xlfn.SINGLE(Simple.ID)</f>
        <v>IRR</v>
      </c>
      <c r="AB32" t="str">
        <f xml:space="preserve"> _xlfn.SINGLE(Simple.ID)</f>
        <v>AOA</v>
      </c>
      <c r="AD32" t="str">
        <f xml:space="preserve"> _xlfn.SINGLE(Simple.ID)</f>
        <v>BRL</v>
      </c>
      <c r="AF32" t="str">
        <f xml:space="preserve"> _xlfn.SINGLE(Simple.ID)</f>
        <v>BSD</v>
      </c>
      <c r="AH32" t="str">
        <f xml:space="preserve"> _xlfn.SINGLE(Simple.ID)</f>
        <v>NGN</v>
      </c>
      <c r="AJ32" t="str">
        <f xml:space="preserve"> _xlfn.SINGLE(Simple.ID)</f>
        <v>DOP</v>
      </c>
      <c r="AL32" t="str">
        <f xml:space="preserve"> _xlfn.SINGLE(Simple.ID)</f>
        <v>TTD</v>
      </c>
      <c r="AN32" t="str">
        <f xml:space="preserve"> _xlfn.SINGLE(Simple.ID)</f>
        <v>JMD</v>
      </c>
      <c r="AP32" t="str">
        <f xml:space="preserve"> _xlfn.SINGLE(Simple.ID)</f>
        <v>KYS</v>
      </c>
      <c r="AR32" t="str">
        <f xml:space="preserve"> _xlfn.SINGLE(Simple.ID)</f>
        <v>TZS</v>
      </c>
      <c r="AT32" t="str">
        <f xml:space="preserve"> _xlfn.SINGLE(Simple.ID)</f>
        <v>CDF</v>
      </c>
      <c r="AV32" t="str">
        <f xml:space="preserve"> _xlfn.SINGLE(Simple.ID)</f>
        <v>DE</v>
      </c>
      <c r="AX32" t="str">
        <f xml:space="preserve"> _xlfn.SINGLE(Simple.ID)</f>
        <v>DE_2</v>
      </c>
      <c r="AZ32" t="str">
        <f xml:space="preserve"> _xlfn.SINGLE(Simple.ID)</f>
        <v>AT</v>
      </c>
      <c r="BB32" t="str">
        <f xml:space="preserve"> _xlfn.SINGLE(Simple.ID)</f>
        <v>AT_2</v>
      </c>
      <c r="BD32" t="str">
        <f xml:space="preserve"> _xlfn.SINGLE(Simple.ID)</f>
        <v>LU</v>
      </c>
      <c r="BF32" t="str">
        <f xml:space="preserve"> _xlfn.SINGLE(Simple.ID)</f>
        <v>HR</v>
      </c>
      <c r="BH32" t="str">
        <f xml:space="preserve"> _xlfn.SINGLE(Simple.ID)</f>
        <v>CZK</v>
      </c>
      <c r="BJ32" t="str">
        <f xml:space="preserve"> _xlfn.SINGLE(Simple.ID)</f>
        <v>PS</v>
      </c>
      <c r="BL32" t="str">
        <f xml:space="preserve"> _xlfn.SINGLE(Simple.ID)</f>
        <v>_ESM</v>
      </c>
      <c r="BN32" t="str">
        <f xml:space="preserve"> _xlfn.SINGLE(Simple.ID)</f>
        <v>_EFSF</v>
      </c>
      <c r="BP32" t="str">
        <f xml:space="preserve"> _xlfn.SINGLE(Simple.ID)</f>
        <v>_KfW</v>
      </c>
      <c r="BR32" t="str">
        <f xml:space="preserve"> _xlfn.SINGLE(Simple.ID)</f>
        <v>_BCIE</v>
      </c>
      <c r="BT32" t="str">
        <f xml:space="preserve"> _xlfn.SINGLE(Simple.ID)</f>
        <v>XK</v>
      </c>
      <c r="BV32" t="str">
        <f xml:space="preserve"> _xlfn.SINGLE(Simple.ID)</f>
        <v>XPT</v>
      </c>
      <c r="BX32" t="str">
        <f xml:space="preserve"> _xlfn.SINGLE(Simple.ID)</f>
        <v>_EIB</v>
      </c>
      <c r="BZ32" t="str">
        <f xml:space="preserve"> _xlfn.SINGLE(Simple.ID)</f>
        <v>_AfExIm</v>
      </c>
      <c r="CB32" t="str">
        <f xml:space="preserve"> _xlfn.SINGLE(Simple.ID)</f>
        <v>GYD</v>
      </c>
      <c r="CD32" t="str">
        <f xml:space="preserve"> _xlfn.SINGLE(Simple.ID)</f>
        <v>XOF</v>
      </c>
      <c r="CF32" t="str">
        <f t="shared" ref="CF32:CS32" si="19" xml:space="preserve"> _xlfn.SINGLE(Simple.ID)</f>
        <v>XXX_0_FFF</v>
      </c>
      <c r="CG32" t="str">
        <f t="shared" si="19"/>
        <v>XXX_0_0F0</v>
      </c>
      <c r="CH32" t="str">
        <f t="shared" si="19"/>
        <v>XXX_0_F00</v>
      </c>
      <c r="CI32" t="str">
        <f t="shared" si="19"/>
        <v>XXX_0_00F</v>
      </c>
      <c r="CJ32" t="str">
        <f t="shared" si="19"/>
        <v>XXX_0_F0F</v>
      </c>
      <c r="CK32" t="str">
        <f t="shared" si="19"/>
        <v>XXX_0_0FF</v>
      </c>
      <c r="CL32" t="str">
        <f t="shared" si="19"/>
        <v>XXX_0_FF0</v>
      </c>
      <c r="CM32" t="str">
        <f t="shared" si="19"/>
        <v>XXX_6_FFF</v>
      </c>
      <c r="CN32" t="str">
        <f t="shared" si="19"/>
        <v>XXX_6_0F0</v>
      </c>
      <c r="CO32" t="str">
        <f t="shared" si="19"/>
        <v>XXX_6_F00</v>
      </c>
      <c r="CP32" t="str">
        <f t="shared" si="19"/>
        <v>XXX_6_00F</v>
      </c>
      <c r="CQ32" t="str">
        <f t="shared" si="19"/>
        <v>XXX_6_F0F</v>
      </c>
      <c r="CR32" t="str">
        <f t="shared" si="19"/>
        <v>XXX_6_0FF</v>
      </c>
      <c r="CS32" t="str">
        <f t="shared" si="19"/>
        <v>XXX_6_FF0</v>
      </c>
    </row>
    <row r="34" spans="3:85">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85">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c r="CF35">
        <v>-3</v>
      </c>
      <c r="CG35">
        <v>-4</v>
      </c>
    </row>
    <row r="36" spans="3:85">
      <c r="C36" t="str" cm="1">
        <f t="array" aca="1" ref="C36" ca="1" xml:space="preserve"> "Used in " &amp; CELL("address", $D$27) &amp; ": do not delete:"</f>
        <v>Used in $D$27: do not delete:</v>
      </c>
      <c r="D36">
        <f xml:space="preserve"> MROUND(AVERAGE(D34:D35), 0.2)</f>
        <v>9</v>
      </c>
      <c r="F36">
        <f xml:space="preserve"> MROUND(AVERAGE(F34:F35), 0.2)</f>
        <v>9</v>
      </c>
      <c r="CF36">
        <v>-4</v>
      </c>
      <c r="CG36">
        <v>-3</v>
      </c>
    </row>
    <row r="37" spans="3:85">
      <c r="G37" t="str" cm="1">
        <f t="array" aca="1" ref="G37" ca="1" xml:space="preserve"> "Used in " &amp; CELL("address", $H$39) &amp; ": do not delete:"</f>
        <v>Used in $H$39: do not delete:</v>
      </c>
      <c r="H37">
        <f xml:space="preserve"> SQRT((Simple.MaxX - 2)^2 - 3^2)</f>
        <v>7.416198487095663</v>
      </c>
      <c r="CF37">
        <v>3</v>
      </c>
      <c r="CG37">
        <v>4</v>
      </c>
    </row>
    <row r="38" spans="3:85">
      <c r="G38" t="str" cm="1">
        <f t="array" aca="1" ref="G38" ca="1" xml:space="preserve"> "Used in " &amp; CELL("address", $H$39) &amp; ": do not delete:"</f>
        <v>Used in $H$39: do not delete:</v>
      </c>
      <c r="H38">
        <f xml:space="preserve"> SQRT((Simple.MaxX - 0)^2 - 3^2)</f>
        <v>9.5393920141694561</v>
      </c>
      <c r="CF38">
        <v>4</v>
      </c>
      <c r="CG38">
        <v>3</v>
      </c>
    </row>
    <row r="39" spans="3:85">
      <c r="G39" t="str" cm="1">
        <f t="array" aca="1" ref="G39" ca="1" xml:space="preserve"> "Used in " &amp; CELL("address", $H$27) &amp; ": do not delete:"</f>
        <v>Used in $H$27: do not delete:</v>
      </c>
      <c r="H39">
        <f xml:space="preserve"> MROUND(AVERAGE(MAX(H$34, H$37), MIN(H$35, H$38)), 1)</f>
        <v>9</v>
      </c>
    </row>
    <row r="40" spans="3:85">
      <c r="T40">
        <f xml:space="preserve"> 15 * SQRT(3)/2</f>
        <v>12.990381056766578</v>
      </c>
      <c r="BF40" s="5"/>
      <c r="CG40" t="str">
        <f xml:space="preserve"> _xlfn.TEXTJOIN("", TRUE, svgpath($CF35:$CF38, $CG35:$CG38, 5))</f>
        <v>M-3 -4l-1 1L3 4L4 3Z</v>
      </c>
    </row>
    <row r="41" spans="3:85">
      <c r="T41">
        <f xml:space="preserve"> 15 * 2 - T40</f>
        <v>17.00961894323342</v>
      </c>
      <c r="BF41" s="5"/>
    </row>
    <row r="42" spans="3:85">
      <c r="T42">
        <f xml:space="preserve"> _xlfn.LET(_xlpm.actual,SQRT(3),   _xlpm.approx,26/15,   1 / LN(_xlpm.approx/_xlpm.actual) )</f>
        <v>1350.9997532689561</v>
      </c>
      <c r="CF42">
        <v>4</v>
      </c>
      <c r="CG42">
        <v>-3</v>
      </c>
    </row>
    <row r="43" spans="3:85">
      <c r="T43">
        <f xml:space="preserve"> 26^2   -   3 * 15^2</f>
        <v>1</v>
      </c>
      <c r="CF43">
        <v>3</v>
      </c>
      <c r="CG43">
        <v>-4</v>
      </c>
    </row>
    <row r="44" spans="3:85">
      <c r="T44" t="str">
        <f>"In the [flag of Cuba](https://en.wikipedia.org/wiki/Flag_of_Cuba#Specifications), from the tip of the red triangle to the edge of the fly has the ratio (4&amp;minus;&amp;radic;3)&amp;ratio;2 &amp;equiv; &amp;asymp;" &amp; ROUND(15*(4 - SQRT(3))/2,4) &amp; "&amp;ratio;15, here rounded to 17:&amp;ratio;15."</f>
        <v>In the [flag of Cuba](https://en.wikipedia.org/wiki/Flag_of_Cuba#Specifications), from the tip of the red triangle to the edge of the fly has the ratio (4&amp;minus;&amp;radic;3)&amp;ratio;2 &amp;equiv; &amp;asymp;17.0096&amp;ratio;15, here rounded to 17:&amp;ratio;15.</v>
      </c>
      <c r="CF44">
        <v>-4</v>
      </c>
      <c r="CG44">
        <v>3</v>
      </c>
    </row>
    <row r="45" spans="3:85">
      <c r="CF45">
        <v>-3</v>
      </c>
      <c r="CG45">
        <v>4</v>
      </c>
    </row>
    <row r="46" spans="3:85">
      <c r="T46">
        <f xml:space="preserve"> 15*(4 - SQRT(3)) / 2</f>
        <v>17.00961894323342</v>
      </c>
    </row>
    <row r="47" spans="3:85">
      <c r="CG47" t="str">
        <f xml:space="preserve"> _xlfn.TEXTJOIN("", TRUE, svgpath($CF42:$CF45, $CG42:$CG45, 5))</f>
        <v>M4 -3L3 -4L-4 3l1 1Z</v>
      </c>
    </row>
    <row r="48" spans="3:85">
      <c r="BF48" s="5"/>
    </row>
    <row r="49" spans="58:58">
      <c r="BF49" s="5"/>
    </row>
  </sheetData>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8"/>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I$40</f>
        <v>441</v>
      </c>
      <c r="F3" s="34">
        <v>1</v>
      </c>
      <c r="G3" s="34">
        <f xml:space="preserve"> AUD.SizeOuter * 0.65</f>
        <v>0.65</v>
      </c>
      <c r="I3" s="34">
        <f xml:space="preserve"> DecimalPlaces - INT(LOG(MIN(  MAX(AUD.RawX) - MIN(AUD.RawX),  MAX(AUD.RawY) - MIN(AUD.RawY)  )/2, 10) + 0.2)</f>
        <v>5</v>
      </c>
      <c r="O3">
        <f xml:space="preserve"> S$40</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13.4</v>
      </c>
      <c r="R29" s="4" t="s">
        <v>480</v>
      </c>
      <c r="S29">
        <f xml:space="preserve"> VALUE(TEXT(SQRT(JOD.AreaMultiplier * BasicBBoxArea * JOD.Aspect), SVG.NumberFormatHeight))</f>
        <v>13.4</v>
      </c>
    </row>
    <row r="30" spans="2:19">
      <c r="H30" s="4" t="s">
        <v>332</v>
      </c>
      <c r="I30">
        <f xml:space="preserve"> AUD.Height / AUD.Aspect</f>
        <v>13.064062</v>
      </c>
      <c r="R30" s="4" t="s">
        <v>481</v>
      </c>
      <c r="S30" cm="1">
        <f t="array" ref="S30" xml:space="preserve"> JOD.Height / JOD.Aspect</f>
        <v>13.064062</v>
      </c>
    </row>
    <row r="32" spans="2:19">
      <c r="H32" s="4" t="s">
        <v>333</v>
      </c>
      <c r="I32" t="s">
        <v>1058</v>
      </c>
      <c r="R32" s="4" t="s">
        <v>482</v>
      </c>
      <c r="S32" t="s">
        <v>745</v>
      </c>
    </row>
    <row r="33" spans="7:19">
      <c r="H33" s="4" t="s">
        <v>334</v>
      </c>
      <c r="I33" t="s">
        <v>724</v>
      </c>
      <c r="R33" s="4" t="s">
        <v>483</v>
      </c>
      <c r="S33" t="s">
        <v>2073</v>
      </c>
    </row>
    <row r="36" spans="7:19">
      <c r="H36" s="4" t="s">
        <v>2726</v>
      </c>
      <c r="I36"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_xlpm.ans,_xlpm.minX &amp; " " &amp; _xlpm.minY &amp; " " &amp; ROUND(_xlpm.maxX - _xlpm.minX, _xlpm.dp) &amp; " " &amp; ROUND(_xlpm.maxY - _xlpm.minY, _xlpm.dp),   _xlpm.ans)</f>
        <v>-0.97493 -1 1.94986 1.90097</v>
      </c>
      <c r="R36" s="4" t="s">
        <v>2725</v>
      </c>
      <c r="S36"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_xlpm.ans,_xlpm.minX &amp; " " &amp; _xlpm.minY &amp; " " &amp; ROUND(_xlpm.maxX - _xlpm.minX, _xlpm.dp) &amp; " " &amp; ROUND(_xlpm.maxY - _xlpm.minY, _xlpm.dp),   _xlpm.ans)</f>
        <v>-0.97493 -1 1.94986 1.90097</v>
      </c>
    </row>
    <row r="37" spans="7:19">
      <c r="H37" s="4" t="s">
        <v>2744</v>
      </c>
      <c r="I37">
        <f xml:space="preserve"> ROUND(_xlfn.SINGLE(AUD.Width) * (_xlfn.SINGLE(AUD.MaxX) - _xlfn.SINGLE(AUD.MinX)) / MAX(_xlfn.SINGLE(AUD.MaxX),  -_xlfn.SINGLE(AUD.MinX)) / 2, svgSizeDecimalPlaces)</f>
        <v>13.06406</v>
      </c>
      <c r="R37" s="4" t="s">
        <v>2746</v>
      </c>
      <c r="S37">
        <f xml:space="preserve"> ROUND(_xlfn.SINGLE(JOD.Width) * (_xlfn.SINGLE(JOD.MaxX) - _xlfn.SINGLE(JOD.MinX)) / MAX(_xlfn.SINGLE(JOD.MaxX),  -_xlfn.SINGLE(JOD.MinX)) / 2, svgSizeDecimalPlaces)</f>
        <v>13.06406</v>
      </c>
    </row>
    <row r="38" spans="7:19">
      <c r="H38" s="4" t="s">
        <v>2745</v>
      </c>
      <c r="I38">
        <f xml:space="preserve"> ROUND(_xlfn.SINGLE(AUD.Height) * (_xlfn.SINGLE(AUD.MaxY) - _xlfn.SINGLE(AUD.MinY)) / MAX(_xlfn.SINGLE(AUD.MaxY),  -_xlfn.SINGLE(AUD.MinY)) / 2, svgSizeDecimalPlaces)</f>
        <v>12.736499999999999</v>
      </c>
      <c r="R38" s="4" t="s">
        <v>2747</v>
      </c>
      <c r="S38">
        <f xml:space="preserve"> ROUND(_xlfn.SINGLE(JOD.Height) * (_xlfn.SINGLE(JOD.MaxY) - _xlfn.SINGLE(JOD.MinY)) / MAX(_xlfn.SINGLE(JOD.MaxY),  -_xlfn.SINGLE(JOD.MinY)) / 2, svgSizeDecimalPlaces)</f>
        <v>12.736499999999999</v>
      </c>
    </row>
    <row r="40" spans="7:19">
      <c r="I40" cm="1">
        <f t="array" ref="I40" xml:space="preserve"> SVG_length(AUD.svg)</f>
        <v>441</v>
      </c>
      <c r="S40" cm="1">
        <f t="array" ref="S40" xml:space="preserve"> SVG_length(JOD.svg)</f>
        <v>435</v>
      </c>
    </row>
    <row r="42" spans="7:19" ht="17" thickBot="1">
      <c r="I42" s="3" t="s">
        <v>339</v>
      </c>
      <c r="S42" s="3" t="s">
        <v>488</v>
      </c>
    </row>
    <row r="43" spans="7:19">
      <c r="G43" s="5"/>
      <c r="I43"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S43"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44" spans="7:19">
      <c r="G44" s="5"/>
      <c r="I44"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4"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5" spans="7:19">
      <c r="G45" s="5"/>
      <c r="I45" s="5" t="str">
        <f xml:space="preserve"> "&lt;use href='#AUD-s' " &amp; IF(LEN(_xlfn.SINGLE(AUD.SVG_painting_Outer))&gt;0, TRIM(_xlfn.SINGLE(AUD.SVG_painting_Outer)), "") &amp; "/&gt;"</f>
        <v>&lt;use href='#AUD-s' fill='#00843D'/&gt;</v>
      </c>
      <c r="S45" s="5" t="str">
        <f xml:space="preserve"> "&lt;use href='#JOD-s' " &amp; IF(LEN(_xlfn.SINGLE(JOD.SVG_painting_Outer))&gt;0, TRIM(_xlfn.SINGLE(JOD.SVG_painting_Outer)), "") &amp; "/&gt;"</f>
        <v>&lt;use href='#JOD-s' fill='#CE1126'/&gt;</v>
      </c>
    </row>
    <row r="46" spans="7:19">
      <c r="G46" s="5"/>
      <c r="I46" s="5" t="str">
        <f xml:space="preserve"> "&lt;use href='#AUD-s' " &amp; IF(LEN(_xlfn.SINGLE(AUD.SVG_painting_Inner))&gt;0, TRIM(_xlfn.SINGLE(AUD.SVG_painting_Inner)), "") &amp; " transform='scale(" &amp; ROUND(AUD.SizeInner/AUD.SizeOuter, DecimalPlaces) &amp; ")'/&gt;"</f>
        <v>&lt;use href='#AUD-s' fill='#FFCD00' transform='scale(0.65)'/&gt;</v>
      </c>
      <c r="S46" s="5" t="str">
        <f xml:space="preserve"> "&lt;use href='#JOD-s' " &amp; IF(LEN(_xlfn.SINGLE(JOD.SVG_painting_Inner))&gt;0, TRIM(_xlfn.SINGLE(JOD.SVG_painting_Inner)), "") &amp; " transform='scale(" &amp; ROUND(JOD.SizeInner/JOD.SizeOuter, DecimalPlaces) &amp; ")'/&gt;"</f>
        <v>&lt;use href='#JOD-s' fill='#FFF' transform='scale(0.65)'/&gt;</v>
      </c>
    </row>
    <row r="47" spans="7:19">
      <c r="G47" s="5"/>
      <c r="I47" s="5" t="s">
        <v>15</v>
      </c>
      <c r="S47" s="5" t="s">
        <v>15</v>
      </c>
    </row>
    <row r="48" spans="7:19">
      <c r="G48"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7.2</v>
      </c>
      <c r="L48">
        <v>7.2</v>
      </c>
      <c r="M48">
        <v>7.2</v>
      </c>
      <c r="N48">
        <v>7.2</v>
      </c>
      <c r="O48">
        <v>7.2</v>
      </c>
      <c r="P48">
        <v>7.2</v>
      </c>
    </row>
    <row r="49" spans="10:16">
      <c r="J49" s="4" t="s">
        <v>83</v>
      </c>
      <c r="K49" cm="1">
        <f t="array" ref="K49:P49" xml:space="preserve"> GBP.Height / GBP.Aspect</f>
        <v>14.4</v>
      </c>
      <c r="L49">
        <v>14.4</v>
      </c>
      <c r="M49">
        <v>14.4</v>
      </c>
      <c r="N49">
        <v>14.4</v>
      </c>
      <c r="O49">
        <v>14.4</v>
      </c>
      <c r="P49">
        <v>14.4</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5" t="str">
        <f xml:space="preserve"> $K53</f>
        <v>&lt;svg width='14.4' height='7.2' viewBox='-30 -15 60 30'  id='%thisID%' xmlns='http://www.w3.org/2000/svg'&gt;</v>
      </c>
      <c r="M53" s="5" t="str">
        <f t="shared" ref="M53:P53" si="2" xml:space="preserve"> $K53</f>
        <v>&lt;svg width='14.4' height='7.2' viewBox='-30 -15 60 30'  id='%thisID%' xmlns='http://www.w3.org/2000/svg'&gt;</v>
      </c>
      <c r="N53" s="5" t="str">
        <f t="shared" si="2"/>
        <v>&lt;svg width='14.4' height='7.2' viewBox='-30 -15 60 30'  id='%thisID%' xmlns='http://www.w3.org/2000/svg'&gt;</v>
      </c>
      <c r="O53" s="5" t="str">
        <f t="shared" si="2"/>
        <v>&lt;svg width='14.4' height='7.2' viewBox='-30 -15 60 30'  id='%thisID%' xmlns='http://www.w3.org/2000/svg'&gt;</v>
      </c>
      <c r="P53" s="5" t="str">
        <f t="shared" si="2"/>
        <v>&lt;svg width='14.4' height='7.2'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62"/>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-MAX(CAD.RawY), CAD.DecimalPlaces)</f>
        <v>-0.78868000000000005</v>
      </c>
    </row>
    <row r="39" spans="2:16">
      <c r="E39" s="4" t="s">
        <v>67</v>
      </c>
      <c r="F39">
        <f xml:space="preserve"> ROUND( -MIN(CAD.RawY), CAD.DecimalPlaces)</f>
        <v>1</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13</v>
      </c>
    </row>
    <row r="44" spans="2:16">
      <c r="E44" s="4" t="s">
        <v>87</v>
      </c>
      <c r="F44" cm="1">
        <f t="array" ref="F44" xml:space="preserve"> CAD.Height / CAD.Aspect</f>
        <v>13.42497</v>
      </c>
    </row>
    <row r="46" spans="2:16">
      <c r="E46" s="4" t="s">
        <v>77</v>
      </c>
      <c r="F46" t="s">
        <v>731</v>
      </c>
    </row>
    <row r="47" spans="2:16">
      <c r="E47" s="4" t="s">
        <v>78</v>
      </c>
      <c r="F47" t="s">
        <v>2073</v>
      </c>
    </row>
    <row r="49" spans="4:7" ht="17" thickBot="1">
      <c r="F49" s="3" t="s">
        <v>2748</v>
      </c>
      <c r="G49" s="3" t="s">
        <v>2750</v>
      </c>
    </row>
    <row r="50" spans="4:7">
      <c r="F50">
        <f xml:space="preserve"> ROUND(_xlfn.SINGLE(CAD.Width) * (_xlfn.SINGLE(CAD.MaxX) - _xlfn.SINGLE(CAD.MinX)) / MAX(_xlfn.SINGLE(CAD.MaxX),  -_xlfn.SINGLE(CAD.MinX)) / 2, svgSizeDecimalPlaces)</f>
        <v>13.42497</v>
      </c>
      <c r="G50">
        <f xml:space="preserve"> CAD.TightWidth</f>
        <v>13.42497</v>
      </c>
    </row>
    <row r="52" spans="4:7" ht="17" thickBot="1">
      <c r="F52" s="3" t="s">
        <v>2749</v>
      </c>
      <c r="G52" s="3" t="s">
        <v>2751</v>
      </c>
    </row>
    <row r="53" spans="4:7">
      <c r="F53">
        <f xml:space="preserve"> ROUND(_xlfn.SINGLE(CAD.Width) * (_xlfn.SINGLE(CAD.MaxY) - _xlfn.SINGLE(CAD.MinY)) / MAX(_xlfn.SINGLE(CAD.MaxY),  -_xlfn.SINGLE(CAD.MinY)) / 2, svgSizeDecimalPlaces)</f>
        <v>12.006489999999999</v>
      </c>
      <c r="G53">
        <f xml:space="preserve"> CAD.TightHeight</f>
        <v>12.006489999999999</v>
      </c>
    </row>
    <row r="55" spans="4:7" ht="17" thickBot="1">
      <c r="F55" s="3" t="s">
        <v>2732</v>
      </c>
      <c r="G55" s="3" t="s">
        <v>2733</v>
      </c>
    </row>
    <row r="56" spans="4:7">
      <c r="F56"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-1.03269 -0.78868 2.06538 1.78868</v>
      </c>
      <c r="G56" t="str">
        <f xml:space="preserve"> CAD.viewBoxTight</f>
        <v>-1.03269 -0.78868 2.06538 1.78868</v>
      </c>
    </row>
    <row r="58" spans="4:7" ht="17" thickBot="1">
      <c r="F58" s="3" t="s">
        <v>92</v>
      </c>
      <c r="G58" s="3" t="s">
        <v>2262</v>
      </c>
    </row>
    <row r="59" spans="4:7">
      <c r="D59" cm="1">
        <f t="array" ref="D59" xml:space="preserve"> SVG_length(CAD.svg)</f>
        <v>417</v>
      </c>
      <c r="F59"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9" s="16" t="str" cm="1">
        <f t="array" ref="G59:G62" xml:space="preserve"> SUBSTITUTE(CAD.svg, "fill='#FFF'", "fill='#666'")</f>
        <v>&lt;svg width='13.42497' height='13' viewBox='-1.03269 -1 2.06538 2'  id='%thisID%' xmlns='http://www.w3.org/2000/svg'&gt;</v>
      </c>
    </row>
    <row r="60" spans="4:7">
      <c r="F60" s="5" t="str" cm="1">
        <f t="array" ref="F60"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60" s="5" t="str">
        <v>&lt;path fill='red' d='M1.03269 -.21132 L.69936 -.40377 V-.78868 L0 -.3849 L-.69936 -.78868 v.38491 l-.33333 .19245 l.69936 .40377 V1 L0 .80755 L.33333 1 V.19245Z'/&gt;</v>
      </c>
    </row>
    <row r="61" spans="4:7">
      <c r="F61" s="5" t="str" cm="1">
        <f t="array" ref="F61"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61" s="5" t="str">
        <v>&lt;path fill='#666' d='M.73322 -.21132 l-.1836 -.106 v-.212 L0 -.212 L-.54962 -.52932 v.212 l-.1836 .106 L-.1836 .106 V.74065 L0 .63465 l.1836 .106 V.106Z'/&gt;</v>
      </c>
    </row>
    <row r="62" spans="4:7">
      <c r="F62" s="5" t="s">
        <v>15</v>
      </c>
      <c r="G62"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8"/>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-MAX(HKD.RawY), HKD.DecimalPlaces)</f>
        <v>-1</v>
      </c>
    </row>
    <row r="17" spans="4:5">
      <c r="D17" s="4" t="s">
        <v>199</v>
      </c>
      <c r="E17">
        <f xml:space="preserve"> ROUND( -MIN(HKD.RawY), HKD.DecimalPlaces)</f>
        <v>0.80901999999999996</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11.5</v>
      </c>
    </row>
    <row r="22" spans="4:5">
      <c r="D22" s="4" t="s">
        <v>195</v>
      </c>
      <c r="E22" cm="1">
        <f t="array" ref="E22" xml:space="preserve"> HKD.Height / HKD.Aspect</f>
        <v>10.937190000000001</v>
      </c>
    </row>
    <row r="23" spans="4:5">
      <c r="D23" s="4"/>
      <c r="E23" s="5"/>
    </row>
    <row r="24" spans="4:5">
      <c r="D24" s="4" t="s">
        <v>201</v>
      </c>
      <c r="E24" s="5" t="s">
        <v>731</v>
      </c>
    </row>
    <row r="25" spans="4:5">
      <c r="D25" s="4" t="s">
        <v>202</v>
      </c>
      <c r="E25" s="5" t="s">
        <v>2073</v>
      </c>
    </row>
    <row r="27" spans="4:5">
      <c r="D27" s="4" t="s">
        <v>2752</v>
      </c>
      <c r="E27">
        <f xml:space="preserve"> ROUND(_xlfn.SINGLE(HKD.Width) * (_xlfn.SINGLE(HKD.MaxX) - _xlfn.SINGLE(HKD.MinX)) / MAX(_xlfn.SINGLE(HKD.MaxX),  -_xlfn.SINGLE(HKD.MinX)) / 2, svgSizeDecimalPlaces)</f>
        <v>10.937189999999999</v>
      </c>
    </row>
    <row r="28" spans="4:5">
      <c r="D28" s="4" t="s">
        <v>2753</v>
      </c>
      <c r="E28">
        <f xml:space="preserve"> ROUND(_xlfn.SINGLE(HKD.Height) * (_xlfn.SINGLE(HKD.MaxY) - _xlfn.SINGLE(HKD.MinY)) / MAX(_xlfn.SINGLE(HKD.MaxY),  -_xlfn.SINGLE(HKD.MinY)) / 2, svgSizeDecimalPlaces)</f>
        <v>10.401870000000001</v>
      </c>
    </row>
    <row r="29" spans="4:5">
      <c r="D29" s="4" t="s">
        <v>2727</v>
      </c>
      <c r="E29"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-0.95106 -1 1.90212 1.80902</v>
      </c>
    </row>
    <row r="32" spans="4:5">
      <c r="E32" cm="1">
        <f t="array" ref="E32" xml:space="preserve"> SVG_length(HKD.svg)</f>
        <v>411</v>
      </c>
    </row>
    <row r="34" spans="5:5" ht="17" thickBot="1">
      <c r="E34" s="3" t="s">
        <v>200</v>
      </c>
    </row>
    <row r="35" spans="5:5">
      <c r="E35"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6" spans="5:5">
      <c r="E36" s="5" t="str">
        <f xml:space="preserve"> "&lt;defs&gt;&lt;path id='HKD-p' d='" &amp; _xlfn.TEXTJOIN(" ", TRUE, HKD.svgWorking) &amp; "'/&gt;&lt;/defs&gt;"</f>
        <v>&lt;defs&gt;&lt;path id='HKD-p' d='M0 -1 l.95106 .69098 L.58779 .80902 H-.58779 L-.95106 -.30902'/&gt;&lt;/defs&gt;</v>
      </c>
    </row>
    <row r="37" spans="5:5">
      <c r="E37"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8" spans="5:5">
      <c r="E38"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10</v>
      </c>
    </row>
    <row r="12" spans="5:6">
      <c r="E12" s="4" t="s">
        <v>208</v>
      </c>
      <c r="F12" cm="1">
        <f t="array" ref="F12" xml:space="preserve"> KRW.Height / KRW.Aspect</f>
        <v>10</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9.3000000000000007</v>
      </c>
    </row>
    <row r="44" spans="2:8">
      <c r="G44" s="4" t="s">
        <v>229</v>
      </c>
      <c r="H44" cm="1">
        <f t="array" ref="H44" xml:space="preserve"> MYR.Height / MYR.Aspect</f>
        <v>9.0668489999999995</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11.2</v>
      </c>
    </row>
    <row r="48" spans="2:5">
      <c r="D48" s="4" t="s">
        <v>242</v>
      </c>
      <c r="E48" cm="1">
        <f t="array" ref="E48" xml:space="preserve"> PHP.Height / PHP.Aspect</f>
        <v>11.2</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10</v>
      </c>
    </row>
    <row r="12" spans="5:8">
      <c r="G12" s="4" t="s">
        <v>288</v>
      </c>
      <c r="H12" cm="1">
        <f t="array" ref="H12" xml:space="preserve"> INR.Height / INR.Aspect</f>
        <v>10</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10</v>
      </c>
    </row>
    <row r="16" spans="6:9">
      <c r="H16" s="4" t="s">
        <v>265</v>
      </c>
      <c r="I16">
        <f xml:space="preserve"> KZT.Height / KZT.Aspect</f>
        <v>10</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11.2</v>
      </c>
    </row>
    <row r="54" spans="3:6">
      <c r="E54" s="4" t="s">
        <v>316</v>
      </c>
      <c r="F54" cm="1">
        <f t="array" ref="F54" xml:space="preserve"> PLN.Height / PLN.Aspect</f>
        <v>11.2</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10.8</v>
      </c>
    </row>
    <row r="49" spans="5:6">
      <c r="E49" s="4" t="s">
        <v>382</v>
      </c>
      <c r="F49" cm="1">
        <f t="array" ref="F49" xml:space="preserve">  RON.Height /  RON.Aspect</f>
        <v>9.6000000000000014</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9.1999999999999993</v>
      </c>
    </row>
    <row r="63" spans="2:6">
      <c r="E63" s="4" t="s">
        <v>397</v>
      </c>
      <c r="F63">
        <f xml:space="preserve">  MKD.Height /  MKD.Aspect</f>
        <v>9.1999999999999993</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388</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10</v>
      </c>
    </row>
    <row r="35" spans="4:6">
      <c r="E35" s="4" t="s">
        <v>2337</v>
      </c>
      <c r="F35" cm="1">
        <f t="array" ref="F35" xml:space="preserve">  AZN.Height /  AZN.Aspect</f>
        <v>10</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11.2</v>
      </c>
    </row>
    <row r="40" spans="2:6">
      <c r="D40" s="4" t="s">
        <v>2315</v>
      </c>
      <c r="E40" cm="1">
        <f t="array" ref="E40" xml:space="preserve">  AMD.Height /  AMD.Aspect</f>
        <v>11.2</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11.6</v>
      </c>
    </row>
    <row r="35" spans="4:6">
      <c r="E35" s="4" t="s">
        <v>2356</v>
      </c>
      <c r="F35" cm="1">
        <f t="array" ref="F35" xml:space="preserve">  TMT.Height /  TMT.Aspect</f>
        <v>11.6</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8.6</v>
      </c>
    </row>
    <row r="33" spans="4:6">
      <c r="E33" s="4" t="s">
        <v>2418</v>
      </c>
      <c r="F33" cm="1">
        <f t="array" ref="F33" xml:space="preserve">  NPR.Height /  NPR.Aspect</f>
        <v>16.125</v>
      </c>
    </row>
    <row r="36" spans="4:6" ht="17" thickBot="1">
      <c r="F36" s="3" t="s">
        <v>2419</v>
      </c>
    </row>
    <row r="37" spans="4:6">
      <c r="D37" cm="1">
        <f t="array" ref="D37" xml:space="preserve"> SVG_length(NPR.svg)</f>
        <v>237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12.5</v>
      </c>
      <c r="O14" s="5" t="s">
        <v>15</v>
      </c>
    </row>
    <row r="15" spans="2:15">
      <c r="B15" s="4" t="s">
        <v>899</v>
      </c>
      <c r="C15" cm="1">
        <f t="array" ref="C15" xml:space="preserve"> GEL.Height / GEL.Aspect</f>
        <v>12.5</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4"/>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 -MIN(RUB.Y), RUB.DecimalPlaces)</f>
        <v>0.80901999999999996</v>
      </c>
    </row>
    <row r="72" spans="10:13">
      <c r="J72" s="4" t="s">
        <v>863</v>
      </c>
      <c r="K72" s="28">
        <f xml:space="preserve"> ROUND( MIN(RUB.X), RUB.DecimalPlaces)</f>
        <v>-0.95106000000000002</v>
      </c>
    </row>
    <row r="73" spans="10:13">
      <c r="J73" s="4" t="s">
        <v>865</v>
      </c>
      <c r="K73" s="28">
        <f xml:space="preserve"> ROUND(-MAX(RUB.Y), RUB.DecimalPlaces)</f>
        <v>-1</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12.8</v>
      </c>
    </row>
    <row r="81" spans="8:11">
      <c r="J81" s="4" t="s">
        <v>2041</v>
      </c>
      <c r="K81" cm="1">
        <f t="array" ref="K81" xml:space="preserve">  RUB.Height /  RUB.Aspect</f>
        <v>12.173568000000001</v>
      </c>
    </row>
    <row r="83" spans="8:11">
      <c r="J83" s="4" t="s">
        <v>2754</v>
      </c>
      <c r="K83">
        <f xml:space="preserve"> ROUND(_xlfn.SINGLE(RUB.Width) * (_xlfn.SINGLE(RUB.MaxX) - _xlfn.SINGLE(RUB.MinX)) / MAX(_xlfn.SINGLE(RUB.MaxX),  -_xlfn.SINGLE(RUB.MinX)) / 2, svgSizeDecimalPlaces)</f>
        <v>12.17357</v>
      </c>
    </row>
    <row r="84" spans="8:11">
      <c r="J84" s="4" t="s">
        <v>2755</v>
      </c>
      <c r="K84">
        <f xml:space="preserve"> ROUND(_xlfn.SINGLE(RUB.Height) * (_xlfn.SINGLE(RUB.MaxY) - _xlfn.SINGLE(RUB.MinY)) / MAX(_xlfn.SINGLE(RUB.MaxY),  -_xlfn.SINGLE(RUB.MinY)) / 2, svgSizeDecimalPlaces)</f>
        <v>11.577730000000001</v>
      </c>
    </row>
    <row r="85" spans="8:11">
      <c r="J85" s="4" t="s">
        <v>2728</v>
      </c>
      <c r="K85"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-0.95106 -1 1.90212 1.80902</v>
      </c>
    </row>
    <row r="88" spans="8:11" ht="17" thickBot="1">
      <c r="K88" s="3" t="s">
        <v>2042</v>
      </c>
    </row>
    <row r="89" spans="8:11">
      <c r="H89" cm="1">
        <f t="array" ref="H89" xml:space="preserve"> SVG_length(RUB.svg)</f>
        <v>512</v>
      </c>
      <c r="J89" s="16"/>
      <c r="K89"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90" spans="8:11">
      <c r="J90" s="5"/>
      <c r="K90" s="5" t="str" cm="1">
        <f t="array" ref="K90" xml:space="preserve"> "&lt;defs&gt;&lt;path id='RUB-h' d='" &amp; _xlfn.TEXTJOIN(" ", TRUE,  IF("Gold"=RUB.Part,RUB.SvgWorking,"")) &amp; "'/&gt;&lt;/defs&gt;"</f>
        <v>&lt;defs&gt;&lt;path id='RUB-h' d='M0 -1 l.30976 .57365 l.6413 .11733 L.50121 .16285 L.58779 .80902 L0 .527 L-.58779 .80902 L-.50121 .16285 L-.95106 -.30902 l.6413 -.11733Z'/&gt;&lt;/defs&gt;</v>
      </c>
    </row>
    <row r="91" spans="8:11">
      <c r="J91" s="5"/>
      <c r="K91" s="5" t="str">
        <f xml:space="preserve"> "&lt;use href='#RUB-h' " &amp; TRIM(RUB.SVG_painting_B) &amp; "/&gt;"</f>
        <v>&lt;use href='#RUB-h' fill='#6A571B'/&gt;</v>
      </c>
    </row>
    <row r="92" spans="8:11">
      <c r="K92" s="5" t="str">
        <f xml:space="preserve"> "&lt;use href='#RUB-h' " &amp; TRIM(RUB.SVG_painting_G) &amp; " transform='scale(0.8)'/&gt;"</f>
        <v>&lt;use href='#RUB-h' fill='#D4AF37' transform='scale(0.8)'/&gt;</v>
      </c>
    </row>
    <row r="93" spans="8:11">
      <c r="H93">
        <f xml:space="preserve"> ATAN2($E$8, $F$8 - $F$7)</f>
        <v>-1.0756726673092731</v>
      </c>
      <c r="K93" s="5" t="str" cm="1">
        <f t="array" ref="K93" xml:space="preserve"> "&lt;path " &amp; SUBSTITUTE(TRIM(RUB.SVG_painting_B),"fill","stroke") &amp; " stroke-width='" &amp; ROUND(0.2 * COS($H93), RUB.DecimalPlaces) &amp; "' d='" &amp; _xlfn.TEXTJOIN(" ", TRUE, IF("Stroke"=RUB.Part,RUB.SvgWorking,"")) &amp; "'/&gt;"</f>
        <v>&lt;path stroke='#6A571B' stroke-width='0.09503' d='M 0 0L-0.285 -0.39227 M 0 0L-0.46166 0.15 M 0 0L0 0.49 M 0 0L0.46166 0.15 M 0 0L0.285 -0.39227'/&gt;</v>
      </c>
    </row>
    <row r="94" spans="8:11">
      <c r="K94" s="5" t="s">
        <v>15</v>
      </c>
    </row>
  </sheetData>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7"/>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-MAX(AED.RawY), AED.DecimalPlaces)</f>
        <v>-146</v>
      </c>
    </row>
    <row r="39" spans="2:16">
      <c r="E39" s="4" t="s">
        <v>455</v>
      </c>
      <c r="F39">
        <f xml:space="preserve"> ROUND( -MIN(AED.RawY), AED.DecimalPlaces)</f>
        <v>84.516999999999996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15.2</v>
      </c>
    </row>
    <row r="44" spans="2:16">
      <c r="E44" s="4" t="s">
        <v>449</v>
      </c>
      <c r="F44" cm="1">
        <f t="array" ref="F44" xml:space="preserve"> AED.Height / AED.Aspect</f>
        <v>13.163616438356163</v>
      </c>
    </row>
    <row r="46" spans="2:16">
      <c r="E46" s="4" t="s">
        <v>450</v>
      </c>
      <c r="F46" t="s">
        <v>760</v>
      </c>
    </row>
    <row r="47" spans="2:16">
      <c r="E47" s="4" t="s">
        <v>451</v>
      </c>
      <c r="F47" t="s">
        <v>761</v>
      </c>
    </row>
    <row r="49" spans="3:6">
      <c r="E49" s="4" t="s">
        <v>2756</v>
      </c>
      <c r="F49">
        <f xml:space="preserve"> ROUND(_xlfn.SINGLE(AED.Width) * (_xlfn.SINGLE(AED.MaxX) - _xlfn.SINGLE(AED.MinX)) / MAX(_xlfn.SINGLE(AED.MaxX),  -_xlfn.SINGLE(AED.MinX)) / 2, svgSizeDecimalPlaces)</f>
        <v>13.16362</v>
      </c>
    </row>
    <row r="50" spans="3:6">
      <c r="E50" s="4" t="s">
        <v>2757</v>
      </c>
      <c r="F50">
        <f xml:space="preserve"> ROUND(_xlfn.SINGLE(AED.Height) * (_xlfn.SINGLE(AED.MaxY) - _xlfn.SINGLE(AED.MinY)) / MAX(_xlfn.SINGLE(AED.MaxY),  -_xlfn.SINGLE(AED.MinY)) / 2, svgSizeDecimalPlaces)</f>
        <v>11.99952</v>
      </c>
    </row>
    <row r="51" spans="3:6">
      <c r="E51" s="4" t="s">
        <v>2729</v>
      </c>
      <c r="F51"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-126.44 -146 252.88 230.517</v>
      </c>
    </row>
    <row r="53" spans="3:6" ht="17" thickBot="1">
      <c r="F53" s="3" t="s">
        <v>456</v>
      </c>
    </row>
    <row r="54" spans="3:6">
      <c r="C54" cm="1">
        <f t="array" ref="C54" xml:space="preserve"> SVG_length(AED.svg)</f>
        <v>479</v>
      </c>
      <c r="F54"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5" spans="3:6">
      <c r="F55" s="5" t="str" cm="1">
        <f t="array" ref="F55"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6" spans="3:6">
      <c r="F56" s="5" t="str" cm="1">
        <f t="array" ref="F56"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7" spans="3:6">
      <c r="F57"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9.1999999999999993</v>
      </c>
    </row>
    <row r="31" spans="2:5">
      <c r="D31" s="4" t="s">
        <v>1960</v>
      </c>
      <c r="E31" cm="1">
        <f t="array" ref="E31" xml:space="preserve">  OMR.Height /  OMR.Aspect</f>
        <v>9.1999999999999993</v>
      </c>
    </row>
    <row r="34" spans="3:5" ht="17" thickBot="1">
      <c r="E34" s="3" t="s">
        <v>1961</v>
      </c>
    </row>
    <row r="35" spans="3:5">
      <c r="C35" cm="1">
        <f t="array" ref="C35" xml:space="preserve"> SVG_length(OMR.svg)</f>
        <v>228</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8.9</v>
      </c>
    </row>
    <row r="50" spans="5:6">
      <c r="E50" s="4" t="s">
        <v>465</v>
      </c>
      <c r="F50" cm="1">
        <f t="array" ref="F50" xml:space="preserve"> QAR.Height / QAR.Aspect</f>
        <v>8.9</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7.9</v>
      </c>
    </row>
    <row r="42" spans="4:6">
      <c r="E42" s="4" t="s">
        <v>2379</v>
      </c>
      <c r="F42" cm="1">
        <f t="array" ref="F42" xml:space="preserve"> BHD.Height / BHD.Aspect</f>
        <v>10.039583333333335</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271</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width='10.03958' height='7.9'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10.3</v>
      </c>
    </row>
    <row r="42" spans="5:6">
      <c r="E42" s="4" t="s">
        <v>1647</v>
      </c>
      <c r="F42" cm="1">
        <f t="array" ref="F42" xml:space="preserve"> KWD.Height / KWD.Aspect</f>
        <v>10.3</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12.6</v>
      </c>
    </row>
    <row r="41" spans="4:6">
      <c r="E41" s="4" t="s">
        <v>2003</v>
      </c>
      <c r="F41" cm="1">
        <f t="array" ref="F41" xml:space="preserve">  YER.Height /  YER.Aspect</f>
        <v>8.4</v>
      </c>
    </row>
    <row r="44" spans="4:6" ht="17" thickBot="1">
      <c r="F44" s="3" t="s">
        <v>2004</v>
      </c>
    </row>
    <row r="45" spans="4:6">
      <c r="D45" cm="1">
        <f t="array" ref="D45" xml:space="preserve"> SVG_length(YER.svg)</f>
        <v>293</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9.1999999999999993</v>
      </c>
    </row>
    <row r="36" spans="4:6">
      <c r="E36" s="4" t="s">
        <v>1787</v>
      </c>
      <c r="F36" cm="1">
        <f t="array" ref="F36" xml:space="preserve"> EGP.Height / EGP.Aspect</f>
        <v>9.1999999999999993</v>
      </c>
    </row>
    <row r="38" spans="4:6">
      <c r="E38" s="4" t="s">
        <v>1788</v>
      </c>
      <c r="F38" t="s">
        <v>719</v>
      </c>
    </row>
    <row r="39" spans="4:6">
      <c r="E39" s="4" t="s">
        <v>1789</v>
      </c>
      <c r="F39" t="s">
        <v>2073</v>
      </c>
    </row>
    <row r="41" spans="4:6" ht="17" thickBot="1">
      <c r="F41" s="3" t="s">
        <v>1790</v>
      </c>
    </row>
    <row r="42" spans="4:6">
      <c r="D42" cm="1">
        <f t="array" ref="D42" xml:space="preserve"> SVG_length(EGP.svg)</f>
        <v>275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10.6</v>
      </c>
    </row>
    <row r="13" spans="2:15">
      <c r="B13" s="4" t="s">
        <v>885</v>
      </c>
      <c r="C13" cm="1">
        <f t="array" ref="C13" xml:space="preserve"> IQD.Height / IQD.Aspect</f>
        <v>10.6</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12</v>
      </c>
    </row>
    <row r="59" spans="5:6">
      <c r="E59" s="4" t="s">
        <v>500</v>
      </c>
      <c r="F59" cm="1">
        <f t="array" ref="F59" xml:space="preserve"> ILS.Height / ILS.Aspect</f>
        <v>10.392309690828785</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8"/>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13.2</v>
      </c>
    </row>
    <row r="44" spans="2:16">
      <c r="E44" s="4" t="s">
        <v>423</v>
      </c>
      <c r="F44" cm="1">
        <f t="array" ref="F44" xml:space="preserve"> ZAR.Height / ZAR.Aspect</f>
        <v>15.241966213641559</v>
      </c>
    </row>
    <row r="46" spans="2:16">
      <c r="E46" s="4" t="s">
        <v>424</v>
      </c>
      <c r="F46" t="s">
        <v>759</v>
      </c>
    </row>
    <row r="47" spans="2:16">
      <c r="E47" s="4" t="s">
        <v>425</v>
      </c>
      <c r="F47" t="s">
        <v>781</v>
      </c>
    </row>
    <row r="49" spans="3:6">
      <c r="E49" s="4" t="s">
        <v>2758</v>
      </c>
      <c r="F49">
        <f xml:space="preserve"> ROUND(_xlfn.SINGLE(ZAR.Width) * (_xlfn.SINGLE(ZAR.MaxX) - _xlfn.SINGLE(ZAR.MinX)) / MAX(_xlfn.SINGLE(ZAR.MaxX),  -_xlfn.SINGLE(ZAR.MinX)) / 2, svgSizeDecimalPlaces)</f>
        <v>12.128869999999999</v>
      </c>
    </row>
    <row r="50" spans="3:6">
      <c r="E50" s="4" t="s">
        <v>2759</v>
      </c>
      <c r="F50">
        <f xml:space="preserve"> ROUND(_xlfn.SINGLE(ZAR.Height) * (_xlfn.SINGLE(ZAR.MaxY) - _xlfn.SINGLE(ZAR.MinY)) / MAX(_xlfn.SINGLE(ZAR.MaxY),  -_xlfn.SINGLE(ZAR.MinY)) / 2, svgSizeDecimalPlaces)</f>
        <v>13.2</v>
      </c>
    </row>
    <row r="51" spans="3:6">
      <c r="E51" s="4" t="s">
        <v>2730</v>
      </c>
      <c r="F51"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4" spans="3:6" ht="17" thickBot="1">
      <c r="F54" s="3" t="s">
        <v>430</v>
      </c>
    </row>
    <row r="55" spans="3:6">
      <c r="C55" cm="1">
        <f t="array" ref="C55" xml:space="preserve"> SVG_length(ZAR.svg)</f>
        <v>449</v>
      </c>
      <c r="F55"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6" spans="3:6">
      <c r="F56" s="5" t="str" cm="1">
        <f t="array" ref="F56"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7" spans="3:6">
      <c r="F57" s="5" t="str" cm="1">
        <f t="array" ref="F57"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8" spans="3:6">
      <c r="F58" s="5" t="s">
        <v>15</v>
      </c>
    </row>
  </sheetData>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9.1999999999999993</v>
      </c>
    </row>
    <row r="40" spans="4:6">
      <c r="E40" s="4" t="s">
        <v>1986</v>
      </c>
      <c r="F40" cm="1">
        <f t="array" ref="F40" xml:space="preserve"> SDG.Height / SDG.Aspect</f>
        <v>9.1999999999999993</v>
      </c>
    </row>
    <row r="42" spans="4:6">
      <c r="E42" s="4" t="s">
        <v>1987</v>
      </c>
      <c r="F42" t="s">
        <v>719</v>
      </c>
    </row>
    <row r="43" spans="4:6">
      <c r="E43" s="4" t="s">
        <v>1988</v>
      </c>
      <c r="F43" t="s">
        <v>2073</v>
      </c>
    </row>
    <row r="45" spans="4:6" ht="17" thickBot="1">
      <c r="F45" s="3" t="s">
        <v>1989</v>
      </c>
    </row>
    <row r="46" spans="4:6">
      <c r="D46" cm="1">
        <f t="array" ref="D46" xml:space="preserve"> SVG_length(SDG.svg)</f>
        <v>221</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11.7</v>
      </c>
      <c r="G31" s="5"/>
    </row>
    <row r="32" spans="2:7">
      <c r="E32" s="4" t="s">
        <v>516</v>
      </c>
      <c r="F32" cm="1">
        <f t="array" ref="F32" xml:space="preserve"> MXN.Height / MXN.Aspect</f>
        <v>11.7</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10</v>
      </c>
    </row>
    <row r="46" spans="2:7">
      <c r="E46" s="4" t="s">
        <v>534</v>
      </c>
      <c r="F46" cm="1">
        <f t="array" ref="F46" xml:space="preserve"> UYU.Height / UYU.Aspect</f>
        <v>10</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9.1999999999999993</v>
      </c>
    </row>
    <row r="56" spans="3:7">
      <c r="E56" s="4" t="s">
        <v>549</v>
      </c>
      <c r="F56" cm="1">
        <f t="array" ref="F56" xml:space="preserve"> BOB.Height / BOB.Aspect</f>
        <v>9.1999999999999993</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278</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11.1</v>
      </c>
    </row>
    <row r="21" spans="2:8">
      <c r="E21" s="4" t="s">
        <v>582</v>
      </c>
      <c r="F21" cm="1">
        <f t="array" ref="F21" xml:space="preserve"> FR.Height / FR.Aspect</f>
        <v>9.6128774999999997</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334</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7.8</v>
      </c>
    </row>
    <row r="51" spans="4:7">
      <c r="E51" s="4" t="s">
        <v>1722</v>
      </c>
      <c r="F51" cm="1">
        <f t="array" ref="F51" xml:space="preserve"> NL.Height / NL.Aspect</f>
        <v>11.142857142857144</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326</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10</v>
      </c>
    </row>
    <row r="12" spans="2:6">
      <c r="B12" s="4" t="s">
        <v>633</v>
      </c>
      <c r="C12" cm="1">
        <f t="array" ref="C12" xml:space="preserve"> BE.Height / BE.Aspect</f>
        <v>10</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10</v>
      </c>
    </row>
    <row r="20" spans="2:12">
      <c r="I20" s="4" t="s">
        <v>654</v>
      </c>
      <c r="J20" cm="1">
        <f t="array" ref="J20" xml:space="preserve"> IE.Height / IE.Aspect</f>
        <v>10</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9.1999999999999993</v>
      </c>
    </row>
    <row r="28" spans="2:5">
      <c r="D28" s="4" t="s">
        <v>2129</v>
      </c>
      <c r="E28" cm="1">
        <f t="array" ref="E28" xml:space="preserve"> GR.Height / GR.Aspect</f>
        <v>9.1999999999999993</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203</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11.4</v>
      </c>
    </row>
    <row r="28" spans="2:6">
      <c r="E28" s="4" t="s">
        <v>599</v>
      </c>
      <c r="F28" cm="1">
        <f t="array" ref="F28" xml:space="preserve"> SI.Height / SI.Aspect</f>
        <v>9.8726850000000006</v>
      </c>
    </row>
    <row r="29" spans="2:6">
      <c r="E29" s="4"/>
      <c r="F29" s="5"/>
    </row>
    <row r="30" spans="2:6">
      <c r="E30" s="4" t="s">
        <v>600</v>
      </c>
      <c r="F30" s="5" t="s">
        <v>764</v>
      </c>
    </row>
    <row r="31" spans="2:6">
      <c r="E31" s="4" t="s">
        <v>601</v>
      </c>
      <c r="F31" s="5" t="s">
        <v>765</v>
      </c>
    </row>
    <row r="33" spans="6:7">
      <c r="F33" cm="1">
        <f t="array" ref="F33" xml:space="preserve"> SVG_length(SI.svg)</f>
        <v>346</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8.8000000000000007</v>
      </c>
    </row>
    <row r="16" spans="2:11">
      <c r="H16" s="4" t="s">
        <v>673</v>
      </c>
      <c r="I16" cm="1">
        <f t="array" ref="I16" xml:space="preserve"> CY.Height / CY.Aspect</f>
        <v>9.5940667490729314</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9.1999999999999993</v>
      </c>
    </row>
    <row r="29" spans="2:5">
      <c r="D29" s="4" t="s">
        <v>701</v>
      </c>
      <c r="E29" cm="1">
        <f t="array" ref="E29" xml:space="preserve"> MT.Height / MT.Aspect</f>
        <v>9.1999999999999993</v>
      </c>
    </row>
    <row r="31" spans="2:5">
      <c r="D31" s="4" t="s">
        <v>1481</v>
      </c>
      <c r="E31" s="5" t="s">
        <v>1483</v>
      </c>
    </row>
    <row r="32" spans="2:5">
      <c r="D32" s="4" t="s">
        <v>1482</v>
      </c>
      <c r="E32" s="5" t="s">
        <v>2073</v>
      </c>
    </row>
    <row r="34" spans="3:5" ht="17" thickBot="1">
      <c r="E34" s="3" t="s">
        <v>706</v>
      </c>
    </row>
    <row r="35" spans="3:5">
      <c r="C35" cm="1">
        <f t="array" ref="C35" xml:space="preserve"> SVG_length(MT.svg)</f>
        <v>297</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10</v>
      </c>
    </row>
    <row r="23" spans="2:3">
      <c r="B23" s="4" t="s">
        <v>953</v>
      </c>
      <c r="C23" cm="1">
        <f t="array" ref="C23" xml:space="preserve"> _EBRD.Height / _EBRD.Aspect</f>
        <v>10</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9.1999999999999993</v>
      </c>
    </row>
    <row r="40" spans="4:6">
      <c r="E40" s="4" t="s">
        <v>988</v>
      </c>
      <c r="F40" cm="1">
        <f t="array" ref="F40" xml:space="preserve"> _NIB.Height / _NIB.Aspect</f>
        <v>9.1999999999999993</v>
      </c>
    </row>
    <row r="42" spans="4:6">
      <c r="E42" s="4" t="s">
        <v>1002</v>
      </c>
      <c r="F42" t="s">
        <v>1004</v>
      </c>
    </row>
    <row r="43" spans="4:6">
      <c r="E43" s="4" t="s">
        <v>1003</v>
      </c>
      <c r="F43" t="s">
        <v>1005</v>
      </c>
    </row>
    <row r="45" spans="4:6" ht="17" thickBot="1">
      <c r="F45" s="3" t="s">
        <v>993</v>
      </c>
    </row>
    <row r="46" spans="4:6">
      <c r="D46" cm="1">
        <f t="array" ref="D46" xml:space="preserve"> SVG_length(_NIB.svg)</f>
        <v>229</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10</v>
      </c>
    </row>
    <row r="20" spans="2:3">
      <c r="B20" s="4" t="s">
        <v>966</v>
      </c>
      <c r="C20" cm="1">
        <f t="array" ref="C20" xml:space="preserve"> _AIIB.Height / _AIIB.Aspect</f>
        <v>10</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9.6</v>
      </c>
    </row>
    <row r="22" spans="3:5">
      <c r="D22" s="4" t="s">
        <v>935</v>
      </c>
      <c r="E22" cm="1">
        <f t="array" ref="E22" xml:space="preserve"> _IsDB.Height / _IsDB.Aspect</f>
        <v>11.08512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231</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11.2</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2760</v>
      </c>
      <c r="C40">
        <f xml:space="preserve"> ROUND(_xlfn.SINGLE(_NDB.Width) * (_xlfn.SINGLE(_NDB.MaxX) - _xlfn.SINGLE(_NDB.MinX)) / MAX(_xlfn.SINGLE(_NDB.MaxX),  -_xlfn.SINGLE(_NDB.MinX)) / 2, svgSizeDecimalPlaces)</f>
        <v>10.863860000000001</v>
      </c>
    </row>
    <row r="41" spans="2:15">
      <c r="B41" s="4" t="s">
        <v>2761</v>
      </c>
      <c r="C41">
        <f xml:space="preserve"> ROUND(_xlfn.SINGLE(_NDB.Height) * (_xlfn.SINGLE(_NDB.MaxY) - _xlfn.SINGLE(_NDB.MinY)) / MAX(_xlfn.SINGLE(_NDB.MaxY),  -_xlfn.SINGLE(_NDB.MinY)) / 2, svgSizeDecimalPlaces)</f>
        <v>10.863860000000001</v>
      </c>
    </row>
    <row r="42" spans="2:15">
      <c r="B42" s="4" t="s">
        <v>2731</v>
      </c>
      <c r="C42"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width='11.2' height='11.2'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pageSetup paperSize="9" orientation="portrait" horizontalDpi="0" verticalDpi="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10</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10</v>
      </c>
    </row>
    <row r="13" spans="2:16">
      <c r="B13" s="4" t="s">
        <v>914</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10</v>
      </c>
    </row>
    <row r="34" spans="5:7">
      <c r="F34" s="4" t="s">
        <v>2222</v>
      </c>
      <c r="G34" cm="1">
        <f t="array" ref="G34" xml:space="preserve"> _CoEDB.Height / _CoEDB.Aspect</f>
        <v>10</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2669</v>
      </c>
      <c r="C2">
        <f xml:space="preserve"> 35</f>
        <v>35</v>
      </c>
    </row>
    <row r="3" spans="2:25">
      <c r="B3" s="4" t="s">
        <v>2670</v>
      </c>
      <c r="C3">
        <f xml:space="preserve"> XPF.RadiusOuter * 0.8</f>
        <v>28</v>
      </c>
    </row>
    <row r="4" spans="2:25">
      <c r="B4" s="4" t="s">
        <v>2719</v>
      </c>
      <c r="C4">
        <f xml:space="preserve"> AVERAGE(XPF.RadiusInner,  XPF.RadiusOuter)</f>
        <v>31.5</v>
      </c>
    </row>
    <row r="5" spans="2:25">
      <c r="B5" s="4" t="s">
        <v>2718</v>
      </c>
      <c r="C5">
        <f xml:space="preserve"> _xlfn.LET(_xlpm.r_bet,INT(XPF.RadiusMiddle), IF(AND(XPF.RadiusInner&lt;_xlpm.r_bet, _xlpm.r_bet&lt;XPF.RadiusOuter), _xlpm.r_bet, XPF.RadiusMiddle) )</f>
        <v>31</v>
      </c>
    </row>
    <row r="6" spans="2:25">
      <c r="B6" s="4" t="s">
        <v>2720</v>
      </c>
      <c r="C6">
        <f xml:space="preserve"> XPF.RadiusOuter - XPF.RadiusInner</f>
        <v>7</v>
      </c>
    </row>
    <row r="7" spans="2:25">
      <c r="H7">
        <f xml:space="preserve"> GCD(XPF.RadiusOuter, XPF.RadiusInner, $H$10, $H$14, $I$10, $I$11)</f>
        <v>1</v>
      </c>
      <c r="I7"/>
      <c r="J7"/>
      <c r="K7" s="70"/>
      <c r="L7" s="68"/>
    </row>
    <row r="8" spans="2:25">
      <c r="B8" s="4" t="s">
        <v>2671</v>
      </c>
      <c r="C8">
        <f xml:space="preserve"> DecimalPlaces - INT(LOG(XPF.RadiusOuter, 10) + 0.2)</f>
        <v>4</v>
      </c>
      <c r="I8"/>
      <c r="J8"/>
      <c r="K8" s="70"/>
      <c r="L8" s="68"/>
    </row>
    <row r="9" spans="2:25" ht="17" thickBot="1">
      <c r="H9" s="3" t="s">
        <v>2683</v>
      </c>
      <c r="I9" s="3" t="s">
        <v>2684</v>
      </c>
      <c r="J9"/>
      <c r="K9" s="71" t="s">
        <v>2685</v>
      </c>
      <c r="L9" s="69" t="s">
        <v>2711</v>
      </c>
      <c r="O9" s="3" t="s">
        <v>2690</v>
      </c>
      <c r="P9" s="3" t="s">
        <v>2691</v>
      </c>
      <c r="Q9" s="3" t="s">
        <v>2692</v>
      </c>
      <c r="R9" s="3" t="s">
        <v>2693</v>
      </c>
      <c r="S9" s="3" t="s">
        <v>2694</v>
      </c>
      <c r="U9" s="3" t="s">
        <v>2709</v>
      </c>
      <c r="V9" s="3" t="s">
        <v>2710</v>
      </c>
      <c r="X9" s="3" t="s">
        <v>2712</v>
      </c>
      <c r="Y9" s="3" t="s">
        <v>2713</v>
      </c>
    </row>
    <row r="10" spans="2:25">
      <c r="B10" s="4" t="s">
        <v>2681</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2682</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2721</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2672</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2673</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2674</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2675</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2676</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2677</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2678</v>
      </c>
      <c r="C26" cm="1">
        <f t="array" ref="C26" xml:space="preserve"> VALUE(TEXT(SQRT(XPF.AreaMultiplier * BasicBBoxArea * XPF.Aspect), SVG.NumberFormatHeight))</f>
        <v>10</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2679</v>
      </c>
      <c r="C27" cm="1">
        <f t="array" ref="C27" xml:space="preserve"> XPF.Height / XPF.Aspect</f>
        <v>10</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2686</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2687</v>
      </c>
      <c r="C30" s="5" t="s">
        <v>2689</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2688</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2680</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width='10' height='10'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10.1</v>
      </c>
    </row>
    <row r="42" spans="4:6">
      <c r="E42" s="4" t="s">
        <v>824</v>
      </c>
      <c r="F42" cm="1">
        <f t="array" ref="F42" xml:space="preserve"> XDR.Height / XDR.Aspect</f>
        <v>8.6571428571428566</v>
      </c>
    </row>
    <row r="44" spans="4:6">
      <c r="E44" s="4" t="s">
        <v>825</v>
      </c>
      <c r="F44" t="s">
        <v>1688</v>
      </c>
    </row>
    <row r="45" spans="4:6">
      <c r="E45" s="4" t="s">
        <v>826</v>
      </c>
      <c r="F45" t="s">
        <v>2074</v>
      </c>
    </row>
    <row r="47" spans="4:6" ht="17" thickBot="1">
      <c r="F47" s="3" t="s">
        <v>831</v>
      </c>
    </row>
    <row r="48" spans="4:6">
      <c r="D48" cm="1">
        <f t="array" ref="D48" xml:space="preserve"> SVG_length(XDR.svg)</f>
        <v>237</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9.1999999999999993</v>
      </c>
    </row>
    <row r="39" spans="2:6">
      <c r="E39" s="4" t="s">
        <v>802</v>
      </c>
      <c r="F39" cm="1">
        <f t="array" ref="F39" xml:space="preserve"> XAU.Height / XAU.Aspect</f>
        <v>9.1999999999999993</v>
      </c>
    </row>
    <row r="41" spans="2:6">
      <c r="E41" s="4" t="s">
        <v>803</v>
      </c>
      <c r="F41" t="s">
        <v>816</v>
      </c>
    </row>
    <row r="42" spans="2:6">
      <c r="E42" s="4" t="s">
        <v>804</v>
      </c>
      <c r="F42" t="s">
        <v>815</v>
      </c>
    </row>
    <row r="44" spans="2:6" ht="17" thickBot="1">
      <c r="F44" s="3" t="s">
        <v>809</v>
      </c>
    </row>
    <row r="45" spans="2:6">
      <c r="D45" cm="1">
        <f t="array" ref="D45" xml:space="preserve"> SVG_length(XAU.svg)</f>
        <v>278</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10.199999999999999</v>
      </c>
    </row>
    <row r="39" spans="2:6">
      <c r="E39" s="4" t="s">
        <v>853</v>
      </c>
      <c r="F39" cm="1">
        <f t="array" ref="F39" xml:space="preserve"> XAG.Height / XAG.Aspect</f>
        <v>8.2874999999999996</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404"/>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404" xml:space="preserve"> _xlfn.BYROW(ChartLines.Hex6, _xlfn.LAMBDA(_xlpm.hex, IF(LEN(_xlpm.hex)=6, HEX2DEC(LEFT(_xlpm.hex, 2)), "·") ))</f>
        <v>0</v>
      </c>
      <c r="I3" cm="1">
        <f t="array" ref="I3:I404" xml:space="preserve"> _xlfn.BYROW(ChartLines.Hex6, _xlfn.LAMBDA(_xlpm.hex, IF(LEN(_xlpm.hex)=6, HEX2DEC(MID(_xlpm.hex, 3, 2)), "·") ))</f>
        <v>0</v>
      </c>
      <c r="J3" cm="1">
        <f t="array" ref="J3:J404" xml:space="preserve"> _xlfn.BYROW(ChartLines.Hex6, _xlfn.LAMBDA(_xlpm.hex, IF(LEN(_xlpm.hex)=6, HEX2DEC(RIGHT(_xlpm.hex, 2)), "·") ))</f>
        <v>0</v>
      </c>
      <c r="K3" cm="1">
        <f t="array" ref="K3:K404" xml:space="preserve"> _xlfn.SEQUENCE(ROWS(ChartLines.RowNum))</f>
        <v>1</v>
      </c>
    </row>
    <row r="4" spans="2:19">
      <c r="B4" t="s">
        <v>2629</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2629</v>
      </c>
      <c r="C5" t="s">
        <v>2640</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2632</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2632</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2654</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2654</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
        <v>2739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240</v>
      </c>
      <c r="I13">
        <v>176</v>
      </c>
      <c r="J13">
        <v>0</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2633</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2633</v>
      </c>
      <c r="C47" t="s">
        <v>2641</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2634</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2634</v>
      </c>
      <c r="C49" t="s">
        <v>2642</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2635</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2635</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2722</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2722</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2663</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2658</v>
      </c>
      <c r="C274" t="s">
        <v>2662</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2664</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2664</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E320" si="374" xml:space="preserve"> IF(AND(LEN(ChartLines.ID)&gt;0,"Unused"&lt;&gt;ChartLines.ID), COUNTIFS(ChartLines.ID,ChartLines.ID), "·")</f>
        <v>2</v>
      </c>
      <c r="F318">
        <f t="shared" ref="F318:F320"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B319" t="s">
        <v>2762</v>
      </c>
      <c r="C319" t="str">
        <f xml:space="preserve"> "002590"</f>
        <v>002590</v>
      </c>
      <c r="E319">
        <f t="shared" si="374"/>
        <v>1</v>
      </c>
      <c r="F319">
        <f t="shared" si="375"/>
        <v>1</v>
      </c>
      <c r="G319" t="str" cm="1">
        <f t="array" ref="G319" xml:space="preserve"> _xlfn.IFS(OR(LEN(_xlfn.SINGLE(ChartLines.ID))=0,"Unused"=_xlfn.SINGLE(ChartLines.ID)), "·",   1=_xlfn.SINGLE(ChartLines.NumInstances), IF("USD"=_xlfn.SINGLE(ChartLines.ID), "SoleBig", "SoleOrdinary"),   1=_xlfn.SINGLE(ChartLines.InstanceNum), "Outer",   TRUE, "Inner")</f>
        <v>SoleOrdinary</v>
      </c>
      <c r="H319">
        <v>0</v>
      </c>
      <c r="I319">
        <v>37</v>
      </c>
      <c r="J319">
        <v>144</v>
      </c>
      <c r="K319">
        <v>317</v>
      </c>
    </row>
    <row r="320" spans="2:11">
      <c r="B320" t="s">
        <v>1821</v>
      </c>
      <c r="E320" t="str">
        <f t="shared" si="374"/>
        <v>·</v>
      </c>
      <c r="F320" t="str">
        <f t="shared" si="375"/>
        <v>·</v>
      </c>
      <c r="G320" t="str" cm="1">
        <f t="array" ref="G320" xml:space="preserve"> _xlfn.IFS(OR(LEN(_xlfn.SINGLE(ChartLines.ID))=0,"Unused"=_xlfn.SINGLE(ChartLines.ID)), "·",   1=_xlfn.SINGLE(ChartLines.NumInstances), IF("USD"=_xlfn.SINGLE(ChartLines.ID), "SoleBig", "SoleOrdinary"),   1=_xlfn.SINGLE(ChartLines.InstanceNum), "Outer",   TRUE, "Inner")</f>
        <v>·</v>
      </c>
      <c r="H320" t="str">
        <v>·</v>
      </c>
      <c r="I320" t="str">
        <v>·</v>
      </c>
      <c r="J320" t="str">
        <v>·</v>
      </c>
      <c r="K320">
        <v>318</v>
      </c>
    </row>
    <row r="321" spans="2:11">
      <c r="E321" t="str">
        <f t="shared" ref="E321" si="376" xml:space="preserve"> IF(AND(LEN(ChartLines.ID)&gt;0,"Unused"&lt;&gt;ChartLines.ID), COUNTIFS(ChartLines.ID,ChartLines.ID), "·")</f>
        <v>·</v>
      </c>
      <c r="F321" t="str">
        <f t="shared" ref="F321" si="377" xml:space="preserve"> IF(AND(LEN(ChartLines.ID)&gt;0,"Unused"&lt;&gt;ChartLines.ID), COUNTIFS(ChartLines.ID,ChartLines.ID,   ChartLines.RowNum,"&lt;="&amp;ChartLines.RowNum), "·")</f>
        <v>·</v>
      </c>
      <c r="G321" t="str" cm="1">
        <f t="array" ref="G321" xml:space="preserve"> _xlfn.IFS(OR(LEN(_xlfn.SINGLE(ChartLines.ID))=0,"Unused"=_xlfn.SINGLE(ChartLines.ID)), "·",   1=_xlfn.SINGLE(ChartLines.NumInstances), IF("USD"=_xlfn.SINGLE(ChartLines.ID), "SoleBig", "SoleOrdinary"),   1=_xlfn.SINGLE(ChartLines.InstanceNum), "Outer",   TRUE, "Inner")</f>
        <v>·</v>
      </c>
      <c r="H321" t="str">
        <v>·</v>
      </c>
      <c r="I321" t="str">
        <v>·</v>
      </c>
      <c r="J321" t="str">
        <v>·</v>
      </c>
      <c r="K321">
        <v>319</v>
      </c>
    </row>
    <row r="322" spans="2:11">
      <c r="B322" t="s">
        <v>172</v>
      </c>
      <c r="C322" t="str">
        <f xml:space="preserve"> "003399"</f>
        <v>003399</v>
      </c>
      <c r="E322">
        <f t="shared" ref="E322" si="378" xml:space="preserve"> IF(AND(LEN(ChartLines.ID)&gt;0,"Unused"&lt;&gt;ChartLines.ID), COUNTIFS(ChartLines.ID,ChartLines.ID), "·")</f>
        <v>2</v>
      </c>
      <c r="F322">
        <f t="shared" ref="F322" si="379"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0</v>
      </c>
      <c r="I322">
        <v>51</v>
      </c>
      <c r="J322">
        <v>153</v>
      </c>
      <c r="K322">
        <v>320</v>
      </c>
    </row>
    <row r="323" spans="2:11">
      <c r="B323" t="s">
        <v>172</v>
      </c>
      <c r="C323" t="s">
        <v>2427</v>
      </c>
      <c r="E323">
        <f t="shared" ref="E323" si="380" xml:space="preserve"> IF(AND(LEN(ChartLines.ID)&gt;0,"Unused"&lt;&gt;ChartLines.ID), COUNTIFS(ChartLines.ID,ChartLines.ID), "·")</f>
        <v>2</v>
      </c>
      <c r="F323">
        <f t="shared" ref="F323" si="381"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157</v>
      </c>
      <c r="I323">
        <v>157</v>
      </c>
      <c r="J323">
        <v>156</v>
      </c>
      <c r="K323">
        <v>321</v>
      </c>
    </row>
    <row r="324" spans="2:11">
      <c r="B324" t="s">
        <v>959</v>
      </c>
      <c r="C324" t="str">
        <f xml:space="preserve"> "0A6AAA"</f>
        <v>0A6AAA</v>
      </c>
      <c r="E324">
        <f t="shared" ref="E324" si="382" xml:space="preserve"> IF(AND(LEN(ChartLines.ID)&gt;0,"Unused"&lt;&gt;ChartLines.ID), COUNTIFS(ChartLines.ID,ChartLines.ID), "·")</f>
        <v>2</v>
      </c>
      <c r="F324">
        <f t="shared" ref="F324" si="383"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10</v>
      </c>
      <c r="I324">
        <v>106</v>
      </c>
      <c r="J324">
        <v>170</v>
      </c>
      <c r="K324">
        <v>322</v>
      </c>
    </row>
    <row r="325" spans="2:11">
      <c r="B325" t="s">
        <v>959</v>
      </c>
      <c r="C325" t="s">
        <v>1825</v>
      </c>
      <c r="E325">
        <f t="shared" ref="E325:E327" si="384" xml:space="preserve"> IF(AND(LEN(ChartLines.ID)&gt;0,"Unused"&lt;&gt;ChartLines.ID), COUNTIFS(ChartLines.ID,ChartLines.ID), "·")</f>
        <v>2</v>
      </c>
      <c r="F325">
        <f t="shared" ref="F325:F327" si="385"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2232</v>
      </c>
      <c r="C326" t="str">
        <f xml:space="preserve"> "092251"</f>
        <v>092251</v>
      </c>
      <c r="E326">
        <f t="shared" si="384"/>
        <v>2</v>
      </c>
      <c r="F326">
        <f t="shared" si="385"/>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9</v>
      </c>
      <c r="I326">
        <v>34</v>
      </c>
      <c r="J326">
        <v>81</v>
      </c>
      <c r="K326">
        <v>324</v>
      </c>
    </row>
    <row r="327" spans="2:11">
      <c r="B327" t="s">
        <v>2232</v>
      </c>
      <c r="C327" t="s">
        <v>1825</v>
      </c>
      <c r="E327">
        <f t="shared" si="384"/>
        <v>2</v>
      </c>
      <c r="F327">
        <f t="shared" si="385"/>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255</v>
      </c>
      <c r="I327">
        <v>255</v>
      </c>
      <c r="J327">
        <v>255</v>
      </c>
      <c r="K327">
        <v>325</v>
      </c>
    </row>
    <row r="328" spans="2:11">
      <c r="B328" t="s">
        <v>1927</v>
      </c>
      <c r="C328" t="str">
        <f xml:space="preserve"> "165788"</f>
        <v>165788</v>
      </c>
      <c r="E328">
        <f t="shared" ref="E328" si="386" xml:space="preserve"> IF(AND(LEN(ChartLines.ID)&gt;0,"Unused"&lt;&gt;ChartLines.ID), COUNTIFS(ChartLines.ID,ChartLines.ID), "·")</f>
        <v>2</v>
      </c>
      <c r="F328">
        <f t="shared" ref="F328" si="387"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v>22</v>
      </c>
      <c r="I328">
        <v>87</v>
      </c>
      <c r="J328">
        <v>136</v>
      </c>
      <c r="K328">
        <v>326</v>
      </c>
    </row>
    <row r="329" spans="2:11">
      <c r="B329" t="s">
        <v>1927</v>
      </c>
      <c r="C329" t="str">
        <f xml:space="preserve"> "C3DCF4"</f>
        <v>C3DCF4</v>
      </c>
      <c r="E329">
        <f t="shared" ref="E329" si="388" xml:space="preserve"> IF(AND(LEN(ChartLines.ID)&gt;0,"Unused"&lt;&gt;ChartLines.ID), COUNTIFS(ChartLines.ID,ChartLines.ID), "·")</f>
        <v>2</v>
      </c>
      <c r="F329">
        <f t="shared" ref="F329" si="389"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v>195</v>
      </c>
      <c r="I329">
        <v>220</v>
      </c>
      <c r="J329">
        <v>244</v>
      </c>
      <c r="K329">
        <v>327</v>
      </c>
    </row>
    <row r="330" spans="2:11">
      <c r="B330" t="s">
        <v>786</v>
      </c>
      <c r="C330" t="s">
        <v>2116</v>
      </c>
      <c r="E330">
        <f t="shared" ref="E330:E333" si="390" xml:space="preserve"> IF(AND(LEN(ChartLines.ID)&gt;0,"Unused"&lt;&gt;ChartLines.ID), COUNTIFS(ChartLines.ID,ChartLines.ID), "·")</f>
        <v>1</v>
      </c>
      <c r="F330">
        <f t="shared" ref="F330:F333" si="39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SoleOrdinary</v>
      </c>
      <c r="H330">
        <v>27</v>
      </c>
      <c r="I330">
        <v>97</v>
      </c>
      <c r="J330">
        <v>140</v>
      </c>
      <c r="K330">
        <v>328</v>
      </c>
    </row>
    <row r="331" spans="2:11">
      <c r="B331" t="s">
        <v>2233</v>
      </c>
      <c r="C331">
        <v>273375</v>
      </c>
      <c r="E331">
        <f t="shared" si="390"/>
        <v>2</v>
      </c>
      <c r="F331">
        <f t="shared" si="391"/>
        <v>1</v>
      </c>
      <c r="G331" t="str" cm="1">
        <f t="array" ref="G331" xml:space="preserve"> _xlfn.IFS(OR(LEN(_xlfn.SINGLE(ChartLines.ID))=0,"Unused"=_xlfn.SINGLE(ChartLines.ID)), "·",   1=_xlfn.SINGLE(ChartLines.NumInstances), IF("USD"=_xlfn.SINGLE(ChartLines.ID), "SoleBig", "SoleOrdinary"),   1=_xlfn.SINGLE(ChartLines.InstanceNum), "Outer",   TRUE, "Inner")</f>
        <v>Outer</v>
      </c>
      <c r="H331">
        <v>39</v>
      </c>
      <c r="I331">
        <v>51</v>
      </c>
      <c r="J331">
        <v>117</v>
      </c>
      <c r="K331">
        <v>329</v>
      </c>
    </row>
    <row r="332" spans="2:11">
      <c r="B332" t="s">
        <v>2233</v>
      </c>
      <c r="C332" t="s">
        <v>2236</v>
      </c>
      <c r="E332">
        <f t="shared" si="390"/>
        <v>2</v>
      </c>
      <c r="F332">
        <f t="shared" si="391"/>
        <v>2</v>
      </c>
      <c r="G332" t="str" cm="1">
        <f t="array" ref="G332" xml:space="preserve"> _xlfn.IFS(OR(LEN(_xlfn.SINGLE(ChartLines.ID))=0,"Unused"=_xlfn.SINGLE(ChartLines.ID)), "·",   1=_xlfn.SINGLE(ChartLines.NumInstances), IF("USD"=_xlfn.SINGLE(ChartLines.ID), "SoleBig", "SoleOrdinary"),   1=_xlfn.SINGLE(ChartLines.InstanceNum), "Outer",   TRUE, "Inner")</f>
        <v>Inner</v>
      </c>
      <c r="H332">
        <v>226</v>
      </c>
      <c r="I332">
        <v>6</v>
      </c>
      <c r="J332">
        <v>19</v>
      </c>
      <c r="K332">
        <v>330</v>
      </c>
    </row>
    <row r="333" spans="2:11">
      <c r="B333" t="s">
        <v>1821</v>
      </c>
      <c r="E333" t="str">
        <f t="shared" si="390"/>
        <v>·</v>
      </c>
      <c r="F333" t="str">
        <f t="shared" si="391"/>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173</v>
      </c>
      <c r="C334" t="s">
        <v>1928</v>
      </c>
      <c r="E334">
        <f t="shared" ref="E334" si="392" xml:space="preserve"> IF(AND(LEN(ChartLines.ID)&gt;0,"Unused"&lt;&gt;ChartLines.ID), COUNTIFS(ChartLines.ID,ChartLines.ID), "·")</f>
        <v>1</v>
      </c>
      <c r="F334">
        <f t="shared" ref="F334" si="393"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v>28</v>
      </c>
      <c r="I334">
        <v>48</v>
      </c>
      <c r="J334">
        <v>96</v>
      </c>
      <c r="K334">
        <v>332</v>
      </c>
    </row>
    <row r="335" spans="2:11">
      <c r="B335" t="s">
        <v>1821</v>
      </c>
      <c r="E335" t="str">
        <f t="shared" ref="E335" si="394" xml:space="preserve"> IF(AND(LEN(ChartLines.ID)&gt;0,"Unused"&lt;&gt;ChartLines.ID), COUNTIFS(ChartLines.ID,ChartLines.ID), "·")</f>
        <v>·</v>
      </c>
      <c r="F335" t="str">
        <f t="shared" ref="F335" si="395"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v>·</v>
      </c>
      <c r="I335" t="str">
        <v>·</v>
      </c>
      <c r="J335" t="str">
        <v>·</v>
      </c>
      <c r="K335">
        <v>333</v>
      </c>
    </row>
    <row r="336" spans="2:11">
      <c r="B336" t="s">
        <v>1929</v>
      </c>
      <c r="C336" t="s">
        <v>1930</v>
      </c>
      <c r="E336">
        <f t="shared" ref="E336" si="396" xml:space="preserve"> IF(AND(LEN(ChartLines.ID)&gt;0,"Unused"&lt;&gt;ChartLines.ID), COUNTIFS(ChartLines.ID,ChartLines.ID), "·")</f>
        <v>2</v>
      </c>
      <c r="F336">
        <f t="shared" ref="F336" si="397"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134</v>
      </c>
      <c r="I336">
        <v>12</v>
      </c>
      <c r="J336">
        <v>20</v>
      </c>
      <c r="K336">
        <v>334</v>
      </c>
    </row>
    <row r="337" spans="2:11">
      <c r="B337" t="s">
        <v>1929</v>
      </c>
      <c r="C337" t="s">
        <v>1825</v>
      </c>
      <c r="E337">
        <f t="shared" ref="E337" si="398" xml:space="preserve"> IF(AND(LEN(ChartLines.ID)&gt;0,"Unused"&lt;&gt;ChartLines.ID), COUNTIFS(ChartLines.ID,ChartLines.ID), "·")</f>
        <v>2</v>
      </c>
      <c r="F337">
        <f t="shared" ref="F337" si="399"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943</v>
      </c>
      <c r="C338" t="str">
        <f xml:space="preserve"> "039355"</f>
        <v>039355</v>
      </c>
      <c r="E338">
        <f t="shared" ref="E338" si="400" xml:space="preserve"> IF(AND(LEN(ChartLines.ID)&gt;0,"Unused"&lt;&gt;ChartLines.ID), COUNTIFS(ChartLines.ID,ChartLines.ID), "·")</f>
        <v>2</v>
      </c>
      <c r="F338">
        <f t="shared" ref="F338" si="401"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3</v>
      </c>
      <c r="I338">
        <v>147</v>
      </c>
      <c r="J338">
        <v>85</v>
      </c>
      <c r="K338">
        <v>336</v>
      </c>
    </row>
    <row r="339" spans="2:11">
      <c r="B339" t="s">
        <v>943</v>
      </c>
      <c r="C339" t="s">
        <v>1825</v>
      </c>
      <c r="E339">
        <f t="shared" ref="E339" si="402" xml:space="preserve"> IF(AND(LEN(ChartLines.ID)&gt;0,"Unused"&lt;&gt;ChartLines.ID), COUNTIFS(ChartLines.ID,ChartLines.ID), "·")</f>
        <v>2</v>
      </c>
      <c r="F339">
        <f t="shared" ref="F339" si="403"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255</v>
      </c>
      <c r="I339">
        <v>255</v>
      </c>
      <c r="J339">
        <v>255</v>
      </c>
      <c r="K339">
        <v>337</v>
      </c>
    </row>
    <row r="340" spans="2:11">
      <c r="B340" t="s">
        <v>106</v>
      </c>
      <c r="C340" t="str">
        <f xml:space="preserve"> "000000"</f>
        <v>000000</v>
      </c>
      <c r="E340">
        <f t="shared" ref="E340" si="404" xml:space="preserve"> IF(AND(LEN(ChartLines.ID)&gt;0,"Unused"&lt;&gt;ChartLines.ID), COUNTIFS(ChartLines.ID,ChartLines.ID), "·")</f>
        <v>2</v>
      </c>
      <c r="F340">
        <f t="shared" ref="F340" si="405"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0</v>
      </c>
      <c r="I340">
        <v>0</v>
      </c>
      <c r="J340">
        <v>0</v>
      </c>
      <c r="K340">
        <v>338</v>
      </c>
    </row>
    <row r="341" spans="2:11">
      <c r="B341" t="s">
        <v>106</v>
      </c>
      <c r="C341" t="str">
        <f xml:space="preserve"> "039355"</f>
        <v>039355</v>
      </c>
      <c r="E341">
        <f t="shared" ref="E341:E343" si="406" xml:space="preserve"> IF(AND(LEN(ChartLines.ID)&gt;0,"Unused"&lt;&gt;ChartLines.ID), COUNTIFS(ChartLines.ID,ChartLines.ID), "·")</f>
        <v>2</v>
      </c>
      <c r="F341">
        <f t="shared" ref="F341:F343" si="407"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3</v>
      </c>
      <c r="I341">
        <v>147</v>
      </c>
      <c r="J341">
        <v>85</v>
      </c>
      <c r="K341">
        <v>339</v>
      </c>
    </row>
    <row r="342" spans="2:11">
      <c r="B342" t="s">
        <v>2028</v>
      </c>
      <c r="C342" t="s">
        <v>2029</v>
      </c>
      <c r="E342">
        <f t="shared" si="406"/>
        <v>2</v>
      </c>
      <c r="F342">
        <f t="shared" si="407"/>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25</v>
      </c>
      <c r="I342">
        <v>141</v>
      </c>
      <c r="J342">
        <v>102</v>
      </c>
      <c r="K342">
        <v>340</v>
      </c>
    </row>
    <row r="343" spans="2:11">
      <c r="B343" t="s">
        <v>2028</v>
      </c>
      <c r="C343" t="s">
        <v>2030</v>
      </c>
      <c r="E343">
        <f t="shared" si="406"/>
        <v>2</v>
      </c>
      <c r="F343">
        <f t="shared" si="407"/>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252</v>
      </c>
      <c r="I343">
        <v>185</v>
      </c>
      <c r="J343">
        <v>14</v>
      </c>
      <c r="K343">
        <v>341</v>
      </c>
    </row>
    <row r="344" spans="2:11">
      <c r="B344" t="s">
        <v>980</v>
      </c>
      <c r="C344" t="str">
        <f xml:space="preserve"> "005073"</f>
        <v>005073</v>
      </c>
      <c r="E344">
        <f t="shared" ref="E344" si="408" xml:space="preserve"> IF(AND(LEN(ChartLines.ID)&gt;0,"Unused"&lt;&gt;ChartLines.ID), COUNTIFS(ChartLines.ID,ChartLines.ID), "·")</f>
        <v>2</v>
      </c>
      <c r="F344">
        <f t="shared" ref="F344" si="409"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0</v>
      </c>
      <c r="I344">
        <v>80</v>
      </c>
      <c r="J344">
        <v>115</v>
      </c>
      <c r="K344">
        <v>342</v>
      </c>
    </row>
    <row r="345" spans="2:11">
      <c r="B345" t="s">
        <v>980</v>
      </c>
      <c r="C345" t="s">
        <v>1825</v>
      </c>
      <c r="E345">
        <f t="shared" ref="E345:E349" si="410" xml:space="preserve"> IF(AND(LEN(ChartLines.ID)&gt;0,"Unused"&lt;&gt;ChartLines.ID), COUNTIFS(ChartLines.ID,ChartLines.ID), "·")</f>
        <v>2</v>
      </c>
      <c r="F345">
        <f t="shared" ref="F345:F349" si="411" xml:space="preserve"> IF(AND(LEN(ChartLines.ID)&gt;0,"Unused"&lt;&gt;ChartLines.ID), COUNTIFS(ChartLines.ID,ChartLines.ID,   ChartLines.RowNum,"&lt;="&amp;ChartLines.RowNum), "·")</f>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255</v>
      </c>
      <c r="I345">
        <v>255</v>
      </c>
      <c r="J345">
        <v>255</v>
      </c>
      <c r="K345">
        <v>343</v>
      </c>
    </row>
    <row r="346" spans="2:11">
      <c r="B346" t="s">
        <v>2018</v>
      </c>
      <c r="C346" t="s">
        <v>2021</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43</v>
      </c>
      <c r="I346">
        <v>206</v>
      </c>
      <c r="J346">
        <v>117</v>
      </c>
      <c r="K346">
        <v>344</v>
      </c>
    </row>
    <row r="347" spans="2:11">
      <c r="B347" t="s">
        <v>2018</v>
      </c>
      <c r="C347" t="s">
        <v>2022</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0</v>
      </c>
      <c r="I347">
        <v>70</v>
      </c>
      <c r="J347">
        <v>194</v>
      </c>
      <c r="K347">
        <v>345</v>
      </c>
    </row>
    <row r="348" spans="2:11">
      <c r="B348" t="s">
        <v>2023</v>
      </c>
      <c r="C348" t="s">
        <v>2026</v>
      </c>
      <c r="E348">
        <f t="shared" si="410"/>
        <v>2</v>
      </c>
      <c r="F348">
        <f t="shared" si="411"/>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239</v>
      </c>
      <c r="I348">
        <v>190</v>
      </c>
      <c r="J348">
        <v>32</v>
      </c>
      <c r="K348">
        <v>346</v>
      </c>
    </row>
    <row r="349" spans="2:11">
      <c r="B349" t="s">
        <v>2023</v>
      </c>
      <c r="C349" t="s">
        <v>2027</v>
      </c>
      <c r="E349">
        <f t="shared" si="410"/>
        <v>2</v>
      </c>
      <c r="F349">
        <f t="shared" si="411"/>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11</v>
      </c>
      <c r="I349">
        <v>92</v>
      </c>
      <c r="J349">
        <v>174</v>
      </c>
      <c r="K349">
        <v>347</v>
      </c>
    </row>
    <row r="350" spans="2:11">
      <c r="B350" t="s">
        <v>1038</v>
      </c>
      <c r="C350" t="str">
        <f xml:space="preserve"> "056839"</f>
        <v>056839</v>
      </c>
      <c r="E350">
        <f t="shared" ref="E350" si="412" xml:space="preserve"> IF(AND(LEN(ChartLines.ID)&gt;0,"Unused"&lt;&gt;ChartLines.ID), COUNTIFS(ChartLines.ID,ChartLines.ID), "·")</f>
        <v>2</v>
      </c>
      <c r="F350">
        <f t="shared" ref="F350" si="413"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5</v>
      </c>
      <c r="I350">
        <v>104</v>
      </c>
      <c r="J350">
        <v>57</v>
      </c>
      <c r="K350">
        <v>348</v>
      </c>
    </row>
    <row r="351" spans="2:11">
      <c r="B351" t="s">
        <v>1038</v>
      </c>
      <c r="C351" t="s">
        <v>1931</v>
      </c>
      <c r="E351">
        <f t="shared" ref="E351" si="414" xml:space="preserve"> IF(AND(LEN(ChartLines.ID)&gt;0,"Unused"&lt;&gt;ChartLines.ID), COUNTIFS(ChartLines.ID,ChartLines.ID), "·")</f>
        <v>2</v>
      </c>
      <c r="F351">
        <f t="shared" ref="F351" si="415"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190</v>
      </c>
      <c r="I351">
        <v>214</v>
      </c>
      <c r="J351">
        <v>47</v>
      </c>
      <c r="K351">
        <v>349</v>
      </c>
    </row>
    <row r="352" spans="2:11">
      <c r="B352" t="s">
        <v>1932</v>
      </c>
      <c r="C352" t="str">
        <f xml:space="preserve"> "000000"</f>
        <v>000000</v>
      </c>
      <c r="E352">
        <f t="shared" ref="E352" si="416" xml:space="preserve"> IF(AND(LEN(ChartLines.ID)&gt;0,"Unused"&lt;&gt;ChartLines.ID), COUNTIFS(ChartLines.ID,ChartLines.ID), "·")</f>
        <v>2</v>
      </c>
      <c r="F352">
        <f t="shared" ref="F352" si="417"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Outer</v>
      </c>
      <c r="H352">
        <v>0</v>
      </c>
      <c r="I352">
        <v>0</v>
      </c>
      <c r="J352">
        <v>0</v>
      </c>
      <c r="K352">
        <v>350</v>
      </c>
    </row>
    <row r="353" spans="2:11">
      <c r="B353" t="s">
        <v>1932</v>
      </c>
      <c r="C353" t="s">
        <v>1825</v>
      </c>
      <c r="E353">
        <f t="shared" ref="E353" si="418" xml:space="preserve"> IF(AND(LEN(ChartLines.ID)&gt;0,"Unused"&lt;&gt;ChartLines.ID), COUNTIFS(ChartLines.ID,ChartLines.ID), "·")</f>
        <v>2</v>
      </c>
      <c r="F353">
        <f t="shared" ref="F353" si="419" xml:space="preserve"> IF(AND(LEN(ChartLines.ID)&gt;0,"Unused"&lt;&gt;ChartLines.ID), COUNTIFS(ChartLines.ID,ChartLines.ID,   ChartLines.RowNum,"&lt;="&amp;ChartLines.RowNum), "·")</f>
        <v>2</v>
      </c>
      <c r="G353" t="str" cm="1">
        <f t="array" ref="G353" xml:space="preserve"> _xlfn.IFS(OR(LEN(_xlfn.SINGLE(ChartLines.ID))=0,"Unused"=_xlfn.SINGLE(ChartLines.ID)), "·",   1=_xlfn.SINGLE(ChartLines.NumInstances), IF("USD"=_xlfn.SINGLE(ChartLines.ID), "SoleBig", "SoleOrdinary"),   1=_xlfn.SINGLE(ChartLines.InstanceNum), "Outer",   TRUE, "Inner")</f>
        <v>Inner</v>
      </c>
      <c r="H353">
        <v>255</v>
      </c>
      <c r="I353">
        <v>255</v>
      </c>
      <c r="J353">
        <v>255</v>
      </c>
      <c r="K353">
        <v>351</v>
      </c>
    </row>
    <row r="354" spans="2:11">
      <c r="B354" t="s">
        <v>1933</v>
      </c>
      <c r="C354" t="s">
        <v>1934</v>
      </c>
      <c r="E354">
        <f t="shared" ref="E354" si="420" xml:space="preserve"> IF(AND(LEN(ChartLines.ID)&gt;0,"Unused"&lt;&gt;ChartLines.ID), COUNTIFS(ChartLines.ID,ChartLines.ID), "·")</f>
        <v>1</v>
      </c>
      <c r="F354">
        <f t="shared" ref="F354" si="421" xml:space="preserve"> IF(AND(LEN(ChartLines.ID)&gt;0,"Unused"&lt;&gt;ChartLines.ID), COUNTIFS(ChartLines.ID,ChartLines.ID,   ChartLines.RowNum,"&lt;="&amp;ChartLines.RowNum), "·")</f>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v>0</v>
      </c>
      <c r="I354">
        <v>76</v>
      </c>
      <c r="J354">
        <v>151</v>
      </c>
      <c r="K354">
        <v>352</v>
      </c>
    </row>
    <row r="355" spans="2:11">
      <c r="B355" t="s">
        <v>1821</v>
      </c>
      <c r="E355" t="str">
        <f t="shared" ref="E355" si="422" xml:space="preserve"> IF(AND(LEN(ChartLines.ID)&gt;0,"Unused"&lt;&gt;ChartLines.ID), COUNTIFS(ChartLines.ID,ChartLines.ID), "·")</f>
        <v>·</v>
      </c>
      <c r="F355" t="str">
        <f t="shared" ref="F355" si="423" xml:space="preserve"> IF(AND(LEN(ChartLines.ID)&gt;0,"Unused"&lt;&gt;ChartLines.ID), COUNTIFS(ChartLines.ID,ChartLines.ID,   ChartLines.RowNum,"&lt;="&amp;ChartLines.RowNum), "·")</f>
        <v>·</v>
      </c>
      <c r="G355" t="str" cm="1">
        <f t="array" ref="G355" xml:space="preserve"> _xlfn.IFS(OR(LEN(_xlfn.SINGLE(ChartLines.ID))=0,"Unused"=_xlfn.SINGLE(ChartLines.ID)), "·",   1=_xlfn.SINGLE(ChartLines.NumInstances), IF("USD"=_xlfn.SINGLE(ChartLines.ID), "SoleBig", "SoleOrdinary"),   1=_xlfn.SINGLE(ChartLines.InstanceNum), "Outer",   TRUE, "Inner")</f>
        <v>·</v>
      </c>
      <c r="H355" t="str">
        <v>·</v>
      </c>
      <c r="I355" t="str">
        <v>·</v>
      </c>
      <c r="J355" t="str">
        <v>·</v>
      </c>
      <c r="K355">
        <v>353</v>
      </c>
    </row>
    <row r="356" spans="2:11">
      <c r="E356" t="str">
        <f t="shared" ref="E356:E365" si="424" xml:space="preserve"> IF(AND(LEN(ChartLines.ID)&gt;0,"Unused"&lt;&gt;ChartLines.ID), COUNTIFS(ChartLines.ID,ChartLines.ID), "·")</f>
        <v>·</v>
      </c>
      <c r="F356" t="str">
        <f t="shared" ref="F356:F365" si="425" xml:space="preserve"> IF(AND(LEN(ChartLines.ID)&gt;0,"Unused"&lt;&gt;ChartLines.ID), COUNTIFS(ChartLines.ID,ChartLines.ID,   ChartLines.RowNum,"&lt;="&amp;ChartLines.RowNum), "·")</f>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2695</v>
      </c>
      <c r="C357" t="s">
        <v>2704</v>
      </c>
      <c r="E357">
        <f t="shared" si="424"/>
        <v>1</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SoleOrdinary</v>
      </c>
      <c r="H357">
        <v>147</v>
      </c>
      <c r="I357">
        <v>122</v>
      </c>
      <c r="J357">
        <v>54</v>
      </c>
      <c r="K357">
        <v>355</v>
      </c>
    </row>
    <row r="358" spans="2:11">
      <c r="B358" t="s">
        <v>1821</v>
      </c>
      <c r="E358" t="str">
        <f t="shared" si="424"/>
        <v>·</v>
      </c>
      <c r="F358" t="str">
        <f t="shared" si="425"/>
        <v>·</v>
      </c>
      <c r="G358" t="str" cm="1">
        <f t="array" ref="G358" xml:space="preserve"> _xlfn.IFS(OR(LEN(_xlfn.SINGLE(ChartLines.ID))=0,"Unused"=_xlfn.SINGLE(ChartLines.ID)), "·",   1=_xlfn.SINGLE(ChartLines.NumInstances), IF("USD"=_xlfn.SINGLE(ChartLines.ID), "SoleBig", "SoleOrdinary"),   1=_xlfn.SINGLE(ChartLines.InstanceNum), "Outer",   TRUE, "Inner")</f>
        <v>·</v>
      </c>
      <c r="H358" t="str">
        <v>·</v>
      </c>
      <c r="I358" t="str">
        <v>·</v>
      </c>
      <c r="J358" t="str">
        <v>·</v>
      </c>
      <c r="K358">
        <v>356</v>
      </c>
    </row>
    <row r="359" spans="2:11">
      <c r="B359" t="s">
        <v>2697</v>
      </c>
      <c r="C359" t="str">
        <f xml:space="preserve"> "572600"</f>
        <v>572600</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87</v>
      </c>
      <c r="I359">
        <v>38</v>
      </c>
      <c r="J359">
        <v>0</v>
      </c>
      <c r="K359">
        <v>357</v>
      </c>
    </row>
    <row r="360" spans="2:11">
      <c r="B360" t="s">
        <v>2697</v>
      </c>
      <c r="C360" t="s">
        <v>2705</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253</v>
      </c>
      <c r="I360">
        <v>184</v>
      </c>
      <c r="J360">
        <v>19</v>
      </c>
      <c r="K360">
        <v>358</v>
      </c>
    </row>
    <row r="361" spans="2:11">
      <c r="B361" t="s">
        <v>2698</v>
      </c>
      <c r="C361" t="s">
        <v>2702</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30</v>
      </c>
      <c r="I361">
        <v>44</v>
      </c>
      <c r="J361">
        <v>82</v>
      </c>
      <c r="K361">
        <v>359</v>
      </c>
    </row>
    <row r="362" spans="2:11">
      <c r="B362" t="s">
        <v>2698</v>
      </c>
      <c r="C362" t="s">
        <v>2703</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181</v>
      </c>
      <c r="I362">
        <v>22</v>
      </c>
      <c r="J362">
        <v>61</v>
      </c>
      <c r="K362">
        <v>360</v>
      </c>
    </row>
    <row r="363" spans="2:11">
      <c r="B363" t="s">
        <v>2699</v>
      </c>
      <c r="C363" t="str">
        <f xml:space="preserve"> "002096"</f>
        <v>002096</v>
      </c>
      <c r="E363">
        <f t="shared" si="424"/>
        <v>2</v>
      </c>
      <c r="F363">
        <f t="shared" si="425"/>
        <v>1</v>
      </c>
      <c r="G363" t="str" cm="1">
        <f t="array" ref="G363" xml:space="preserve"> _xlfn.IFS(OR(LEN(_xlfn.SINGLE(ChartLines.ID))=0,"Unused"=_xlfn.SINGLE(ChartLines.ID)), "·",   1=_xlfn.SINGLE(ChartLines.NumInstances), IF("USD"=_xlfn.SINGLE(ChartLines.ID), "SoleBig", "SoleOrdinary"),   1=_xlfn.SINGLE(ChartLines.InstanceNum), "Outer",   TRUE, "Inner")</f>
        <v>Outer</v>
      </c>
      <c r="H363">
        <v>0</v>
      </c>
      <c r="I363">
        <v>32</v>
      </c>
      <c r="J363">
        <v>150</v>
      </c>
      <c r="K363">
        <v>361</v>
      </c>
    </row>
    <row r="364" spans="2:11">
      <c r="B364" t="s">
        <v>2699</v>
      </c>
      <c r="C364" t="str">
        <f xml:space="preserve"> "009008"</f>
        <v>009008</v>
      </c>
      <c r="E364">
        <f t="shared" si="424"/>
        <v>2</v>
      </c>
      <c r="F364">
        <f t="shared" si="425"/>
        <v>2</v>
      </c>
      <c r="G364" t="str" cm="1">
        <f t="array" ref="G364" xml:space="preserve"> _xlfn.IFS(OR(LEN(_xlfn.SINGLE(ChartLines.ID))=0,"Unused"=_xlfn.SINGLE(ChartLines.ID)), "·",   1=_xlfn.SINGLE(ChartLines.NumInstances), IF("USD"=_xlfn.SINGLE(ChartLines.ID), "SoleBig", "SoleOrdinary"),   1=_xlfn.SINGLE(ChartLines.InstanceNum), "Outer",   TRUE, "Inner")</f>
        <v>Inner</v>
      </c>
      <c r="H364">
        <v>0</v>
      </c>
      <c r="I364">
        <v>144</v>
      </c>
      <c r="J364">
        <v>8</v>
      </c>
      <c r="K364">
        <v>362</v>
      </c>
    </row>
    <row r="365" spans="2:11">
      <c r="E365" t="str">
        <f t="shared" si="424"/>
        <v>·</v>
      </c>
      <c r="F365" t="str">
        <f t="shared" si="425"/>
        <v>·</v>
      </c>
      <c r="G365" t="str" cm="1">
        <f t="array" ref="G365" xml:space="preserve"> _xlfn.IFS(OR(LEN(_xlfn.SINGLE(ChartLines.ID))=0,"Unused"=_xlfn.SINGLE(ChartLines.ID)), "·",   1=_xlfn.SINGLE(ChartLines.NumInstances), IF("USD"=_xlfn.SINGLE(ChartLines.ID), "SoleBig", "SoleOrdinary"),   1=_xlfn.SINGLE(ChartLines.InstanceNum), "Outer",   TRUE, "Inner")</f>
        <v>·</v>
      </c>
      <c r="H365" t="str">
        <v>·</v>
      </c>
      <c r="I365" t="str">
        <v>·</v>
      </c>
      <c r="J365" t="str">
        <v>·</v>
      </c>
      <c r="K365">
        <v>363</v>
      </c>
    </row>
    <row r="366" spans="2:11">
      <c r="B366" t="s">
        <v>1935</v>
      </c>
      <c r="C366" t="str">
        <f xml:space="preserve"> "996515"</f>
        <v>996515</v>
      </c>
      <c r="E366">
        <f t="shared" ref="E366" si="426" xml:space="preserve"> IF(AND(LEN(ChartLines.ID)&gt;0,"Unused"&lt;&gt;ChartLines.ID), COUNTIFS(ChartLines.ID,ChartLines.ID), "·")</f>
        <v>2</v>
      </c>
      <c r="F366">
        <f t="shared" ref="F366" si="427"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153</v>
      </c>
      <c r="I366">
        <v>101</v>
      </c>
      <c r="J366">
        <v>21</v>
      </c>
      <c r="K366">
        <v>364</v>
      </c>
    </row>
    <row r="367" spans="2:11">
      <c r="B367" t="s">
        <v>1935</v>
      </c>
      <c r="C367" t="str">
        <f xml:space="preserve"> "D4AF37"</f>
        <v>D4AF37</v>
      </c>
      <c r="E367">
        <f t="shared" ref="E367" si="428" xml:space="preserve"> IF(AND(LEN(ChartLines.ID)&gt;0,"Unused"&lt;&gt;ChartLines.ID), COUNTIFS(ChartLines.ID,ChartLines.ID), "·")</f>
        <v>2</v>
      </c>
      <c r="F367">
        <f t="shared" ref="F367" si="429"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212</v>
      </c>
      <c r="I367">
        <v>175</v>
      </c>
      <c r="J367">
        <v>55</v>
      </c>
      <c r="K367">
        <v>365</v>
      </c>
    </row>
    <row r="368" spans="2:11">
      <c r="B368" t="s">
        <v>1936</v>
      </c>
      <c r="C368" t="s">
        <v>1937</v>
      </c>
      <c r="E368">
        <f t="shared" ref="E368" si="430" xml:space="preserve"> IF(AND(LEN(ChartLines.ID)&gt;0,"Unused"&lt;&gt;ChartLines.ID), COUNTIFS(ChartLines.ID,ChartLines.ID), "·")</f>
        <v>2</v>
      </c>
      <c r="F368">
        <f t="shared" ref="F368" si="431"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92</v>
      </c>
      <c r="I368">
        <v>92</v>
      </c>
      <c r="J368">
        <v>92</v>
      </c>
      <c r="K368">
        <v>366</v>
      </c>
    </row>
    <row r="369" spans="2:11">
      <c r="B369" t="s">
        <v>1936</v>
      </c>
      <c r="C369" t="str">
        <f xml:space="preserve"> "C0C0C0"</f>
        <v>C0C0C0</v>
      </c>
      <c r="E369">
        <f t="shared" ref="E369" si="432" xml:space="preserve"> IF(AND(LEN(ChartLines.ID)&gt;0,"Unused"&lt;&gt;ChartLines.ID), COUNTIFS(ChartLines.ID,ChartLines.ID), "·")</f>
        <v>2</v>
      </c>
      <c r="F369">
        <f t="shared" ref="F369" si="433"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192</v>
      </c>
      <c r="I369">
        <v>192</v>
      </c>
      <c r="J369">
        <v>192</v>
      </c>
      <c r="K369">
        <v>367</v>
      </c>
    </row>
    <row r="370" spans="2:11">
      <c r="B370" t="s">
        <v>917</v>
      </c>
      <c r="C370" t="s">
        <v>1938</v>
      </c>
      <c r="E370">
        <f t="shared" ref="E370:E404" si="434" xml:space="preserve"> IF(AND(LEN(ChartLines.ID)&gt;0,"Unused"&lt;&gt;ChartLines.ID), COUNTIFS(ChartLines.ID,ChartLines.ID), "·")</f>
        <v>2</v>
      </c>
      <c r="F370">
        <f t="shared" ref="F370:F404" si="435" xml:space="preserve"> IF(AND(LEN(ChartLines.ID)&gt;0,"Unused"&lt;&gt;ChartLines.ID), COUNTIFS(ChartLines.ID,ChartLines.ID,   ChartLines.RowNum,"&lt;="&amp;ChartLines.RowNum), "·")</f>
        <v>1</v>
      </c>
      <c r="G370" t="str" cm="1">
        <f t="array" ref="G370" xml:space="preserve"> _xlfn.IFS(OR(LEN(_xlfn.SINGLE(ChartLines.ID))=0,"Unused"=_xlfn.SINGLE(ChartLines.ID)), "·",   1=_xlfn.SINGLE(ChartLines.NumInstances), IF("USD"=_xlfn.SINGLE(ChartLines.ID), "SoleBig", "SoleOrdinary"),   1=_xlfn.SINGLE(ChartLines.InstanceNum), "Outer",   TRUE, "Inner")</f>
        <v>Outer</v>
      </c>
      <c r="H370">
        <v>217</v>
      </c>
      <c r="I370">
        <v>91</v>
      </c>
      <c r="J370">
        <v>20</v>
      </c>
      <c r="K370">
        <v>368</v>
      </c>
    </row>
    <row r="371" spans="2:11">
      <c r="B371" t="s">
        <v>917</v>
      </c>
      <c r="C371" t="s">
        <v>1939</v>
      </c>
      <c r="E371">
        <f t="shared" si="434"/>
        <v>2</v>
      </c>
      <c r="F371">
        <f t="shared" si="435"/>
        <v>2</v>
      </c>
      <c r="G371" t="str" cm="1">
        <f t="array" ref="G371" xml:space="preserve"> _xlfn.IFS(OR(LEN(_xlfn.SINGLE(ChartLines.ID))=0,"Unused"=_xlfn.SINGLE(ChartLines.ID)), "·",   1=_xlfn.SINGLE(ChartLines.NumInstances), IF("USD"=_xlfn.SINGLE(ChartLines.ID), "SoleBig", "SoleOrdinary"),   1=_xlfn.SINGLE(ChartLines.InstanceNum), "Outer",   TRUE, "Inner")</f>
        <v>Inner</v>
      </c>
      <c r="H371">
        <v>199</v>
      </c>
      <c r="I371">
        <v>199</v>
      </c>
      <c r="J371">
        <v>199</v>
      </c>
      <c r="K371">
        <v>369</v>
      </c>
    </row>
    <row r="372" spans="2:11">
      <c r="E372" t="str">
        <f t="shared" si="434"/>
        <v>·</v>
      </c>
      <c r="F372" t="str">
        <f t="shared" si="435"/>
        <v>·</v>
      </c>
      <c r="G372" t="str" cm="1">
        <f t="array" ref="G372" xml:space="preserve"> _xlfn.IFS(OR(LEN(_xlfn.SINGLE(ChartLines.ID))=0,"Unused"=_xlfn.SINGLE(ChartLines.ID)), "·",   1=_xlfn.SINGLE(ChartLines.NumInstances), IF("USD"=_xlfn.SINGLE(ChartLines.ID), "SoleBig", "SoleOrdinary"),   1=_xlfn.SINGLE(ChartLines.InstanceNum), "Outer",   TRUE, "Inner")</f>
        <v>·</v>
      </c>
      <c r="H372" t="str">
        <v>·</v>
      </c>
      <c r="I372" t="str">
        <v>·</v>
      </c>
      <c r="J372" t="str">
        <v>·</v>
      </c>
      <c r="K372">
        <v>370</v>
      </c>
    </row>
    <row r="373" spans="2:11">
      <c r="B373" t="s">
        <v>2764</v>
      </c>
      <c r="C373" t="str" cm="1">
        <f t="array" ref="C373" xml:space="preserve"> _xlfn.SWITCH(_xlfn.SINGLE(ChartLines.InstanceNum),   1, REPT(MID(_xlfn.SINGLE(ChartLines.ID),5,1),6),   2, REPT(MID(_xlfn.SINGLE(ChartLines.ID),7,1),2) &amp; REPT(MID(_xlfn.SINGLE(ChartLines.ID),8,1),2) &amp; REPT(MID(_xlfn.SINGLE(ChartLines.ID),9,1),2) )</f>
        <v>000000</v>
      </c>
      <c r="E373">
        <f t="shared" si="434"/>
        <v>2</v>
      </c>
      <c r="F373">
        <f t="shared" si="435"/>
        <v>1</v>
      </c>
      <c r="G373" t="str" cm="1">
        <f t="array" ref="G373" xml:space="preserve"> _xlfn.IFS(OR(LEN(_xlfn.SINGLE(ChartLines.ID))=0,"Unused"=_xlfn.SINGLE(ChartLines.ID)), "·",   1=_xlfn.SINGLE(ChartLines.NumInstances), IF("USD"=_xlfn.SINGLE(ChartLines.ID), "SoleBig", "SoleOrdinary"),   1=_xlfn.SINGLE(ChartLines.InstanceNum), "Outer",   TRUE, "Inner")</f>
        <v>Outer</v>
      </c>
      <c r="H373">
        <v>0</v>
      </c>
      <c r="I373">
        <v>0</v>
      </c>
      <c r="J373">
        <v>0</v>
      </c>
      <c r="K373">
        <v>371</v>
      </c>
    </row>
    <row r="374" spans="2:11">
      <c r="B374" t="s">
        <v>2764</v>
      </c>
      <c r="C374" t="str" cm="1">
        <f t="array" ref="C374" xml:space="preserve"> _xlfn.SWITCH(_xlfn.SINGLE(ChartLines.InstanceNum),   1, REPT(MID(_xlfn.SINGLE(ChartLines.ID),5,1),6),   2, REPT(MID(_xlfn.SINGLE(ChartLines.ID),7,1),2) &amp; REPT(MID(_xlfn.SINGLE(ChartLines.ID),8,1),2) &amp; REPT(MID(_xlfn.SINGLE(ChartLines.ID),9,1),2) )</f>
        <v>FFFFFF</v>
      </c>
      <c r="E374">
        <f t="shared" si="434"/>
        <v>2</v>
      </c>
      <c r="F374">
        <f t="shared" si="435"/>
        <v>2</v>
      </c>
      <c r="G374" t="str" cm="1">
        <f t="array" ref="G374" xml:space="preserve"> _xlfn.IFS(OR(LEN(_xlfn.SINGLE(ChartLines.ID))=0,"Unused"=_xlfn.SINGLE(ChartLines.ID)), "·",   1=_xlfn.SINGLE(ChartLines.NumInstances), IF("USD"=_xlfn.SINGLE(ChartLines.ID), "SoleBig", "SoleOrdinary"),   1=_xlfn.SINGLE(ChartLines.InstanceNum), "Outer",   TRUE, "Inner")</f>
        <v>Inner</v>
      </c>
      <c r="H374">
        <v>255</v>
      </c>
      <c r="I374">
        <v>255</v>
      </c>
      <c r="J374">
        <v>255</v>
      </c>
      <c r="K374">
        <v>372</v>
      </c>
    </row>
    <row r="375" spans="2:11">
      <c r="B375" t="s">
        <v>2765</v>
      </c>
      <c r="C375" t="str" cm="1">
        <f t="array" ref="C375" xml:space="preserve"> _xlfn.SWITCH(_xlfn.SINGLE(ChartLines.InstanceNum),   1, REPT(MID(_xlfn.SINGLE(ChartLines.ID),5,1),6),   2, REPT(MID(_xlfn.SINGLE(ChartLines.ID),7,1),2) &amp; REPT(MID(_xlfn.SINGLE(ChartLines.ID),8,1),2) &amp; REPT(MID(_xlfn.SINGLE(ChartLines.ID),9,1),2) )</f>
        <v>000000</v>
      </c>
      <c r="E375">
        <f t="shared" si="434"/>
        <v>2</v>
      </c>
      <c r="F375">
        <f t="shared" si="435"/>
        <v>1</v>
      </c>
      <c r="G375" t="str" cm="1">
        <f t="array" ref="G375" xml:space="preserve"> _xlfn.IFS(OR(LEN(_xlfn.SINGLE(ChartLines.ID))=0,"Unused"=_xlfn.SINGLE(ChartLines.ID)), "·",   1=_xlfn.SINGLE(ChartLines.NumInstances), IF("USD"=_xlfn.SINGLE(ChartLines.ID), "SoleBig", "SoleOrdinary"),   1=_xlfn.SINGLE(ChartLines.InstanceNum), "Outer",   TRUE, "Inner")</f>
        <v>Outer</v>
      </c>
      <c r="H375">
        <v>0</v>
      </c>
      <c r="I375">
        <v>0</v>
      </c>
      <c r="J375">
        <v>0</v>
      </c>
      <c r="K375">
        <v>373</v>
      </c>
    </row>
    <row r="376" spans="2:11">
      <c r="B376" t="s">
        <v>2765</v>
      </c>
      <c r="C376" t="str" cm="1">
        <f t="array" ref="C376" xml:space="preserve"> _xlfn.SWITCH(_xlfn.SINGLE(ChartLines.InstanceNum),   1, REPT(MID(_xlfn.SINGLE(ChartLines.ID),5,1),6),   2, REPT(MID(_xlfn.SINGLE(ChartLines.ID),7,1),2) &amp; REPT(MID(_xlfn.SINGLE(ChartLines.ID),8,1),2) &amp; REPT(MID(_xlfn.SINGLE(ChartLines.ID),9,1),2) )</f>
        <v>00FF00</v>
      </c>
      <c r="E376">
        <f t="shared" si="434"/>
        <v>2</v>
      </c>
      <c r="F376">
        <f t="shared" si="435"/>
        <v>2</v>
      </c>
      <c r="G376" t="str" cm="1">
        <f t="array" ref="G376" xml:space="preserve"> _xlfn.IFS(OR(LEN(_xlfn.SINGLE(ChartLines.ID))=0,"Unused"=_xlfn.SINGLE(ChartLines.ID)), "·",   1=_xlfn.SINGLE(ChartLines.NumInstances), IF("USD"=_xlfn.SINGLE(ChartLines.ID), "SoleBig", "SoleOrdinary"),   1=_xlfn.SINGLE(ChartLines.InstanceNum), "Outer",   TRUE, "Inner")</f>
        <v>Inner</v>
      </c>
      <c r="H376">
        <v>0</v>
      </c>
      <c r="I376">
        <v>255</v>
      </c>
      <c r="J376">
        <v>0</v>
      </c>
      <c r="K376">
        <v>374</v>
      </c>
    </row>
    <row r="377" spans="2:11">
      <c r="B377" t="s">
        <v>2766</v>
      </c>
      <c r="C377" t="str" cm="1">
        <f t="array" ref="C377" xml:space="preserve"> _xlfn.SWITCH(_xlfn.SINGLE(ChartLines.InstanceNum),   1, REPT(MID(_xlfn.SINGLE(ChartLines.ID),5,1),6),   2, REPT(MID(_xlfn.SINGLE(ChartLines.ID),7,1),2) &amp; REPT(MID(_xlfn.SINGLE(ChartLines.ID),8,1),2) &amp; REPT(MID(_xlfn.SINGLE(ChartLines.ID),9,1),2) )</f>
        <v>000000</v>
      </c>
      <c r="E377">
        <f t="shared" si="434"/>
        <v>2</v>
      </c>
      <c r="F377">
        <f t="shared" si="435"/>
        <v>1</v>
      </c>
      <c r="G377" t="str" cm="1">
        <f t="array" ref="G377" xml:space="preserve"> _xlfn.IFS(OR(LEN(_xlfn.SINGLE(ChartLines.ID))=0,"Unused"=_xlfn.SINGLE(ChartLines.ID)), "·",   1=_xlfn.SINGLE(ChartLines.NumInstances), IF("USD"=_xlfn.SINGLE(ChartLines.ID), "SoleBig", "SoleOrdinary"),   1=_xlfn.SINGLE(ChartLines.InstanceNum), "Outer",   TRUE, "Inner")</f>
        <v>Outer</v>
      </c>
      <c r="H377">
        <v>0</v>
      </c>
      <c r="I377">
        <v>0</v>
      </c>
      <c r="J377">
        <v>0</v>
      </c>
      <c r="K377">
        <v>375</v>
      </c>
    </row>
    <row r="378" spans="2:11">
      <c r="B378" t="s">
        <v>2766</v>
      </c>
      <c r="C378" t="str" cm="1">
        <f t="array" ref="C378" xml:space="preserve"> _xlfn.SWITCH(_xlfn.SINGLE(ChartLines.InstanceNum),   1, REPT(MID(_xlfn.SINGLE(ChartLines.ID),5,1),6),   2, REPT(MID(_xlfn.SINGLE(ChartLines.ID),7,1),2) &amp; REPT(MID(_xlfn.SINGLE(ChartLines.ID),8,1),2) &amp; REPT(MID(_xlfn.SINGLE(ChartLines.ID),9,1),2) )</f>
        <v>FF0000</v>
      </c>
      <c r="E378">
        <f t="shared" si="434"/>
        <v>2</v>
      </c>
      <c r="F378">
        <f t="shared" si="435"/>
        <v>2</v>
      </c>
      <c r="G378" t="str" cm="1">
        <f t="array" ref="G378" xml:space="preserve"> _xlfn.IFS(OR(LEN(_xlfn.SINGLE(ChartLines.ID))=0,"Unused"=_xlfn.SINGLE(ChartLines.ID)), "·",   1=_xlfn.SINGLE(ChartLines.NumInstances), IF("USD"=_xlfn.SINGLE(ChartLines.ID), "SoleBig", "SoleOrdinary"),   1=_xlfn.SINGLE(ChartLines.InstanceNum), "Outer",   TRUE, "Inner")</f>
        <v>Inner</v>
      </c>
      <c r="H378">
        <v>255</v>
      </c>
      <c r="I378">
        <v>0</v>
      </c>
      <c r="J378">
        <v>0</v>
      </c>
      <c r="K378">
        <v>376</v>
      </c>
    </row>
    <row r="379" spans="2:11">
      <c r="B379" t="s">
        <v>2767</v>
      </c>
      <c r="C379" t="str" cm="1">
        <f t="array" ref="C379" xml:space="preserve"> _xlfn.SWITCH(_xlfn.SINGLE(ChartLines.InstanceNum),   1, REPT(MID(_xlfn.SINGLE(ChartLines.ID),5,1),6),   2, REPT(MID(_xlfn.SINGLE(ChartLines.ID),7,1),2) &amp; REPT(MID(_xlfn.SINGLE(ChartLines.ID),8,1),2) &amp; REPT(MID(_xlfn.SINGLE(ChartLines.ID),9,1),2) )</f>
        <v>000000</v>
      </c>
      <c r="E379">
        <f t="shared" si="434"/>
        <v>2</v>
      </c>
      <c r="F379">
        <f t="shared" si="435"/>
        <v>1</v>
      </c>
      <c r="G379" t="str" cm="1">
        <f t="array" ref="G379" xml:space="preserve"> _xlfn.IFS(OR(LEN(_xlfn.SINGLE(ChartLines.ID))=0,"Unused"=_xlfn.SINGLE(ChartLines.ID)), "·",   1=_xlfn.SINGLE(ChartLines.NumInstances), IF("USD"=_xlfn.SINGLE(ChartLines.ID), "SoleBig", "SoleOrdinary"),   1=_xlfn.SINGLE(ChartLines.InstanceNum), "Outer",   TRUE, "Inner")</f>
        <v>Outer</v>
      </c>
      <c r="H379">
        <v>0</v>
      </c>
      <c r="I379">
        <v>0</v>
      </c>
      <c r="J379">
        <v>0</v>
      </c>
      <c r="K379">
        <v>377</v>
      </c>
    </row>
    <row r="380" spans="2:11">
      <c r="B380" t="s">
        <v>2767</v>
      </c>
      <c r="C380" t="str" cm="1">
        <f t="array" ref="C380" xml:space="preserve"> _xlfn.SWITCH(_xlfn.SINGLE(ChartLines.InstanceNum),   1, REPT(MID(_xlfn.SINGLE(ChartLines.ID),5,1),6),   2, REPT(MID(_xlfn.SINGLE(ChartLines.ID),7,1),2) &amp; REPT(MID(_xlfn.SINGLE(ChartLines.ID),8,1),2) &amp; REPT(MID(_xlfn.SINGLE(ChartLines.ID),9,1),2) )</f>
        <v>0000FF</v>
      </c>
      <c r="E380">
        <f t="shared" si="434"/>
        <v>2</v>
      </c>
      <c r="F380">
        <f t="shared" si="435"/>
        <v>2</v>
      </c>
      <c r="G380" t="str" cm="1">
        <f t="array" ref="G380" xml:space="preserve"> _xlfn.IFS(OR(LEN(_xlfn.SINGLE(ChartLines.ID))=0,"Unused"=_xlfn.SINGLE(ChartLines.ID)), "·",   1=_xlfn.SINGLE(ChartLines.NumInstances), IF("USD"=_xlfn.SINGLE(ChartLines.ID), "SoleBig", "SoleOrdinary"),   1=_xlfn.SINGLE(ChartLines.InstanceNum), "Outer",   TRUE, "Inner")</f>
        <v>Inner</v>
      </c>
      <c r="H380">
        <v>0</v>
      </c>
      <c r="I380">
        <v>0</v>
      </c>
      <c r="J380">
        <v>255</v>
      </c>
      <c r="K380">
        <v>378</v>
      </c>
    </row>
    <row r="381" spans="2:11">
      <c r="B381" t="s">
        <v>2768</v>
      </c>
      <c r="C381" t="str" cm="1">
        <f t="array" ref="C381" xml:space="preserve"> _xlfn.SWITCH(_xlfn.SINGLE(ChartLines.InstanceNum),   1, REPT(MID(_xlfn.SINGLE(ChartLines.ID),5,1),6),   2, REPT(MID(_xlfn.SINGLE(ChartLines.ID),7,1),2) &amp; REPT(MID(_xlfn.SINGLE(ChartLines.ID),8,1),2) &amp; REPT(MID(_xlfn.SINGLE(ChartLines.ID),9,1),2) )</f>
        <v>000000</v>
      </c>
      <c r="E381">
        <f t="shared" si="434"/>
        <v>2</v>
      </c>
      <c r="F381">
        <f t="shared" si="435"/>
        <v>1</v>
      </c>
      <c r="G381" t="str" cm="1">
        <f t="array" ref="G381" xml:space="preserve"> _xlfn.IFS(OR(LEN(_xlfn.SINGLE(ChartLines.ID))=0,"Unused"=_xlfn.SINGLE(ChartLines.ID)), "·",   1=_xlfn.SINGLE(ChartLines.NumInstances), IF("USD"=_xlfn.SINGLE(ChartLines.ID), "SoleBig", "SoleOrdinary"),   1=_xlfn.SINGLE(ChartLines.InstanceNum), "Outer",   TRUE, "Inner")</f>
        <v>Outer</v>
      </c>
      <c r="H381">
        <v>0</v>
      </c>
      <c r="I381">
        <v>0</v>
      </c>
      <c r="J381">
        <v>0</v>
      </c>
      <c r="K381">
        <v>379</v>
      </c>
    </row>
    <row r="382" spans="2:11">
      <c r="B382" t="s">
        <v>2768</v>
      </c>
      <c r="C382" t="str" cm="1">
        <f t="array" ref="C382" xml:space="preserve"> _xlfn.SWITCH(_xlfn.SINGLE(ChartLines.InstanceNum),   1, REPT(MID(_xlfn.SINGLE(ChartLines.ID),5,1),6),   2, REPT(MID(_xlfn.SINGLE(ChartLines.ID),7,1),2) &amp; REPT(MID(_xlfn.SINGLE(ChartLines.ID),8,1),2) &amp; REPT(MID(_xlfn.SINGLE(ChartLines.ID),9,1),2) )</f>
        <v>FF00FF</v>
      </c>
      <c r="E382">
        <f t="shared" si="434"/>
        <v>2</v>
      </c>
      <c r="F382">
        <f t="shared" si="435"/>
        <v>2</v>
      </c>
      <c r="G382" t="str" cm="1">
        <f t="array" ref="G382" xml:space="preserve"> _xlfn.IFS(OR(LEN(_xlfn.SINGLE(ChartLines.ID))=0,"Unused"=_xlfn.SINGLE(ChartLines.ID)), "·",   1=_xlfn.SINGLE(ChartLines.NumInstances), IF("USD"=_xlfn.SINGLE(ChartLines.ID), "SoleBig", "SoleOrdinary"),   1=_xlfn.SINGLE(ChartLines.InstanceNum), "Outer",   TRUE, "Inner")</f>
        <v>Inner</v>
      </c>
      <c r="H382">
        <v>255</v>
      </c>
      <c r="I382">
        <v>0</v>
      </c>
      <c r="J382">
        <v>255</v>
      </c>
      <c r="K382">
        <v>380</v>
      </c>
    </row>
    <row r="383" spans="2:11">
      <c r="B383" t="s">
        <v>2769</v>
      </c>
      <c r="C383" t="str" cm="1">
        <f t="array" ref="C383" xml:space="preserve"> _xlfn.SWITCH(_xlfn.SINGLE(ChartLines.InstanceNum),   1, REPT(MID(_xlfn.SINGLE(ChartLines.ID),5,1),6),   2, REPT(MID(_xlfn.SINGLE(ChartLines.ID),7,1),2) &amp; REPT(MID(_xlfn.SINGLE(ChartLines.ID),8,1),2) &amp; REPT(MID(_xlfn.SINGLE(ChartLines.ID),9,1),2) )</f>
        <v>000000</v>
      </c>
      <c r="E383">
        <f t="shared" si="434"/>
        <v>2</v>
      </c>
      <c r="F383">
        <f t="shared" si="435"/>
        <v>1</v>
      </c>
      <c r="G383" t="str" cm="1">
        <f t="array" ref="G383" xml:space="preserve"> _xlfn.IFS(OR(LEN(_xlfn.SINGLE(ChartLines.ID))=0,"Unused"=_xlfn.SINGLE(ChartLines.ID)), "·",   1=_xlfn.SINGLE(ChartLines.NumInstances), IF("USD"=_xlfn.SINGLE(ChartLines.ID), "SoleBig", "SoleOrdinary"),   1=_xlfn.SINGLE(ChartLines.InstanceNum), "Outer",   TRUE, "Inner")</f>
        <v>Outer</v>
      </c>
      <c r="H383">
        <v>0</v>
      </c>
      <c r="I383">
        <v>0</v>
      </c>
      <c r="J383">
        <v>0</v>
      </c>
      <c r="K383">
        <v>381</v>
      </c>
    </row>
    <row r="384" spans="2:11">
      <c r="B384" t="s">
        <v>2769</v>
      </c>
      <c r="C384" t="str" cm="1">
        <f t="array" ref="C384" xml:space="preserve"> _xlfn.SWITCH(_xlfn.SINGLE(ChartLines.InstanceNum),   1, REPT(MID(_xlfn.SINGLE(ChartLines.ID),5,1),6),   2, REPT(MID(_xlfn.SINGLE(ChartLines.ID),7,1),2) &amp; REPT(MID(_xlfn.SINGLE(ChartLines.ID),8,1),2) &amp; REPT(MID(_xlfn.SINGLE(ChartLines.ID),9,1),2) )</f>
        <v>00FFFF</v>
      </c>
      <c r="E384">
        <f t="shared" si="434"/>
        <v>2</v>
      </c>
      <c r="F384">
        <f t="shared" si="435"/>
        <v>2</v>
      </c>
      <c r="G384" t="str" cm="1">
        <f t="array" ref="G384" xml:space="preserve"> _xlfn.IFS(OR(LEN(_xlfn.SINGLE(ChartLines.ID))=0,"Unused"=_xlfn.SINGLE(ChartLines.ID)), "·",   1=_xlfn.SINGLE(ChartLines.NumInstances), IF("USD"=_xlfn.SINGLE(ChartLines.ID), "SoleBig", "SoleOrdinary"),   1=_xlfn.SINGLE(ChartLines.InstanceNum), "Outer",   TRUE, "Inner")</f>
        <v>Inner</v>
      </c>
      <c r="H384">
        <v>0</v>
      </c>
      <c r="I384">
        <v>255</v>
      </c>
      <c r="J384">
        <v>255</v>
      </c>
      <c r="K384">
        <v>382</v>
      </c>
    </row>
    <row r="385" spans="2:11">
      <c r="B385" t="s">
        <v>2770</v>
      </c>
      <c r="C385" t="str" cm="1">
        <f t="array" ref="C385" xml:space="preserve"> _xlfn.SWITCH(_xlfn.SINGLE(ChartLines.InstanceNum),   1, REPT(MID(_xlfn.SINGLE(ChartLines.ID),5,1),6),   2, REPT(MID(_xlfn.SINGLE(ChartLines.ID),7,1),2) &amp; REPT(MID(_xlfn.SINGLE(ChartLines.ID),8,1),2) &amp; REPT(MID(_xlfn.SINGLE(ChartLines.ID),9,1),2) )</f>
        <v>000000</v>
      </c>
      <c r="E385">
        <f t="shared" si="434"/>
        <v>2</v>
      </c>
      <c r="F385">
        <f t="shared" si="435"/>
        <v>1</v>
      </c>
      <c r="G385" t="str" cm="1">
        <f t="array" ref="G385" xml:space="preserve"> _xlfn.IFS(OR(LEN(_xlfn.SINGLE(ChartLines.ID))=0,"Unused"=_xlfn.SINGLE(ChartLines.ID)), "·",   1=_xlfn.SINGLE(ChartLines.NumInstances), IF("USD"=_xlfn.SINGLE(ChartLines.ID), "SoleBig", "SoleOrdinary"),   1=_xlfn.SINGLE(ChartLines.InstanceNum), "Outer",   TRUE, "Inner")</f>
        <v>Outer</v>
      </c>
      <c r="H385">
        <v>0</v>
      </c>
      <c r="I385">
        <v>0</v>
      </c>
      <c r="J385">
        <v>0</v>
      </c>
      <c r="K385">
        <v>383</v>
      </c>
    </row>
    <row r="386" spans="2:11">
      <c r="B386" t="s">
        <v>2770</v>
      </c>
      <c r="C386" t="str" cm="1">
        <f t="array" ref="C386" xml:space="preserve"> _xlfn.SWITCH(_xlfn.SINGLE(ChartLines.InstanceNum),   1, REPT(MID(_xlfn.SINGLE(ChartLines.ID),5,1),6),   2, REPT(MID(_xlfn.SINGLE(ChartLines.ID),7,1),2) &amp; REPT(MID(_xlfn.SINGLE(ChartLines.ID),8,1),2) &amp; REPT(MID(_xlfn.SINGLE(ChartLines.ID),9,1),2) )</f>
        <v>FFFF00</v>
      </c>
      <c r="E386">
        <f t="shared" si="434"/>
        <v>2</v>
      </c>
      <c r="F386">
        <f t="shared" si="435"/>
        <v>2</v>
      </c>
      <c r="G386" t="str" cm="1">
        <f t="array" ref="G386" xml:space="preserve"> _xlfn.IFS(OR(LEN(_xlfn.SINGLE(ChartLines.ID))=0,"Unused"=_xlfn.SINGLE(ChartLines.ID)), "·",   1=_xlfn.SINGLE(ChartLines.NumInstances), IF("USD"=_xlfn.SINGLE(ChartLines.ID), "SoleBig", "SoleOrdinary"),   1=_xlfn.SINGLE(ChartLines.InstanceNum), "Outer",   TRUE, "Inner")</f>
        <v>Inner</v>
      </c>
      <c r="H386">
        <v>255</v>
      </c>
      <c r="I386">
        <v>255</v>
      </c>
      <c r="J386">
        <v>0</v>
      </c>
      <c r="K386">
        <v>384</v>
      </c>
    </row>
    <row r="387" spans="2:11">
      <c r="B387" t="s">
        <v>2771</v>
      </c>
      <c r="C387" t="str" cm="1">
        <f t="array" ref="C387" xml:space="preserve"> _xlfn.SWITCH(_xlfn.SINGLE(ChartLines.InstanceNum),   1, REPT(MID(_xlfn.SINGLE(ChartLines.ID),5,1),6),   2, REPT(MID(_xlfn.SINGLE(ChartLines.ID),7,1),2) &amp; REPT(MID(_xlfn.SINGLE(ChartLines.ID),8,1),2) &amp; REPT(MID(_xlfn.SINGLE(ChartLines.ID),9,1),2) )</f>
        <v>666666</v>
      </c>
      <c r="E387">
        <f t="shared" si="434"/>
        <v>2</v>
      </c>
      <c r="F387">
        <f t="shared" si="435"/>
        <v>1</v>
      </c>
      <c r="G387" t="str" cm="1">
        <f t="array" ref="G387" xml:space="preserve"> _xlfn.IFS(OR(LEN(_xlfn.SINGLE(ChartLines.ID))=0,"Unused"=_xlfn.SINGLE(ChartLines.ID)), "·",   1=_xlfn.SINGLE(ChartLines.NumInstances), IF("USD"=_xlfn.SINGLE(ChartLines.ID), "SoleBig", "SoleOrdinary"),   1=_xlfn.SINGLE(ChartLines.InstanceNum), "Outer",   TRUE, "Inner")</f>
        <v>Outer</v>
      </c>
      <c r="H387">
        <v>102</v>
      </c>
      <c r="I387">
        <v>102</v>
      </c>
      <c r="J387">
        <v>102</v>
      </c>
      <c r="K387">
        <v>385</v>
      </c>
    </row>
    <row r="388" spans="2:11">
      <c r="B388" t="s">
        <v>2771</v>
      </c>
      <c r="C388" t="str" cm="1">
        <f t="array" ref="C388" xml:space="preserve"> _xlfn.SWITCH(_xlfn.SINGLE(ChartLines.InstanceNum),   1, REPT(MID(_xlfn.SINGLE(ChartLines.ID),5,1),6),   2, REPT(MID(_xlfn.SINGLE(ChartLines.ID),7,1),2) &amp; REPT(MID(_xlfn.SINGLE(ChartLines.ID),8,1),2) &amp; REPT(MID(_xlfn.SINGLE(ChartLines.ID),9,1),2) )</f>
        <v>FFFFFF</v>
      </c>
      <c r="E388">
        <f t="shared" si="434"/>
        <v>2</v>
      </c>
      <c r="F388">
        <f t="shared" si="435"/>
        <v>2</v>
      </c>
      <c r="G388" t="str" cm="1">
        <f t="array" ref="G388" xml:space="preserve"> _xlfn.IFS(OR(LEN(_xlfn.SINGLE(ChartLines.ID))=0,"Unused"=_xlfn.SINGLE(ChartLines.ID)), "·",   1=_xlfn.SINGLE(ChartLines.NumInstances), IF("USD"=_xlfn.SINGLE(ChartLines.ID), "SoleBig", "SoleOrdinary"),   1=_xlfn.SINGLE(ChartLines.InstanceNum), "Outer",   TRUE, "Inner")</f>
        <v>Inner</v>
      </c>
      <c r="H388">
        <v>255</v>
      </c>
      <c r="I388">
        <v>255</v>
      </c>
      <c r="J388">
        <v>255</v>
      </c>
      <c r="K388">
        <v>386</v>
      </c>
    </row>
    <row r="389" spans="2:11">
      <c r="B389" t="s">
        <v>2772</v>
      </c>
      <c r="C389" t="str" cm="1">
        <f t="array" ref="C389" xml:space="preserve"> _xlfn.SWITCH(_xlfn.SINGLE(ChartLines.InstanceNum),   1, REPT(MID(_xlfn.SINGLE(ChartLines.ID),5,1),6),   2, REPT(MID(_xlfn.SINGLE(ChartLines.ID),7,1),2) &amp; REPT(MID(_xlfn.SINGLE(ChartLines.ID),8,1),2) &amp; REPT(MID(_xlfn.SINGLE(ChartLines.ID),9,1),2) )</f>
        <v>666666</v>
      </c>
      <c r="E389">
        <f t="shared" si="434"/>
        <v>2</v>
      </c>
      <c r="F389">
        <f t="shared" si="435"/>
        <v>1</v>
      </c>
      <c r="G389" t="str" cm="1">
        <f t="array" ref="G389" xml:space="preserve"> _xlfn.IFS(OR(LEN(_xlfn.SINGLE(ChartLines.ID))=0,"Unused"=_xlfn.SINGLE(ChartLines.ID)), "·",   1=_xlfn.SINGLE(ChartLines.NumInstances), IF("USD"=_xlfn.SINGLE(ChartLines.ID), "SoleBig", "SoleOrdinary"),   1=_xlfn.SINGLE(ChartLines.InstanceNum), "Outer",   TRUE, "Inner")</f>
        <v>Outer</v>
      </c>
      <c r="H389">
        <v>102</v>
      </c>
      <c r="I389">
        <v>102</v>
      </c>
      <c r="J389">
        <v>102</v>
      </c>
      <c r="K389">
        <v>387</v>
      </c>
    </row>
    <row r="390" spans="2:11">
      <c r="B390" t="s">
        <v>2772</v>
      </c>
      <c r="C390" t="str" cm="1">
        <f t="array" ref="C390" xml:space="preserve"> _xlfn.SWITCH(_xlfn.SINGLE(ChartLines.InstanceNum),   1, REPT(MID(_xlfn.SINGLE(ChartLines.ID),5,1),6),   2, REPT(MID(_xlfn.SINGLE(ChartLines.ID),7,1),2) &amp; REPT(MID(_xlfn.SINGLE(ChartLines.ID),8,1),2) &amp; REPT(MID(_xlfn.SINGLE(ChartLines.ID),9,1),2) )</f>
        <v>00FF00</v>
      </c>
      <c r="E390">
        <f t="shared" si="434"/>
        <v>2</v>
      </c>
      <c r="F390">
        <f t="shared" si="435"/>
        <v>2</v>
      </c>
      <c r="G390" t="str" cm="1">
        <f t="array" ref="G390" xml:space="preserve"> _xlfn.IFS(OR(LEN(_xlfn.SINGLE(ChartLines.ID))=0,"Unused"=_xlfn.SINGLE(ChartLines.ID)), "·",   1=_xlfn.SINGLE(ChartLines.NumInstances), IF("USD"=_xlfn.SINGLE(ChartLines.ID), "SoleBig", "SoleOrdinary"),   1=_xlfn.SINGLE(ChartLines.InstanceNum), "Outer",   TRUE, "Inner")</f>
        <v>Inner</v>
      </c>
      <c r="H390">
        <v>0</v>
      </c>
      <c r="I390">
        <v>255</v>
      </c>
      <c r="J390">
        <v>0</v>
      </c>
      <c r="K390">
        <v>388</v>
      </c>
    </row>
    <row r="391" spans="2:11">
      <c r="B391" t="s">
        <v>2773</v>
      </c>
      <c r="C391" t="str" cm="1">
        <f t="array" ref="C391" xml:space="preserve"> _xlfn.SWITCH(_xlfn.SINGLE(ChartLines.InstanceNum),   1, REPT(MID(_xlfn.SINGLE(ChartLines.ID),5,1),6),   2, REPT(MID(_xlfn.SINGLE(ChartLines.ID),7,1),2) &amp; REPT(MID(_xlfn.SINGLE(ChartLines.ID),8,1),2) &amp; REPT(MID(_xlfn.SINGLE(ChartLines.ID),9,1),2) )</f>
        <v>666666</v>
      </c>
      <c r="E391">
        <f t="shared" si="434"/>
        <v>2</v>
      </c>
      <c r="F391">
        <f t="shared" si="435"/>
        <v>1</v>
      </c>
      <c r="G391" t="str" cm="1">
        <f t="array" ref="G391" xml:space="preserve"> _xlfn.IFS(OR(LEN(_xlfn.SINGLE(ChartLines.ID))=0,"Unused"=_xlfn.SINGLE(ChartLines.ID)), "·",   1=_xlfn.SINGLE(ChartLines.NumInstances), IF("USD"=_xlfn.SINGLE(ChartLines.ID), "SoleBig", "SoleOrdinary"),   1=_xlfn.SINGLE(ChartLines.InstanceNum), "Outer",   TRUE, "Inner")</f>
        <v>Outer</v>
      </c>
      <c r="H391">
        <v>102</v>
      </c>
      <c r="I391">
        <v>102</v>
      </c>
      <c r="J391">
        <v>102</v>
      </c>
      <c r="K391">
        <v>389</v>
      </c>
    </row>
    <row r="392" spans="2:11">
      <c r="B392" t="s">
        <v>2773</v>
      </c>
      <c r="C392" t="str" cm="1">
        <f t="array" ref="C392" xml:space="preserve"> _xlfn.SWITCH(_xlfn.SINGLE(ChartLines.InstanceNum),   1, REPT(MID(_xlfn.SINGLE(ChartLines.ID),5,1),6),   2, REPT(MID(_xlfn.SINGLE(ChartLines.ID),7,1),2) &amp; REPT(MID(_xlfn.SINGLE(ChartLines.ID),8,1),2) &amp; REPT(MID(_xlfn.SINGLE(ChartLines.ID),9,1),2) )</f>
        <v>FF0000</v>
      </c>
      <c r="E392">
        <f t="shared" si="434"/>
        <v>2</v>
      </c>
      <c r="F392">
        <f t="shared" si="435"/>
        <v>2</v>
      </c>
      <c r="G392" t="str" cm="1">
        <f t="array" ref="G392" xml:space="preserve"> _xlfn.IFS(OR(LEN(_xlfn.SINGLE(ChartLines.ID))=0,"Unused"=_xlfn.SINGLE(ChartLines.ID)), "·",   1=_xlfn.SINGLE(ChartLines.NumInstances), IF("USD"=_xlfn.SINGLE(ChartLines.ID), "SoleBig", "SoleOrdinary"),   1=_xlfn.SINGLE(ChartLines.InstanceNum), "Outer",   TRUE, "Inner")</f>
        <v>Inner</v>
      </c>
      <c r="H392">
        <v>255</v>
      </c>
      <c r="I392">
        <v>0</v>
      </c>
      <c r="J392">
        <v>0</v>
      </c>
      <c r="K392">
        <v>390</v>
      </c>
    </row>
    <row r="393" spans="2:11">
      <c r="B393" t="s">
        <v>2774</v>
      </c>
      <c r="C393" t="str" cm="1">
        <f t="array" ref="C393" xml:space="preserve"> _xlfn.SWITCH(_xlfn.SINGLE(ChartLines.InstanceNum),   1, REPT(MID(_xlfn.SINGLE(ChartLines.ID),5,1),6),   2, REPT(MID(_xlfn.SINGLE(ChartLines.ID),7,1),2) &amp; REPT(MID(_xlfn.SINGLE(ChartLines.ID),8,1),2) &amp; REPT(MID(_xlfn.SINGLE(ChartLines.ID),9,1),2) )</f>
        <v>666666</v>
      </c>
      <c r="E393">
        <f t="shared" si="434"/>
        <v>2</v>
      </c>
      <c r="F393">
        <f t="shared" si="435"/>
        <v>1</v>
      </c>
      <c r="G393" t="str" cm="1">
        <f t="array" ref="G393" xml:space="preserve"> _xlfn.IFS(OR(LEN(_xlfn.SINGLE(ChartLines.ID))=0,"Unused"=_xlfn.SINGLE(ChartLines.ID)), "·",   1=_xlfn.SINGLE(ChartLines.NumInstances), IF("USD"=_xlfn.SINGLE(ChartLines.ID), "SoleBig", "SoleOrdinary"),   1=_xlfn.SINGLE(ChartLines.InstanceNum), "Outer",   TRUE, "Inner")</f>
        <v>Outer</v>
      </c>
      <c r="H393">
        <v>102</v>
      </c>
      <c r="I393">
        <v>102</v>
      </c>
      <c r="J393">
        <v>102</v>
      </c>
      <c r="K393">
        <v>391</v>
      </c>
    </row>
    <row r="394" spans="2:11">
      <c r="B394" t="s">
        <v>2774</v>
      </c>
      <c r="C394" t="str" cm="1">
        <f t="array" ref="C394" xml:space="preserve"> _xlfn.SWITCH(_xlfn.SINGLE(ChartLines.InstanceNum),   1, REPT(MID(_xlfn.SINGLE(ChartLines.ID),5,1),6),   2, REPT(MID(_xlfn.SINGLE(ChartLines.ID),7,1),2) &amp; REPT(MID(_xlfn.SINGLE(ChartLines.ID),8,1),2) &amp; REPT(MID(_xlfn.SINGLE(ChartLines.ID),9,1),2) )</f>
        <v>0000FF</v>
      </c>
      <c r="E394">
        <f t="shared" si="434"/>
        <v>2</v>
      </c>
      <c r="F394">
        <f t="shared" si="435"/>
        <v>2</v>
      </c>
      <c r="G394" t="str" cm="1">
        <f t="array" ref="G394" xml:space="preserve"> _xlfn.IFS(OR(LEN(_xlfn.SINGLE(ChartLines.ID))=0,"Unused"=_xlfn.SINGLE(ChartLines.ID)), "·",   1=_xlfn.SINGLE(ChartLines.NumInstances), IF("USD"=_xlfn.SINGLE(ChartLines.ID), "SoleBig", "SoleOrdinary"),   1=_xlfn.SINGLE(ChartLines.InstanceNum), "Outer",   TRUE, "Inner")</f>
        <v>Inner</v>
      </c>
      <c r="H394">
        <v>0</v>
      </c>
      <c r="I394">
        <v>0</v>
      </c>
      <c r="J394">
        <v>255</v>
      </c>
      <c r="K394">
        <v>392</v>
      </c>
    </row>
    <row r="395" spans="2:11">
      <c r="B395" t="s">
        <v>2775</v>
      </c>
      <c r="C395" t="str" cm="1">
        <f t="array" ref="C395" xml:space="preserve"> _xlfn.SWITCH(_xlfn.SINGLE(ChartLines.InstanceNum),   1, REPT(MID(_xlfn.SINGLE(ChartLines.ID),5,1),6),   2, REPT(MID(_xlfn.SINGLE(ChartLines.ID),7,1),2) &amp; REPT(MID(_xlfn.SINGLE(ChartLines.ID),8,1),2) &amp; REPT(MID(_xlfn.SINGLE(ChartLines.ID),9,1),2) )</f>
        <v>666666</v>
      </c>
      <c r="E395">
        <f t="shared" si="434"/>
        <v>2</v>
      </c>
      <c r="F395">
        <f t="shared" si="435"/>
        <v>1</v>
      </c>
      <c r="G395" t="str" cm="1">
        <f t="array" ref="G395" xml:space="preserve"> _xlfn.IFS(OR(LEN(_xlfn.SINGLE(ChartLines.ID))=0,"Unused"=_xlfn.SINGLE(ChartLines.ID)), "·",   1=_xlfn.SINGLE(ChartLines.NumInstances), IF("USD"=_xlfn.SINGLE(ChartLines.ID), "SoleBig", "SoleOrdinary"),   1=_xlfn.SINGLE(ChartLines.InstanceNum), "Outer",   TRUE, "Inner")</f>
        <v>Outer</v>
      </c>
      <c r="H395">
        <v>102</v>
      </c>
      <c r="I395">
        <v>102</v>
      </c>
      <c r="J395">
        <v>102</v>
      </c>
      <c r="K395">
        <v>393</v>
      </c>
    </row>
    <row r="396" spans="2:11">
      <c r="B396" t="s">
        <v>2775</v>
      </c>
      <c r="C396" t="str" cm="1">
        <f t="array" ref="C396" xml:space="preserve"> _xlfn.SWITCH(_xlfn.SINGLE(ChartLines.InstanceNum),   1, REPT(MID(_xlfn.SINGLE(ChartLines.ID),5,1),6),   2, REPT(MID(_xlfn.SINGLE(ChartLines.ID),7,1),2) &amp; REPT(MID(_xlfn.SINGLE(ChartLines.ID),8,1),2) &amp; REPT(MID(_xlfn.SINGLE(ChartLines.ID),9,1),2) )</f>
        <v>FF00FF</v>
      </c>
      <c r="E396">
        <f t="shared" si="434"/>
        <v>2</v>
      </c>
      <c r="F396">
        <f t="shared" si="435"/>
        <v>2</v>
      </c>
      <c r="G396" t="str" cm="1">
        <f t="array" ref="G396" xml:space="preserve"> _xlfn.IFS(OR(LEN(_xlfn.SINGLE(ChartLines.ID))=0,"Unused"=_xlfn.SINGLE(ChartLines.ID)), "·",   1=_xlfn.SINGLE(ChartLines.NumInstances), IF("USD"=_xlfn.SINGLE(ChartLines.ID), "SoleBig", "SoleOrdinary"),   1=_xlfn.SINGLE(ChartLines.InstanceNum), "Outer",   TRUE, "Inner")</f>
        <v>Inner</v>
      </c>
      <c r="H396">
        <v>255</v>
      </c>
      <c r="I396">
        <v>0</v>
      </c>
      <c r="J396">
        <v>255</v>
      </c>
      <c r="K396">
        <v>394</v>
      </c>
    </row>
    <row r="397" spans="2:11">
      <c r="B397" t="s">
        <v>2776</v>
      </c>
      <c r="C397" t="str" cm="1">
        <f t="array" ref="C397" xml:space="preserve"> _xlfn.SWITCH(_xlfn.SINGLE(ChartLines.InstanceNum),   1, REPT(MID(_xlfn.SINGLE(ChartLines.ID),5,1),6),   2, REPT(MID(_xlfn.SINGLE(ChartLines.ID),7,1),2) &amp; REPT(MID(_xlfn.SINGLE(ChartLines.ID),8,1),2) &amp; REPT(MID(_xlfn.SINGLE(ChartLines.ID),9,1),2) )</f>
        <v>666666</v>
      </c>
      <c r="E397">
        <f t="shared" si="434"/>
        <v>2</v>
      </c>
      <c r="F397">
        <f t="shared" si="435"/>
        <v>1</v>
      </c>
      <c r="G397" t="str" cm="1">
        <f t="array" ref="G397" xml:space="preserve"> _xlfn.IFS(OR(LEN(_xlfn.SINGLE(ChartLines.ID))=0,"Unused"=_xlfn.SINGLE(ChartLines.ID)), "·",   1=_xlfn.SINGLE(ChartLines.NumInstances), IF("USD"=_xlfn.SINGLE(ChartLines.ID), "SoleBig", "SoleOrdinary"),   1=_xlfn.SINGLE(ChartLines.InstanceNum), "Outer",   TRUE, "Inner")</f>
        <v>Outer</v>
      </c>
      <c r="H397">
        <v>102</v>
      </c>
      <c r="I397">
        <v>102</v>
      </c>
      <c r="J397">
        <v>102</v>
      </c>
      <c r="K397">
        <v>395</v>
      </c>
    </row>
    <row r="398" spans="2:11">
      <c r="B398" t="s">
        <v>2776</v>
      </c>
      <c r="C398" t="str" cm="1">
        <f t="array" ref="C398" xml:space="preserve"> _xlfn.SWITCH(_xlfn.SINGLE(ChartLines.InstanceNum),   1, REPT(MID(_xlfn.SINGLE(ChartLines.ID),5,1),6),   2, REPT(MID(_xlfn.SINGLE(ChartLines.ID),7,1),2) &amp; REPT(MID(_xlfn.SINGLE(ChartLines.ID),8,1),2) &amp; REPT(MID(_xlfn.SINGLE(ChartLines.ID),9,1),2) )</f>
        <v>00FFFF</v>
      </c>
      <c r="E398">
        <f t="shared" si="434"/>
        <v>2</v>
      </c>
      <c r="F398">
        <f t="shared" si="435"/>
        <v>2</v>
      </c>
      <c r="G398" t="str" cm="1">
        <f t="array" ref="G398" xml:space="preserve"> _xlfn.IFS(OR(LEN(_xlfn.SINGLE(ChartLines.ID))=0,"Unused"=_xlfn.SINGLE(ChartLines.ID)), "·",   1=_xlfn.SINGLE(ChartLines.NumInstances), IF("USD"=_xlfn.SINGLE(ChartLines.ID), "SoleBig", "SoleOrdinary"),   1=_xlfn.SINGLE(ChartLines.InstanceNum), "Outer",   TRUE, "Inner")</f>
        <v>Inner</v>
      </c>
      <c r="H398">
        <v>0</v>
      </c>
      <c r="I398">
        <v>255</v>
      </c>
      <c r="J398">
        <v>255</v>
      </c>
      <c r="K398">
        <v>396</v>
      </c>
    </row>
    <row r="399" spans="2:11">
      <c r="B399" t="s">
        <v>2777</v>
      </c>
      <c r="C399" t="str" cm="1">
        <f t="array" ref="C399" xml:space="preserve"> _xlfn.SWITCH(_xlfn.SINGLE(ChartLines.InstanceNum),   1, REPT(MID(_xlfn.SINGLE(ChartLines.ID),5,1),6),   2, REPT(MID(_xlfn.SINGLE(ChartLines.ID),7,1),2) &amp; REPT(MID(_xlfn.SINGLE(ChartLines.ID),8,1),2) &amp; REPT(MID(_xlfn.SINGLE(ChartLines.ID),9,1),2) )</f>
        <v>666666</v>
      </c>
      <c r="E399">
        <f t="shared" si="434"/>
        <v>2</v>
      </c>
      <c r="F399">
        <f t="shared" si="435"/>
        <v>1</v>
      </c>
      <c r="G399" t="str" cm="1">
        <f t="array" ref="G399" xml:space="preserve"> _xlfn.IFS(OR(LEN(_xlfn.SINGLE(ChartLines.ID))=0,"Unused"=_xlfn.SINGLE(ChartLines.ID)), "·",   1=_xlfn.SINGLE(ChartLines.NumInstances), IF("USD"=_xlfn.SINGLE(ChartLines.ID), "SoleBig", "SoleOrdinary"),   1=_xlfn.SINGLE(ChartLines.InstanceNum), "Outer",   TRUE, "Inner")</f>
        <v>Outer</v>
      </c>
      <c r="H399">
        <v>102</v>
      </c>
      <c r="I399">
        <v>102</v>
      </c>
      <c r="J399">
        <v>102</v>
      </c>
      <c r="K399">
        <v>397</v>
      </c>
    </row>
    <row r="400" spans="2:11">
      <c r="B400" t="s">
        <v>2777</v>
      </c>
      <c r="C400" t="str" cm="1">
        <f t="array" ref="C400" xml:space="preserve"> _xlfn.SWITCH(_xlfn.SINGLE(ChartLines.InstanceNum),   1, REPT(MID(_xlfn.SINGLE(ChartLines.ID),5,1),6),   2, REPT(MID(_xlfn.SINGLE(ChartLines.ID),7,1),2) &amp; REPT(MID(_xlfn.SINGLE(ChartLines.ID),8,1),2) &amp; REPT(MID(_xlfn.SINGLE(ChartLines.ID),9,1),2) )</f>
        <v>FFFF00</v>
      </c>
      <c r="E400">
        <f t="shared" si="434"/>
        <v>2</v>
      </c>
      <c r="F400">
        <f t="shared" si="435"/>
        <v>2</v>
      </c>
      <c r="G400" t="str" cm="1">
        <f t="array" ref="G400" xml:space="preserve"> _xlfn.IFS(OR(LEN(_xlfn.SINGLE(ChartLines.ID))=0,"Unused"=_xlfn.SINGLE(ChartLines.ID)), "·",   1=_xlfn.SINGLE(ChartLines.NumInstances), IF("USD"=_xlfn.SINGLE(ChartLines.ID), "SoleBig", "SoleOrdinary"),   1=_xlfn.SINGLE(ChartLines.InstanceNum), "Outer",   TRUE, "Inner")</f>
        <v>Inner</v>
      </c>
      <c r="H400">
        <v>255</v>
      </c>
      <c r="I400">
        <v>255</v>
      </c>
      <c r="J400">
        <v>0</v>
      </c>
      <c r="K400">
        <v>398</v>
      </c>
    </row>
    <row r="401" spans="2:11">
      <c r="E401" t="str">
        <f t="shared" si="434"/>
        <v>·</v>
      </c>
      <c r="F401" t="str">
        <f t="shared" si="435"/>
        <v>·</v>
      </c>
      <c r="G401" t="str" cm="1">
        <f t="array" ref="G401" xml:space="preserve"> _xlfn.IFS(OR(LEN(_xlfn.SINGLE(ChartLines.ID))=0,"Unused"=_xlfn.SINGLE(ChartLines.ID)), "·",   1=_xlfn.SINGLE(ChartLines.NumInstances), IF("USD"=_xlfn.SINGLE(ChartLines.ID), "SoleBig", "SoleOrdinary"),   1=_xlfn.SINGLE(ChartLines.InstanceNum), "Outer",   TRUE, "Inner")</f>
        <v>·</v>
      </c>
      <c r="H401" t="str">
        <v>·</v>
      </c>
      <c r="I401" t="str">
        <v>·</v>
      </c>
      <c r="J401" t="str">
        <v>·</v>
      </c>
      <c r="K401">
        <v>399</v>
      </c>
    </row>
    <row r="402" spans="2:11">
      <c r="E402" t="str">
        <f t="shared" si="434"/>
        <v>·</v>
      </c>
      <c r="F402" t="str">
        <f t="shared" si="435"/>
        <v>·</v>
      </c>
      <c r="G402" t="str" cm="1">
        <f t="array" ref="G402" xml:space="preserve"> _xlfn.IFS(OR(LEN(_xlfn.SINGLE(ChartLines.ID))=0,"Unused"=_xlfn.SINGLE(ChartLines.ID)), "·",   1=_xlfn.SINGLE(ChartLines.NumInstances), IF("USD"=_xlfn.SINGLE(ChartLines.ID), "SoleBig", "SoleOrdinary"),   1=_xlfn.SINGLE(ChartLines.InstanceNum), "Outer",   TRUE, "Inner")</f>
        <v>·</v>
      </c>
      <c r="H402" t="str">
        <v>·</v>
      </c>
      <c r="I402" t="str">
        <v>·</v>
      </c>
      <c r="J402" t="str">
        <v>·</v>
      </c>
      <c r="K402">
        <v>400</v>
      </c>
    </row>
    <row r="403" spans="2:11">
      <c r="E403" t="str">
        <f t="shared" si="434"/>
        <v>·</v>
      </c>
      <c r="F403" t="str">
        <f t="shared" si="435"/>
        <v>·</v>
      </c>
      <c r="G403" t="str" cm="1">
        <f t="array" ref="G403" xml:space="preserve"> _xlfn.IFS(OR(LEN(_xlfn.SINGLE(ChartLines.ID))=0,"Unused"=_xlfn.SINGLE(ChartLines.ID)), "·",   1=_xlfn.SINGLE(ChartLines.NumInstances), IF("USD"=_xlfn.SINGLE(ChartLines.ID), "SoleBig", "SoleOrdinary"),   1=_xlfn.SINGLE(ChartLines.InstanceNum), "Outer",   TRUE, "Inner")</f>
        <v>·</v>
      </c>
      <c r="H403" t="str">
        <v>·</v>
      </c>
      <c r="I403" t="str">
        <v>·</v>
      </c>
      <c r="J403" t="str">
        <v>·</v>
      </c>
      <c r="K403">
        <v>401</v>
      </c>
    </row>
    <row r="404" spans="2:11">
      <c r="B404" t="s">
        <v>2599</v>
      </c>
      <c r="C404" t="s">
        <v>2599</v>
      </c>
      <c r="E404">
        <f t="shared" si="434"/>
        <v>1</v>
      </c>
      <c r="F404">
        <f t="shared" si="435"/>
        <v>1</v>
      </c>
      <c r="G404" t="str" cm="1">
        <f t="array" ref="G404" xml:space="preserve"> _xlfn.IFS(OR(LEN(_xlfn.SINGLE(ChartLines.ID))=0,"Unused"=_xlfn.SINGLE(ChartLines.ID)), "·",   1=_xlfn.SINGLE(ChartLines.NumInstances), IF("USD"=_xlfn.SINGLE(ChartLines.ID), "SoleBig", "SoleOrdinary"),   1=_xlfn.SINGLE(ChartLines.InstanceNum), "Outer",   TRUE, "Inner")</f>
        <v>SoleOrdinary</v>
      </c>
      <c r="H404" t="str">
        <v>·</v>
      </c>
      <c r="I404" t="str">
        <v>·</v>
      </c>
      <c r="J404" t="str">
        <v>·</v>
      </c>
      <c r="K404">
        <v>402</v>
      </c>
    </row>
  </sheetData>
  <sortState xmlns:xlrd2="http://schemas.microsoft.com/office/spreadsheetml/2017/richdata2" ref="B373:C400">
    <sortCondition ref="B373:B400"/>
  </sortState>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200"/>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2621</v>
      </c>
      <c r="E7" s="5" t="s">
        <v>2622</v>
      </c>
    </row>
    <row r="8" spans="2:5">
      <c r="B8" s="5" t="s">
        <v>2629</v>
      </c>
      <c r="C8" s="5" t="s">
        <v>2643</v>
      </c>
      <c r="D8" s="5" t="s">
        <v>2645</v>
      </c>
    </row>
    <row r="9" spans="2:5">
      <c r="B9" s="5" t="s">
        <v>2632</v>
      </c>
      <c r="C9" s="5" t="s">
        <v>2644</v>
      </c>
      <c r="D9" s="5" t="s">
        <v>2646</v>
      </c>
    </row>
    <row r="10" spans="2:5">
      <c r="B10" s="5" t="s">
        <v>403</v>
      </c>
      <c r="C10" s="5" t="s">
        <v>2433</v>
      </c>
      <c r="D10" s="5" t="s">
        <v>2655</v>
      </c>
    </row>
    <row r="11" spans="2:5">
      <c r="B11" s="5" t="s">
        <v>2654</v>
      </c>
      <c r="C11" s="5" t="s">
        <v>2657</v>
      </c>
      <c r="D11" s="5" t="s">
        <v>2656</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2738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2628</v>
      </c>
    </row>
    <row r="29" spans="2:5">
      <c r="B29" s="5" t="s">
        <v>203</v>
      </c>
      <c r="C29" s="5" t="s">
        <v>2455</v>
      </c>
    </row>
    <row r="30" spans="2:5">
      <c r="B30" s="5" t="s">
        <v>1872</v>
      </c>
      <c r="C30" s="5" t="s">
        <v>2611</v>
      </c>
      <c r="E30" s="5" t="s">
        <v>2612</v>
      </c>
    </row>
    <row r="31" spans="2:5">
      <c r="B31" s="5" t="s">
        <v>136</v>
      </c>
      <c r="C31" s="5" t="s">
        <v>2723</v>
      </c>
    </row>
    <row r="32" spans="2:5">
      <c r="B32" s="5" t="s">
        <v>235</v>
      </c>
      <c r="C32" s="5" t="s">
        <v>2613</v>
      </c>
      <c r="E32" s="5" t="s">
        <v>2614</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2663</v>
      </c>
      <c r="C48" s="5" t="s">
        <v>2667</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2619</v>
      </c>
    </row>
    <row r="54" spans="2:5">
      <c r="B54" s="5" t="s">
        <v>375</v>
      </c>
      <c r="C54" s="5" t="s">
        <v>2474</v>
      </c>
    </row>
    <row r="55" spans="2:5">
      <c r="B55" s="5" t="s">
        <v>2722</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2615</v>
      </c>
      <c r="E65" s="5" t="s">
        <v>2616</v>
      </c>
    </row>
    <row r="66" spans="2:5">
      <c r="B66" s="5" t="s">
        <v>134</v>
      </c>
      <c r="C66" s="5" t="s">
        <v>2623</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2625</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2624</v>
      </c>
    </row>
    <row r="82" spans="2:5">
      <c r="B82" s="5" t="s">
        <v>490</v>
      </c>
      <c r="C82" s="5" t="s">
        <v>2500</v>
      </c>
    </row>
    <row r="83" spans="2:5">
      <c r="B83" s="5" t="s">
        <v>888</v>
      </c>
      <c r="C83" s="5" t="s">
        <v>2501</v>
      </c>
    </row>
    <row r="84" spans="2:5">
      <c r="B84" s="5" t="s">
        <v>508</v>
      </c>
      <c r="C84" s="5" t="s">
        <v>2609</v>
      </c>
      <c r="E84" s="5" t="s">
        <v>2610</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2658</v>
      </c>
      <c r="C99" s="5" t="s">
        <v>2661</v>
      </c>
    </row>
    <row r="100" spans="2:5">
      <c r="B100" s="5" t="s">
        <v>2664</v>
      </c>
      <c r="C100" s="5" t="s">
        <v>2666</v>
      </c>
      <c r="E100" s="5" t="s">
        <v>2668</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2762</v>
      </c>
      <c r="C120" s="5" t="str">
        <f xml:space="preserve"> "Based on the fly of the [flag of Cuba](https://en.wikipedia.org/wiki/Flag_of_Cuba)."</f>
        <v>Based on the fly of the [flag of Cuba](https://en.wikipedia.org/wiki/Flag_of_Cuba).</v>
      </c>
      <c r="E120" s="5" t="str">
        <f>_xlfn._LONGTEXT("In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 &amp; ROUND(15*(4 - SQRT(3))/2,4) &amp; "&amp;ratio;15, here rounded to 17&amp;ratio;15."</f>
        <v>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|&amp;nbsp;17.0096&amp;ratio;15, here rounded to 17&amp;ratio;15.</v>
      </c>
    </row>
    <row r="121" spans="2:5">
      <c r="B121" s="5" t="s">
        <v>1762</v>
      </c>
      <c r="C121" s="5" t="s">
        <v>2536</v>
      </c>
    </row>
    <row r="122" spans="2:5">
      <c r="B122" s="5" t="s">
        <v>782</v>
      </c>
      <c r="C122" s="5" t="s">
        <v>2537</v>
      </c>
      <c r="D122" s="5" t="s">
        <v>2649</v>
      </c>
    </row>
    <row r="123" spans="2:5">
      <c r="B123" s="5" t="s">
        <v>2633</v>
      </c>
      <c r="C123" s="5" t="str">
        <f xml:space="preserve"> "Shape from `" &amp; $B$122 &amp; "` marker; with green."</f>
        <v>Shape from `EU` marker; with green.</v>
      </c>
      <c r="D123" s="5" t="s">
        <v>2647</v>
      </c>
    </row>
    <row r="124" spans="2:5">
      <c r="B124" s="5" t="s">
        <v>2634</v>
      </c>
      <c r="C124" s="5" t="str">
        <f xml:space="preserve"> "Shape from `" &amp; $B$122 &amp; "` marker; with blue and yellow from the [flag of Europe](http://en.wikipedia.org/wiki/Flag_of_Europe)."</f>
        <v>Shape from `EU` marker; with blue and yellow from the [flag of Europe](http://en.wikipedia.org/wiki/Flag_of_Europe).</v>
      </c>
      <c r="D124" s="5" t="s">
        <v>2648</v>
      </c>
    </row>
    <row r="125" spans="2:5">
      <c r="B125" s="5" t="s">
        <v>2635</v>
      </c>
      <c r="C125" s="5" t="str">
        <f xml:space="preserve"> "Shape from `" &amp; $B$122 &amp; "` marker; with blue from the [flag of Europe](http://en.wikipedia.org/wiki/Flag_of_Europe)."</f>
        <v>Shape from `EU` marker; with blue from the [flag of Europe](http://en.wikipedia.org/wiki/Flag_of_Europe).</v>
      </c>
      <c r="D125" s="5" t="s">
        <v>2650</v>
      </c>
    </row>
    <row r="126" spans="2:5">
      <c r="B126" s="5" t="s">
        <v>784</v>
      </c>
      <c r="C126" s="5" t="s">
        <v>2538</v>
      </c>
    </row>
    <row r="127" spans="2:5">
      <c r="B127" s="5" t="s">
        <v>574</v>
      </c>
      <c r="C127" s="5" t="s">
        <v>2539</v>
      </c>
      <c r="D127" s="5" t="s">
        <v>2540</v>
      </c>
    </row>
    <row r="128" spans="2:5">
      <c r="B128" s="5" t="str">
        <f xml:space="preserve"> B127&amp;"_2"</f>
        <v>DE_2</v>
      </c>
      <c r="C128" s="5" t="str">
        <f xml:space="preserve"> "Shape from `" &amp; $B127 &amp; "` marker; red replacing white."</f>
        <v>Shape from `DE` marker; red replacing white.</v>
      </c>
      <c r="D128" s="5" t="s">
        <v>2541</v>
      </c>
    </row>
    <row r="129" spans="2:4">
      <c r="B129" s="5" t="s">
        <v>591</v>
      </c>
      <c r="C129" s="5" t="s">
        <v>2542</v>
      </c>
      <c r="D129" s="5" t="s">
        <v>2543</v>
      </c>
    </row>
    <row r="130" spans="2:4">
      <c r="B130" s="5" t="str">
        <f xml:space="preserve"> B129&amp;"_2"</f>
        <v>FR_2</v>
      </c>
      <c r="C130" s="5" t="str">
        <f xml:space="preserve"> "Shape from `" &amp; $B129 &amp; "` marker; colours re-ordereed and black replacing white."</f>
        <v>Shape from `FR` marker; colours re-ordereed and black replacing white.</v>
      </c>
      <c r="D130" s="5" t="s">
        <v>2606</v>
      </c>
    </row>
    <row r="131" spans="2:4">
      <c r="B131" s="5" t="s">
        <v>628</v>
      </c>
      <c r="C131" s="5" t="s">
        <v>2544</v>
      </c>
      <c r="D131" s="5" t="s">
        <v>2545</v>
      </c>
    </row>
    <row r="132" spans="2:4">
      <c r="B132" s="5" t="str">
        <f xml:space="preserve"> B131&amp;"_2"</f>
        <v>IT_2</v>
      </c>
      <c r="C132" s="5" t="str">
        <f xml:space="preserve"> "Shape from `" &amp; $B131 &amp; "` marker; black replacing white."</f>
        <v>Shape from `IT` marker; black replacing white.</v>
      </c>
      <c r="D132" s="5" t="s">
        <v>2546</v>
      </c>
    </row>
    <row r="133" spans="2:4">
      <c r="B133" s="5" t="s">
        <v>170</v>
      </c>
      <c r="C133" s="5" t="s">
        <v>2547</v>
      </c>
      <c r="D133" s="5" t="s">
        <v>2620</v>
      </c>
    </row>
    <row r="134" spans="2:4">
      <c r="B134" s="5" t="str">
        <f xml:space="preserve"> B133&amp;"_2"</f>
        <v>ES_2</v>
      </c>
      <c r="C134" s="5" t="str">
        <f xml:space="preserve"> "Shape from `" &amp; $B133 &amp; "` marker; green replacing gold."</f>
        <v>Shape from `ES` marker; green replacing gold.</v>
      </c>
      <c r="D134" s="5" t="s">
        <v>2548</v>
      </c>
    </row>
    <row r="135" spans="2:4">
      <c r="B135" s="5" t="s">
        <v>629</v>
      </c>
      <c r="C135" s="5" t="s">
        <v>2549</v>
      </c>
      <c r="D135" s="5" t="s">
        <v>2550</v>
      </c>
    </row>
    <row r="136" spans="2:4">
      <c r="B136" s="5" t="str">
        <f xml:space="preserve"> B135&amp;"_2"</f>
        <v>NL_2</v>
      </c>
      <c r="C136" s="5" t="str">
        <f xml:space="preserve"> "Shape from `" &amp; $B135 &amp; "` marker; the colours switched."</f>
        <v>Shape from `NL` marker; the colours switched.</v>
      </c>
      <c r="D136" s="5" t="s">
        <v>2551</v>
      </c>
    </row>
    <row r="137" spans="2:4">
      <c r="B137" s="5" t="s">
        <v>648</v>
      </c>
      <c r="C137" s="5" t="s">
        <v>2552</v>
      </c>
      <c r="D137" s="5" t="s">
        <v>2600</v>
      </c>
    </row>
    <row r="138" spans="2:4">
      <c r="B138" s="5" t="str">
        <f xml:space="preserve"> B137&amp;"_2"</f>
        <v>BE_2</v>
      </c>
      <c r="C138" s="5" t="str">
        <f xml:space="preserve"> "Shape from `" &amp; $B137 &amp; "` marker; the colours switched."</f>
        <v>Shape from `BE` marker; the colours switched.</v>
      </c>
      <c r="D138" s="5" t="s">
        <v>2553</v>
      </c>
    </row>
    <row r="139" spans="2:4">
      <c r="B139" s="5" t="s">
        <v>649</v>
      </c>
      <c r="C139" s="5" t="s">
        <v>2554</v>
      </c>
      <c r="D139" s="5" t="s">
        <v>2555</v>
      </c>
    </row>
    <row r="140" spans="2:4">
      <c r="B140" s="5" t="str">
        <f xml:space="preserve"> B139&amp;"_2"</f>
        <v>AT_2</v>
      </c>
      <c r="C140" s="5" t="str">
        <f xml:space="preserve"> "Shape from `" &amp; $B139 &amp; "` marker; black replacing white."</f>
        <v>Shape from `AT` marker; black replacing white.</v>
      </c>
      <c r="D140" s="5" t="s">
        <v>2556</v>
      </c>
    </row>
    <row r="141" spans="2:4">
      <c r="B141" s="5" t="s">
        <v>103</v>
      </c>
      <c r="C141" s="5" t="s">
        <v>2557</v>
      </c>
      <c r="D141" s="5" t="s">
        <v>2558</v>
      </c>
    </row>
    <row r="142" spans="2:4">
      <c r="B142" s="5" t="str">
        <f xml:space="preserve"> B141&amp;"_2"</f>
        <v>PT_2</v>
      </c>
      <c r="C142" s="5" t="str">
        <f xml:space="preserve"> "Shape from `" &amp; $B141 &amp; "` marker; bright green replacing dark green."</f>
        <v>Shape from `PT` marker; bright green replacing dark green.</v>
      </c>
      <c r="D142" s="5" t="s">
        <v>2559</v>
      </c>
    </row>
    <row r="143" spans="2:4">
      <c r="B143" s="5" t="s">
        <v>171</v>
      </c>
      <c r="C143" s="5" t="s">
        <v>2560</v>
      </c>
      <c r="D143" s="5" t="s">
        <v>2561</v>
      </c>
    </row>
    <row r="144" spans="2:4">
      <c r="B144" s="5" t="str">
        <f xml:space="preserve"> B143&amp;"_2"</f>
        <v>GR_2</v>
      </c>
      <c r="C144" s="5" t="str">
        <f xml:space="preserve"> "Shape from `" &amp; $B143 &amp; "` marker; green replacing white."</f>
        <v>Shape from `GR` marker; green replacing white.</v>
      </c>
      <c r="D144" s="5" t="s">
        <v>2562</v>
      </c>
    </row>
    <row r="145" spans="2:5">
      <c r="B145" s="5" t="s">
        <v>668</v>
      </c>
      <c r="C145" s="5" t="s">
        <v>2608</v>
      </c>
      <c r="D145" s="5" t="s">
        <v>2563</v>
      </c>
    </row>
    <row r="146" spans="2:5">
      <c r="B146" s="5" t="str">
        <f xml:space="preserve"> B145&amp;"_2"</f>
        <v>IE_2</v>
      </c>
      <c r="C146" s="5" t="str">
        <f xml:space="preserve"> "Shape from `" &amp; $B145 &amp; "` marker; the colours switched."</f>
        <v>Shape from `IE` marker; the colours switched.</v>
      </c>
      <c r="D146" s="5" t="s">
        <v>2564</v>
      </c>
    </row>
    <row r="147" spans="2:5">
      <c r="B147" s="5" t="s">
        <v>650</v>
      </c>
      <c r="C147" s="5" t="s">
        <v>2565</v>
      </c>
      <c r="D147" s="5" t="s">
        <v>2566</v>
      </c>
    </row>
    <row r="148" spans="2:5">
      <c r="B148" s="5" t="str">
        <f xml:space="preserve"> B147&amp;"_2"</f>
        <v>FI_2</v>
      </c>
      <c r="C148" s="5" t="str">
        <f xml:space="preserve"> "Shape from `" &amp; $B147 &amp; "` marker; green replacing white."</f>
        <v>Shape from `FI` marker; green replacing white.</v>
      </c>
      <c r="D148" s="5" t="s">
        <v>2567</v>
      </c>
    </row>
    <row r="149" spans="2:5">
      <c r="B149" s="5" t="s">
        <v>357</v>
      </c>
      <c r="C149" s="5" t="s">
        <v>2568</v>
      </c>
      <c r="D149" s="5" t="s">
        <v>2569</v>
      </c>
    </row>
    <row r="150" spans="2:5">
      <c r="B150" s="5" t="str">
        <f xml:space="preserve"> B149&amp;"_2"</f>
        <v>SK_2</v>
      </c>
      <c r="C150" s="5" t="str">
        <f xml:space="preserve"> "Shape from `" &amp; $B149 &amp; "` marker; the colours switched."</f>
        <v>Shape from `SK` marker; the colours switched.</v>
      </c>
      <c r="D150" s="5" t="s">
        <v>2570</v>
      </c>
    </row>
    <row r="151" spans="2:5">
      <c r="B151" s="5" t="s">
        <v>1654</v>
      </c>
      <c r="C151" s="5" t="s">
        <v>2571</v>
      </c>
    </row>
    <row r="152" spans="2:5">
      <c r="B152" s="5" t="s">
        <v>358</v>
      </c>
      <c r="C152" s="5" t="s">
        <v>2572</v>
      </c>
    </row>
    <row r="153" spans="2:5">
      <c r="B153" s="5" t="s">
        <v>607</v>
      </c>
      <c r="C153" s="5" t="s">
        <v>2573</v>
      </c>
      <c r="E153" s="5" t="s">
        <v>2574</v>
      </c>
    </row>
    <row r="154" spans="2:5">
      <c r="B154" s="5" t="s">
        <v>669</v>
      </c>
      <c r="C154" s="5" t="s">
        <v>2575</v>
      </c>
    </row>
    <row r="155" spans="2:5">
      <c r="B155" s="5" t="s">
        <v>104</v>
      </c>
      <c r="C155" s="5" t="s">
        <v>2576</v>
      </c>
      <c r="E155" s="5" t="s">
        <v>2617</v>
      </c>
    </row>
    <row r="156" spans="2:5">
      <c r="B156" s="5" t="s">
        <v>105</v>
      </c>
      <c r="C156" s="5" t="s">
        <v>2577</v>
      </c>
    </row>
    <row r="157" spans="2:5">
      <c r="B157" s="5" t="s">
        <v>687</v>
      </c>
      <c r="C157" s="5" t="s">
        <v>2578</v>
      </c>
    </row>
    <row r="158" spans="2:5">
      <c r="B158" s="5" t="s">
        <v>707</v>
      </c>
      <c r="C158" s="5" t="s">
        <v>2579</v>
      </c>
    </row>
    <row r="159" spans="2:5">
      <c r="B159" s="5" t="s">
        <v>1690</v>
      </c>
      <c r="C159" s="5" t="s">
        <v>2580</v>
      </c>
      <c r="E159" s="5" t="s">
        <v>2581</v>
      </c>
    </row>
    <row r="160" spans="2:5">
      <c r="B160" s="5" t="s">
        <v>708</v>
      </c>
      <c r="C160" s="5" t="s">
        <v>2582</v>
      </c>
    </row>
    <row r="161" spans="2:3">
      <c r="B161" s="5" t="s">
        <v>783</v>
      </c>
      <c r="C161" s="5" t="s">
        <v>2583</v>
      </c>
    </row>
    <row r="162" spans="2:3">
      <c r="B162" s="5" t="s">
        <v>2117</v>
      </c>
      <c r="C162" s="5" t="s">
        <v>2618</v>
      </c>
    </row>
    <row r="163" spans="2:3">
      <c r="B163" s="5" t="s">
        <v>172</v>
      </c>
      <c r="C163" s="5" t="s">
        <v>2627</v>
      </c>
    </row>
    <row r="164" spans="2:3">
      <c r="B164" s="5" t="s">
        <v>959</v>
      </c>
      <c r="C164" s="5" t="s">
        <v>2584</v>
      </c>
    </row>
    <row r="165" spans="2:3">
      <c r="B165" s="5" t="s">
        <v>2232</v>
      </c>
      <c r="C165" s="5" t="s">
        <v>2585</v>
      </c>
    </row>
    <row r="166" spans="2:3">
      <c r="B166" s="5" t="s">
        <v>1927</v>
      </c>
      <c r="C166" s="5" t="s">
        <v>2586</v>
      </c>
    </row>
    <row r="167" spans="2:3">
      <c r="B167" s="5" t="s">
        <v>786</v>
      </c>
      <c r="C167" s="5" t="s">
        <v>2587</v>
      </c>
    </row>
    <row r="168" spans="2:3">
      <c r="B168" s="5" t="s">
        <v>2233</v>
      </c>
      <c r="C168" s="5" t="s">
        <v>2605</v>
      </c>
    </row>
    <row r="169" spans="2:3">
      <c r="B169" s="5" t="s">
        <v>173</v>
      </c>
      <c r="C169" s="5" t="s">
        <v>2588</v>
      </c>
    </row>
    <row r="170" spans="2:3">
      <c r="B170" s="5" t="s">
        <v>1929</v>
      </c>
      <c r="C170" s="5" t="s">
        <v>2589</v>
      </c>
    </row>
    <row r="171" spans="2:3">
      <c r="B171" s="5" t="s">
        <v>943</v>
      </c>
      <c r="C171" s="5" t="s">
        <v>2590</v>
      </c>
    </row>
    <row r="172" spans="2:3">
      <c r="B172" s="5" t="s">
        <v>106</v>
      </c>
      <c r="C172" s="5" t="s">
        <v>2591</v>
      </c>
    </row>
    <row r="173" spans="2:3">
      <c r="B173" s="5" t="s">
        <v>2028</v>
      </c>
      <c r="C173" s="5" t="s">
        <v>2626</v>
      </c>
    </row>
    <row r="174" spans="2:3">
      <c r="B174" s="5" t="s">
        <v>980</v>
      </c>
      <c r="C174" s="5" t="s">
        <v>2592</v>
      </c>
    </row>
    <row r="175" spans="2:3">
      <c r="B175" s="5" t="s">
        <v>2018</v>
      </c>
      <c r="C175" s="5" t="s">
        <v>2593</v>
      </c>
    </row>
    <row r="176" spans="2:3">
      <c r="B176" s="5" t="s">
        <v>2023</v>
      </c>
      <c r="C176" s="5" t="s">
        <v>2594</v>
      </c>
    </row>
    <row r="177" spans="2:5">
      <c r="B177" s="5" t="s">
        <v>1038</v>
      </c>
      <c r="C177" s="5" t="s">
        <v>2595</v>
      </c>
    </row>
    <row r="178" spans="2:5">
      <c r="B178" s="5" t="s">
        <v>1932</v>
      </c>
      <c r="C178" s="5" t="s">
        <v>2603</v>
      </c>
      <c r="E178" s="5" t="s">
        <v>2604</v>
      </c>
    </row>
    <row r="179" spans="2:5">
      <c r="B179" s="5" t="s">
        <v>1933</v>
      </c>
      <c r="C179" s="5" t="s">
        <v>2601</v>
      </c>
      <c r="D179" s="5" t="s">
        <v>2602</v>
      </c>
    </row>
    <row r="180" spans="2:5">
      <c r="B180" s="5" t="s">
        <v>2695</v>
      </c>
      <c r="C180" s="5" t="s">
        <v>2701</v>
      </c>
    </row>
    <row r="181" spans="2:5">
      <c r="B181" s="5" t="s">
        <v>2697</v>
      </c>
      <c r="C181" s="5" t="s">
        <v>2708</v>
      </c>
    </row>
    <row r="182" spans="2:5">
      <c r="B182" s="5" t="s">
        <v>2698</v>
      </c>
      <c r="C182" s="5" t="s">
        <v>2700</v>
      </c>
    </row>
    <row r="183" spans="2:5">
      <c r="B183" s="5" t="s">
        <v>2699</v>
      </c>
      <c r="C183" s="5" t="s">
        <v>2717</v>
      </c>
    </row>
    <row r="184" spans="2:5">
      <c r="B184" s="5" t="s">
        <v>1935</v>
      </c>
      <c r="C184" s="5" t="s">
        <v>2596</v>
      </c>
    </row>
    <row r="185" spans="2:5">
      <c r="B185" s="5" t="s">
        <v>1936</v>
      </c>
      <c r="C185" s="5" t="s">
        <v>2597</v>
      </c>
    </row>
    <row r="186" spans="2:5">
      <c r="B186" s="5" t="s">
        <v>917</v>
      </c>
      <c r="C186" s="5" t="s">
        <v>2598</v>
      </c>
    </row>
    <row r="187" spans="2:5">
      <c r="B187" s="5" t="s">
        <v>2764</v>
      </c>
      <c r="C187" s="5" t="s">
        <v>2778</v>
      </c>
      <c r="D187" s="5" t="s">
        <v>2780</v>
      </c>
    </row>
    <row r="188" spans="2:5">
      <c r="B188" s="5" t="s">
        <v>2765</v>
      </c>
      <c r="C188" s="5" t="str">
        <f xml:space="preserve"> C$187</f>
        <v>Based on the [generic currency symbol](https://en.wikipedia.org/wiki/Currency_sign_(generic)), &amp;curren;, also known as the scarab character.</v>
      </c>
      <c r="D188" s="5" t="str">
        <f xml:space="preserve"> D$187</f>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89" spans="2:5">
      <c r="B189" s="5" t="s">
        <v>2766</v>
      </c>
      <c r="C189" s="5" t="str">
        <f t="shared" ref="C189:D200" si="0" xml:space="preserve"> C$187</f>
        <v>Based on the [generic currency symbol](https://en.wikipedia.org/wiki/Currency_sign_(generic)), &amp;curren;, also known as the scarab character.</v>
      </c>
      <c r="D18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0" spans="2:5">
      <c r="B190" s="5" t="s">
        <v>2767</v>
      </c>
      <c r="C190" s="5" t="str">
        <f t="shared" si="0"/>
        <v>Based on the [generic currency symbol](https://en.wikipedia.org/wiki/Currency_sign_(generic)), &amp;curren;, also known as the scarab character.</v>
      </c>
      <c r="D19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1" spans="2:5">
      <c r="B191" s="5" t="s">
        <v>2768</v>
      </c>
      <c r="C191" s="5" t="str">
        <f t="shared" si="0"/>
        <v>Based on the [generic currency symbol](https://en.wikipedia.org/wiki/Currency_sign_(generic)), &amp;curren;, also known as the scarab character.</v>
      </c>
      <c r="D191"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2" spans="2:5">
      <c r="B192" s="5" t="s">
        <v>2769</v>
      </c>
      <c r="C192" s="5" t="str">
        <f t="shared" si="0"/>
        <v>Based on the [generic currency symbol](https://en.wikipedia.org/wiki/Currency_sign_(generic)), &amp;curren;, also known as the scarab character.</v>
      </c>
      <c r="D192"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3" spans="2:4">
      <c r="B193" s="5" t="s">
        <v>2770</v>
      </c>
      <c r="C193" s="5" t="str">
        <f t="shared" si="0"/>
        <v>Based on the [generic currency symbol](https://en.wikipedia.org/wiki/Currency_sign_(generic)), &amp;curren;, also known as the scarab character.</v>
      </c>
      <c r="D193"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4" spans="2:4">
      <c r="B194" s="5" t="s">
        <v>2771</v>
      </c>
      <c r="C194" s="5" t="str">
        <f t="shared" si="0"/>
        <v>Based on the [generic currency symbol](https://en.wikipedia.org/wiki/Currency_sign_(generic)), &amp;curren;, also known as the scarab character.</v>
      </c>
      <c r="D194"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5" spans="2:4">
      <c r="B195" s="5" t="s">
        <v>2772</v>
      </c>
      <c r="C195" s="5" t="str">
        <f t="shared" si="0"/>
        <v>Based on the [generic currency symbol](https://en.wikipedia.org/wiki/Currency_sign_(generic)), &amp;curren;, also known as the scarab character.</v>
      </c>
      <c r="D195"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6" spans="2:4">
      <c r="B196" s="5" t="s">
        <v>2773</v>
      </c>
      <c r="C196" s="5" t="str">
        <f t="shared" si="0"/>
        <v>Based on the [generic currency symbol](https://en.wikipedia.org/wiki/Currency_sign_(generic)), &amp;curren;, also known as the scarab character.</v>
      </c>
      <c r="D196"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7" spans="2:4">
      <c r="B197" s="5" t="s">
        <v>2774</v>
      </c>
      <c r="C197" s="5" t="str">
        <f t="shared" si="0"/>
        <v>Based on the [generic currency symbol](https://en.wikipedia.org/wiki/Currency_sign_(generic)), &amp;curren;, also known as the scarab character.</v>
      </c>
      <c r="D197"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8" spans="2:4">
      <c r="B198" s="5" t="s">
        <v>2775</v>
      </c>
      <c r="C198" s="5" t="str">
        <f t="shared" si="0"/>
        <v>Based on the [generic currency symbol](https://en.wikipedia.org/wiki/Currency_sign_(generic)), &amp;curren;, also known as the scarab character.</v>
      </c>
      <c r="D198"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9" spans="2:4">
      <c r="B199" s="5" t="s">
        <v>2776</v>
      </c>
      <c r="C199" s="5" t="str">
        <f t="shared" si="0"/>
        <v>Based on the [generic currency symbol](https://en.wikipedia.org/wiki/Currency_sign_(generic)), &amp;curren;, also known as the scarab character.</v>
      </c>
      <c r="D19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200" spans="2:4">
      <c r="B200" s="5" t="s">
        <v>2777</v>
      </c>
      <c r="C200" s="5" t="str">
        <f t="shared" si="0"/>
        <v>Based on the [generic currency symbol](https://en.wikipedia.org/wiki/Currency_sign_(generic)), &amp;curren;, also known as the scarab character.</v>
      </c>
      <c r="D20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sheetData>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E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1" max="31" width="10.83203125" style="21"/>
  </cols>
  <sheetData>
    <row r="2" spans="2:31" ht="17" thickBot="1">
      <c r="R2" s="3" t="s">
        <v>1062</v>
      </c>
      <c r="S2" s="3" t="s">
        <v>1063</v>
      </c>
      <c r="T2" s="3" t="s">
        <v>1522</v>
      </c>
      <c r="W2" s="3" t="s">
        <v>2142</v>
      </c>
      <c r="AC2" s="3" t="s">
        <v>1809</v>
      </c>
      <c r="AE2" s="36" t="s">
        <v>96</v>
      </c>
    </row>
    <row r="3" spans="2:31">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6</v>
      </c>
      <c r="AC3">
        <f xml:space="preserve"> 10^2</f>
        <v>100</v>
      </c>
      <c r="AE3" s="21" t="str" cm="1">
        <f t="array" aca="1" ref="AE3" ca="1" xml:space="preserve"> LEFT(CELL("filename"),FIND("[",CELL("filename"))-1)</f>
        <v>/Volumes/JDAW_A/Documents/programming/SVG/CurrencySymbols/</v>
      </c>
    </row>
    <row r="5" spans="2:31" ht="17" thickBot="1">
      <c r="K5" s="3" t="s">
        <v>131</v>
      </c>
      <c r="L5" s="3" t="s">
        <v>129</v>
      </c>
      <c r="M5" s="3" t="s">
        <v>130</v>
      </c>
      <c r="N5" s="3" t="s">
        <v>179</v>
      </c>
      <c r="R5" s="3" t="s">
        <v>1061</v>
      </c>
      <c r="S5" s="3" t="s">
        <v>1064</v>
      </c>
      <c r="T5" s="3" t="s">
        <v>1065</v>
      </c>
      <c r="W5" s="3" t="s">
        <v>920</v>
      </c>
      <c r="X5" s="3" t="s">
        <v>2285</v>
      </c>
      <c r="Y5" s="3" t="s">
        <v>2428</v>
      </c>
      <c r="Z5" s="3" t="s">
        <v>1940</v>
      </c>
      <c r="AA5" s="3" t="s">
        <v>2141</v>
      </c>
      <c r="AB5" s="3" t="s">
        <v>2741</v>
      </c>
      <c r="AC5" s="3" t="s">
        <v>922</v>
      </c>
      <c r="AD5" s="3" t="s">
        <v>923</v>
      </c>
      <c r="AE5" s="36" t="s">
        <v>921</v>
      </c>
    </row>
    <row r="6" spans="2:31">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1" xml:space="preserve"> 1 + ROW(ExportControl.RowNum) - _xlfn.SINGLE(ROW(ExportControl.RowNum))</f>
        <v>1</v>
      </c>
      <c r="X6" t="b">
        <v>0</v>
      </c>
      <c r="Y6" t="b">
        <v>0</v>
      </c>
      <c r="Z6" t="b">
        <v>1</v>
      </c>
      <c r="AA6" t="b">
        <v>0</v>
      </c>
      <c r="AB6" t="b">
        <v>0</v>
      </c>
      <c r="AC6">
        <f xml:space="preserve"> ExportControl.BasicBBoxArea_Base * 8^2</f>
        <v>6400</v>
      </c>
      <c r="AD6" t="str">
        <f xml:space="preserve"> "_enlarged"</f>
        <v>_enlarged</v>
      </c>
      <c r="AE6" s="21" t="str">
        <f ca="1" xml:space="preserve"> Path.ThisWorkbook &amp; "ChartMarkers_enlarged/"</f>
        <v>/Volumes/JDAW_A/Documents/programming/SVG/CurrencySymbols/ChartMarkers_enlarged/</v>
      </c>
    </row>
    <row r="7" spans="2:31">
      <c r="B7" s="4" t="s">
        <v>1047</v>
      </c>
      <c r="C7" s="32">
        <f ca="1" xml:space="preserve"> NOW()</f>
        <v>46215.667635763886</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t="b">
        <v>0</v>
      </c>
      <c r="AC7">
        <f xml:space="preserve"> ExportControl.BasicBBoxArea_Base</f>
        <v>100</v>
      </c>
      <c r="AE7" s="21" t="str">
        <f ca="1" xml:space="preserve"> Path.ThisWorkbook &amp; "ChartMarkers.json"</f>
        <v>/Volumes/JDAW_A/Documents/programming/SVG/CurrencySymbols/ChartMarkers.json</v>
      </c>
    </row>
    <row r="8" spans="2:31">
      <c r="B8" s="4" t="s">
        <v>1048</v>
      </c>
      <c r="C8" s="43">
        <f ca="1" xml:space="preserve"> INT(Now)</f>
        <v>46215</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t="b">
        <v>0</v>
      </c>
      <c r="AC8">
        <f xml:space="preserve"> ExportControl.BasicBBoxArea_Base</f>
        <v>100</v>
      </c>
      <c r="AD8" t="str">
        <f xml:space="preserve"> ""</f>
        <v/>
      </c>
      <c r="AE8" s="21" t="str">
        <f ca="1" xml:space="preserve"> Path.ThisWorkbook &amp; "ChartMarkers/"</f>
        <v>/Volumes/JDAW_A/Documents/programming/SVG/CurrencySymbols/ChartMarkers/</v>
      </c>
    </row>
    <row r="9" spans="2:31">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B9" t="b">
        <v>0</v>
      </c>
      <c r="AD9" t="str">
        <f xml:space="preserve"> "_line"</f>
        <v>_line</v>
      </c>
      <c r="AE9" s="21" t="str">
        <f ca="1" xml:space="preserve"> Path.ThisWorkbook &amp; "ChartLines/"</f>
        <v>/Volumes/JDAW_A/Documents/programming/SVG/CurrencySymbols/ChartLines/</v>
      </c>
    </row>
    <row r="10" spans="2:31">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t="b">
        <v>0</v>
      </c>
      <c r="AC10">
        <f xml:space="preserve"> ExportControl.BasicBBoxArea_Base * 1.5^2</f>
        <v>225</v>
      </c>
      <c r="AD10" t="str">
        <f xml:space="preserve"> "_Excel"</f>
        <v>_Excel</v>
      </c>
      <c r="AE10" s="21" t="str">
        <f ca="1" xml:space="preserve"> Path.ThisWorkbook &amp; "ChartMarkers_Excel/"</f>
        <v>/Volumes/JDAW_A/Documents/programming/SVG/CurrencySymbols/ChartMarkers_Excel/</v>
      </c>
    </row>
    <row r="11" spans="2:31">
      <c r="B11" s="4" t="s">
        <v>10</v>
      </c>
      <c r="C11" cm="1">
        <f t="array" ref="C11" xml:space="preserve"> INDEX(ExportControl.BasicBBoxArea, ExportControl.Num)</f>
        <v>100</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c r="W11">
        <v>6</v>
      </c>
      <c r="X11" t="b">
        <v>0</v>
      </c>
      <c r="Y11" t="b">
        <v>0</v>
      </c>
      <c r="Z11" t="b">
        <v>1</v>
      </c>
      <c r="AA11" t="b">
        <v>0</v>
      </c>
      <c r="AB11" t="b">
        <v>1</v>
      </c>
      <c r="AC11">
        <f xml:space="preserve"> ExportControl.BasicBBoxArea_Base</f>
        <v>100</v>
      </c>
      <c r="AD11" t="s">
        <v>2740</v>
      </c>
      <c r="AE11" s="21" t="str">
        <f ca="1" xml:space="preserve"> Path.ThisWorkbook &amp; "ChartMarkers_characters/"</f>
        <v>/Volumes/JDAW_A/Documents/programming/SVG/CurrencySymbols/ChartMarkers_characters/</v>
      </c>
    </row>
    <row r="12" spans="2:31">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1">
      <c r="B13" s="4" t="s">
        <v>2145</v>
      </c>
      <c r="C13" s="5"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1">
      <c r="B14" s="4" t="s">
        <v>2144</v>
      </c>
      <c r="C14" t="e">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#N/A</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1">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1">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1">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1">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1">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1">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1">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1">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1">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C23">
        <f xml:space="preserve"> ExportControl.BasicBBoxArea_Base</f>
        <v>100</v>
      </c>
      <c r="AD23" t="str">
        <f xml:space="preserve"> ""</f>
        <v/>
      </c>
      <c r="AE23" s="21" t="str">
        <f ca="1" xml:space="preserve"> Path.ThisWorkbook &amp; "ChartMarkers_every.svg"</f>
        <v>/Volumes/JDAW_A/Documents/programming/SVG/CurrencySymbols/ChartMarkers_every.svg</v>
      </c>
    </row>
    <row r="24" spans="2:31">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1">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1">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1">
      <c r="B27" s="4" t="s">
        <v>188</v>
      </c>
      <c r="C27">
        <v>56</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1">
      <c r="B28" s="4" t="s">
        <v>570</v>
      </c>
      <c r="C28" s="37">
        <v>0</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1">
      <c r="B29" s="4" t="s">
        <v>186</v>
      </c>
      <c r="C29" s="5" t="s">
        <v>2779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1">
      <c r="B30" s="4" t="s">
        <v>187</v>
      </c>
      <c r="C30" s="32">
        <v>46215.667523148149</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1">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1">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2651</v>
      </c>
      <c r="C54" s="64" t="str">
        <f xml:space="preserve"> " XXX_0_FFF  XXX_0_0F0  XXX_0_F00  XXX_0_00F  XXX_0_F0F  XXX_0_0FF  XXX_0_FF0  XXX_6_FFF  XXX_6_0F0  XXX_6_F00  XXX_6_00F  XXX_6_F0F  XXX_6_0FF  XXX_6_FF0 "</f>
        <v xml:space="preserve"> XXX_0_FFF  XXX_0_0F0  XXX_0_F00  XXX_0_00F  XXX_0_F0F  XXX_0_0FF  XXX_0_FF0  XXX_6_FFF  XXX_6_0F0  XXX_6_F00  XXX_6_00F  XXX_6_F0F  XXX_6_0FF  XXX_6_FF0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2652</v>
      </c>
      <c r="C55" s="67">
        <f xml:space="preserve"> DATE(2026,7,12) + TIME(23, 45, 0)</f>
        <v>46215.989583333336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conditionalFormatting sqref="X1:AB1048576">
    <cfRule type="expression" dxfId="1" priority="1">
      <formula>(X1=FALSE)</formula>
    </cfRule>
    <cfRule type="expression" dxfId="0" priority="2">
      <formula>(X1=TRUE)</formula>
    </cfRule>
  </conditionalFormatting>
  <pageMargins left="0.7" right="0.7" top="0.75" bottom="0.75" header="0.3" footer="0.3"/>
  <pageSetup paperSize="9" orientation="portrait" horizontalDpi="0" verticalDpi="0"/>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CHOOSE(3,      TAN(10*PI()/180),   TAN(15*PI()/180),   (30 - 7.5*SQRT(3))/15 )</f>
        <v>1.1339745962155614</v>
      </c>
      <c r="C9" s="5" t="s">
        <v>1471</v>
      </c>
      <c r="G9">
        <f xml:space="preserve"> _xlfn.MAXIFS(Rational.RowNum,   Rational.Num,"&lt;1E307",   Rational.Den,"&lt;1E307")</f>
        <v>14</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1</v>
      </c>
      <c r="B12" s="47">
        <v>1</v>
      </c>
      <c r="C12">
        <f t="shared" ref="C12:C48" si="0" xml:space="preserve"> _xlfn.SINGLE(Rational.Num) / _xlfn.SINGLE(Rational.Den)</f>
        <v>1</v>
      </c>
      <c r="D12" s="45">
        <f t="shared" ref="D12:D48" si="1" xml:space="preserve"> _xlfn.SINGLE(Rational.Approximation) - Rational.TargetReal</f>
        <v>-0.1339745962155614</v>
      </c>
      <c r="E12" s="28"/>
      <c r="F12" t="str">
        <f t="shared" ref="F12:F48" si="2" xml:space="preserve"> SUBSTITUTE( TEXT( IFERROR(1/Rational.Error, #N/A), IF(ABS(Rational.Error)&lt;0.000000001,"0.00E+00",IF(ABS(Rational.Error)&lt;0.001,"#,##0","#,##0.000")) ), "-", _xlfn.UNICHAR(8722))</f>
        <v>−7.464</v>
      </c>
      <c r="G12" cm="1">
        <f t="array" ref="G12" xml:space="preserve"> 1 + ROW() - _xlfn.SINGLE(ROW(Rational.RowNum))</f>
        <v>1</v>
      </c>
      <c r="H12" s="28" cm="1">
        <f t="array" ref="H12" xml:space="preserve">  Rational.TargetReal</f>
        <v>1.1339745962155614</v>
      </c>
      <c r="I12">
        <f t="shared" ref="I12:I48" si="3" xml:space="preserve"> TRUNC(Rational.Scrap)</f>
        <v>1</v>
      </c>
    </row>
    <row r="13" spans="1:9">
      <c r="A13" s="46">
        <f xml:space="preserve"> 1 + _xlfn.SINGLE(Rational.c) * A12</f>
        <v>8</v>
      </c>
      <c r="B13" s="46">
        <f xml:space="preserve"> _xlfn.SINGLE(Rational.c)</f>
        <v>7</v>
      </c>
      <c r="C13">
        <f t="shared" si="0"/>
        <v>1.1428571428571428</v>
      </c>
      <c r="D13" s="45">
        <f t="shared" si="1"/>
        <v>8.8825466415813903E-3</v>
      </c>
      <c r="E13" s="44" cm="1">
        <f t="array" ref="E13" xml:space="preserve"> IFERROR(ABS(INDEX(Rational.Error, _xlfn.SINGLE(Rational.RowNum) - 1) / _xlfn.SINGLE(Rational.Error)), #N/A)</f>
        <v>15.08290376865496</v>
      </c>
      <c r="F13" t="str">
        <f t="shared" si="2"/>
        <v>112.580</v>
      </c>
      <c r="G13" cm="1">
        <f t="array" ref="G13" xml:space="preserve"> 1 + ROW() - _xlfn.SINGLE(ROW(Rational.RowNum))</f>
        <v>2</v>
      </c>
      <c r="H13">
        <f t="shared" ref="H13:H48" si="4" xml:space="preserve"> IF($H12 - $I12 = 0, #N/A, 1/($H12 - $I12))</f>
        <v>7.4641016151377517</v>
      </c>
      <c r="I13">
        <f t="shared" si="3"/>
        <v>7</v>
      </c>
    </row>
    <row r="14" spans="1:9">
      <c r="A14" s="37">
        <f t="shared" ref="A14:A48" si="5" xml:space="preserve"> IF(ISNA($F13), #N/A, _xlfn.SINGLE(Rational.c) * A13 + A12)</f>
        <v>17</v>
      </c>
      <c r="B14" s="37">
        <f t="shared" ref="B14:B48" si="6" xml:space="preserve"> IF( ISNA($F13), #N/A, _xlfn.SINGLE(Rational.c) * B13 + B12)</f>
        <v>15</v>
      </c>
      <c r="C14">
        <f t="shared" si="0"/>
        <v>1.1333333333333333</v>
      </c>
      <c r="D14" s="45">
        <f t="shared" si="1"/>
        <v>-6.4126288222809968E-4</v>
      </c>
      <c r="E14" s="44" cm="1">
        <f t="array" ref="E14" xml:space="preserve"> IFERROR(ABS(INDEX(Rational.Error, _xlfn.SINGLE(Rational.RowNum) - 1) / _xlfn.SINGLE(Rational.Error)), #N/A)</f>
        <v>13.851646318150431</v>
      </c>
      <c r="F14" t="str">
        <f t="shared" si="2"/>
        <v>−1,559</v>
      </c>
      <c r="G14" cm="1">
        <f t="array" ref="G14" xml:space="preserve"> 1 + ROW() - _xlfn.SINGLE(ROW(Rational.RowNum))</f>
        <v>3</v>
      </c>
      <c r="H14">
        <f t="shared" si="4"/>
        <v>2.1547005383792648</v>
      </c>
      <c r="I14">
        <f t="shared" si="3"/>
        <v>2</v>
      </c>
    </row>
    <row r="15" spans="1:9">
      <c r="A15" s="37">
        <f t="shared" si="5"/>
        <v>110</v>
      </c>
      <c r="B15" s="37">
        <f t="shared" si="6"/>
        <v>97</v>
      </c>
      <c r="C15">
        <f t="shared" si="0"/>
        <v>1.134020618556701</v>
      </c>
      <c r="D15" s="45">
        <f t="shared" si="1"/>
        <v>4.6022341139595468E-5</v>
      </c>
      <c r="E15" s="44" cm="1">
        <f t="array" ref="E15" xml:space="preserve"> IFERROR(ABS(INDEX(Rational.Error, _xlfn.SINGLE(Rational.RowNum) - 1) / _xlfn.SINGLE(Rational.Error)), #N/A)</f>
        <v>13.933730148212454</v>
      </c>
      <c r="F15" t="str">
        <f t="shared" si="2"/>
        <v>21,729</v>
      </c>
      <c r="G15" cm="1">
        <f t="array" ref="G15" xml:space="preserve"> 1 + ROW() - _xlfn.SINGLE(ROW(Rational.RowNum))</f>
        <v>4</v>
      </c>
      <c r="H15">
        <f t="shared" si="4"/>
        <v>6.4641016151372011</v>
      </c>
      <c r="I15">
        <f t="shared" si="3"/>
        <v>6</v>
      </c>
    </row>
    <row r="16" spans="1:9">
      <c r="A16" s="37">
        <f t="shared" si="5"/>
        <v>237</v>
      </c>
      <c r="B16" s="37">
        <f t="shared" si="6"/>
        <v>209</v>
      </c>
      <c r="C16">
        <f t="shared" si="0"/>
        <v>1.1339712918660287</v>
      </c>
      <c r="D16" s="45">
        <f t="shared" si="1"/>
        <v>-3.3043495326623429E-6</v>
      </c>
      <c r="E16" s="44" cm="1">
        <f t="array" ref="E16" xml:space="preserve"> IFERROR(ABS(INDEX(Rational.Error, _xlfn.SINGLE(Rational.RowNum) - 1) / _xlfn.SINGLE(Rational.Error)), #N/A)</f>
        <v>13.927806572725032</v>
      </c>
      <c r="F16" t="str">
        <f t="shared" si="2"/>
        <v>−302,631</v>
      </c>
      <c r="G16" cm="1">
        <f t="array" ref="G16" xml:space="preserve"> 1 + ROW() - _xlfn.SINGLE(ROW(Rational.RowNum))</f>
        <v>5</v>
      </c>
      <c r="H16">
        <f t="shared" si="4"/>
        <v>2.1547005383818214</v>
      </c>
      <c r="I16">
        <f t="shared" si="3"/>
        <v>2</v>
      </c>
    </row>
    <row r="17" spans="1:9">
      <c r="A17" s="37">
        <f t="shared" si="5"/>
        <v>1532</v>
      </c>
      <c r="B17" s="37">
        <f t="shared" si="6"/>
        <v>1351</v>
      </c>
      <c r="C17">
        <f t="shared" si="0"/>
        <v>1.1339748334566988</v>
      </c>
      <c r="D17" s="45">
        <f t="shared" si="1"/>
        <v>2.3724113740186681E-7</v>
      </c>
      <c r="E17" s="44" cm="1">
        <f t="array" ref="E17" xml:space="preserve"> IFERROR(ABS(INDEX(Rational.Error, _xlfn.SINGLE(Rational.RowNum) - 1) / _xlfn.SINGLE(Rational.Error)), #N/A)</f>
        <v>13.92823170909457</v>
      </c>
      <c r="F17" t="str">
        <f t="shared" si="2"/>
        <v>4,215,121</v>
      </c>
      <c r="G17" cm="1">
        <f t="array" ref="G17" xml:space="preserve"> 1 + ROW() - _xlfn.SINGLE(ROW(Rational.RowNum))</f>
        <v>6</v>
      </c>
      <c r="H17">
        <f t="shared" si="4"/>
        <v>6.4641016150303736</v>
      </c>
      <c r="I17">
        <f t="shared" si="3"/>
        <v>6</v>
      </c>
    </row>
    <row r="18" spans="1:9">
      <c r="A18" s="37">
        <f t="shared" si="5"/>
        <v>3301</v>
      </c>
      <c r="B18" s="37">
        <f t="shared" si="6"/>
        <v>2911</v>
      </c>
      <c r="C18">
        <f t="shared" si="0"/>
        <v>1.1339745791824116</v>
      </c>
      <c r="D18" s="45">
        <f t="shared" si="1"/>
        <v>-1.703314977952175E-8</v>
      </c>
      <c r="E18" s="44" cm="1">
        <f t="array" ref="E18" xml:space="preserve"> IFERROR(ABS(INDEX(Rational.Error, _xlfn.SINGLE(Rational.RowNum) - 1) / _xlfn.SINGLE(Rational.Error)), #N/A)</f>
        <v>13.928201211915132</v>
      </c>
      <c r="F18" t="str">
        <f t="shared" si="2"/>
        <v>−58,709,048</v>
      </c>
      <c r="G18" cm="1">
        <f t="array" ref="G18" xml:space="preserve"> 1 + ROW() - _xlfn.SINGLE(ROW(Rational.RowNum))</f>
        <v>7</v>
      </c>
      <c r="H18">
        <f t="shared" si="4"/>
        <v>2.1547005388777927</v>
      </c>
      <c r="I18">
        <f t="shared" si="3"/>
        <v>2</v>
      </c>
    </row>
    <row r="19" spans="1:9">
      <c r="A19" s="37">
        <f t="shared" si="5"/>
        <v>21338</v>
      </c>
      <c r="B19" s="37">
        <f t="shared" si="6"/>
        <v>18817</v>
      </c>
      <c r="C19">
        <f t="shared" si="0"/>
        <v>1.1339745974384865</v>
      </c>
      <c r="D19" s="45">
        <f t="shared" si="1"/>
        <v>1.2229250945239301E-9</v>
      </c>
      <c r="E19" s="44" cm="1">
        <f t="array" ref="E19" xml:space="preserve"> IFERROR(ABS(INDEX(Rational.Error, _xlfn.SINGLE(Rational.RowNum) - 1) / _xlfn.SINGLE(Rational.Error)), #N/A)</f>
        <v>13.928203661690784</v>
      </c>
      <c r="F19" t="str">
        <f t="shared" si="2"/>
        <v>817,711,571</v>
      </c>
      <c r="G19" cm="1">
        <f t="array" ref="G19" xml:space="preserve"> 1 + ROW() - _xlfn.SINGLE(ROW(Rational.RowNum))</f>
        <v>8</v>
      </c>
      <c r="H19">
        <f t="shared" si="4"/>
        <v>6.464101594306408</v>
      </c>
      <c r="I19">
        <f t="shared" si="3"/>
        <v>6</v>
      </c>
    </row>
    <row r="20" spans="1:9">
      <c r="A20" s="37">
        <f t="shared" si="5"/>
        <v>45977</v>
      </c>
      <c r="B20" s="37">
        <f t="shared" si="6"/>
        <v>40545</v>
      </c>
      <c r="C20">
        <f t="shared" si="0"/>
        <v>1.1339745961277592</v>
      </c>
      <c r="D20" s="45">
        <f t="shared" si="1"/>
        <v>-8.780220994708543E-11</v>
      </c>
      <c r="E20" s="44" cm="1">
        <f t="array" ref="E20" xml:space="preserve"> IFERROR(ABS(INDEX(Rational.Error, _xlfn.SINGLE(Rational.RowNum) - 1) / _xlfn.SINGLE(Rational.Error)), #N/A)</f>
        <v>13.928181252623753</v>
      </c>
      <c r="F20" t="str">
        <f t="shared" si="2"/>
        <v>−1.14E+10</v>
      </c>
      <c r="G20" cm="1">
        <f t="array" ref="G20" xml:space="preserve"> 1 + ROW() - _xlfn.SINGLE(ROW(Rational.RowNum))</f>
        <v>9</v>
      </c>
      <c r="H20">
        <f t="shared" si="4"/>
        <v>2.1547006350936657</v>
      </c>
      <c r="I20">
        <f t="shared" si="3"/>
        <v>2</v>
      </c>
    </row>
    <row r="21" spans="1:9">
      <c r="A21" s="37">
        <f t="shared" si="5"/>
        <v>297200</v>
      </c>
      <c r="B21" s="37">
        <f t="shared" si="6"/>
        <v>262087</v>
      </c>
      <c r="C21">
        <f t="shared" si="0"/>
        <v>1.1339745962218652</v>
      </c>
      <c r="D21" s="45">
        <f t="shared" si="1"/>
        <v>6.3038463338216388E-12</v>
      </c>
      <c r="E21" s="44" cm="1">
        <f t="array" ref="E21" xml:space="preserve"> IFERROR(ABS(INDEX(Rational.Error, _xlfn.SINGLE(Rational.RowNum) - 1) / _xlfn.SINGLE(Rational.Error)), #N/A)</f>
        <v>13.92835505459669</v>
      </c>
      <c r="F21" t="str">
        <f t="shared" si="2"/>
        <v>1.59E+11</v>
      </c>
      <c r="G21" cm="1">
        <f t="array" ref="G21" xml:space="preserve"> 1 + ROW() - _xlfn.SINGLE(ROW(Rational.RowNum))</f>
        <v>10</v>
      </c>
      <c r="H21">
        <f t="shared" si="4"/>
        <v>6.4640975739662325</v>
      </c>
      <c r="I21">
        <f t="shared" si="3"/>
        <v>6</v>
      </c>
    </row>
    <row r="22" spans="1:9">
      <c r="A22" s="37">
        <f t="shared" si="5"/>
        <v>640377</v>
      </c>
      <c r="B22" s="37">
        <f t="shared" si="6"/>
        <v>564719</v>
      </c>
      <c r="C22">
        <f t="shared" si="0"/>
        <v>1.1339745962151087</v>
      </c>
      <c r="D22" s="45">
        <f t="shared" si="1"/>
        <v>-4.5274894944213884E-13</v>
      </c>
      <c r="E22" s="44" cm="1">
        <f t="array" ref="E22" xml:space="preserve"> IFERROR(ABS(INDEX(Rational.Error, _xlfn.SINGLE(Rational.RowNum) - 1) / _xlfn.SINGLE(Rational.Error)), #N/A)</f>
        <v>13.92349190779794</v>
      </c>
      <c r="F22" t="str">
        <f t="shared" si="2"/>
        <v>−2.21E+12</v>
      </c>
      <c r="G22" cm="1">
        <f t="array" ref="G22" xml:space="preserve"> 1 + ROW() - _xlfn.SINGLE(ROW(Rational.RowNum))</f>
        <v>11</v>
      </c>
      <c r="H22">
        <f t="shared" si="4"/>
        <v>2.1547193006287069</v>
      </c>
      <c r="I22">
        <f t="shared" si="3"/>
        <v>2</v>
      </c>
    </row>
    <row r="23" spans="1:9">
      <c r="A23" s="37">
        <f t="shared" si="5"/>
        <v>4139462</v>
      </c>
      <c r="B23" s="37">
        <f t="shared" si="6"/>
        <v>3650401</v>
      </c>
      <c r="C23">
        <f t="shared" si="0"/>
        <v>1.1339745962155938</v>
      </c>
      <c r="D23" s="45">
        <f t="shared" si="1"/>
        <v>3.2418512319054571E-14</v>
      </c>
      <c r="E23" s="44" cm="1">
        <f t="array" ref="E23" xml:space="preserve"> IFERROR(ABS(INDEX(Rational.Error, _xlfn.SINGLE(Rational.RowNum) - 1) / _xlfn.SINGLE(Rational.Error)), #N/A)</f>
        <v>13.965753424657533</v>
      </c>
      <c r="F23" t="str">
        <f t="shared" si="2"/>
        <v>3.08E+13</v>
      </c>
      <c r="G23" cm="1">
        <f t="array" ref="G23" xml:space="preserve"> 1 + ROW() - _xlfn.SINGLE(ROW(Rational.RowNum))</f>
        <v>12</v>
      </c>
      <c r="H23">
        <f t="shared" si="4"/>
        <v>6.4633177369369417</v>
      </c>
      <c r="I23">
        <f t="shared" si="3"/>
        <v>6</v>
      </c>
    </row>
    <row r="24" spans="1:9">
      <c r="A24" s="37">
        <f t="shared" si="5"/>
        <v>8919301</v>
      </c>
      <c r="B24" s="37">
        <f t="shared" si="6"/>
        <v>7865521</v>
      </c>
      <c r="C24">
        <f t="shared" si="0"/>
        <v>1.133974596215559</v>
      </c>
      <c r="D24" s="45">
        <f t="shared" si="1"/>
        <v>-2.4424906541753444E-15</v>
      </c>
      <c r="E24" s="44" cm="1">
        <f t="array" ref="E24" xml:space="preserve"> IFERROR(ABS(INDEX(Rational.Error, _xlfn.SINGLE(Rational.RowNum) - 1) / _xlfn.SINGLE(Rational.Error)), #N/A)</f>
        <v>13.272727272727273</v>
      </c>
      <c r="F24" t="str">
        <f t="shared" si="2"/>
        <v>−4.09E+14</v>
      </c>
      <c r="G24" cm="1">
        <f t="array" ref="G24" xml:space="preserve"> 1 + ROW() - _xlfn.SINGLE(ROW(Rational.RowNum))</f>
        <v>13</v>
      </c>
      <c r="H24">
        <f t="shared" si="4"/>
        <v>2.1583460340006404</v>
      </c>
      <c r="I24">
        <f t="shared" si="3"/>
        <v>2</v>
      </c>
    </row>
    <row r="25" spans="1:9">
      <c r="A25" s="37">
        <f t="shared" si="5"/>
        <v>57655268</v>
      </c>
      <c r="B25" s="37">
        <f t="shared" si="6"/>
        <v>50843527</v>
      </c>
      <c r="C25">
        <f t="shared" si="0"/>
        <v>1.1339745962155616</v>
      </c>
      <c r="D25" s="45">
        <f t="shared" si="1"/>
        <v>0</v>
      </c>
      <c r="E25" s="44" t="e" cm="1">
        <f t="array" ref="E25" xml:space="preserve"> IFERROR(ABS(INDEX(Rational.Error, _xlfn.SINGLE(Rational.RowNum) - 1) / _xlfn.SINGLE(Rational.Error)), #N/A)</f>
        <v>#N/A</v>
      </c>
      <c r="F25" t="e">
        <f t="shared" si="2"/>
        <v>#N/A</v>
      </c>
      <c r="G25" cm="1">
        <f t="array" ref="G25" xml:space="preserve"> 1 + ROW() - _xlfn.SINGLE(ROW(Rational.RowNum))</f>
        <v>14</v>
      </c>
      <c r="H25">
        <f t="shared" si="4"/>
        <v>6.3152828949031692</v>
      </c>
      <c r="I25">
        <f t="shared" si="3"/>
        <v>6</v>
      </c>
    </row>
    <row r="26" spans="1:9">
      <c r="A26" s="37" t="e">
        <f t="shared" si="5"/>
        <v>#N/A</v>
      </c>
      <c r="B26" s="37" t="e">
        <f t="shared" si="6"/>
        <v>#N/A</v>
      </c>
      <c r="C26" t="e">
        <f t="shared" si="0"/>
        <v>#N/A</v>
      </c>
      <c r="D26" s="45" t="e">
        <f t="shared" si="1"/>
        <v>#N/A</v>
      </c>
      <c r="E26" s="44" t="e" cm="1">
        <f t="array" ref="E26" xml:space="preserve"> IFERROR(ABS(INDEX(Rational.Error, _xlfn.SINGLE(Rational.RowNum) - 1) / _xlfn.SINGLE(Rational.Error)), #N/A)</f>
        <v>#N/A</v>
      </c>
      <c r="F26" t="e">
        <f t="shared" si="2"/>
        <v>#N/A</v>
      </c>
      <c r="G26" cm="1">
        <f t="array" ref="G26" xml:space="preserve"> 1 + ROW() - _xlfn.SINGLE(ROW(Rational.RowNum))</f>
        <v>15</v>
      </c>
      <c r="H26">
        <f t="shared" si="4"/>
        <v>3.1717546881416565</v>
      </c>
      <c r="I26">
        <f t="shared" si="3"/>
        <v>3</v>
      </c>
    </row>
    <row r="27" spans="1:9">
      <c r="A27" s="37" t="e">
        <f t="shared" si="5"/>
        <v>#N/A</v>
      </c>
      <c r="B27" s="37" t="e">
        <f t="shared" si="6"/>
        <v>#N/A</v>
      </c>
      <c r="C27" t="e">
        <f t="shared" si="0"/>
        <v>#N/A</v>
      </c>
      <c r="D27" s="45" t="e">
        <f t="shared" si="1"/>
        <v>#N/A</v>
      </c>
      <c r="E27" s="44" t="e" cm="1">
        <f t="array" ref="E27" xml:space="preserve"> IFERROR(ABS(INDEX(Rational.Error, _xlfn.SINGLE(Rational.RowNum) - 1) / _xlfn.SINGLE(Rational.Error)), #N/A)</f>
        <v>#N/A</v>
      </c>
      <c r="F27" t="e">
        <f t="shared" si="2"/>
        <v>#N/A</v>
      </c>
      <c r="G27" cm="1">
        <f t="array" ref="G27" xml:space="preserve"> 1 + ROW() - _xlfn.SINGLE(ROW(Rational.RowNum))</f>
        <v>16</v>
      </c>
      <c r="H27">
        <f t="shared" si="4"/>
        <v>5.822257376609361</v>
      </c>
      <c r="I27">
        <f t="shared" si="3"/>
        <v>5</v>
      </c>
    </row>
    <row r="28" spans="1:9">
      <c r="A28" s="37" t="e">
        <f t="shared" si="5"/>
        <v>#N/A</v>
      </c>
      <c r="B28" s="37" t="e">
        <f t="shared" si="6"/>
        <v>#N/A</v>
      </c>
      <c r="C28" t="e">
        <f t="shared" si="0"/>
        <v>#N/A</v>
      </c>
      <c r="D28" s="45" t="e">
        <f t="shared" si="1"/>
        <v>#N/A</v>
      </c>
      <c r="E28" s="44" t="e" cm="1">
        <f t="array" ref="E28" xml:space="preserve"> IFERROR(ABS(INDEX(Rational.Error, _xlfn.SINGLE(Rational.RowNum) - 1) / _xlfn.SINGLE(Rational.Error)), #N/A)</f>
        <v>#N/A</v>
      </c>
      <c r="F28" t="e">
        <f t="shared" si="2"/>
        <v>#N/A</v>
      </c>
      <c r="G28" cm="1">
        <f t="array" ref="G28" xml:space="preserve"> 1 + ROW() - _xlfn.SINGLE(ROW(Rational.RowNum))</f>
        <v>17</v>
      </c>
      <c r="H28">
        <f t="shared" si="4"/>
        <v>1.2161642187067676</v>
      </c>
      <c r="I28">
        <f t="shared" si="3"/>
        <v>1</v>
      </c>
    </row>
    <row r="29" spans="1:9">
      <c r="A29" s="37" t="e">
        <f t="shared" si="5"/>
        <v>#N/A</v>
      </c>
      <c r="B29" s="37" t="e">
        <f t="shared" si="6"/>
        <v>#N/A</v>
      </c>
      <c r="C29" t="e">
        <f t="shared" si="0"/>
        <v>#N/A</v>
      </c>
      <c r="D29" s="45" t="e">
        <f t="shared" si="1"/>
        <v>#N/A</v>
      </c>
      <c r="E29" s="44" t="e" cm="1">
        <f t="array" ref="E29" xml:space="preserve"> IFERROR(ABS(INDEX(Rational.Error, _xlfn.SINGLE(Rational.RowNum) - 1) / _xlfn.SINGLE(Rational.Error)), #N/A)</f>
        <v>#N/A</v>
      </c>
      <c r="F29" t="e">
        <f t="shared" si="2"/>
        <v>#N/A</v>
      </c>
      <c r="G29" cm="1">
        <f t="array" ref="G29" xml:space="preserve"> 1 + ROW() - _xlfn.SINGLE(ROW(Rational.RowNum))</f>
        <v>18</v>
      </c>
      <c r="H29">
        <f t="shared" si="4"/>
        <v>4.6261125267754233</v>
      </c>
      <c r="I29">
        <f t="shared" si="3"/>
        <v>4</v>
      </c>
    </row>
    <row r="30" spans="1:9">
      <c r="A30" s="37" t="e">
        <f t="shared" si="5"/>
        <v>#N/A</v>
      </c>
      <c r="B30" s="37" t="e">
        <f t="shared" si="6"/>
        <v>#N/A</v>
      </c>
      <c r="C30" t="e">
        <f t="shared" si="0"/>
        <v>#N/A</v>
      </c>
      <c r="D30" s="45" t="e">
        <f t="shared" si="1"/>
        <v>#N/A</v>
      </c>
      <c r="E30" s="44" t="e" cm="1">
        <f t="array" ref="E30" xml:space="preserve"> IFERROR(ABS(INDEX(Rational.Error, _xlfn.SINGLE(Rational.RowNum) - 1) / _xlfn.SINGLE(Rational.Error)), #N/A)</f>
        <v>#N/A</v>
      </c>
      <c r="F30" t="e">
        <f t="shared" si="2"/>
        <v>#N/A</v>
      </c>
      <c r="G30" cm="1">
        <f t="array" ref="G30" xml:space="preserve"> 1 + ROW() - _xlfn.SINGLE(ROW(Rational.RowNum))</f>
        <v>19</v>
      </c>
      <c r="H30">
        <f t="shared" si="4"/>
        <v>1.59715699213072</v>
      </c>
      <c r="I30">
        <f t="shared" si="3"/>
        <v>1</v>
      </c>
    </row>
    <row r="31" spans="1:9">
      <c r="A31" s="37" t="e">
        <f t="shared" si="5"/>
        <v>#N/A</v>
      </c>
      <c r="B31" s="37" t="e">
        <f t="shared" si="6"/>
        <v>#N/A</v>
      </c>
      <c r="C31" t="e">
        <f t="shared" si="0"/>
        <v>#N/A</v>
      </c>
      <c r="D31" s="45" t="e">
        <f t="shared" si="1"/>
        <v>#N/A</v>
      </c>
      <c r="E31" s="44" t="e" cm="1">
        <f t="array" ref="E31" xml:space="preserve"> IFERROR(ABS(INDEX(Rational.Error, _xlfn.SINGLE(Rational.RowNum) - 1) / _xlfn.SINGLE(Rational.Error)), #N/A)</f>
        <v>#N/A</v>
      </c>
      <c r="F31" t="e">
        <f t="shared" si="2"/>
        <v>#N/A</v>
      </c>
      <c r="G31" cm="1">
        <f t="array" ref="G31" xml:space="preserve"> 1 + ROW() - _xlfn.SINGLE(ROW(Rational.RowNum))</f>
        <v>20</v>
      </c>
      <c r="H31">
        <f t="shared" si="4"/>
        <v>1.6746015087789443</v>
      </c>
      <c r="I31">
        <f t="shared" si="3"/>
        <v>1</v>
      </c>
    </row>
    <row r="32" spans="1:9">
      <c r="A32" s="37" t="e">
        <f t="shared" si="5"/>
        <v>#N/A</v>
      </c>
      <c r="B32" s="37" t="e">
        <f t="shared" si="6"/>
        <v>#N/A</v>
      </c>
      <c r="C32" t="e">
        <f t="shared" si="0"/>
        <v>#N/A</v>
      </c>
      <c r="D32" s="45" t="e">
        <f t="shared" si="1"/>
        <v>#N/A</v>
      </c>
      <c r="E32" s="44" t="e" cm="1">
        <f t="array" ref="E32" xml:space="preserve"> IFERROR(ABS(INDEX(Rational.Error, _xlfn.SINGLE(Rational.RowNum) - 1) / _xlfn.SINGLE(Rational.Error)), #N/A)</f>
        <v>#N/A</v>
      </c>
      <c r="F32" t="e">
        <f t="shared" si="2"/>
        <v>#N/A</v>
      </c>
      <c r="G32" cm="1">
        <f t="array" ref="G32" xml:space="preserve"> 1 + ROW() - _xlfn.SINGLE(ROW(Rational.RowNum))</f>
        <v>21</v>
      </c>
      <c r="H32">
        <f t="shared" si="4"/>
        <v>1.4823566016181018</v>
      </c>
      <c r="I32">
        <f t="shared" si="3"/>
        <v>1</v>
      </c>
    </row>
    <row r="33" spans="1:9">
      <c r="A33" s="37" t="e">
        <f t="shared" si="5"/>
        <v>#N/A</v>
      </c>
      <c r="B33" s="37" t="e">
        <f t="shared" si="6"/>
        <v>#N/A</v>
      </c>
      <c r="C33" t="e">
        <f t="shared" si="0"/>
        <v>#N/A</v>
      </c>
      <c r="D33" s="45" t="e">
        <f t="shared" si="1"/>
        <v>#N/A</v>
      </c>
      <c r="E33" s="44" t="e" cm="1">
        <f t="array" ref="E33" xml:space="preserve"> IFERROR(ABS(INDEX(Rational.Error, _xlfn.SINGLE(Rational.RowNum) - 1) / _xlfn.SINGLE(Rational.Error)), #N/A)</f>
        <v>#N/A</v>
      </c>
      <c r="F33" t="e">
        <f t="shared" si="2"/>
        <v>#N/A</v>
      </c>
      <c r="G33" cm="1">
        <f t="array" ref="G33" xml:space="preserve"> 1 + ROW() - _xlfn.SINGLE(ROW(Rational.RowNum))</f>
        <v>22</v>
      </c>
      <c r="H33">
        <f t="shared" si="4"/>
        <v>2.0731549991135689</v>
      </c>
      <c r="I33">
        <f t="shared" si="3"/>
        <v>2</v>
      </c>
    </row>
    <row r="34" spans="1:9">
      <c r="A34" s="37" t="e">
        <f t="shared" si="5"/>
        <v>#N/A</v>
      </c>
      <c r="B34" s="37" t="e">
        <f t="shared" si="6"/>
        <v>#N/A</v>
      </c>
      <c r="C34" t="e">
        <f t="shared" si="0"/>
        <v>#N/A</v>
      </c>
      <c r="D34" s="45" t="e">
        <f t="shared" si="1"/>
        <v>#N/A</v>
      </c>
      <c r="E34" s="44" t="e" cm="1">
        <f t="array" ref="E34" xml:space="preserve"> IFERROR(ABS(INDEX(Rational.Error, _xlfn.SINGLE(Rational.RowNum) - 1) / _xlfn.SINGLE(Rational.Error)), #N/A)</f>
        <v>#N/A</v>
      </c>
      <c r="F34" t="e">
        <f t="shared" si="2"/>
        <v>#N/A</v>
      </c>
      <c r="G34" cm="1">
        <f t="array" ref="G34" xml:space="preserve"> 1 + ROW() - _xlfn.SINGLE(ROW(Rational.RowNum))</f>
        <v>23</v>
      </c>
      <c r="H34">
        <f t="shared" si="4"/>
        <v>13.669605797514365</v>
      </c>
      <c r="I34">
        <f t="shared" si="3"/>
        <v>13</v>
      </c>
    </row>
    <row r="35" spans="1:9">
      <c r="A35" s="37" t="e">
        <f t="shared" si="5"/>
        <v>#N/A</v>
      </c>
      <c r="B35" s="37" t="e">
        <f t="shared" si="6"/>
        <v>#N/A</v>
      </c>
      <c r="C35" t="e">
        <f t="shared" si="0"/>
        <v>#N/A</v>
      </c>
      <c r="D35" s="45" t="e">
        <f t="shared" si="1"/>
        <v>#N/A</v>
      </c>
      <c r="E35" s="44" t="e" cm="1">
        <f t="array" ref="E35" xml:space="preserve"> IFERROR(ABS(INDEX(Rational.Error, _xlfn.SINGLE(Rational.RowNum) - 1) / _xlfn.SINGLE(Rational.Error)), #N/A)</f>
        <v>#N/A</v>
      </c>
      <c r="F35" t="e">
        <f t="shared" si="2"/>
        <v>#N/A</v>
      </c>
      <c r="G35" cm="1">
        <f t="array" ref="G35" xml:space="preserve"> 1 + ROW() - _xlfn.SINGLE(ROW(Rational.RowNum))</f>
        <v>24</v>
      </c>
      <c r="H35">
        <f t="shared" si="4"/>
        <v>1.4934159825259694</v>
      </c>
      <c r="I35">
        <f t="shared" si="3"/>
        <v>1</v>
      </c>
    </row>
    <row r="36" spans="1:9">
      <c r="A36" s="37" t="e">
        <f t="shared" si="5"/>
        <v>#N/A</v>
      </c>
      <c r="B36" s="37" t="e">
        <f t="shared" si="6"/>
        <v>#N/A</v>
      </c>
      <c r="C36" t="e">
        <f t="shared" si="0"/>
        <v>#N/A</v>
      </c>
      <c r="D36" s="45" t="e">
        <f t="shared" si="1"/>
        <v>#N/A</v>
      </c>
      <c r="E36" s="44" t="e" cm="1">
        <f t="array" ref="E36" xml:space="preserve"> IFERROR(ABS(INDEX(Rational.Error, _xlfn.SINGLE(Rational.RowNum) - 1) / _xlfn.SINGLE(Rational.Error)), #N/A)</f>
        <v>#N/A</v>
      </c>
      <c r="F36" t="e">
        <f t="shared" si="2"/>
        <v>#N/A</v>
      </c>
      <c r="G36" cm="1">
        <f t="array" ref="G36" xml:space="preserve"> 1 + ROW() - _xlfn.SINGLE(ROW(Rational.RowNum))</f>
        <v>25</v>
      </c>
      <c r="H36">
        <f t="shared" si="4"/>
        <v>2.0266874917197644</v>
      </c>
      <c r="I36">
        <f t="shared" si="3"/>
        <v>2</v>
      </c>
    </row>
    <row r="37" spans="1:9">
      <c r="A37" s="37" t="e">
        <f t="shared" si="5"/>
        <v>#N/A</v>
      </c>
      <c r="B37" s="37" t="e">
        <f t="shared" si="6"/>
        <v>#N/A</v>
      </c>
      <c r="C37" t="e">
        <f t="shared" si="0"/>
        <v>#N/A</v>
      </c>
      <c r="D37" s="45" t="e">
        <f t="shared" si="1"/>
        <v>#N/A</v>
      </c>
      <c r="E37" s="44" t="e" cm="1">
        <f t="array" ref="E37" xml:space="preserve"> IFERROR(ABS(INDEX(Rational.Error, _xlfn.SINGLE(Rational.RowNum) - 1) / _xlfn.SINGLE(Rational.Error)), #N/A)</f>
        <v>#N/A</v>
      </c>
      <c r="F37" t="e">
        <f t="shared" si="2"/>
        <v>#N/A</v>
      </c>
      <c r="G37" cm="1">
        <f t="array" ref="G37" xml:space="preserve"> 1 + ROW() - _xlfn.SINGLE(ROW(Rational.RowNum))</f>
        <v>26</v>
      </c>
      <c r="H37">
        <f t="shared" si="4"/>
        <v>37.470737621228544</v>
      </c>
      <c r="I37">
        <f t="shared" si="3"/>
        <v>37</v>
      </c>
    </row>
    <row r="38" spans="1:9">
      <c r="A38" s="37" t="e">
        <f t="shared" si="5"/>
        <v>#N/A</v>
      </c>
      <c r="B38" s="37" t="e">
        <f t="shared" si="6"/>
        <v>#N/A</v>
      </c>
      <c r="C38" t="e">
        <f t="shared" si="0"/>
        <v>#N/A</v>
      </c>
      <c r="D38" s="45" t="e">
        <f t="shared" si="1"/>
        <v>#N/A</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2.1243256432111219</v>
      </c>
      <c r="I38">
        <f t="shared" si="3"/>
        <v>2</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8.0433929330400744</v>
      </c>
      <c r="I39">
        <f t="shared" si="3"/>
        <v>8</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23.045227181957856</v>
      </c>
      <c r="I40">
        <f t="shared" si="3"/>
        <v>23</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22.110597138947067</v>
      </c>
      <c r="I41">
        <f t="shared" si="3"/>
        <v>22</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9.0418252182690431</v>
      </c>
      <c r="I42">
        <f t="shared" si="3"/>
        <v>9</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23.909020475815424</v>
      </c>
      <c r="I43">
        <f t="shared" si="3"/>
        <v>23</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1.1000852308667346</v>
      </c>
      <c r="I44">
        <f t="shared" si="3"/>
        <v>1</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9.9914841714410301</v>
      </c>
      <c r="I45">
        <f t="shared" si="3"/>
        <v>9</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1.0085889707614726</v>
      </c>
      <c r="I46">
        <f t="shared" si="3"/>
        <v>1</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116.42838563215109</v>
      </c>
      <c r="I47">
        <f t="shared" si="3"/>
        <v>116</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2.3343453303478241</v>
      </c>
      <c r="I48">
        <f t="shared" si="3"/>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1387</vt:i4>
      </vt:variant>
    </vt:vector>
  </HeadingPairs>
  <TitlesOfParts>
    <vt:vector size="1450"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_NDB.TightHeight</vt:lpstr>
      <vt:lpstr>_NDB.TightWidth</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AED.TightHeight</vt:lpstr>
      <vt:lpstr>AED.TightWidth</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AUD.TightHeight</vt:lpstr>
      <vt:lpstr>AUD.TightWidth</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CAD_2.TightHeight</vt:lpstr>
      <vt:lpstr>CAD_2.TightWidth</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CAD.TightHeight</vt:lpstr>
      <vt:lpstr>CAD.TightWidth</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ExportControl.Alternate_viewbox</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HKD.TightHeight</vt:lpstr>
      <vt:lpstr>HKD.TightWidth</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JOD.TightHeight</vt:lpstr>
      <vt:lpstr>JOD.TightWidth</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RUB.TightHeight</vt:lpstr>
      <vt:lpstr>RUB.TightWidth</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Star_5_2.TightHeight</vt:lpstr>
      <vt:lpstr>Star_5_2.TightWidth</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ZAR.TightHeight</vt:lpstr>
      <vt:lpstr>ZAR.TightWidth</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2026-07-12T15:01:26Z</dcterms:modified>
</cp:coreProperties>
</file>