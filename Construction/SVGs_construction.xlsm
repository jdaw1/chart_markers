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omments1.xml" ContentType="application/vnd.openxmlformats-officedocument.spreadsheetml.comments+xml"/>
  <Override PartName="/xl/drawings/drawing6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8215B079-2D37-4343-8D8D-489A14F84BB5}" xr6:coauthVersionLast="47" xr6:coauthVersionMax="47" xr10:uidLastSave="{00000000-0000-0000-0000-000000000000}"/>
  <bookViews>
    <workbookView xWindow="200" yWindow="500" windowWidth="42080" windowHeight="26540" firstSheet="38" activeTab="60"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DR" sheetId="44" r:id="rId56"/>
    <sheet name="XAU" sheetId="43" r:id="rId57"/>
    <sheet name="XAG" sheetId="45" r:id="rId58"/>
    <sheet name="ChartLines" sheetId="63" r:id="rId59"/>
    <sheet name="Notes" sheetId="77" r:id="rId60"/>
    <sheet name="Smalls" sheetId="5" r:id="rId61"/>
    <sheet name="Rational" sheetId="57" r:id="rId62"/>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pm.a" hidden="1" xlm="1">#NAME?</definedName>
    <definedName name="_xlpm.b" hidden="1" xlm="1">#NAME?</definedName>
    <definedName name="_xlpm.f"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ChartLines!$N$14</definedName>
    <definedName name="ChartLines_SVG.Start">ChartLines!$N$12</definedName>
    <definedName name="ChartLines_SVG.Use">ChartLines!$N$13</definedName>
    <definedName name="ChartLines_Thicknesses.ExcelWeight">ChartLines!$N$9:$Q$9</definedName>
    <definedName name="ChartLines_Thicknesses.StrokeWidth">ChartLines!$N$8:$Q$8</definedName>
    <definedName name="ChartLines_Thicknesses.StrokeWidthMax">ChartLines!$N$11</definedName>
    <definedName name="ChartLines_Thicknesses.Text">ChartLines!$N$7:$Q$7</definedName>
    <definedName name="ChartLines.B">ChartLines!$J$3:$J$354</definedName>
    <definedName name="ChartLines.G">ChartLines!$I$3:$I$354</definedName>
    <definedName name="ChartLines.Hex6">ChartLines!$C$3:$C$354</definedName>
    <definedName name="ChartLines.ID">ChartLines!$B$3:$B$354</definedName>
    <definedName name="ChartLines.InstanceNum">ChartLines!$F$3:$F$354</definedName>
    <definedName name="ChartLines.NumInstances">ChartLines!$E$3:$E$354</definedName>
    <definedName name="ChartLines.R">ChartLines!$H$3:$H$354</definedName>
    <definedName name="ChartLines.RowNum">ChartLines!$K$3:$K$354</definedName>
    <definedName name="ChartLines.ThicknessText">ChartLines!$G$3:$G$354</definedName>
    <definedName name="ChowRobbinsConstant">Smalls!$C$50</definedName>
    <definedName name="Circles.AreaMultiplier">Circles!$C$4:$AN$4</definedName>
    <definedName name="Circles.Aspect">Circles!$C$5:$AN$5</definedName>
    <definedName name="Circles.Height">Circles!$C$6:$AN$6</definedName>
    <definedName name="Circles.ID">Circles!$C$2:$AN$2</definedName>
    <definedName name="Circles.svg">Circles!$C$25:$AN$31</definedName>
    <definedName name="Circles.SVG_Painting_0">Circles!$C$17:$AN$17</definedName>
    <definedName name="Circles.SVG_Painting_1">Circles!$C$16:$AN$16</definedName>
    <definedName name="Circles.SVG_Painting_2">Circles!$C$15:$AN$15</definedName>
    <definedName name="Circles.SVG_Painting_3">Circles!$C$14:$AN$14</definedName>
    <definedName name="Circles.SVG_Radius_0">Circles!$C$12:$AN$12</definedName>
    <definedName name="Circles.SVG_Radius_1">Circles!$C$11:$AN$11</definedName>
    <definedName name="Circles.SVG_Radius_2">Circles!$C$10:$AN$10</definedName>
    <definedName name="Circles.SVG_Radius_3">Circles!$C$9:$AN$9</definedName>
    <definedName name="Circles.SVG_Radius_Max">Circles!$C$20:$AN$20</definedName>
    <definedName name="Circles.Width">Circles!$C$7:$AN$7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Notes!$E$6:$E$177</definedName>
    <definedName name="Notes.ID">Notes!$B$6:$B$177</definedName>
    <definedName name="Notes.Mnemonic">Notes!$C$6:$C$177</definedName>
    <definedName name="Notes.Usage">Notes!$D$6:$D$177</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Simples!$C$3:$BY$3</definedName>
    <definedName name="Simple.Aspect">Simples!$C$17:$BY$17</definedName>
    <definedName name="Simple.Height">Simples!$C$18:$BY$18</definedName>
    <definedName name="Simple.ID">Simples!$C$2:$BY$2</definedName>
    <definedName name="Simple.MaxX">Simples!$C$11:$BY$11</definedName>
    <definedName name="Simple.MaxY">Simples!$C$12:$BY$12</definedName>
    <definedName name="Simple.MinX">Simples!$C$13:$BY$13</definedName>
    <definedName name="Simple.MinY">Simples!$C$14:$BY$14</definedName>
    <definedName name="Simple.svg">Simples!$C$24:$BY$29</definedName>
    <definedName name="Simple.SVG_borderWidth">Simples!$C$5:$BY$5</definedName>
    <definedName name="Simple.SVG_painting_0">Simples!$C$9:$BY$9</definedName>
    <definedName name="Simple.SVG_painting_1">Simples!$C$8:$BY$8</definedName>
    <definedName name="Simple.SVG_painting_2">Simples!$C$7:$BY$7</definedName>
    <definedName name="Simple.SVG_painting_3">Simples!$C$6:$BY$6</definedName>
    <definedName name="Simple.Width">Simples!$C$19:$BY$19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5" i="25" l="1"/>
  <c r="H25" i="25"/>
  <c r="H11" i="25"/>
  <c r="J11" i="25" s="1"/>
  <c r="J26" i="25" s="1"/>
  <c r="C55" i="5"/>
  <c r="C54" i="5"/>
  <c r="C120" i="77"/>
  <c r="C119" i="77"/>
  <c r="C118" i="77"/>
  <c r="C49" i="63"/>
  <c r="J49" i="63" s="1"/>
  <c r="E4" i="63"/>
  <c r="E5" i="63"/>
  <c r="E6" i="63"/>
  <c r="E7" i="63"/>
  <c r="K49" i="63" a="1"/>
  <c r="K49" i="63" s="1"/>
  <c r="E49" i="63"/>
  <c r="K48" i="63" a="1"/>
  <c r="K48" i="63" s="1"/>
  <c r="J48" i="63"/>
  <c r="I48" i="63"/>
  <c r="H48" i="63"/>
  <c r="E48" i="63"/>
  <c r="K47" i="63" a="1"/>
  <c r="K47" i="63" s="1"/>
  <c r="J47" i="63"/>
  <c r="I47" i="63"/>
  <c r="H47" i="63"/>
  <c r="E47" i="63"/>
  <c r="K46" i="63" a="1"/>
  <c r="K46" i="63" s="1"/>
  <c r="J46" i="63"/>
  <c r="I46" i="63"/>
  <c r="H46" i="63"/>
  <c r="E46" i="63"/>
  <c r="K45" i="63" a="1"/>
  <c r="K45" i="63" s="1"/>
  <c r="J45" i="63"/>
  <c r="I45" i="63"/>
  <c r="H45" i="63"/>
  <c r="E45" i="63"/>
  <c r="K44" i="63" a="1"/>
  <c r="K44" i="63" s="1"/>
  <c r="J44" i="63"/>
  <c r="I44" i="63"/>
  <c r="H44" i="63"/>
  <c r="E44" i="63"/>
  <c r="K4" i="63" a="1"/>
  <c r="K4" i="63" s="1"/>
  <c r="H5" i="63"/>
  <c r="I5" i="63"/>
  <c r="J5" i="63"/>
  <c r="K5" i="63" a="1"/>
  <c r="K5" i="63" s="1"/>
  <c r="F5" i="63" s="1"/>
  <c r="K6" i="63" a="1"/>
  <c r="K6" i="63" s="1"/>
  <c r="K7" i="63" a="1"/>
  <c r="K7" i="63" s="1"/>
  <c r="C7" i="63"/>
  <c r="I7" i="63" s="1"/>
  <c r="C4" i="63"/>
  <c r="H4" i="63" s="1"/>
  <c r="C6" i="63"/>
  <c r="J6" i="63" s="1"/>
  <c r="AF27" i="25"/>
  <c r="AF26" i="25"/>
  <c r="B9" i="57"/>
  <c r="C318" i="63"/>
  <c r="C310" i="63"/>
  <c r="C305" i="63"/>
  <c r="C277" i="63"/>
  <c r="C155" i="63"/>
  <c r="C37" i="63"/>
  <c r="P8" i="63"/>
  <c r="Q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P27" i="25"/>
  <c r="AH27" i="25"/>
  <c r="T27" i="25"/>
  <c r="BP26" i="25"/>
  <c r="AH26" i="25"/>
  <c r="L26" i="25"/>
  <c r="BH25" i="25"/>
  <c r="R25" i="25"/>
  <c r="BH11" i="25"/>
  <c r="V11" i="25"/>
  <c r="V12" i="25" s="1"/>
  <c r="BH8" i="25"/>
  <c r="BH26" i="25" s="1"/>
  <c r="L87" i="58"/>
  <c r="H26" i="25" l="1"/>
  <c r="H49" i="63"/>
  <c r="I49" i="63"/>
  <c r="F49" i="63"/>
  <c r="G49" i="63" s="1" a="1"/>
  <c r="G49" i="63" s="1"/>
  <c r="G5" i="63" a="1"/>
  <c r="G5" i="63" s="1"/>
  <c r="F45" i="63"/>
  <c r="G45" i="63" s="1" a="1"/>
  <c r="G45" i="63" s="1"/>
  <c r="F7" i="63"/>
  <c r="G7" i="63" s="1" a="1"/>
  <c r="G7" i="63" s="1"/>
  <c r="F6" i="63"/>
  <c r="G6" i="63" s="1" a="1"/>
  <c r="G6" i="63" s="1"/>
  <c r="F48" i="63"/>
  <c r="G48" i="63" s="1" a="1"/>
  <c r="G48" i="63" s="1"/>
  <c r="F4" i="63"/>
  <c r="G4" i="63" s="1" a="1"/>
  <c r="G4" i="63" s="1"/>
  <c r="F46" i="63"/>
  <c r="G46" i="63" s="1" a="1"/>
  <c r="G46" i="63" s="1"/>
  <c r="F44" i="63"/>
  <c r="G44" i="63" s="1" a="1"/>
  <c r="G44" i="63" s="1"/>
  <c r="J7" i="63"/>
  <c r="F47" i="63"/>
  <c r="G47" i="63" s="1" a="1"/>
  <c r="G47" i="63" s="1"/>
  <c r="H7" i="63"/>
  <c r="I6" i="63"/>
  <c r="H6" i="63"/>
  <c r="J4" i="63"/>
  <c r="I4" i="63"/>
  <c r="BR106" i="61"/>
  <c r="AX106" i="61"/>
  <c r="AP106" i="61"/>
  <c r="J106" i="61"/>
  <c r="AP105" i="61"/>
  <c r="BR104" i="61"/>
  <c r="BR103" i="61"/>
  <c r="CV7" i="61"/>
  <c r="CB6" i="61"/>
  <c r="BH6" i="61"/>
  <c r="AV4" i="61"/>
  <c r="AD10" i="8"/>
  <c r="X99" i="58"/>
  <c r="V99" i="58"/>
  <c r="P99" i="58"/>
  <c r="N99" i="58"/>
  <c r="L99" i="58"/>
  <c r="J99" i="58"/>
  <c r="X87" i="58"/>
  <c r="AH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0"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AH77" i="61" l="1"/>
  <c r="AD77" i="61"/>
  <c r="Z77" i="61"/>
  <c r="B39" i="72"/>
  <c r="N8" i="61"/>
  <c r="N78" i="61" s="1"/>
  <c r="M8" i="61"/>
  <c r="Q8" i="61"/>
  <c r="R8" i="61"/>
  <c r="X8" i="61"/>
  <c r="Y7" i="61"/>
  <c r="Z7"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Z79" i="61"/>
  <c r="R82" i="61" a="1"/>
  <c r="R82" i="61" s="1"/>
  <c r="R79" i="61"/>
  <c r="N81" i="61" a="1"/>
  <c r="N81" i="61" s="1"/>
  <c r="R80" i="61" a="1"/>
  <c r="R80" i="61" s="1"/>
  <c r="N80" i="61" a="1"/>
  <c r="N80" i="61" s="1"/>
  <c r="N82" i="61" a="1"/>
  <c r="N82" i="61" s="1"/>
  <c r="R81" i="61" a="1"/>
  <c r="R81" i="61" s="1"/>
  <c r="K354" i="63" a="1"/>
  <c r="K354" i="63" s="1"/>
  <c r="F354" i="63" s="1"/>
  <c r="J354" i="63"/>
  <c r="I354" i="63"/>
  <c r="H354" i="63"/>
  <c r="E354" i="63"/>
  <c r="C145" i="77"/>
  <c r="B145" i="77"/>
  <c r="C143" i="77"/>
  <c r="B143" i="77"/>
  <c r="C141" i="77"/>
  <c r="B141" i="77"/>
  <c r="C139" i="77"/>
  <c r="B139" i="77"/>
  <c r="C137" i="77"/>
  <c r="B137" i="77"/>
  <c r="C135" i="77"/>
  <c r="B135" i="77"/>
  <c r="C133" i="77"/>
  <c r="B133" i="77"/>
  <c r="C131" i="77"/>
  <c r="B131" i="77"/>
  <c r="C129" i="77"/>
  <c r="B129" i="77"/>
  <c r="C127" i="77"/>
  <c r="B127" i="77"/>
  <c r="C125" i="77"/>
  <c r="B125" i="77"/>
  <c r="C123" i="77"/>
  <c r="B123" i="77"/>
  <c r="AH62" i="61" l="1"/>
  <c r="AH64" i="61" s="1"/>
  <c r="AD8" i="61"/>
  <c r="AC8" i="61"/>
  <c r="Y8" i="61"/>
  <c r="Z8" i="61"/>
  <c r="AG8" i="61"/>
  <c r="AH8" i="61"/>
  <c r="AD78" i="61"/>
  <c r="AD75" i="61"/>
  <c r="AD62" i="61"/>
  <c r="Z78" i="61"/>
  <c r="Z75" i="61"/>
  <c r="Z62" i="61"/>
  <c r="R78" i="61"/>
  <c r="AH78" i="61"/>
  <c r="AH75" i="61"/>
  <c r="G354" i="63" a="1"/>
  <c r="G354" i="63" s="1"/>
  <c r="W6" i="5" a="1"/>
  <c r="W6" i="5" s="1"/>
  <c r="AH63" i="61" l="1"/>
  <c r="AH65" i="61" s="1"/>
  <c r="AH67" i="61" s="1"/>
  <c r="AD64" i="61"/>
  <c r="AD63" i="61"/>
  <c r="AD65" i="61" s="1"/>
  <c r="Z64" i="61"/>
  <c r="Z63" i="61"/>
  <c r="Z65" i="61" s="1"/>
  <c r="C312" i="63"/>
  <c r="AD67" i="61" l="1"/>
  <c r="Z67" i="61"/>
  <c r="BP25" i="25"/>
  <c r="BP28" i="25"/>
  <c r="C15" i="76" l="1"/>
  <c r="C16" i="76" s="1"/>
  <c r="C12" i="76"/>
  <c r="C10" i="76"/>
  <c r="C14" i="76" l="1"/>
  <c r="D15" i="76" s="1"/>
  <c r="F6" i="76"/>
  <c r="D9" i="76"/>
  <c r="D11" i="76"/>
  <c r="E179" i="63"/>
  <c r="K179" i="63" a="1"/>
  <c r="K179" i="63" s="1"/>
  <c r="C179" i="63"/>
  <c r="H179" i="63" s="1"/>
  <c r="E178" i="63"/>
  <c r="H178" i="63"/>
  <c r="I178" i="63"/>
  <c r="J178" i="63"/>
  <c r="K178" i="63" a="1"/>
  <c r="K178" i="63" s="1"/>
  <c r="BV29" i="25"/>
  <c r="BV28" i="25"/>
  <c r="BV27" i="25"/>
  <c r="BV26" i="25"/>
  <c r="BV25" i="25"/>
  <c r="BV24" i="25"/>
  <c r="BU29" i="25"/>
  <c r="BU28" i="25"/>
  <c r="BU27" i="25"/>
  <c r="BU26" i="25"/>
  <c r="BU25" i="25"/>
  <c r="BU24" i="25"/>
  <c r="E266" i="63"/>
  <c r="H266" i="63"/>
  <c r="I266" i="63"/>
  <c r="J266" i="63"/>
  <c r="K266" i="63" a="1"/>
  <c r="K266" i="63" s="1"/>
  <c r="E267" i="63"/>
  <c r="H267" i="63"/>
  <c r="I267" i="63"/>
  <c r="J267" i="63"/>
  <c r="K267" i="63" a="1"/>
  <c r="K267" i="63" s="1"/>
  <c r="AF37" i="14"/>
  <c r="AE34" i="14"/>
  <c r="AE33" i="14"/>
  <c r="AF32" i="14" a="1"/>
  <c r="AF32" i="14" s="1"/>
  <c r="AE32" i="14"/>
  <c r="AE31" i="14"/>
  <c r="AE30" i="14"/>
  <c r="AE29" i="14"/>
  <c r="AE28" i="14"/>
  <c r="AF4" i="14"/>
  <c r="F9" i="76" a="1"/>
  <c r="F267" i="63" l="1"/>
  <c r="G267" i="63" s="1" a="1"/>
  <c r="G267" i="63" s="1"/>
  <c r="F9" i="76"/>
  <c r="D16" i="76"/>
  <c r="F179" i="63"/>
  <c r="G179" i="63" s="1" a="1"/>
  <c r="G179" i="63" s="1"/>
  <c r="J179" i="63"/>
  <c r="I179" i="63"/>
  <c r="F178" i="63"/>
  <c r="G178" i="63" s="1" a="1"/>
  <c r="G178" i="63" s="1"/>
  <c r="F266" i="63"/>
  <c r="G266" i="63" s="1" a="1"/>
  <c r="G266" i="63" s="1"/>
  <c r="E195" i="63"/>
  <c r="H195" i="63"/>
  <c r="I195" i="63"/>
  <c r="J195" i="63"/>
  <c r="K195" i="63" a="1"/>
  <c r="K195" i="63" s="1"/>
  <c r="E196" i="63"/>
  <c r="H196" i="63"/>
  <c r="I196" i="63"/>
  <c r="J196" i="63"/>
  <c r="K196" i="63" a="1"/>
  <c r="K196" i="63" s="1"/>
  <c r="E197" i="63"/>
  <c r="H197" i="63"/>
  <c r="I197" i="63"/>
  <c r="J197" i="63"/>
  <c r="K197" i="63" a="1"/>
  <c r="K197" i="63" s="1"/>
  <c r="E198" i="63"/>
  <c r="H198" i="63"/>
  <c r="I198" i="63"/>
  <c r="J198" i="63"/>
  <c r="K198" i="63" a="1"/>
  <c r="K198" i="63" s="1"/>
  <c r="E214" i="63"/>
  <c r="H214" i="63"/>
  <c r="I214" i="63"/>
  <c r="J214" i="63"/>
  <c r="K214" i="63" a="1"/>
  <c r="K214" i="63" s="1"/>
  <c r="F214" i="63" s="1"/>
  <c r="K292" i="63" a="1"/>
  <c r="K292" i="63" s="1"/>
  <c r="J292" i="63"/>
  <c r="I292" i="63"/>
  <c r="H292" i="63"/>
  <c r="E292" i="63"/>
  <c r="K291" i="63" a="1"/>
  <c r="K291" i="63" s="1"/>
  <c r="J291" i="63"/>
  <c r="I291" i="63"/>
  <c r="H291" i="63"/>
  <c r="E291" i="63"/>
  <c r="K175" i="63" a="1"/>
  <c r="K175" i="63" s="1"/>
  <c r="J175" i="63"/>
  <c r="I175" i="63"/>
  <c r="H175" i="63"/>
  <c r="E175" i="63"/>
  <c r="K174" i="63" a="1"/>
  <c r="K174" i="63" s="1"/>
  <c r="J174" i="63"/>
  <c r="I174" i="63"/>
  <c r="H174" i="63"/>
  <c r="E174" i="63"/>
  <c r="K157" i="63" a="1"/>
  <c r="K157" i="63" s="1"/>
  <c r="J157" i="63"/>
  <c r="I157" i="63"/>
  <c r="H157" i="63"/>
  <c r="E157" i="63"/>
  <c r="K156" i="63" a="1"/>
  <c r="K156" i="63" s="1"/>
  <c r="J156" i="63"/>
  <c r="I156" i="63"/>
  <c r="H156" i="63"/>
  <c r="E156" i="63"/>
  <c r="K298" i="63" a="1"/>
  <c r="K298" i="63" s="1"/>
  <c r="J298" i="63"/>
  <c r="I298" i="63"/>
  <c r="H298" i="63"/>
  <c r="E298" i="63"/>
  <c r="K297" i="63" a="1"/>
  <c r="K297" i="63" s="1"/>
  <c r="E297" i="63"/>
  <c r="C297" i="63"/>
  <c r="J297" i="63" s="1"/>
  <c r="K173" i="63" a="1"/>
  <c r="K173" i="63" s="1"/>
  <c r="J173" i="63"/>
  <c r="I173" i="63"/>
  <c r="H173" i="63"/>
  <c r="E173" i="63"/>
  <c r="K172" i="63" a="1"/>
  <c r="K172" i="63" s="1"/>
  <c r="J172" i="63"/>
  <c r="I172" i="63"/>
  <c r="H172" i="63"/>
  <c r="E172" i="63"/>
  <c r="K220" i="63" a="1"/>
  <c r="K220" i="63" s="1"/>
  <c r="E220" i="63"/>
  <c r="K219" i="63" a="1"/>
  <c r="K219" i="63" s="1"/>
  <c r="J219" i="63"/>
  <c r="I219" i="63"/>
  <c r="H219" i="63"/>
  <c r="E219" i="63"/>
  <c r="E218" i="63"/>
  <c r="K218" i="63" a="1"/>
  <c r="K218" i="63" s="1"/>
  <c r="C220" i="63"/>
  <c r="J220" i="63" s="1"/>
  <c r="K300" i="63" a="1"/>
  <c r="K300" i="63" s="1"/>
  <c r="J300" i="63"/>
  <c r="I300" i="63"/>
  <c r="H300" i="63"/>
  <c r="E300" i="63"/>
  <c r="K299" i="63" a="1"/>
  <c r="K299" i="63" s="1"/>
  <c r="J299" i="63"/>
  <c r="I299" i="63"/>
  <c r="H299" i="63"/>
  <c r="E299" i="63"/>
  <c r="F41" i="73"/>
  <c r="AC6" i="5"/>
  <c r="F14" i="76" a="1"/>
  <c r="G214" i="63" l="1" a="1"/>
  <c r="G214" i="63" s="1"/>
  <c r="F14" i="76"/>
  <c r="C18" i="76" a="1"/>
  <c r="F198" i="63"/>
  <c r="G198" i="63" s="1" a="1"/>
  <c r="G198" i="63" s="1"/>
  <c r="F196" i="63"/>
  <c r="G196" i="63" s="1" a="1"/>
  <c r="G196" i="63" s="1"/>
  <c r="F195" i="63"/>
  <c r="G195" i="63" s="1" a="1"/>
  <c r="G195" i="63" s="1"/>
  <c r="F197" i="63"/>
  <c r="G197" i="63" s="1" a="1"/>
  <c r="G197" i="63" s="1"/>
  <c r="F291" i="63"/>
  <c r="G291" i="63" s="1" a="1"/>
  <c r="G291" i="63" s="1"/>
  <c r="F292" i="63"/>
  <c r="G292" i="63" s="1" a="1"/>
  <c r="G292" i="63" s="1"/>
  <c r="F172" i="63"/>
  <c r="G172" i="63" s="1" a="1"/>
  <c r="G172" i="63" s="1"/>
  <c r="F297" i="63"/>
  <c r="G297" i="63" s="1" a="1"/>
  <c r="G297" i="63" s="1"/>
  <c r="F174" i="63"/>
  <c r="G174" i="63" s="1" a="1"/>
  <c r="G174" i="63" s="1"/>
  <c r="F156" i="63"/>
  <c r="G156" i="63" s="1" a="1"/>
  <c r="G156" i="63" s="1"/>
  <c r="F175" i="63"/>
  <c r="G175" i="63" s="1" a="1"/>
  <c r="G175" i="63" s="1"/>
  <c r="F157" i="63"/>
  <c r="G157" i="63" s="1" a="1"/>
  <c r="G157" i="63" s="1"/>
  <c r="F219" i="63"/>
  <c r="G219" i="63" s="1" a="1"/>
  <c r="G219" i="63" s="1"/>
  <c r="F298" i="63"/>
  <c r="G298" i="63" s="1" a="1"/>
  <c r="G298" i="63" s="1"/>
  <c r="H297" i="63"/>
  <c r="I297" i="63"/>
  <c r="F173" i="63"/>
  <c r="G173" i="63" s="1" a="1"/>
  <c r="G173" i="63" s="1"/>
  <c r="F220" i="63"/>
  <c r="G220" i="63" s="1" a="1"/>
  <c r="G220" i="63" s="1"/>
  <c r="H220" i="63"/>
  <c r="I220" i="63"/>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S29" i="25"/>
  <c r="BS28" i="25"/>
  <c r="BS27" i="25"/>
  <c r="BS26" i="25"/>
  <c r="BS25" i="25"/>
  <c r="BS24" i="25"/>
  <c r="BT25" i="25"/>
  <c r="BT32" i="25"/>
  <c r="BT13" i="25"/>
  <c r="BT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J31" i="14" a="1"/>
  <c r="V31" i="14" a="1"/>
  <c r="CX8" i="61" l="1"/>
  <c r="CW8" i="61"/>
  <c r="CW7" i="61"/>
  <c r="CX7" i="61" s="1"/>
  <c r="BT17" i="25"/>
  <c r="BT26" i="25"/>
  <c r="BT27" i="25"/>
  <c r="D26" i="75"/>
  <c r="F49" i="75"/>
  <c r="D28" i="75"/>
  <c r="V31" i="14"/>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B30" i="8"/>
  <c r="E31" i="72" l="1"/>
  <c r="CX75" i="61"/>
  <c r="CX74" i="61"/>
  <c r="C28" i="75"/>
  <c r="D29" i="75"/>
  <c r="E30" i="72"/>
  <c r="E28" i="72"/>
  <c r="E29" i="72"/>
  <c r="CX77" i="61"/>
  <c r="CX79" i="61"/>
  <c r="C91" i="63"/>
  <c r="F40" i="73" l="1"/>
  <c r="D30" i="75"/>
  <c r="C29" i="75"/>
  <c r="E38" i="72" a="1"/>
  <c r="E38" i="72" s="1"/>
  <c r="E3" i="72"/>
  <c r="E24" i="72" s="1"/>
  <c r="BB11" i="25"/>
  <c r="C30" i="75" l="1"/>
  <c r="D31" i="75"/>
  <c r="E14" i="72"/>
  <c r="E11" i="72"/>
  <c r="E16" i="72"/>
  <c r="E13" i="72"/>
  <c r="E19" i="72"/>
  <c r="E21" i="72"/>
  <c r="E22" i="72"/>
  <c r="E18" i="72"/>
  <c r="E10" i="72"/>
  <c r="E23" i="72"/>
  <c r="E12" i="72"/>
  <c r="E20" i="72"/>
  <c r="E17" i="72"/>
  <c r="E7" i="72"/>
  <c r="E15" i="72"/>
  <c r="E9" i="72"/>
  <c r="CX76" i="61" a="1"/>
  <c r="CX76" i="61" s="1"/>
  <c r="CX67" i="61"/>
  <c r="X14" i="8"/>
  <c r="BB28" i="25"/>
  <c r="BB27" i="25"/>
  <c r="BB26" i="25"/>
  <c r="BB25" i="25"/>
  <c r="BB45" i="25"/>
  <c r="BB44" i="25" s="1"/>
  <c r="BB39" i="25"/>
  <c r="BB38" i="25" s="1"/>
  <c r="BB37" i="25" l="1"/>
  <c r="BC37" i="25" s="1"/>
  <c r="E45" i="72"/>
  <c r="C31" i="75"/>
  <c r="BB43" i="25"/>
  <c r="C225" i="63"/>
  <c r="H225" i="63" s="1"/>
  <c r="C226" i="63"/>
  <c r="I226" i="63" s="1"/>
  <c r="K226" i="63" a="1"/>
  <c r="K226" i="63" s="1"/>
  <c r="E226" i="63"/>
  <c r="K225" i="63" a="1"/>
  <c r="K225" i="63" s="1"/>
  <c r="E225" i="63"/>
  <c r="BB12" i="25"/>
  <c r="BB14" i="25" s="1"/>
  <c r="BB32" i="25"/>
  <c r="BC29" i="25"/>
  <c r="BC28" i="25"/>
  <c r="BC27" i="25"/>
  <c r="BC26" i="25"/>
  <c r="BC25" i="25"/>
  <c r="BC24" i="25"/>
  <c r="BC38" i="25" l="1"/>
  <c r="I225" i="63"/>
  <c r="J225" i="63"/>
  <c r="J226" i="63"/>
  <c r="H226" i="63"/>
  <c r="BC40" i="25"/>
  <c r="BC39" i="25"/>
  <c r="BC46" i="25"/>
  <c r="BC45" i="25"/>
  <c r="BC44" i="25"/>
  <c r="BC43" i="25"/>
  <c r="BB13" i="25"/>
  <c r="R26" i="25"/>
  <c r="K34" i="5" l="1" a="1"/>
  <c r="K34" i="5" s="1"/>
  <c r="K36" i="5" a="1"/>
  <c r="K36" i="5" s="1"/>
  <c r="E180" i="63" l="1"/>
  <c r="K180" i="63" a="1"/>
  <c r="K180" i="63" s="1"/>
  <c r="E181" i="63"/>
  <c r="H181" i="63"/>
  <c r="I181" i="63"/>
  <c r="J181" i="63"/>
  <c r="K181" i="63" a="1"/>
  <c r="K181" i="63" s="1"/>
  <c r="C180" i="63"/>
  <c r="H180" i="63" s="1"/>
  <c r="F181" i="63" l="1"/>
  <c r="G181" i="63" s="1" a="1"/>
  <c r="G181" i="63" s="1"/>
  <c r="F180" i="63"/>
  <c r="G180" i="63" s="1" a="1"/>
  <c r="G180" i="63" s="1"/>
  <c r="J180" i="63"/>
  <c r="I180" i="63"/>
  <c r="C87" i="63"/>
  <c r="F38" i="69" a="1"/>
  <c r="F3" i="75" l="1"/>
  <c r="F38" i="69"/>
  <c r="C32" i="63"/>
  <c r="I32" i="63" s="1"/>
  <c r="K32" i="63" a="1"/>
  <c r="K32" i="63" s="1"/>
  <c r="E32" i="63"/>
  <c r="K31" i="63" a="1"/>
  <c r="K31" i="63" s="1"/>
  <c r="J31" i="63"/>
  <c r="I31" i="63"/>
  <c r="H31" i="63"/>
  <c r="E31" i="63"/>
  <c r="K28" i="63" a="1"/>
  <c r="K28" i="63" s="1"/>
  <c r="J28" i="63"/>
  <c r="I28" i="63"/>
  <c r="H28" i="63"/>
  <c r="E28" i="63"/>
  <c r="K27" i="63" a="1"/>
  <c r="K27" i="63" s="1"/>
  <c r="J27" i="63"/>
  <c r="I27" i="63"/>
  <c r="H27" i="63"/>
  <c r="E27" i="63"/>
  <c r="F24" i="75" a="1"/>
  <c r="F15" i="75" a="1"/>
  <c r="H32" i="63" l="1"/>
  <c r="F24" i="75"/>
  <c r="F15" i="75"/>
  <c r="F35" i="75" a="1"/>
  <c r="F35" i="75" s="1"/>
  <c r="F36" i="75" a="1"/>
  <c r="F36" i="75" s="1"/>
  <c r="F37" i="75" a="1"/>
  <c r="F37" i="75" s="1"/>
  <c r="F34" i="75" a="1"/>
  <c r="F34" i="75" s="1"/>
  <c r="J32" i="63"/>
  <c r="C83" i="63"/>
  <c r="F50" i="75" l="1" a="1"/>
  <c r="F50" i="75" s="1"/>
  <c r="F40" i="75" a="1"/>
  <c r="F40" i="75" s="1"/>
  <c r="K99" i="63" a="1"/>
  <c r="K99" i="63" s="1"/>
  <c r="J99" i="63"/>
  <c r="I99" i="63"/>
  <c r="H99" i="63"/>
  <c r="E99" i="63"/>
  <c r="K98" i="63" a="1"/>
  <c r="K98" i="63" s="1"/>
  <c r="J98" i="63"/>
  <c r="I98" i="63"/>
  <c r="H98" i="63"/>
  <c r="E98" i="63"/>
  <c r="K95" i="63" a="1"/>
  <c r="K95" i="63" s="1"/>
  <c r="J95" i="63"/>
  <c r="I95" i="63"/>
  <c r="H95" i="63"/>
  <c r="E95" i="63"/>
  <c r="K94" i="63" a="1"/>
  <c r="K94" i="63" s="1"/>
  <c r="J94" i="63"/>
  <c r="I94" i="63"/>
  <c r="H94" i="63"/>
  <c r="E94" i="63"/>
  <c r="X10" i="8"/>
  <c r="X9" i="8"/>
  <c r="X5" i="8"/>
  <c r="X34" i="8"/>
  <c r="Y31" i="8"/>
  <c r="Y30" i="8"/>
  <c r="Y29" i="8"/>
  <c r="X29" i="8"/>
  <c r="Y28" i="8"/>
  <c r="X28" i="8"/>
  <c r="Y27" i="8"/>
  <c r="Y26" i="8"/>
  <c r="Y25" i="8"/>
  <c r="K91" i="63" a="1"/>
  <c r="K91" i="63" s="1"/>
  <c r="J91" i="63"/>
  <c r="I91" i="63"/>
  <c r="H91" i="63"/>
  <c r="E91" i="63"/>
  <c r="K90" i="63" a="1"/>
  <c r="K90" i="63" s="1"/>
  <c r="J90" i="63"/>
  <c r="I90" i="63"/>
  <c r="H90" i="63"/>
  <c r="E90" i="63"/>
  <c r="J87" i="63"/>
  <c r="K87" i="63" a="1"/>
  <c r="K87" i="63" s="1"/>
  <c r="H87" i="63"/>
  <c r="E87" i="63"/>
  <c r="K86" i="63" a="1"/>
  <c r="K86" i="63" s="1"/>
  <c r="J86" i="63"/>
  <c r="I86" i="63"/>
  <c r="H86" i="63"/>
  <c r="E86" i="63"/>
  <c r="L76" i="24"/>
  <c r="L6" i="24"/>
  <c r="L5" i="24"/>
  <c r="M73" i="24"/>
  <c r="M72" i="24"/>
  <c r="M71" i="24"/>
  <c r="M70" i="24"/>
  <c r="K73" i="24"/>
  <c r="K72" i="24"/>
  <c r="K71" i="24"/>
  <c r="K70" i="24"/>
  <c r="X3" i="58"/>
  <c r="X97" i="58"/>
  <c r="X96" i="58"/>
  <c r="W100" i="58"/>
  <c r="W99" i="58"/>
  <c r="W97" i="58"/>
  <c r="W96" i="58"/>
  <c r="W95" i="58"/>
  <c r="W94" i="58"/>
  <c r="J83" i="63"/>
  <c r="K83" i="63" a="1"/>
  <c r="K83" i="63" s="1"/>
  <c r="E83" i="63"/>
  <c r="K82" i="63" a="1"/>
  <c r="K82" i="63" s="1"/>
  <c r="J82" i="63"/>
  <c r="I82" i="63"/>
  <c r="H82" i="63"/>
  <c r="E82" i="63"/>
  <c r="C79" i="63"/>
  <c r="I79" i="63" s="1"/>
  <c r="K79" i="63" a="1"/>
  <c r="K79" i="63" s="1"/>
  <c r="E79" i="63"/>
  <c r="K78" i="63" a="1"/>
  <c r="K78" i="63" s="1"/>
  <c r="J78" i="63"/>
  <c r="I78" i="63"/>
  <c r="H78" i="63"/>
  <c r="E78" i="63"/>
  <c r="K75" i="63" a="1"/>
  <c r="K75" i="63" s="1"/>
  <c r="J75" i="63"/>
  <c r="I75" i="63"/>
  <c r="H75" i="63"/>
  <c r="E75" i="63"/>
  <c r="K74" i="63" a="1"/>
  <c r="K74" i="63" s="1"/>
  <c r="J74" i="63"/>
  <c r="I74" i="63"/>
  <c r="H74" i="63"/>
  <c r="E74" i="63"/>
  <c r="K71" i="63" a="1"/>
  <c r="K71" i="63" s="1"/>
  <c r="J71" i="63"/>
  <c r="I71" i="63"/>
  <c r="H71" i="63"/>
  <c r="E71" i="63"/>
  <c r="K70" i="63" a="1"/>
  <c r="K70" i="63" s="1"/>
  <c r="J70" i="63"/>
  <c r="I70" i="63"/>
  <c r="H70" i="63"/>
  <c r="E70" i="63"/>
  <c r="J67" i="63"/>
  <c r="K67" i="63" a="1"/>
  <c r="K67" i="63" s="1"/>
  <c r="H67" i="63"/>
  <c r="E67" i="63"/>
  <c r="K66" i="63" a="1"/>
  <c r="K66" i="63" s="1"/>
  <c r="J66" i="63"/>
  <c r="I66" i="63"/>
  <c r="H66" i="63"/>
  <c r="E66" i="63"/>
  <c r="C15" i="39"/>
  <c r="G29" i="39" s="1"/>
  <c r="C14" i="39"/>
  <c r="Z14" i="14"/>
  <c r="Z5" i="14"/>
  <c r="M97" i="58"/>
  <c r="M96" i="58"/>
  <c r="M95" i="58"/>
  <c r="M94" i="58"/>
  <c r="L98" i="58"/>
  <c r="L96" i="58"/>
  <c r="L3" i="58"/>
  <c r="M57" i="40"/>
  <c r="G60" i="60"/>
  <c r="M59" i="40"/>
  <c r="M58" i="40" a="1"/>
  <c r="M58" i="40" s="1"/>
  <c r="AT32" i="25"/>
  <c r="AU29" i="25"/>
  <c r="AU28" i="25"/>
  <c r="AU27" i="25"/>
  <c r="AU26" i="25"/>
  <c r="AU25" i="25"/>
  <c r="AU24" i="25"/>
  <c r="AT14" i="25"/>
  <c r="AT13" i="25"/>
  <c r="Z37" i="14"/>
  <c r="AA34" i="14"/>
  <c r="AA33" i="14"/>
  <c r="AA32" i="14"/>
  <c r="Z32" i="14" a="1"/>
  <c r="Z32" i="14" s="1"/>
  <c r="AA31" i="14"/>
  <c r="AA30" i="14"/>
  <c r="AA29" i="14"/>
  <c r="AA28" i="14"/>
  <c r="AT26" i="25" a="1"/>
  <c r="AT25" i="25" a="1"/>
  <c r="F91" i="63" l="1"/>
  <c r="G91" i="63" s="1" a="1"/>
  <c r="G91" i="63" s="1"/>
  <c r="X27" i="8"/>
  <c r="X26" i="8"/>
  <c r="H79" i="63"/>
  <c r="J79" i="63"/>
  <c r="I87" i="63"/>
  <c r="F29" i="39"/>
  <c r="F83" i="63"/>
  <c r="G83" i="63" s="1" a="1"/>
  <c r="G83" i="63" s="1"/>
  <c r="I83" i="63"/>
  <c r="H83" i="63"/>
  <c r="F70" i="63"/>
  <c r="G70" i="63" s="1" a="1"/>
  <c r="G70" i="63" s="1"/>
  <c r="I67" i="63"/>
  <c r="AT17" i="25"/>
  <c r="AT26" i="25"/>
  <c r="AT25" i="25"/>
  <c r="C63" i="63"/>
  <c r="J63" i="63" s="1"/>
  <c r="K63" i="63" a="1"/>
  <c r="K63" i="63" s="1"/>
  <c r="E63" i="63"/>
  <c r="K62" i="63" a="1"/>
  <c r="K62" i="63" s="1"/>
  <c r="J62" i="63"/>
  <c r="I62" i="63"/>
  <c r="H62" i="63"/>
  <c r="E62" i="63"/>
  <c r="C59" i="63"/>
  <c r="I59" i="63" s="1"/>
  <c r="K59" i="63" a="1"/>
  <c r="K59" i="63" s="1"/>
  <c r="E59" i="63"/>
  <c r="K58" i="63" a="1"/>
  <c r="K58" i="63" s="1"/>
  <c r="J58" i="63"/>
  <c r="I58" i="63"/>
  <c r="H58" i="63"/>
  <c r="E58" i="63"/>
  <c r="K55" i="63" a="1"/>
  <c r="K55" i="63" s="1"/>
  <c r="J55" i="63"/>
  <c r="I55" i="63"/>
  <c r="H55" i="63"/>
  <c r="E55" i="63"/>
  <c r="K54" i="63" a="1"/>
  <c r="K54" i="63" s="1"/>
  <c r="E54" i="63"/>
  <c r="C54" i="63"/>
  <c r="J54" i="63" s="1"/>
  <c r="E64" i="35"/>
  <c r="E62" i="35"/>
  <c r="AP32" i="25"/>
  <c r="AP26" i="25"/>
  <c r="AP14" i="25"/>
  <c r="AP13" i="25"/>
  <c r="AQ29" i="25"/>
  <c r="AQ28" i="25"/>
  <c r="AQ27" i="25"/>
  <c r="AQ26" i="25"/>
  <c r="AQ25" i="25"/>
  <c r="AQ24" i="25"/>
  <c r="H30" i="36"/>
  <c r="AP25" i="25" a="1"/>
  <c r="H63" i="63" l="1"/>
  <c r="I63" i="63"/>
  <c r="H59" i="63"/>
  <c r="J59" i="63"/>
  <c r="F54" i="63"/>
  <c r="G54" i="63" s="1" a="1"/>
  <c r="G54" i="63" s="1"/>
  <c r="F55" i="63"/>
  <c r="G55" i="63" s="1" a="1"/>
  <c r="G55" i="63" s="1"/>
  <c r="H54" i="63"/>
  <c r="I54" i="63"/>
  <c r="AP17" i="25"/>
  <c r="AP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X26" i="25"/>
  <c r="C13" i="63" l="1"/>
  <c r="I13" i="63" s="1"/>
  <c r="E13" i="63"/>
  <c r="K13" i="63" a="1"/>
  <c r="K13" i="63" s="1"/>
  <c r="E14" i="63"/>
  <c r="H14" i="63"/>
  <c r="I14" i="63"/>
  <c r="J14" i="63"/>
  <c r="K14" i="63" a="1"/>
  <c r="K14" i="63" s="1"/>
  <c r="E15" i="63"/>
  <c r="H15" i="63"/>
  <c r="I15" i="63"/>
  <c r="J15" i="63"/>
  <c r="K15" i="63" a="1"/>
  <c r="K15" i="63" s="1"/>
  <c r="E16" i="63"/>
  <c r="H16" i="63"/>
  <c r="I16" i="63"/>
  <c r="J16" i="63"/>
  <c r="K16" i="63" a="1"/>
  <c r="K16" i="63" s="1"/>
  <c r="E17" i="63"/>
  <c r="H17" i="63"/>
  <c r="I17" i="63"/>
  <c r="J17" i="63"/>
  <c r="K17" i="63" a="1"/>
  <c r="K17" i="63" s="1"/>
  <c r="E18" i="63"/>
  <c r="H18" i="63"/>
  <c r="I18" i="63"/>
  <c r="J18" i="63"/>
  <c r="K18" i="63" a="1"/>
  <c r="K18" i="63" s="1"/>
  <c r="E19" i="63"/>
  <c r="H19" i="63"/>
  <c r="I19" i="63"/>
  <c r="J19" i="63"/>
  <c r="K19" i="63" a="1"/>
  <c r="K19" i="63" s="1"/>
  <c r="E20" i="63"/>
  <c r="H20" i="63"/>
  <c r="I20" i="63"/>
  <c r="J20" i="63"/>
  <c r="K20" i="63" a="1"/>
  <c r="K20" i="63" s="1"/>
  <c r="E21" i="63"/>
  <c r="H21" i="63"/>
  <c r="I21" i="63"/>
  <c r="J21" i="63"/>
  <c r="K21" i="63" a="1"/>
  <c r="K21" i="63" s="1"/>
  <c r="E22" i="63"/>
  <c r="H22" i="63"/>
  <c r="I22" i="63"/>
  <c r="J22" i="63"/>
  <c r="K22" i="63" a="1"/>
  <c r="K22" i="63" s="1"/>
  <c r="E23" i="63"/>
  <c r="H23" i="63"/>
  <c r="I23" i="63"/>
  <c r="J23" i="63"/>
  <c r="K23" i="63" a="1"/>
  <c r="K23" i="63" s="1"/>
  <c r="F23" i="63" s="1"/>
  <c r="G23" i="63" s="1" a="1"/>
  <c r="G23" i="63" s="1"/>
  <c r="E24" i="63"/>
  <c r="F24" i="63"/>
  <c r="H24" i="63"/>
  <c r="I24" i="63"/>
  <c r="J24" i="63"/>
  <c r="K24" i="63" a="1"/>
  <c r="K24" i="63" s="1"/>
  <c r="E25" i="63"/>
  <c r="H25" i="63"/>
  <c r="I25" i="63"/>
  <c r="J25" i="63"/>
  <c r="K25" i="63" a="1"/>
  <c r="K25" i="63" s="1"/>
  <c r="E26" i="63"/>
  <c r="H26" i="63"/>
  <c r="I26" i="63"/>
  <c r="J26" i="63"/>
  <c r="K26" i="63" a="1"/>
  <c r="K26" i="63" s="1"/>
  <c r="E29" i="63"/>
  <c r="H29" i="63"/>
  <c r="I29" i="63"/>
  <c r="J29" i="63"/>
  <c r="K29" i="63" a="1"/>
  <c r="K29" i="63" s="1"/>
  <c r="E30" i="63"/>
  <c r="K30" i="63" a="1"/>
  <c r="K30" i="63" s="1"/>
  <c r="E33" i="63"/>
  <c r="H33" i="63"/>
  <c r="I33" i="63"/>
  <c r="J33" i="63"/>
  <c r="K33" i="63" a="1"/>
  <c r="K33" i="63" s="1"/>
  <c r="M47" i="3"/>
  <c r="N47" i="3"/>
  <c r="O47" i="3"/>
  <c r="P47" i="3"/>
  <c r="L47" i="3"/>
  <c r="M56" i="3"/>
  <c r="N56" i="3"/>
  <c r="O56" i="3"/>
  <c r="P56" i="3"/>
  <c r="L56" i="3"/>
  <c r="H13" i="63" l="1"/>
  <c r="F31" i="63"/>
  <c r="G31" i="63" s="1" a="1"/>
  <c r="G31" i="63" s="1"/>
  <c r="F32" i="63"/>
  <c r="G32" i="63" s="1" a="1"/>
  <c r="G32" i="63" s="1"/>
  <c r="F28" i="63"/>
  <c r="G28" i="63" s="1" a="1"/>
  <c r="G28" i="63" s="1"/>
  <c r="F27" i="63"/>
  <c r="G27" i="63" s="1" a="1"/>
  <c r="G27" i="63" s="1"/>
  <c r="J13" i="63"/>
  <c r="F30" i="63"/>
  <c r="G30" i="63" s="1" a="1"/>
  <c r="G30" i="63" s="1"/>
  <c r="F21" i="63"/>
  <c r="G21" i="63" s="1" a="1"/>
  <c r="G21" i="63" s="1"/>
  <c r="F17" i="63"/>
  <c r="G17" i="63" s="1" a="1"/>
  <c r="G17" i="63" s="1"/>
  <c r="F13" i="63"/>
  <c r="G13" i="63" s="1" a="1"/>
  <c r="G13" i="63" s="1"/>
  <c r="F26" i="63"/>
  <c r="G26" i="63" s="1" a="1"/>
  <c r="G26" i="63" s="1"/>
  <c r="F20" i="63"/>
  <c r="G20" i="63" s="1" a="1"/>
  <c r="G20" i="63" s="1"/>
  <c r="F16" i="63"/>
  <c r="G16" i="63" s="1" a="1"/>
  <c r="G16" i="63" s="1"/>
  <c r="F14" i="63"/>
  <c r="G14" i="63" s="1" a="1"/>
  <c r="G14" i="63" s="1"/>
  <c r="F22" i="63"/>
  <c r="G22" i="63" s="1" a="1"/>
  <c r="G22" i="63" s="1"/>
  <c r="G24" i="63" a="1"/>
  <c r="G24" i="63" s="1"/>
  <c r="F19" i="63"/>
  <c r="G19" i="63" s="1" a="1"/>
  <c r="G19" i="63" s="1"/>
  <c r="F18" i="63"/>
  <c r="G18" i="63" s="1" a="1"/>
  <c r="G18" i="63" s="1"/>
  <c r="F25" i="63"/>
  <c r="G25" i="63" s="1" a="1"/>
  <c r="G25" i="63" s="1"/>
  <c r="F15" i="63"/>
  <c r="G15" i="63" s="1" a="1"/>
  <c r="G15" i="63" s="1"/>
  <c r="F29" i="63"/>
  <c r="G29" i="63" s="1" a="1"/>
  <c r="G29" i="63" s="1"/>
  <c r="C104" i="63"/>
  <c r="C150" i="63"/>
  <c r="C306" i="63"/>
  <c r="E321" i="63" l="1"/>
  <c r="H321" i="63"/>
  <c r="I321" i="63"/>
  <c r="J321" i="63"/>
  <c r="K321" i="63" a="1"/>
  <c r="K321" i="63" s="1"/>
  <c r="E322" i="63"/>
  <c r="H322" i="63"/>
  <c r="I322" i="63"/>
  <c r="J322" i="63"/>
  <c r="K322" i="63" a="1"/>
  <c r="K322" i="63" s="1"/>
  <c r="E323" i="63"/>
  <c r="F323" i="63"/>
  <c r="H323" i="63"/>
  <c r="I323" i="63"/>
  <c r="J323" i="63"/>
  <c r="K323" i="63" a="1"/>
  <c r="K323" i="63" s="1"/>
  <c r="AF34" i="8"/>
  <c r="AF29" i="8"/>
  <c r="AF28" i="8"/>
  <c r="AF27" i="8"/>
  <c r="AF26" i="8"/>
  <c r="AF20" i="8"/>
  <c r="AF4" i="8"/>
  <c r="AG31" i="8"/>
  <c r="AG30" i="8"/>
  <c r="AG29" i="8"/>
  <c r="AG28" i="8"/>
  <c r="AG27" i="8"/>
  <c r="AG26" i="8"/>
  <c r="AG25" i="8"/>
  <c r="AE31" i="8"/>
  <c r="AE30" i="8"/>
  <c r="AE29" i="8"/>
  <c r="AE28" i="8"/>
  <c r="AE27" i="8"/>
  <c r="AE26" i="8"/>
  <c r="AE25" i="8"/>
  <c r="E316" i="63"/>
  <c r="K316" i="63" a="1"/>
  <c r="K316" i="63" s="1"/>
  <c r="E317" i="63"/>
  <c r="H317" i="63"/>
  <c r="I317" i="63"/>
  <c r="J317" i="63"/>
  <c r="K317" i="63" a="1"/>
  <c r="K317" i="63" s="1"/>
  <c r="C316" i="63"/>
  <c r="J316" i="63" s="1"/>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17" i="63" l="1"/>
  <c r="G317" i="63" s="1" a="1"/>
  <c r="G317" i="63" s="1"/>
  <c r="F321" i="63"/>
  <c r="G321" i="63" s="1" a="1"/>
  <c r="G321" i="63" s="1"/>
  <c r="F322" i="63"/>
  <c r="G322" i="63" s="1" a="1"/>
  <c r="G322" i="63" s="1"/>
  <c r="F316" i="63"/>
  <c r="G316" i="63" s="1" a="1"/>
  <c r="G316" i="63" s="1"/>
  <c r="G323" i="63" a="1"/>
  <c r="G323" i="63" s="1"/>
  <c r="I316" i="63"/>
  <c r="H316" i="63"/>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T26" i="25"/>
  <c r="T25" i="25"/>
  <c r="T13" i="25"/>
  <c r="T12" i="25"/>
  <c r="T14" i="25" s="1"/>
  <c r="T32" i="25"/>
  <c r="U29" i="25"/>
  <c r="U28" i="25"/>
  <c r="U27" i="25"/>
  <c r="U26" i="25"/>
  <c r="U25" i="25"/>
  <c r="U24" i="25"/>
  <c r="I32" i="70" l="1"/>
  <c r="F32" i="70"/>
  <c r="F33" i="70"/>
  <c r="F25" i="70"/>
  <c r="F26" i="70"/>
  <c r="D35" i="70"/>
  <c r="E27" i="70"/>
  <c r="I27" i="70" s="1"/>
  <c r="E34" i="70"/>
  <c r="T17" i="25"/>
  <c r="E268" i="63"/>
  <c r="H268" i="63"/>
  <c r="I268" i="63"/>
  <c r="J268" i="63"/>
  <c r="K268" i="63" a="1"/>
  <c r="K268" i="63" s="1"/>
  <c r="E269" i="63"/>
  <c r="H269" i="63"/>
  <c r="I269" i="63"/>
  <c r="J269" i="63"/>
  <c r="K269" i="63" a="1"/>
  <c r="K269" i="63" s="1"/>
  <c r="E270" i="63"/>
  <c r="F270" i="63"/>
  <c r="H270" i="63"/>
  <c r="I270" i="63"/>
  <c r="J270" i="63"/>
  <c r="K270" i="63" a="1"/>
  <c r="K270" i="63" s="1"/>
  <c r="E271" i="63"/>
  <c r="K271" i="63" a="1"/>
  <c r="K271" i="63" s="1"/>
  <c r="E28" i="70" l="1"/>
  <c r="AA3" i="70" s="1" a="1"/>
  <c r="AA3" i="70" s="1"/>
  <c r="F27" i="70"/>
  <c r="I34" i="70"/>
  <c r="F34" i="70"/>
  <c r="E35" i="70"/>
  <c r="I35" i="70" s="1"/>
  <c r="G270" i="63" a="1"/>
  <c r="G270" i="63" s="1"/>
  <c r="F268" i="63"/>
  <c r="G268" i="63" s="1" a="1"/>
  <c r="G268" i="63" s="1"/>
  <c r="F269" i="63"/>
  <c r="G269" i="63" s="1" a="1"/>
  <c r="G269" i="63" s="1"/>
  <c r="F28" i="70" l="1"/>
  <c r="E36" i="70"/>
  <c r="F29" i="70"/>
  <c r="F35" i="70"/>
  <c r="I28" i="70"/>
  <c r="F30" i="8"/>
  <c r="F36" i="70" l="1"/>
  <c r="I36" i="70"/>
  <c r="AX25" i="25"/>
  <c r="AX26" i="25"/>
  <c r="BF26" i="25" l="1"/>
  <c r="BD26" i="25"/>
  <c r="AY29" i="25" l="1"/>
  <c r="AY28" i="25"/>
  <c r="AY27" i="25"/>
  <c r="AY26" i="25"/>
  <c r="AY25" i="25"/>
  <c r="AY24" i="25"/>
  <c r="AW29" i="25"/>
  <c r="AW28" i="25"/>
  <c r="AW27" i="25"/>
  <c r="AW26" i="25"/>
  <c r="AW25" i="25"/>
  <c r="AW24" i="25"/>
  <c r="AZ27" i="25"/>
  <c r="AZ32" i="25"/>
  <c r="BA29" i="25"/>
  <c r="BA28" i="25"/>
  <c r="BA27" i="25"/>
  <c r="BA26" i="25"/>
  <c r="BA25" i="25"/>
  <c r="BA24" i="25"/>
  <c r="AB27" i="25" l="1"/>
  <c r="AB26" i="25"/>
  <c r="AD27" i="25"/>
  <c r="AD26" i="25"/>
  <c r="C12" i="69"/>
  <c r="C13" i="69"/>
  <c r="C15" i="69"/>
  <c r="C16" i="69"/>
  <c r="C17" i="69"/>
  <c r="B13" i="69"/>
  <c r="B15" i="69"/>
  <c r="B16" i="69"/>
  <c r="B17" i="69"/>
  <c r="B12" i="69"/>
  <c r="AV27" i="25"/>
  <c r="E38" i="69" a="1"/>
  <c r="E3" i="69" l="1"/>
  <c r="E20" i="69" s="1"/>
  <c r="E38" i="69"/>
  <c r="BE26" i="25"/>
  <c r="E6" i="69" a="1"/>
  <c r="E11" i="69" l="1"/>
  <c r="E6" i="69"/>
  <c r="E16" i="69"/>
  <c r="E17" i="69"/>
  <c r="E12" i="69"/>
  <c r="E7" i="69"/>
  <c r="E14" i="69"/>
  <c r="E13" i="69"/>
  <c r="E8" i="69"/>
  <c r="E10" i="69"/>
  <c r="E9" i="69"/>
  <c r="E15" i="69"/>
  <c r="E22" i="69"/>
  <c r="E21" i="69"/>
  <c r="E23" i="69" s="1"/>
  <c r="AL10" i="8"/>
  <c r="AL11" i="8" s="1"/>
  <c r="F39" i="69" l="1" a="1"/>
  <c r="F39" i="69" s="1"/>
  <c r="E26" i="69" a="1"/>
  <c r="E26" i="69" s="1"/>
  <c r="E39" i="69"/>
  <c r="E120" i="63"/>
  <c r="H120" i="63"/>
  <c r="I120" i="63"/>
  <c r="J120" i="63"/>
  <c r="K120" i="63" a="1"/>
  <c r="K120" i="63" s="1"/>
  <c r="E121" i="63"/>
  <c r="K121" i="63" a="1"/>
  <c r="K121" i="63" s="1"/>
  <c r="E122" i="63"/>
  <c r="H122" i="63"/>
  <c r="I122" i="63"/>
  <c r="J122" i="63"/>
  <c r="K122" i="63" a="1"/>
  <c r="K122" i="63" s="1"/>
  <c r="E123" i="63"/>
  <c r="H123" i="63"/>
  <c r="I123" i="63"/>
  <c r="J123" i="63"/>
  <c r="K123" i="63" a="1"/>
  <c r="K123" i="63" s="1"/>
  <c r="E124" i="63"/>
  <c r="F124" i="63"/>
  <c r="H124" i="63"/>
  <c r="I124" i="63"/>
  <c r="J124" i="63"/>
  <c r="K124" i="63" a="1"/>
  <c r="K124" i="63" s="1"/>
  <c r="E125" i="63"/>
  <c r="H125" i="63"/>
  <c r="I125" i="63"/>
  <c r="J125" i="63"/>
  <c r="K125" i="63" a="1"/>
  <c r="K125" i="63" s="1"/>
  <c r="E126" i="63"/>
  <c r="H126" i="63"/>
  <c r="I126" i="63"/>
  <c r="J126" i="63"/>
  <c r="K126" i="63" a="1"/>
  <c r="K126" i="63" s="1"/>
  <c r="E127" i="63"/>
  <c r="H127" i="63"/>
  <c r="I127" i="63"/>
  <c r="J127" i="63"/>
  <c r="K127" i="63" a="1"/>
  <c r="K127" i="63" s="1"/>
  <c r="E128" i="63"/>
  <c r="H128" i="63"/>
  <c r="I128" i="63"/>
  <c r="J128" i="63"/>
  <c r="K128" i="63" a="1"/>
  <c r="K128" i="63" s="1"/>
  <c r="E129" i="63"/>
  <c r="H129" i="63"/>
  <c r="I129" i="63"/>
  <c r="J129" i="63"/>
  <c r="K129" i="63" a="1"/>
  <c r="K129" i="63" s="1"/>
  <c r="F129" i="63" s="1"/>
  <c r="E130" i="63"/>
  <c r="F130" i="63"/>
  <c r="H130" i="63"/>
  <c r="I130" i="63"/>
  <c r="J130" i="63"/>
  <c r="K130" i="63" a="1"/>
  <c r="K130" i="63" s="1"/>
  <c r="E131" i="63"/>
  <c r="H131" i="63"/>
  <c r="I131" i="63"/>
  <c r="J131" i="63"/>
  <c r="K131" i="63" a="1"/>
  <c r="K131" i="63" s="1"/>
  <c r="E132" i="63"/>
  <c r="H132" i="63"/>
  <c r="I132" i="63"/>
  <c r="J132" i="63"/>
  <c r="K132" i="63" a="1"/>
  <c r="K132" i="63" s="1"/>
  <c r="E133" i="63"/>
  <c r="H133" i="63"/>
  <c r="I133" i="63"/>
  <c r="J133" i="63"/>
  <c r="K133" i="63" a="1"/>
  <c r="K133" i="63" s="1"/>
  <c r="E134" i="63"/>
  <c r="H134" i="63"/>
  <c r="I134" i="63"/>
  <c r="J134" i="63"/>
  <c r="K134" i="63" a="1"/>
  <c r="K134" i="63" s="1"/>
  <c r="E135" i="63"/>
  <c r="H135" i="63"/>
  <c r="I135" i="63"/>
  <c r="J135" i="63"/>
  <c r="K135" i="63" a="1"/>
  <c r="K135" i="63" s="1"/>
  <c r="E136" i="63"/>
  <c r="H136" i="63"/>
  <c r="I136" i="63"/>
  <c r="J136" i="63"/>
  <c r="K136" i="63" a="1"/>
  <c r="K136" i="63" s="1"/>
  <c r="E137" i="63"/>
  <c r="H137" i="63"/>
  <c r="I137" i="63"/>
  <c r="J137" i="63"/>
  <c r="K137" i="63" a="1"/>
  <c r="K137" i="63" s="1"/>
  <c r="E138" i="63"/>
  <c r="H138" i="63"/>
  <c r="I138" i="63"/>
  <c r="J138" i="63"/>
  <c r="K138" i="63" a="1"/>
  <c r="K138" i="63" s="1"/>
  <c r="E139" i="63"/>
  <c r="F139" i="63"/>
  <c r="H139" i="63"/>
  <c r="I139" i="63"/>
  <c r="J139" i="63"/>
  <c r="K139" i="63" a="1"/>
  <c r="K139" i="63" s="1"/>
  <c r="E140" i="63"/>
  <c r="H140" i="63"/>
  <c r="I140" i="63"/>
  <c r="J140" i="63"/>
  <c r="K140" i="63" a="1"/>
  <c r="K140" i="63" s="1"/>
  <c r="E141" i="63"/>
  <c r="H141" i="63"/>
  <c r="I141" i="63"/>
  <c r="J141" i="63"/>
  <c r="K141" i="63" a="1"/>
  <c r="K141" i="63" s="1"/>
  <c r="E142" i="63"/>
  <c r="H142" i="63"/>
  <c r="I142" i="63"/>
  <c r="J142" i="63"/>
  <c r="K142" i="63" a="1"/>
  <c r="K142" i="63" s="1"/>
  <c r="F142" i="63" s="1"/>
  <c r="E143" i="63"/>
  <c r="F143" i="63"/>
  <c r="H143" i="63"/>
  <c r="I143" i="63"/>
  <c r="J143" i="63"/>
  <c r="K143" i="63" a="1"/>
  <c r="K143" i="63" s="1"/>
  <c r="E144" i="63"/>
  <c r="H144" i="63"/>
  <c r="I144" i="63"/>
  <c r="J144" i="63"/>
  <c r="K144" i="63" a="1"/>
  <c r="K144" i="63" s="1"/>
  <c r="E145" i="63"/>
  <c r="H145" i="63"/>
  <c r="I145" i="63"/>
  <c r="J145" i="63"/>
  <c r="K145" i="63" a="1"/>
  <c r="K145" i="63" s="1"/>
  <c r="E146" i="63"/>
  <c r="H146" i="63"/>
  <c r="I146" i="63"/>
  <c r="J146" i="63"/>
  <c r="K146" i="63" a="1"/>
  <c r="K146" i="63" s="1"/>
  <c r="E147" i="63"/>
  <c r="H147" i="63"/>
  <c r="I147" i="63"/>
  <c r="J147" i="63"/>
  <c r="K147" i="63" a="1"/>
  <c r="K147" i="63" s="1"/>
  <c r="BF9" i="25"/>
  <c r="BF7" i="25"/>
  <c r="BF25" i="25" s="1"/>
  <c r="BF32" i="25"/>
  <c r="BF13" i="25"/>
  <c r="BF12" i="25"/>
  <c r="BF14" i="25" s="1"/>
  <c r="BG29" i="25"/>
  <c r="BG28" i="25"/>
  <c r="BG27" i="25"/>
  <c r="BG26" i="25"/>
  <c r="BG25" i="25"/>
  <c r="BG24" i="25"/>
  <c r="BF27" i="25" a="1"/>
  <c r="G142" i="63" l="1" a="1"/>
  <c r="G142" i="63" s="1"/>
  <c r="G124" i="63" a="1"/>
  <c r="G124" i="63" s="1"/>
  <c r="F127" i="63"/>
  <c r="G127" i="63" s="1" a="1"/>
  <c r="G127" i="63" s="1"/>
  <c r="F120" i="63"/>
  <c r="G120" i="63" s="1" a="1"/>
  <c r="G120" i="63" s="1"/>
  <c r="F133" i="63"/>
  <c r="G133" i="63" s="1" a="1"/>
  <c r="G133" i="63" s="1"/>
  <c r="G130" i="63" a="1"/>
  <c r="G130" i="63" s="1"/>
  <c r="G143" i="63" a="1"/>
  <c r="G143" i="63" s="1"/>
  <c r="F138" i="63"/>
  <c r="G138" i="63" s="1" a="1"/>
  <c r="G138" i="63" s="1"/>
  <c r="F140" i="63"/>
  <c r="G140" i="63" s="1" a="1"/>
  <c r="G140" i="63" s="1"/>
  <c r="F144" i="63"/>
  <c r="G144" i="63" s="1" a="1"/>
  <c r="G144" i="63" s="1"/>
  <c r="F135" i="63"/>
  <c r="G135" i="63" s="1" a="1"/>
  <c r="G135" i="63" s="1"/>
  <c r="F126" i="63"/>
  <c r="G126" i="63" s="1" a="1"/>
  <c r="G126" i="63" s="1"/>
  <c r="F145" i="63"/>
  <c r="G145" i="63" s="1" a="1"/>
  <c r="G145" i="63" s="1"/>
  <c r="F131" i="63"/>
  <c r="G131" i="63" s="1" a="1"/>
  <c r="G131" i="63" s="1"/>
  <c r="F121" i="63"/>
  <c r="G121" i="63" s="1" a="1"/>
  <c r="G121" i="63" s="1"/>
  <c r="BF17" i="25"/>
  <c r="F147" i="63"/>
  <c r="G147" i="63" s="1" a="1"/>
  <c r="G147" i="63" s="1"/>
  <c r="F141" i="63"/>
  <c r="G141" i="63" s="1" a="1"/>
  <c r="G141" i="63" s="1"/>
  <c r="G139" i="63" a="1"/>
  <c r="G139" i="63" s="1"/>
  <c r="G129" i="63" a="1"/>
  <c r="G129" i="63" s="1"/>
  <c r="F123" i="63"/>
  <c r="G123" i="63" s="1" a="1"/>
  <c r="G123" i="63" s="1"/>
  <c r="F122" i="63"/>
  <c r="G122" i="63" s="1" a="1"/>
  <c r="G122" i="63" s="1"/>
  <c r="F137" i="63"/>
  <c r="G137" i="63" s="1" a="1"/>
  <c r="G137" i="63" s="1"/>
  <c r="F125" i="63"/>
  <c r="G125" i="63" s="1" a="1"/>
  <c r="G125" i="63" s="1"/>
  <c r="F146" i="63"/>
  <c r="G146" i="63" s="1" a="1"/>
  <c r="G146" i="63" s="1"/>
  <c r="F134" i="63"/>
  <c r="G134" i="63" s="1" a="1"/>
  <c r="G134" i="63" s="1"/>
  <c r="F136" i="63"/>
  <c r="G136" i="63" s="1" a="1"/>
  <c r="G136" i="63" s="1"/>
  <c r="F132" i="63"/>
  <c r="G132" i="63" s="1" a="1"/>
  <c r="G132" i="63" s="1"/>
  <c r="F128" i="63"/>
  <c r="G128" i="63" s="1" a="1"/>
  <c r="G128" i="63" s="1"/>
  <c r="BF27" i="25"/>
  <c r="BL26" i="25"/>
  <c r="BL12" i="25"/>
  <c r="BD25" i="25" l="1"/>
  <c r="BD27" i="25" a="1"/>
  <c r="BD27" i="25" l="1"/>
  <c r="C54" i="67"/>
  <c r="C55" i="67" l="1"/>
  <c r="K7" i="5" a="1"/>
  <c r="K7" i="5" s="1"/>
  <c r="K8" i="5" a="1"/>
  <c r="K8" i="5" s="1"/>
  <c r="K9" i="5" a="1"/>
  <c r="K9" i="5" s="1"/>
  <c r="BJ27" i="25"/>
  <c r="BJ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J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R27" i="25" a="1"/>
  <c r="BR27" i="25" s="1"/>
  <c r="BR26" i="25"/>
  <c r="BR25" i="25"/>
  <c r="E49" i="67" l="1"/>
  <c r="H49" i="67" s="1"/>
  <c r="F49" i="67"/>
  <c r="I49" i="67" s="1"/>
  <c r="F19" i="67"/>
  <c r="I19" i="67" s="1"/>
  <c r="E19" i="67"/>
  <c r="H19" i="67" s="1"/>
  <c r="H20" i="67" s="1"/>
  <c r="F36" i="67"/>
  <c r="E36" i="67"/>
  <c r="H36" i="67" s="1"/>
  <c r="E46" i="67"/>
  <c r="H46" i="67" s="1"/>
  <c r="F46" i="67"/>
  <c r="I46" i="67" s="1"/>
  <c r="F22" i="67"/>
  <c r="I22" i="67" s="1"/>
  <c r="I23" i="67" s="1"/>
  <c r="E23" i="67"/>
  <c r="H23" i="67" s="1"/>
  <c r="F37" i="67"/>
  <c r="I37" i="67" s="1"/>
  <c r="E37" i="67"/>
  <c r="H37" i="67" s="1"/>
  <c r="D26" i="67" a="1"/>
  <c r="D26" i="67" s="1"/>
  <c r="F26" i="67" s="1"/>
  <c r="E48" i="67"/>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H48" i="67"/>
  <c r="I36" i="67"/>
  <c r="D24" i="67" a="1"/>
  <c r="D24" i="67" s="1"/>
  <c r="F24" i="67" s="1"/>
  <c r="H18" i="67"/>
  <c r="I18" i="67"/>
  <c r="H22" i="67"/>
  <c r="C28" i="67"/>
  <c r="D25" i="67" a="1"/>
  <c r="D25" i="67" s="1"/>
  <c r="F25" i="67" s="1"/>
  <c r="BR12" i="25"/>
  <c r="BR14" i="25" s="1"/>
  <c r="BR32" i="25"/>
  <c r="BQ29" i="25"/>
  <c r="BQ28" i="25"/>
  <c r="BQ27" i="25"/>
  <c r="BQ26" i="25"/>
  <c r="BQ25" i="25"/>
  <c r="BQ24" i="25"/>
  <c r="BR13" i="25"/>
  <c r="K39" i="67" a="1"/>
  <c r="K42" i="67" a="1"/>
  <c r="K7" i="67" a="1"/>
  <c r="K36" i="67" a="1"/>
  <c r="K48" i="67" a="1"/>
  <c r="K45" i="67" a="1"/>
  <c r="D27" i="67" l="1" a="1"/>
  <c r="D27" i="67" s="1"/>
  <c r="E27" i="67" s="1"/>
  <c r="E26" i="67"/>
  <c r="H26" i="67" s="1"/>
  <c r="C31" i="67"/>
  <c r="G31" i="67" s="1"/>
  <c r="G28" i="67"/>
  <c r="C51" i="22"/>
  <c r="D51" i="22"/>
  <c r="E25" i="67"/>
  <c r="H25" i="67" s="1"/>
  <c r="G32" i="67"/>
  <c r="G29" i="67"/>
  <c r="K48" i="67"/>
  <c r="E24" i="67"/>
  <c r="H24" i="67" s="1"/>
  <c r="G30" i="67"/>
  <c r="F27"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R17" i="25"/>
  <c r="E332" i="63"/>
  <c r="H332" i="63"/>
  <c r="I332" i="63"/>
  <c r="J332" i="63"/>
  <c r="K332" i="63" a="1"/>
  <c r="K332" i="63" s="1"/>
  <c r="E333" i="63"/>
  <c r="H333" i="63"/>
  <c r="I333" i="63"/>
  <c r="J333" i="63"/>
  <c r="K333" i="63" a="1"/>
  <c r="K333" i="63" s="1"/>
  <c r="E338" i="63"/>
  <c r="H338" i="63"/>
  <c r="I338" i="63"/>
  <c r="J338" i="63"/>
  <c r="K338" i="63" a="1"/>
  <c r="K338" i="63" s="1"/>
  <c r="E339" i="63"/>
  <c r="H339" i="63"/>
  <c r="I339" i="63"/>
  <c r="J339" i="63"/>
  <c r="K339" i="63" a="1"/>
  <c r="K339" i="63" s="1"/>
  <c r="AK31" i="8"/>
  <c r="AK30" i="8"/>
  <c r="AK29" i="8"/>
  <c r="AK28" i="8"/>
  <c r="AK27" i="8"/>
  <c r="AK26" i="8"/>
  <c r="AK25" i="8"/>
  <c r="AL4" i="8"/>
  <c r="AL34" i="8"/>
  <c r="AL29" i="8"/>
  <c r="AL26" i="8"/>
  <c r="AM31" i="8"/>
  <c r="AM30" i="8"/>
  <c r="AM29" i="8"/>
  <c r="AM28" i="8"/>
  <c r="AM27" i="8"/>
  <c r="AM26" i="8"/>
  <c r="AM25" i="8"/>
  <c r="I27" i="67" l="1"/>
  <c r="H27" i="67"/>
  <c r="E29" i="67"/>
  <c r="F32" i="67"/>
  <c r="I29" i="67"/>
  <c r="E28" i="67"/>
  <c r="H28" i="67" s="1"/>
  <c r="H29" i="67" s="1"/>
  <c r="H30" i="67"/>
  <c r="K88" i="67" a="1"/>
  <c r="K88" i="67" s="1"/>
  <c r="F30" i="67"/>
  <c r="I30" i="67" s="1"/>
  <c r="K85" i="67" a="1"/>
  <c r="K85" i="67" s="1"/>
  <c r="D31" i="67" a="1"/>
  <c r="D31" i="67" s="1"/>
  <c r="I28" i="67"/>
  <c r="H32" i="67"/>
  <c r="F333" i="63"/>
  <c r="G333" i="63" s="1" a="1"/>
  <c r="G333" i="63" s="1"/>
  <c r="F332" i="63"/>
  <c r="G332" i="63" s="1" a="1"/>
  <c r="G332" i="63" s="1"/>
  <c r="F338" i="63"/>
  <c r="G338" i="63" s="1" a="1"/>
  <c r="G338" i="63" s="1"/>
  <c r="F339" i="63"/>
  <c r="G339" i="63" s="1" a="1"/>
  <c r="G339" i="63" s="1"/>
  <c r="AL27" i="8"/>
  <c r="AL20" i="8"/>
  <c r="AL28" i="8"/>
  <c r="E336" i="63"/>
  <c r="H336" i="63"/>
  <c r="I336" i="63"/>
  <c r="J336" i="63"/>
  <c r="K336" i="63" a="1"/>
  <c r="K336" i="63" s="1"/>
  <c r="E337" i="63"/>
  <c r="H337" i="63"/>
  <c r="I337" i="63"/>
  <c r="J337" i="63"/>
  <c r="K337" i="63" a="1"/>
  <c r="K337" i="63" s="1"/>
  <c r="BJ12" i="25"/>
  <c r="BJ14" i="25" s="1"/>
  <c r="BJ32" i="25"/>
  <c r="BJ13" i="25"/>
  <c r="BK29" i="25"/>
  <c r="BK28" i="25"/>
  <c r="BK27" i="25"/>
  <c r="BK26" i="25"/>
  <c r="BK25" i="25"/>
  <c r="BK24" i="25"/>
  <c r="BJ25" i="25" a="1"/>
  <c r="F31" i="67" l="1"/>
  <c r="I31" i="67" s="1"/>
  <c r="E31" i="67"/>
  <c r="H31" i="67" s="1"/>
  <c r="J46" i="67" s="1"/>
  <c r="F336" i="63"/>
  <c r="G336" i="63" s="1" a="1"/>
  <c r="G336" i="63" s="1"/>
  <c r="BJ17" i="25"/>
  <c r="F337" i="63"/>
  <c r="G337" i="63" s="1" a="1"/>
  <c r="G337" i="63" s="1"/>
  <c r="BJ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17" i="63"/>
  <c r="H217" i="63"/>
  <c r="I217" i="63"/>
  <c r="J217" i="63"/>
  <c r="K217" i="63" a="1"/>
  <c r="K217" i="63" s="1"/>
  <c r="F218" i="63" s="1"/>
  <c r="G218" i="63" s="1" a="1"/>
  <c r="G218" i="63" s="1"/>
  <c r="C218" i="63"/>
  <c r="F23" i="66"/>
  <c r="F33" i="66"/>
  <c r="F32" i="66"/>
  <c r="I218" i="63" l="1"/>
  <c r="H218" i="63"/>
  <c r="J218" i="63"/>
  <c r="F217" i="63"/>
  <c r="G217" i="63" s="1" a="1"/>
  <c r="G217" i="63" s="1"/>
  <c r="F39" i="66" a="1"/>
  <c r="F39" i="66" s="1"/>
  <c r="E248" i="63" l="1"/>
  <c r="K248" i="63" a="1"/>
  <c r="K248" i="63" s="1"/>
  <c r="E249" i="63"/>
  <c r="H249" i="63"/>
  <c r="I249" i="63"/>
  <c r="J249" i="63"/>
  <c r="K249" i="63" a="1"/>
  <c r="K249" i="63" s="1"/>
  <c r="C248" i="63"/>
  <c r="H248" i="63" s="1"/>
  <c r="D11" i="65"/>
  <c r="D21" i="65" s="1"/>
  <c r="C17" i="65"/>
  <c r="C27" i="65" s="1"/>
  <c r="C16" i="65"/>
  <c r="D18" i="65" s="1"/>
  <c r="D28" i="65" s="1"/>
  <c r="C12" i="65"/>
  <c r="C22" i="65" s="1"/>
  <c r="C11" i="65"/>
  <c r="D14" i="65" s="1"/>
  <c r="D24" i="65" s="1"/>
  <c r="C7" i="65"/>
  <c r="C8" i="65" s="1"/>
  <c r="C9" i="65" s="1"/>
  <c r="D6" i="65"/>
  <c r="D7" i="65" s="1"/>
  <c r="D8" i="65" s="1"/>
  <c r="D9" i="65" s="1"/>
  <c r="F249" i="63" l="1"/>
  <c r="G249" i="63" s="1" a="1"/>
  <c r="G249" i="63" s="1"/>
  <c r="F248" i="63"/>
  <c r="G248" i="63" s="1" a="1"/>
  <c r="G248" i="63" s="1"/>
  <c r="J248" i="63"/>
  <c r="I248" i="63"/>
  <c r="C26" i="65"/>
  <c r="C21" i="65"/>
  <c r="D13" i="65"/>
  <c r="D23" i="65" s="1"/>
  <c r="D19" i="65"/>
  <c r="C14" i="65"/>
  <c r="D12" i="65"/>
  <c r="D22" i="65" s="1"/>
  <c r="AL32" i="25"/>
  <c r="AM29" i="25"/>
  <c r="AM28" i="25"/>
  <c r="AM27" i="25"/>
  <c r="AM26" i="25"/>
  <c r="AM25" i="25"/>
  <c r="AM24" i="25"/>
  <c r="AL13" i="25"/>
  <c r="AL12" i="25"/>
  <c r="AL14" i="25" s="1"/>
  <c r="AL26" i="25" a="1"/>
  <c r="C24" i="65" l="1"/>
  <c r="D29" i="65"/>
  <c r="C13" i="65"/>
  <c r="D16" i="65"/>
  <c r="D26" i="65" s="1"/>
  <c r="AL27" i="25"/>
  <c r="AL26" i="25"/>
  <c r="AL17" i="25"/>
  <c r="C23" i="65" l="1"/>
  <c r="D17" i="65"/>
  <c r="C19" i="65"/>
  <c r="D27" i="65" l="1"/>
  <c r="C29" i="65"/>
  <c r="C18" i="65"/>
  <c r="C28" i="65" s="1"/>
  <c r="P9" i="63"/>
  <c r="Q9" i="63" s="1"/>
  <c r="T16" i="8" l="1"/>
  <c r="C162" i="63" l="1"/>
  <c r="F3" i="65" l="1"/>
  <c r="E210" i="63"/>
  <c r="H210" i="63"/>
  <c r="I210" i="63"/>
  <c r="J210" i="63"/>
  <c r="K210" i="63" a="1"/>
  <c r="K210" i="63" s="1"/>
  <c r="E211" i="63"/>
  <c r="H211" i="63"/>
  <c r="I211" i="63"/>
  <c r="J211" i="63"/>
  <c r="K211" i="63" a="1"/>
  <c r="K211" i="63" s="1"/>
  <c r="F16" i="65" a="1"/>
  <c r="F26" i="65" a="1"/>
  <c r="F21" i="65" a="1"/>
  <c r="F1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0" i="63"/>
  <c r="G210" i="63" s="1" a="1"/>
  <c r="G210" i="63" s="1"/>
  <c r="F211" i="63"/>
  <c r="G211" i="63" s="1" a="1"/>
  <c r="G211" i="63" s="1"/>
  <c r="F47" i="65" a="1"/>
  <c r="F47" i="65" l="1"/>
  <c r="F48" i="65" a="1"/>
  <c r="F48" i="65" s="1"/>
  <c r="F38" i="65" a="1"/>
  <c r="F38" i="65" s="1"/>
  <c r="E20" i="64"/>
  <c r="E21" i="64" l="1"/>
  <c r="E22" i="64"/>
  <c r="C3" i="63"/>
  <c r="J3" i="63" s="1"/>
  <c r="C11" i="63"/>
  <c r="H11" i="63" s="1"/>
  <c r="C30" i="63"/>
  <c r="C35" i="63"/>
  <c r="H35" i="63" s="1"/>
  <c r="J37" i="63"/>
  <c r="C50" i="63"/>
  <c r="I50" i="63" s="1"/>
  <c r="C52" i="63"/>
  <c r="C111" i="63"/>
  <c r="H111" i="63" s="1"/>
  <c r="C118" i="63"/>
  <c r="I118" i="63" s="1"/>
  <c r="C121" i="63"/>
  <c r="I155" i="63"/>
  <c r="C185" i="63"/>
  <c r="J185" i="63" s="1"/>
  <c r="C206" i="63"/>
  <c r="J206" i="63" s="1"/>
  <c r="C208" i="63"/>
  <c r="I208" i="63" s="1"/>
  <c r="C215" i="63"/>
  <c r="J215" i="63" s="1"/>
  <c r="C222" i="63"/>
  <c r="I222" i="63" s="1"/>
  <c r="C224" i="63"/>
  <c r="H224" i="63" s="1"/>
  <c r="C227" i="63"/>
  <c r="I227" i="63" s="1"/>
  <c r="C231" i="63"/>
  <c r="J231" i="63" s="1"/>
  <c r="C233" i="63"/>
  <c r="I233" i="63" s="1"/>
  <c r="C237" i="63"/>
  <c r="I237" i="63" s="1"/>
  <c r="C242" i="63"/>
  <c r="I242" i="63" s="1"/>
  <c r="C243" i="63"/>
  <c r="J243" i="63" s="1"/>
  <c r="C244" i="63"/>
  <c r="C246" i="63"/>
  <c r="H246" i="63" s="1"/>
  <c r="C251" i="63"/>
  <c r="I251" i="63" s="1"/>
  <c r="C253" i="63"/>
  <c r="J253" i="63" s="1"/>
  <c r="C254" i="63"/>
  <c r="I254" i="63" s="1"/>
  <c r="C256" i="63"/>
  <c r="I256" i="63" s="1"/>
  <c r="C258" i="63"/>
  <c r="I258" i="63" s="1"/>
  <c r="C263" i="63"/>
  <c r="H263" i="63" s="1"/>
  <c r="C271" i="63"/>
  <c r="C273" i="63"/>
  <c r="H273" i="63" s="1"/>
  <c r="I277" i="63"/>
  <c r="I281" i="63"/>
  <c r="C285" i="63"/>
  <c r="I285" i="63" s="1"/>
  <c r="C301" i="63"/>
  <c r="I301" i="63" s="1"/>
  <c r="C303" i="63"/>
  <c r="I303" i="63" s="1"/>
  <c r="H305" i="63"/>
  <c r="H306" i="63"/>
  <c r="C307" i="63"/>
  <c r="I307" i="63" s="1"/>
  <c r="C308" i="63"/>
  <c r="I308" i="63" s="1"/>
  <c r="H310" i="63"/>
  <c r="I313" i="63"/>
  <c r="C314" i="63"/>
  <c r="J314" i="63" s="1"/>
  <c r="I318" i="63"/>
  <c r="C319" i="63"/>
  <c r="J319" i="63" s="1"/>
  <c r="C328" i="63"/>
  <c r="I328" i="63" s="1"/>
  <c r="C330" i="63"/>
  <c r="I330" i="63" s="1"/>
  <c r="C331" i="63"/>
  <c r="J331" i="63" s="1"/>
  <c r="C334" i="63"/>
  <c r="J334" i="63" s="1"/>
  <c r="H340" i="63"/>
  <c r="C342" i="63"/>
  <c r="I342" i="63" s="1"/>
  <c r="C347" i="63"/>
  <c r="I347" i="63" s="1"/>
  <c r="C348" i="63"/>
  <c r="I348" i="63" s="1"/>
  <c r="C350" i="63"/>
  <c r="J350" i="63" s="1"/>
  <c r="K352" i="63" a="1"/>
  <c r="K352" i="63" s="1"/>
  <c r="J352" i="63"/>
  <c r="I352" i="63"/>
  <c r="H352" i="63"/>
  <c r="E352" i="63"/>
  <c r="K351" i="63" a="1"/>
  <c r="K351" i="63" s="1"/>
  <c r="J351" i="63"/>
  <c r="I351" i="63"/>
  <c r="H351" i="63"/>
  <c r="E351" i="63"/>
  <c r="K350" i="63" a="1"/>
  <c r="K350" i="63" s="1"/>
  <c r="E350" i="63"/>
  <c r="K349" i="63" a="1"/>
  <c r="K349" i="63" s="1"/>
  <c r="J349" i="63"/>
  <c r="I349" i="63"/>
  <c r="H349" i="63"/>
  <c r="E349" i="63"/>
  <c r="K348" i="63" a="1"/>
  <c r="K348" i="63" s="1"/>
  <c r="E348" i="63"/>
  <c r="K347" i="63" a="1"/>
  <c r="K347" i="63" s="1"/>
  <c r="E347" i="63"/>
  <c r="K346" i="63" a="1"/>
  <c r="K346" i="63" s="1"/>
  <c r="J346" i="63"/>
  <c r="I346" i="63"/>
  <c r="H346" i="63"/>
  <c r="F346" i="63"/>
  <c r="E346" i="63"/>
  <c r="K345" i="63" a="1"/>
  <c r="K345" i="63" s="1"/>
  <c r="J345" i="63"/>
  <c r="I345" i="63"/>
  <c r="H345" i="63"/>
  <c r="F345" i="63"/>
  <c r="E345" i="63"/>
  <c r="K344" i="63" a="1"/>
  <c r="K344" i="63" s="1"/>
  <c r="F344" i="63" s="1"/>
  <c r="J344" i="63"/>
  <c r="I344" i="63"/>
  <c r="H344" i="63"/>
  <c r="E344" i="63"/>
  <c r="K343" i="63" a="1"/>
  <c r="K343" i="63" s="1"/>
  <c r="J343" i="63"/>
  <c r="I343" i="63"/>
  <c r="H343" i="63"/>
  <c r="E343" i="63"/>
  <c r="K342" i="63" a="1"/>
  <c r="K342" i="63" s="1"/>
  <c r="E342" i="63"/>
  <c r="K341" i="63" a="1"/>
  <c r="K341" i="63" s="1"/>
  <c r="J341" i="63"/>
  <c r="I341" i="63"/>
  <c r="H341" i="63"/>
  <c r="E341" i="63"/>
  <c r="K340" i="63" a="1"/>
  <c r="K340" i="63" s="1"/>
  <c r="E340" i="63"/>
  <c r="K335" i="63" a="1"/>
  <c r="K335" i="63" s="1"/>
  <c r="J335" i="63"/>
  <c r="I335" i="63"/>
  <c r="H335" i="63"/>
  <c r="E335" i="63"/>
  <c r="K334" i="63" a="1"/>
  <c r="K334" i="63" s="1"/>
  <c r="E334" i="63"/>
  <c r="K331" i="63" a="1"/>
  <c r="K331" i="63" s="1"/>
  <c r="E331" i="63"/>
  <c r="K330" i="63" a="1"/>
  <c r="K330" i="63" s="1"/>
  <c r="E330" i="63"/>
  <c r="K329" i="63" a="1"/>
  <c r="K329" i="63" s="1"/>
  <c r="J329" i="63"/>
  <c r="I329" i="63"/>
  <c r="H329" i="63"/>
  <c r="E329" i="63"/>
  <c r="K328" i="63" a="1"/>
  <c r="K328" i="63" s="1"/>
  <c r="E328" i="63"/>
  <c r="K327" i="63" a="1"/>
  <c r="K327" i="63" s="1"/>
  <c r="J327" i="63"/>
  <c r="I327" i="63"/>
  <c r="H327" i="63"/>
  <c r="E327" i="63"/>
  <c r="K326" i="63" a="1"/>
  <c r="K326" i="63" s="1"/>
  <c r="J326" i="63"/>
  <c r="I326" i="63"/>
  <c r="H326" i="63"/>
  <c r="E326" i="63"/>
  <c r="K325" i="63" a="1"/>
  <c r="K325" i="63" s="1"/>
  <c r="J325" i="63"/>
  <c r="I325" i="63"/>
  <c r="H325" i="63"/>
  <c r="F325" i="63"/>
  <c r="E325" i="63"/>
  <c r="K324" i="63" a="1"/>
  <c r="K324" i="63" s="1"/>
  <c r="F324" i="63" s="1"/>
  <c r="J324" i="63"/>
  <c r="I324" i="63"/>
  <c r="H324" i="63"/>
  <c r="E324" i="63"/>
  <c r="K320" i="63" a="1"/>
  <c r="K320" i="63" s="1"/>
  <c r="F320" i="63" s="1"/>
  <c r="J320" i="63"/>
  <c r="I320" i="63"/>
  <c r="H320" i="63"/>
  <c r="E320" i="63"/>
  <c r="K319" i="63" a="1"/>
  <c r="K319" i="63" s="1"/>
  <c r="E319" i="63"/>
  <c r="K318" i="63" a="1"/>
  <c r="K318" i="63" s="1"/>
  <c r="E318" i="63"/>
  <c r="K315" i="63" a="1"/>
  <c r="K315" i="63" s="1"/>
  <c r="J315" i="63"/>
  <c r="I315" i="63"/>
  <c r="H315" i="63"/>
  <c r="E315" i="63"/>
  <c r="K314" i="63" a="1"/>
  <c r="K314" i="63" s="1"/>
  <c r="E314" i="63"/>
  <c r="K313" i="63" a="1"/>
  <c r="K313" i="63" s="1"/>
  <c r="E313" i="63"/>
  <c r="K312" i="63" a="1"/>
  <c r="K312" i="63" s="1"/>
  <c r="J312" i="63"/>
  <c r="I312" i="63"/>
  <c r="H312" i="63"/>
  <c r="E312" i="63"/>
  <c r="K311" i="63" a="1"/>
  <c r="K311" i="63" s="1"/>
  <c r="J311" i="63"/>
  <c r="I311" i="63"/>
  <c r="H311" i="63"/>
  <c r="F311" i="63"/>
  <c r="E311" i="63"/>
  <c r="K310" i="63" a="1"/>
  <c r="K310" i="63" s="1"/>
  <c r="E310" i="63"/>
  <c r="K309" i="63" a="1"/>
  <c r="K309" i="63" s="1"/>
  <c r="J309" i="63"/>
  <c r="I309" i="63"/>
  <c r="H309" i="63"/>
  <c r="E309" i="63"/>
  <c r="K308" i="63" a="1"/>
  <c r="K308" i="63" s="1"/>
  <c r="E308" i="63"/>
  <c r="K307" i="63" a="1"/>
  <c r="K307" i="63" s="1"/>
  <c r="E307" i="63"/>
  <c r="K306" i="63" a="1"/>
  <c r="K306" i="63" s="1"/>
  <c r="E306" i="63"/>
  <c r="K305" i="63" a="1"/>
  <c r="K305" i="63" s="1"/>
  <c r="E305" i="63"/>
  <c r="K304" i="63" a="1"/>
  <c r="K304" i="63" s="1"/>
  <c r="J304" i="63"/>
  <c r="I304" i="63"/>
  <c r="H304" i="63"/>
  <c r="E304" i="63"/>
  <c r="K303" i="63" a="1"/>
  <c r="K303" i="63" s="1"/>
  <c r="E303" i="63"/>
  <c r="K302" i="63" a="1"/>
  <c r="K302" i="63" s="1"/>
  <c r="J302" i="63"/>
  <c r="I302" i="63"/>
  <c r="H302" i="63"/>
  <c r="E302" i="63"/>
  <c r="K301" i="63" a="1"/>
  <c r="K301" i="63" s="1"/>
  <c r="E301" i="63"/>
  <c r="K296" i="63" a="1"/>
  <c r="K296" i="63" s="1"/>
  <c r="J296" i="63"/>
  <c r="I296" i="63"/>
  <c r="H296" i="63"/>
  <c r="E296" i="63"/>
  <c r="K295" i="63" a="1"/>
  <c r="K295" i="63" s="1"/>
  <c r="J295" i="63"/>
  <c r="I295" i="63"/>
  <c r="H295" i="63"/>
  <c r="E295" i="63"/>
  <c r="K294" i="63" a="1"/>
  <c r="K294" i="63" s="1"/>
  <c r="J294" i="63"/>
  <c r="I294" i="63"/>
  <c r="H294" i="63"/>
  <c r="E294" i="63"/>
  <c r="K293" i="63" a="1"/>
  <c r="K293" i="63" s="1"/>
  <c r="J293" i="63"/>
  <c r="I293" i="63"/>
  <c r="H293" i="63"/>
  <c r="E293" i="63"/>
  <c r="K290" i="63" a="1"/>
  <c r="K290" i="63" s="1"/>
  <c r="J290" i="63"/>
  <c r="I290" i="63"/>
  <c r="H290" i="63"/>
  <c r="E290" i="63"/>
  <c r="K289" i="63" a="1"/>
  <c r="K289" i="63" s="1"/>
  <c r="J289" i="63"/>
  <c r="I289" i="63"/>
  <c r="H289" i="63"/>
  <c r="E289" i="63"/>
  <c r="K288" i="63" a="1"/>
  <c r="K288" i="63" s="1"/>
  <c r="J288" i="63"/>
  <c r="I288" i="63"/>
  <c r="H288" i="63"/>
  <c r="E288" i="63"/>
  <c r="K287" i="63" a="1"/>
  <c r="K287" i="63" s="1"/>
  <c r="J287" i="63"/>
  <c r="I287" i="63"/>
  <c r="H287" i="63"/>
  <c r="E287" i="63"/>
  <c r="K286" i="63" a="1"/>
  <c r="K286" i="63" s="1"/>
  <c r="J286" i="63"/>
  <c r="I286" i="63"/>
  <c r="H286" i="63"/>
  <c r="E286" i="63"/>
  <c r="K285" i="63" a="1"/>
  <c r="K285" i="63" s="1"/>
  <c r="E285" i="63"/>
  <c r="K284" i="63" a="1"/>
  <c r="K284" i="63" s="1"/>
  <c r="J284" i="63"/>
  <c r="I284" i="63"/>
  <c r="H284" i="63"/>
  <c r="E284" i="63"/>
  <c r="K283" i="63" a="1"/>
  <c r="K283" i="63" s="1"/>
  <c r="J283" i="63"/>
  <c r="I283" i="63"/>
  <c r="H283" i="63"/>
  <c r="E283" i="63"/>
  <c r="K282" i="63" a="1"/>
  <c r="K282" i="63" s="1"/>
  <c r="J282" i="63"/>
  <c r="I282" i="63"/>
  <c r="H282" i="63"/>
  <c r="E282" i="63"/>
  <c r="K281" i="63" a="1"/>
  <c r="K281" i="63" s="1"/>
  <c r="E281" i="63"/>
  <c r="K280" i="63" a="1"/>
  <c r="K280" i="63" s="1"/>
  <c r="J280" i="63"/>
  <c r="I280" i="63"/>
  <c r="H280" i="63"/>
  <c r="E280" i="63"/>
  <c r="K279" i="63" a="1"/>
  <c r="K279" i="63" s="1"/>
  <c r="J279" i="63"/>
  <c r="I279" i="63"/>
  <c r="H279" i="63"/>
  <c r="E279" i="63"/>
  <c r="K278" i="63" a="1"/>
  <c r="K278" i="63" s="1"/>
  <c r="J278" i="63"/>
  <c r="I278" i="63"/>
  <c r="H278" i="63"/>
  <c r="E278" i="63"/>
  <c r="K277" i="63" a="1"/>
  <c r="K277" i="63" s="1"/>
  <c r="E277" i="63"/>
  <c r="K276" i="63" a="1"/>
  <c r="K276" i="63" s="1"/>
  <c r="J276" i="63"/>
  <c r="I276" i="63"/>
  <c r="H276" i="63"/>
  <c r="E276" i="63"/>
  <c r="K275" i="63" a="1"/>
  <c r="K275" i="63" s="1"/>
  <c r="J275" i="63"/>
  <c r="I275" i="63"/>
  <c r="H275" i="63"/>
  <c r="E275" i="63"/>
  <c r="K274" i="63" a="1"/>
  <c r="K274" i="63" s="1"/>
  <c r="J274" i="63"/>
  <c r="I274" i="63"/>
  <c r="H274" i="63"/>
  <c r="E274" i="63"/>
  <c r="K273" i="63" a="1"/>
  <c r="K273" i="63" s="1"/>
  <c r="E273" i="63"/>
  <c r="K272" i="63" a="1"/>
  <c r="K272" i="63" s="1"/>
  <c r="F271" i="63" s="1"/>
  <c r="G271" i="63" s="1" a="1"/>
  <c r="G271" i="63" s="1"/>
  <c r="J272" i="63"/>
  <c r="I272" i="63"/>
  <c r="H272" i="63"/>
  <c r="E272" i="63"/>
  <c r="K265" i="63" a="1"/>
  <c r="K265" i="63" s="1"/>
  <c r="J265" i="63"/>
  <c r="I265" i="63"/>
  <c r="H265" i="63"/>
  <c r="E265" i="63"/>
  <c r="K264" i="63" a="1"/>
  <c r="K264" i="63" s="1"/>
  <c r="J264" i="63"/>
  <c r="I264" i="63"/>
  <c r="H264" i="63"/>
  <c r="E264" i="63"/>
  <c r="K263" i="63" a="1"/>
  <c r="K263" i="63" s="1"/>
  <c r="E263" i="63"/>
  <c r="K262" i="63" a="1"/>
  <c r="K262" i="63" s="1"/>
  <c r="J262" i="63"/>
  <c r="I262" i="63"/>
  <c r="H262" i="63"/>
  <c r="E262" i="63"/>
  <c r="K261" i="63" a="1"/>
  <c r="K261" i="63" s="1"/>
  <c r="J261" i="63"/>
  <c r="I261" i="63"/>
  <c r="H261" i="63"/>
  <c r="E261" i="63"/>
  <c r="K260" i="63" a="1"/>
  <c r="K260" i="63" s="1"/>
  <c r="J260" i="63"/>
  <c r="I260" i="63"/>
  <c r="H260" i="63"/>
  <c r="E260" i="63"/>
  <c r="K259" i="63" a="1"/>
  <c r="K259" i="63" s="1"/>
  <c r="J259" i="63"/>
  <c r="I259" i="63"/>
  <c r="H259" i="63"/>
  <c r="E259" i="63"/>
  <c r="K258" i="63" a="1"/>
  <c r="K258" i="63" s="1"/>
  <c r="E258" i="63"/>
  <c r="K257" i="63" a="1"/>
  <c r="K257" i="63" s="1"/>
  <c r="J257" i="63"/>
  <c r="I257" i="63"/>
  <c r="H257" i="63"/>
  <c r="E257" i="63"/>
  <c r="K256" i="63" a="1"/>
  <c r="K256" i="63" s="1"/>
  <c r="E256" i="63"/>
  <c r="K255" i="63" a="1"/>
  <c r="K255" i="63" s="1"/>
  <c r="J255" i="63"/>
  <c r="I255" i="63"/>
  <c r="H255" i="63"/>
  <c r="E255" i="63"/>
  <c r="K254" i="63" a="1"/>
  <c r="K254" i="63" s="1"/>
  <c r="E254" i="63"/>
  <c r="K253" i="63" a="1"/>
  <c r="K253" i="63" s="1"/>
  <c r="E253" i="63"/>
  <c r="K252" i="63" a="1"/>
  <c r="K252" i="63" s="1"/>
  <c r="J252" i="63"/>
  <c r="I252" i="63"/>
  <c r="H252" i="63"/>
  <c r="E252" i="63"/>
  <c r="K251" i="63" a="1"/>
  <c r="K251" i="63" s="1"/>
  <c r="E251" i="63"/>
  <c r="K250" i="63" a="1"/>
  <c r="K250" i="63" s="1"/>
  <c r="J250" i="63"/>
  <c r="I250" i="63"/>
  <c r="H250" i="63"/>
  <c r="E250" i="63"/>
  <c r="K247" i="63" a="1"/>
  <c r="K247" i="63" s="1"/>
  <c r="J247" i="63"/>
  <c r="I247" i="63"/>
  <c r="H247" i="63"/>
  <c r="E247" i="63"/>
  <c r="K246" i="63" a="1"/>
  <c r="K246" i="63" s="1"/>
  <c r="J246" i="63"/>
  <c r="E246" i="63"/>
  <c r="K245" i="63" a="1"/>
  <c r="K245" i="63" s="1"/>
  <c r="J245" i="63"/>
  <c r="I245" i="63"/>
  <c r="H245" i="63"/>
  <c r="E245" i="63"/>
  <c r="K244" i="63" a="1"/>
  <c r="K244" i="63" s="1"/>
  <c r="E244" i="63"/>
  <c r="K243" i="63" a="1"/>
  <c r="K243" i="63" s="1"/>
  <c r="E243" i="63"/>
  <c r="K242" i="63" a="1"/>
  <c r="K242" i="63" s="1"/>
  <c r="E242" i="63"/>
  <c r="K241" i="63" a="1"/>
  <c r="K241" i="63" s="1"/>
  <c r="J241" i="63"/>
  <c r="I241" i="63"/>
  <c r="H241" i="63"/>
  <c r="F241" i="63"/>
  <c r="E241" i="63"/>
  <c r="K240" i="63" a="1"/>
  <c r="K240" i="63" s="1"/>
  <c r="J240" i="63"/>
  <c r="I240" i="63"/>
  <c r="H240" i="63"/>
  <c r="E240" i="63"/>
  <c r="K239" i="63" a="1"/>
  <c r="K239" i="63" s="1"/>
  <c r="J239" i="63"/>
  <c r="I239" i="63"/>
  <c r="H239" i="63"/>
  <c r="E239" i="63"/>
  <c r="K238" i="63" a="1"/>
  <c r="K238" i="63" s="1"/>
  <c r="J238" i="63"/>
  <c r="I238" i="63"/>
  <c r="H238" i="63"/>
  <c r="E238" i="63"/>
  <c r="K237" i="63" a="1"/>
  <c r="K237" i="63" s="1"/>
  <c r="E237" i="63"/>
  <c r="K236" i="63" a="1"/>
  <c r="K236" i="63" s="1"/>
  <c r="J236" i="63"/>
  <c r="I236" i="63"/>
  <c r="H236" i="63"/>
  <c r="E236" i="63"/>
  <c r="K235" i="63" a="1"/>
  <c r="K235" i="63" s="1"/>
  <c r="J235" i="63"/>
  <c r="I235" i="63"/>
  <c r="H235" i="63"/>
  <c r="E235" i="63"/>
  <c r="K234" i="63" a="1"/>
  <c r="K234" i="63" s="1"/>
  <c r="J234" i="63"/>
  <c r="I234" i="63"/>
  <c r="H234" i="63"/>
  <c r="E234" i="63"/>
  <c r="K233" i="63" a="1"/>
  <c r="K233" i="63" s="1"/>
  <c r="E233" i="63"/>
  <c r="K232" i="63" a="1"/>
  <c r="K232" i="63" s="1"/>
  <c r="J232" i="63"/>
  <c r="I232" i="63"/>
  <c r="H232" i="63"/>
  <c r="E232" i="63"/>
  <c r="K231" i="63" a="1"/>
  <c r="K231" i="63" s="1"/>
  <c r="E231" i="63"/>
  <c r="K230" i="63" a="1"/>
  <c r="K230" i="63" s="1"/>
  <c r="J230" i="63"/>
  <c r="I230" i="63"/>
  <c r="H230" i="63"/>
  <c r="E230" i="63"/>
  <c r="K229" i="63" a="1"/>
  <c r="K229" i="63" s="1"/>
  <c r="J229" i="63"/>
  <c r="I229" i="63"/>
  <c r="H229" i="63"/>
  <c r="E229" i="63"/>
  <c r="K228" i="63" a="1"/>
  <c r="K228" i="63" s="1"/>
  <c r="J228" i="63"/>
  <c r="I228" i="63"/>
  <c r="H228" i="63"/>
  <c r="E228" i="63"/>
  <c r="K227" i="63" a="1"/>
  <c r="K227" i="63" s="1"/>
  <c r="E227" i="63"/>
  <c r="K224" i="63" a="1"/>
  <c r="K224" i="63" s="1"/>
  <c r="E224" i="63"/>
  <c r="K223" i="63" a="1"/>
  <c r="K223" i="63" s="1"/>
  <c r="J223" i="63"/>
  <c r="I223" i="63"/>
  <c r="H223" i="63"/>
  <c r="E223" i="63"/>
  <c r="K222" i="63" a="1"/>
  <c r="K222" i="63" s="1"/>
  <c r="E222" i="63"/>
  <c r="K221" i="63" a="1"/>
  <c r="K221" i="63" s="1"/>
  <c r="J221" i="63"/>
  <c r="I221" i="63"/>
  <c r="H221" i="63"/>
  <c r="E221" i="63"/>
  <c r="K216" i="63" a="1"/>
  <c r="K216" i="63" s="1"/>
  <c r="J216" i="63"/>
  <c r="I216" i="63"/>
  <c r="H216" i="63"/>
  <c r="E216" i="63"/>
  <c r="K215" i="63" a="1"/>
  <c r="K215" i="63" s="1"/>
  <c r="E215" i="63"/>
  <c r="K213" i="63" a="1"/>
  <c r="K213" i="63" s="1"/>
  <c r="J213" i="63"/>
  <c r="I213" i="63"/>
  <c r="H213" i="63"/>
  <c r="E213" i="63"/>
  <c r="K212" i="63" a="1"/>
  <c r="K212" i="63" s="1"/>
  <c r="J212" i="63"/>
  <c r="I212" i="63"/>
  <c r="H212" i="63"/>
  <c r="E212" i="63"/>
  <c r="K209" i="63" a="1"/>
  <c r="K209" i="63" s="1"/>
  <c r="J209" i="63"/>
  <c r="I209" i="63"/>
  <c r="H209" i="63"/>
  <c r="E209" i="63"/>
  <c r="K208" i="63" a="1"/>
  <c r="K208" i="63" s="1"/>
  <c r="E208" i="63"/>
  <c r="K207" i="63" a="1"/>
  <c r="K207" i="63" s="1"/>
  <c r="J207" i="63"/>
  <c r="I207" i="63"/>
  <c r="H207" i="63"/>
  <c r="E207" i="63"/>
  <c r="K206" i="63" a="1"/>
  <c r="K206" i="63" s="1"/>
  <c r="E206" i="63"/>
  <c r="K205" i="63" a="1"/>
  <c r="K205" i="63" s="1"/>
  <c r="J205" i="63"/>
  <c r="I205" i="63"/>
  <c r="H205" i="63"/>
  <c r="F205" i="63"/>
  <c r="E205" i="63"/>
  <c r="K204" i="63" a="1"/>
  <c r="K204" i="63" s="1"/>
  <c r="F204" i="63" s="1"/>
  <c r="J204" i="63"/>
  <c r="I204" i="63"/>
  <c r="H204" i="63"/>
  <c r="E204" i="63"/>
  <c r="K203" i="63" a="1"/>
  <c r="K203" i="63" s="1"/>
  <c r="J203" i="63"/>
  <c r="I203" i="63"/>
  <c r="H203" i="63"/>
  <c r="F203" i="63"/>
  <c r="E203" i="63"/>
  <c r="K202" i="63" a="1"/>
  <c r="K202" i="63" s="1"/>
  <c r="J202" i="63"/>
  <c r="I202" i="63"/>
  <c r="H202" i="63"/>
  <c r="E202" i="63"/>
  <c r="K201" i="63" a="1"/>
  <c r="K201" i="63" s="1"/>
  <c r="J201" i="63"/>
  <c r="I201" i="63"/>
  <c r="H201" i="63"/>
  <c r="E201" i="63"/>
  <c r="K200" i="63" a="1"/>
  <c r="K200" i="63" s="1"/>
  <c r="J200" i="63"/>
  <c r="I200" i="63"/>
  <c r="H200" i="63"/>
  <c r="E200" i="63"/>
  <c r="K199" i="63" a="1"/>
  <c r="K199" i="63" s="1"/>
  <c r="J199" i="63"/>
  <c r="I199" i="63"/>
  <c r="H199" i="63"/>
  <c r="E199" i="63"/>
  <c r="K194" i="63" a="1"/>
  <c r="K194" i="63" s="1"/>
  <c r="J194" i="63"/>
  <c r="I194" i="63"/>
  <c r="H194" i="63"/>
  <c r="E194" i="63"/>
  <c r="K193" i="63" a="1"/>
  <c r="K193" i="63" s="1"/>
  <c r="J193" i="63"/>
  <c r="I193" i="63"/>
  <c r="H193" i="63"/>
  <c r="E193" i="63"/>
  <c r="K192" i="63" a="1"/>
  <c r="K192" i="63" s="1"/>
  <c r="J192" i="63"/>
  <c r="I192" i="63"/>
  <c r="H192" i="63"/>
  <c r="E192" i="63"/>
  <c r="K191" i="63" a="1"/>
  <c r="K191" i="63" s="1"/>
  <c r="J191" i="63"/>
  <c r="I191" i="63"/>
  <c r="H191" i="63"/>
  <c r="E191" i="63"/>
  <c r="K190" i="63" a="1"/>
  <c r="K190" i="63" s="1"/>
  <c r="J190" i="63"/>
  <c r="I190" i="63"/>
  <c r="H190" i="63"/>
  <c r="E190" i="63"/>
  <c r="K189" i="63" a="1"/>
  <c r="K189" i="63" s="1"/>
  <c r="J189" i="63"/>
  <c r="I189" i="63"/>
  <c r="H189" i="63"/>
  <c r="E189" i="63"/>
  <c r="K188" i="63" a="1"/>
  <c r="K188" i="63" s="1"/>
  <c r="J188" i="63"/>
  <c r="I188" i="63"/>
  <c r="H188" i="63"/>
  <c r="E188" i="63"/>
  <c r="K187" i="63" a="1"/>
  <c r="K187" i="63" s="1"/>
  <c r="J187" i="63"/>
  <c r="I187" i="63"/>
  <c r="H187" i="63"/>
  <c r="E187" i="63"/>
  <c r="K186" i="63" a="1"/>
  <c r="K186" i="63" s="1"/>
  <c r="J186" i="63"/>
  <c r="I186" i="63"/>
  <c r="H186" i="63"/>
  <c r="E186" i="63"/>
  <c r="K185" i="63" a="1"/>
  <c r="K185" i="63" s="1"/>
  <c r="E185" i="63"/>
  <c r="K184" i="63" a="1"/>
  <c r="K184" i="63" s="1"/>
  <c r="J184" i="63"/>
  <c r="I184" i="63"/>
  <c r="H184" i="63"/>
  <c r="E184" i="63"/>
  <c r="K183" i="63" a="1"/>
  <c r="K183" i="63" s="1"/>
  <c r="J183" i="63"/>
  <c r="I183" i="63"/>
  <c r="H183" i="63"/>
  <c r="E183" i="63"/>
  <c r="K182" i="63" a="1"/>
  <c r="K182" i="63" s="1"/>
  <c r="J182" i="63"/>
  <c r="I182" i="63"/>
  <c r="H182" i="63"/>
  <c r="F182" i="63"/>
  <c r="E182" i="63"/>
  <c r="K177" i="63" a="1"/>
  <c r="K177" i="63" s="1"/>
  <c r="J177" i="63"/>
  <c r="I177" i="63"/>
  <c r="H177" i="63"/>
  <c r="E177" i="63"/>
  <c r="K176" i="63" a="1"/>
  <c r="K176" i="63" s="1"/>
  <c r="J176" i="63"/>
  <c r="I176" i="63"/>
  <c r="H176" i="63"/>
  <c r="E176" i="63"/>
  <c r="K171" i="63" a="1"/>
  <c r="K171" i="63" s="1"/>
  <c r="J171" i="63"/>
  <c r="I171" i="63"/>
  <c r="H171" i="63"/>
  <c r="E171" i="63"/>
  <c r="K170" i="63" a="1"/>
  <c r="K170" i="63" s="1"/>
  <c r="J170" i="63"/>
  <c r="I170" i="63"/>
  <c r="H170" i="63"/>
  <c r="E170" i="63"/>
  <c r="K169" i="63" a="1"/>
  <c r="K169" i="63" s="1"/>
  <c r="J169" i="63"/>
  <c r="I169" i="63"/>
  <c r="H169" i="63"/>
  <c r="E169" i="63"/>
  <c r="K168" i="63" a="1"/>
  <c r="K168" i="63" s="1"/>
  <c r="J168" i="63"/>
  <c r="I168" i="63"/>
  <c r="H168" i="63"/>
  <c r="E168" i="63"/>
  <c r="K167" i="63" a="1"/>
  <c r="K167" i="63" s="1"/>
  <c r="J167" i="63"/>
  <c r="I167" i="63"/>
  <c r="H167" i="63"/>
  <c r="E167" i="63"/>
  <c r="K166" i="63" a="1"/>
  <c r="K166" i="63" s="1"/>
  <c r="J166" i="63"/>
  <c r="I166" i="63"/>
  <c r="H166" i="63"/>
  <c r="E166" i="63"/>
  <c r="K165" i="63" a="1"/>
  <c r="K165" i="63" s="1"/>
  <c r="J165" i="63"/>
  <c r="I165" i="63"/>
  <c r="H165" i="63"/>
  <c r="E165" i="63"/>
  <c r="K164" i="63" a="1"/>
  <c r="K164" i="63" s="1"/>
  <c r="J164" i="63"/>
  <c r="I164" i="63"/>
  <c r="H164" i="63"/>
  <c r="E164" i="63"/>
  <c r="K163" i="63" a="1"/>
  <c r="K163" i="63" s="1"/>
  <c r="J163" i="63"/>
  <c r="I163" i="63"/>
  <c r="H163" i="63"/>
  <c r="E163" i="63"/>
  <c r="K162" i="63" a="1"/>
  <c r="K162" i="63" s="1"/>
  <c r="J162" i="63"/>
  <c r="I162" i="63"/>
  <c r="H162" i="63"/>
  <c r="E162" i="63"/>
  <c r="K161" i="63" a="1"/>
  <c r="K161" i="63" s="1"/>
  <c r="J161" i="63"/>
  <c r="I161" i="63"/>
  <c r="H161" i="63"/>
  <c r="E161" i="63"/>
  <c r="K160" i="63" a="1"/>
  <c r="K160" i="63" s="1"/>
  <c r="J160" i="63"/>
  <c r="I160" i="63"/>
  <c r="H160" i="63"/>
  <c r="E160" i="63"/>
  <c r="K159" i="63" a="1"/>
  <c r="K159" i="63" s="1"/>
  <c r="J159" i="63"/>
  <c r="I159" i="63"/>
  <c r="H159" i="63"/>
  <c r="E159" i="63"/>
  <c r="K158" i="63" a="1"/>
  <c r="K158" i="63" s="1"/>
  <c r="J158" i="63"/>
  <c r="I158" i="63"/>
  <c r="H158" i="63"/>
  <c r="E158" i="63"/>
  <c r="K155" i="63" a="1"/>
  <c r="K155" i="63" s="1"/>
  <c r="E155" i="63"/>
  <c r="K154" i="63" a="1"/>
  <c r="K154" i="63" s="1"/>
  <c r="J154" i="63"/>
  <c r="I154" i="63"/>
  <c r="H154" i="63"/>
  <c r="E154" i="63"/>
  <c r="K153" i="63" a="1"/>
  <c r="K153" i="63" s="1"/>
  <c r="J153" i="63"/>
  <c r="I153" i="63"/>
  <c r="H153" i="63"/>
  <c r="E153" i="63"/>
  <c r="K152" i="63" a="1"/>
  <c r="K152" i="63" s="1"/>
  <c r="J152" i="63"/>
  <c r="I152" i="63"/>
  <c r="H152" i="63"/>
  <c r="E152" i="63"/>
  <c r="K151" i="63" a="1"/>
  <c r="K151" i="63" s="1"/>
  <c r="J151" i="63"/>
  <c r="I151" i="63"/>
  <c r="E151" i="63"/>
  <c r="H151" i="63"/>
  <c r="K150" i="63" a="1"/>
  <c r="K150" i="63" s="1"/>
  <c r="J150" i="63"/>
  <c r="I150" i="63"/>
  <c r="H150" i="63"/>
  <c r="E150" i="63"/>
  <c r="K149" i="63" a="1"/>
  <c r="K149" i="63" s="1"/>
  <c r="J149" i="63"/>
  <c r="I149" i="63"/>
  <c r="H149" i="63"/>
  <c r="F149" i="63"/>
  <c r="E149" i="63"/>
  <c r="K148" i="63" a="1"/>
  <c r="K148" i="63" s="1"/>
  <c r="F148" i="63" s="1"/>
  <c r="J148" i="63"/>
  <c r="I148" i="63"/>
  <c r="H148" i="63"/>
  <c r="E148" i="63"/>
  <c r="K119" i="63" a="1"/>
  <c r="K119" i="63" s="1"/>
  <c r="J119" i="63"/>
  <c r="I119" i="63"/>
  <c r="H119" i="63"/>
  <c r="E119" i="63"/>
  <c r="K118" i="63" a="1"/>
  <c r="K118" i="63" s="1"/>
  <c r="E118" i="63"/>
  <c r="K117" i="63" a="1"/>
  <c r="K117" i="63" s="1"/>
  <c r="J117" i="63"/>
  <c r="I117" i="63"/>
  <c r="H117" i="63"/>
  <c r="E117" i="63"/>
  <c r="K116" i="63" a="1"/>
  <c r="K116" i="63" s="1"/>
  <c r="J116" i="63"/>
  <c r="I116" i="63"/>
  <c r="H116" i="63"/>
  <c r="E116" i="63"/>
  <c r="K115" i="63" a="1"/>
  <c r="K115" i="63" s="1"/>
  <c r="J115" i="63"/>
  <c r="I115" i="63"/>
  <c r="H115" i="63"/>
  <c r="E115" i="63"/>
  <c r="K114" i="63" a="1"/>
  <c r="K114" i="63" s="1"/>
  <c r="J114" i="63"/>
  <c r="I114" i="63"/>
  <c r="H114" i="63"/>
  <c r="E114" i="63"/>
  <c r="K113" i="63" a="1"/>
  <c r="K113" i="63" s="1"/>
  <c r="J113" i="63"/>
  <c r="I113" i="63"/>
  <c r="H113" i="63"/>
  <c r="E113" i="63"/>
  <c r="K112" i="63" a="1"/>
  <c r="K112" i="63" s="1"/>
  <c r="J112" i="63"/>
  <c r="I112" i="63"/>
  <c r="H112" i="63"/>
  <c r="E112" i="63"/>
  <c r="K111" i="63" a="1"/>
  <c r="K111" i="63" s="1"/>
  <c r="E111" i="63"/>
  <c r="K110" i="63" a="1"/>
  <c r="K110" i="63" s="1"/>
  <c r="J110" i="63"/>
  <c r="I110" i="63"/>
  <c r="H110" i="63"/>
  <c r="E110" i="63"/>
  <c r="K109" i="63" a="1"/>
  <c r="K109" i="63" s="1"/>
  <c r="J109" i="63"/>
  <c r="I109" i="63"/>
  <c r="H109" i="63"/>
  <c r="E109" i="63"/>
  <c r="K108" i="63" a="1"/>
  <c r="K108" i="63" s="1"/>
  <c r="J108" i="63"/>
  <c r="I108" i="63"/>
  <c r="H108" i="63"/>
  <c r="E108" i="63"/>
  <c r="K107" i="63" a="1"/>
  <c r="K107" i="63" s="1"/>
  <c r="J107" i="63"/>
  <c r="I107" i="63"/>
  <c r="H107" i="63"/>
  <c r="E107" i="63"/>
  <c r="K106" i="63" a="1"/>
  <c r="K106" i="63" s="1"/>
  <c r="J106" i="63"/>
  <c r="I106" i="63"/>
  <c r="H106" i="63"/>
  <c r="E106" i="63"/>
  <c r="K105" i="63" a="1"/>
  <c r="K105" i="63" s="1"/>
  <c r="E105" i="63"/>
  <c r="I105" i="63"/>
  <c r="K104" i="63" a="1"/>
  <c r="K104" i="63" s="1"/>
  <c r="J104" i="63"/>
  <c r="I104" i="63"/>
  <c r="H104" i="63"/>
  <c r="E104" i="63"/>
  <c r="K103" i="63" a="1"/>
  <c r="K103" i="63" s="1"/>
  <c r="J103" i="63"/>
  <c r="I103" i="63"/>
  <c r="H103" i="63"/>
  <c r="E103" i="63"/>
  <c r="K102" i="63" a="1"/>
  <c r="K102" i="63" s="1"/>
  <c r="J102" i="63"/>
  <c r="I102" i="63"/>
  <c r="H102" i="63"/>
  <c r="E102" i="63"/>
  <c r="K101" i="63" a="1"/>
  <c r="K101" i="63" s="1"/>
  <c r="J101" i="63"/>
  <c r="I101" i="63"/>
  <c r="H101" i="63"/>
  <c r="E101" i="63"/>
  <c r="K100" i="63" a="1"/>
  <c r="K100" i="63" s="1"/>
  <c r="J100" i="63"/>
  <c r="I100" i="63"/>
  <c r="H100" i="63"/>
  <c r="E100" i="63"/>
  <c r="K97" i="63" a="1"/>
  <c r="K97" i="63" s="1"/>
  <c r="J97" i="63"/>
  <c r="I97" i="63"/>
  <c r="H97" i="63"/>
  <c r="E97" i="63"/>
  <c r="K96" i="63" a="1"/>
  <c r="K96" i="63" s="1"/>
  <c r="J96" i="63"/>
  <c r="I96" i="63"/>
  <c r="H96" i="63"/>
  <c r="E96" i="63"/>
  <c r="K93" i="63" a="1"/>
  <c r="K93" i="63" s="1"/>
  <c r="J93" i="63"/>
  <c r="I93" i="63"/>
  <c r="H93" i="63"/>
  <c r="E93" i="63"/>
  <c r="K92" i="63" a="1"/>
  <c r="K92" i="63" s="1"/>
  <c r="J92" i="63"/>
  <c r="I92" i="63"/>
  <c r="H92" i="63"/>
  <c r="E92" i="63"/>
  <c r="K89" i="63" a="1"/>
  <c r="K89" i="63" s="1"/>
  <c r="J89" i="63"/>
  <c r="I89" i="63"/>
  <c r="H89" i="63"/>
  <c r="E89" i="63"/>
  <c r="K88" i="63" a="1"/>
  <c r="K88" i="63" s="1"/>
  <c r="F90" i="63" s="1"/>
  <c r="G90" i="63" s="1" a="1"/>
  <c r="G90" i="63" s="1"/>
  <c r="J88" i="63"/>
  <c r="I88" i="63"/>
  <c r="H88" i="63"/>
  <c r="E88" i="63"/>
  <c r="K85" i="63" a="1"/>
  <c r="K85" i="63" s="1"/>
  <c r="J85" i="63"/>
  <c r="I85" i="63"/>
  <c r="H85" i="63"/>
  <c r="E85" i="63"/>
  <c r="K84" i="63" a="1"/>
  <c r="K84" i="63" s="1"/>
  <c r="J84" i="63"/>
  <c r="I84" i="63"/>
  <c r="H84" i="63"/>
  <c r="E84" i="63"/>
  <c r="K81" i="63" a="1"/>
  <c r="K81" i="63" s="1"/>
  <c r="J81" i="63"/>
  <c r="I81" i="63"/>
  <c r="H81" i="63"/>
  <c r="F81" i="63"/>
  <c r="E81" i="63"/>
  <c r="K80" i="63" a="1"/>
  <c r="K80" i="63" s="1"/>
  <c r="J80" i="63"/>
  <c r="I80" i="63"/>
  <c r="H80" i="63"/>
  <c r="E80" i="63"/>
  <c r="K77" i="63" a="1"/>
  <c r="K77" i="63" s="1"/>
  <c r="J77" i="63"/>
  <c r="I77" i="63"/>
  <c r="H77" i="63"/>
  <c r="E77" i="63"/>
  <c r="K76" i="63" a="1"/>
  <c r="K76" i="63" s="1"/>
  <c r="J76" i="63"/>
  <c r="I76" i="63"/>
  <c r="H76" i="63"/>
  <c r="E76" i="63"/>
  <c r="K73" i="63" a="1"/>
  <c r="K73" i="63" s="1"/>
  <c r="J73" i="63"/>
  <c r="I73" i="63"/>
  <c r="H73" i="63"/>
  <c r="E73" i="63"/>
  <c r="K72" i="63" a="1"/>
  <c r="K72" i="63" s="1"/>
  <c r="J72" i="63"/>
  <c r="I72" i="63"/>
  <c r="H72" i="63"/>
  <c r="E72" i="63"/>
  <c r="K69" i="63" a="1"/>
  <c r="K69" i="63" s="1"/>
  <c r="J69" i="63"/>
  <c r="I69" i="63"/>
  <c r="H69" i="63"/>
  <c r="E69" i="63"/>
  <c r="K68" i="63" a="1"/>
  <c r="K68" i="63" s="1"/>
  <c r="J68" i="63"/>
  <c r="I68" i="63"/>
  <c r="H68" i="63"/>
  <c r="E68" i="63"/>
  <c r="K65" i="63" a="1"/>
  <c r="K65" i="63" s="1"/>
  <c r="J65" i="63"/>
  <c r="I65" i="63"/>
  <c r="H65" i="63"/>
  <c r="E65" i="63"/>
  <c r="K64" i="63" a="1"/>
  <c r="K64" i="63" s="1"/>
  <c r="J64" i="63"/>
  <c r="I64" i="63"/>
  <c r="H64" i="63"/>
  <c r="E64" i="63"/>
  <c r="K61" i="63" a="1"/>
  <c r="K61" i="63" s="1"/>
  <c r="J61" i="63"/>
  <c r="I61" i="63"/>
  <c r="H61" i="63"/>
  <c r="E61" i="63"/>
  <c r="K60" i="63" a="1"/>
  <c r="K60" i="63" s="1"/>
  <c r="J60" i="63"/>
  <c r="I60" i="63"/>
  <c r="H60" i="63"/>
  <c r="E60" i="63"/>
  <c r="K57" i="63" a="1"/>
  <c r="K57" i="63" s="1"/>
  <c r="J57" i="63"/>
  <c r="I57" i="63"/>
  <c r="H57" i="63"/>
  <c r="E57" i="63"/>
  <c r="K56" i="63" a="1"/>
  <c r="K56" i="63" s="1"/>
  <c r="J56" i="63"/>
  <c r="I56" i="63"/>
  <c r="H56" i="63"/>
  <c r="E56" i="63"/>
  <c r="K53" i="63" a="1"/>
  <c r="K53" i="63" s="1"/>
  <c r="J53" i="63"/>
  <c r="I53" i="63"/>
  <c r="H53" i="63"/>
  <c r="E53" i="63"/>
  <c r="K52" i="63" a="1"/>
  <c r="K52" i="63" s="1"/>
  <c r="E52" i="63"/>
  <c r="I52" i="63"/>
  <c r="K51" i="63" a="1"/>
  <c r="K51" i="63" s="1"/>
  <c r="J51" i="63"/>
  <c r="I51" i="63"/>
  <c r="H51" i="63"/>
  <c r="E51" i="63"/>
  <c r="K50" i="63" a="1"/>
  <c r="K50" i="63" s="1"/>
  <c r="E50" i="63"/>
  <c r="K43" i="63" a="1"/>
  <c r="K43" i="63" s="1"/>
  <c r="J43" i="63"/>
  <c r="I43" i="63"/>
  <c r="H43" i="63"/>
  <c r="E43" i="63"/>
  <c r="K42" i="63" a="1"/>
  <c r="K42" i="63" s="1"/>
  <c r="J42" i="63"/>
  <c r="I42" i="63"/>
  <c r="H42" i="63"/>
  <c r="E42" i="63"/>
  <c r="K41" i="63" a="1"/>
  <c r="K41" i="63" s="1"/>
  <c r="J41" i="63"/>
  <c r="I41" i="63"/>
  <c r="H41" i="63"/>
  <c r="F41" i="63"/>
  <c r="E41" i="63"/>
  <c r="K40" i="63" a="1"/>
  <c r="K40" i="63" s="1"/>
  <c r="J40" i="63"/>
  <c r="I40" i="63"/>
  <c r="H40" i="63"/>
  <c r="E40" i="63"/>
  <c r="K39" i="63" a="1"/>
  <c r="K39" i="63" s="1"/>
  <c r="J39" i="63"/>
  <c r="I39" i="63"/>
  <c r="H39" i="63"/>
  <c r="E39" i="63"/>
  <c r="K38" i="63" a="1"/>
  <c r="K38" i="63" s="1"/>
  <c r="J38" i="63"/>
  <c r="I38" i="63"/>
  <c r="H38" i="63"/>
  <c r="E38" i="63"/>
  <c r="K37" i="63" a="1"/>
  <c r="K37" i="63" s="1"/>
  <c r="E37" i="63"/>
  <c r="I37" i="63"/>
  <c r="K36" i="63" a="1"/>
  <c r="K36" i="63" s="1"/>
  <c r="J36" i="63"/>
  <c r="I36" i="63"/>
  <c r="H36" i="63"/>
  <c r="E36" i="63"/>
  <c r="K35" i="63" a="1"/>
  <c r="K35" i="63" s="1"/>
  <c r="E35" i="63"/>
  <c r="K34" i="63" a="1"/>
  <c r="K34" i="63" s="1"/>
  <c r="F33" i="63" s="1"/>
  <c r="G33" i="63" s="1" a="1"/>
  <c r="G33" i="63" s="1"/>
  <c r="J34" i="63"/>
  <c r="I34" i="63"/>
  <c r="H34" i="63"/>
  <c r="E34" i="63"/>
  <c r="K12" i="63" a="1"/>
  <c r="K12" i="63" s="1"/>
  <c r="J12" i="63"/>
  <c r="I12" i="63"/>
  <c r="H12" i="63"/>
  <c r="F12" i="63"/>
  <c r="E12" i="63"/>
  <c r="K11" i="63" a="1"/>
  <c r="K11" i="63" s="1"/>
  <c r="F11" i="63" s="1"/>
  <c r="E11" i="63"/>
  <c r="K10" i="63" a="1"/>
  <c r="K10" i="63" s="1"/>
  <c r="J10" i="63"/>
  <c r="I10" i="63"/>
  <c r="H10" i="63"/>
  <c r="F10" i="63"/>
  <c r="E10" i="63"/>
  <c r="K9" i="63" a="1"/>
  <c r="K9" i="63" s="1"/>
  <c r="F9" i="63" s="1"/>
  <c r="J9" i="63"/>
  <c r="I9" i="63"/>
  <c r="H9" i="63"/>
  <c r="E9" i="63"/>
  <c r="K8" i="63" a="1"/>
  <c r="K8" i="63" s="1"/>
  <c r="J8" i="63"/>
  <c r="I8" i="63"/>
  <c r="H8" i="63"/>
  <c r="F8" i="63"/>
  <c r="E8" i="63"/>
  <c r="K3" i="63" a="1"/>
  <c r="K3" i="63" s="1"/>
  <c r="F3" i="63" s="1"/>
  <c r="E3" i="63"/>
  <c r="I35" i="63" l="1"/>
  <c r="I3" i="63"/>
  <c r="H206" i="63"/>
  <c r="J237" i="63"/>
  <c r="I206" i="63"/>
  <c r="H237" i="63"/>
  <c r="J307" i="63"/>
  <c r="I224" i="63"/>
  <c r="I246" i="63"/>
  <c r="J301" i="63"/>
  <c r="J273" i="63"/>
  <c r="I314" i="63"/>
  <c r="J330" i="63"/>
  <c r="J224" i="63"/>
  <c r="F299" i="63"/>
  <c r="G299" i="63" s="1" a="1"/>
  <c r="G299" i="63" s="1"/>
  <c r="F300" i="63"/>
  <c r="G300" i="63" s="1" a="1"/>
  <c r="G300" i="63" s="1"/>
  <c r="F226" i="63"/>
  <c r="G226" i="63" s="1" a="1"/>
  <c r="G226" i="63" s="1"/>
  <c r="F225" i="63"/>
  <c r="G225" i="63" s="1" a="1"/>
  <c r="G225" i="63" s="1"/>
  <c r="F98" i="63"/>
  <c r="G98" i="63" s="1" a="1"/>
  <c r="G98" i="63" s="1"/>
  <c r="F99" i="63"/>
  <c r="G99" i="63" s="1" a="1"/>
  <c r="G99" i="63" s="1"/>
  <c r="F94" i="63"/>
  <c r="G94" i="63" s="1" a="1"/>
  <c r="G94" i="63" s="1"/>
  <c r="F95" i="63"/>
  <c r="G95" i="63" s="1" a="1"/>
  <c r="G95" i="63" s="1"/>
  <c r="F86" i="63"/>
  <c r="G86" i="63" s="1" a="1"/>
  <c r="G86" i="63" s="1"/>
  <c r="F87" i="63"/>
  <c r="G87" i="63" s="1" a="1"/>
  <c r="G87" i="63" s="1"/>
  <c r="F80" i="63"/>
  <c r="F82" i="63"/>
  <c r="G82" i="63" s="1" a="1"/>
  <c r="G82" i="63" s="1"/>
  <c r="F78" i="63"/>
  <c r="G78" i="63" s="1" a="1"/>
  <c r="G78" i="63" s="1"/>
  <c r="F79" i="63"/>
  <c r="G79" i="63" s="1" a="1"/>
  <c r="G79" i="63" s="1"/>
  <c r="F74" i="63"/>
  <c r="G74" i="63" s="1" a="1"/>
  <c r="G74" i="63" s="1"/>
  <c r="F75" i="63"/>
  <c r="G75" i="63" s="1" a="1"/>
  <c r="G75" i="63" s="1"/>
  <c r="F71" i="63"/>
  <c r="G71" i="63" s="1" a="1"/>
  <c r="G71" i="63" s="1"/>
  <c r="F66" i="63"/>
  <c r="G66" i="63" s="1" a="1"/>
  <c r="G66" i="63" s="1"/>
  <c r="F67" i="63"/>
  <c r="G67" i="63" s="1" a="1"/>
  <c r="G67" i="63" s="1"/>
  <c r="F62" i="63"/>
  <c r="G62" i="63" s="1" a="1"/>
  <c r="G62" i="63" s="1"/>
  <c r="F63" i="63"/>
  <c r="G63" i="63" s="1" a="1"/>
  <c r="G63" i="63" s="1"/>
  <c r="F59" i="63"/>
  <c r="G59" i="63" s="1" a="1"/>
  <c r="G59" i="63" s="1"/>
  <c r="F58" i="63"/>
  <c r="G58" i="63" s="1" a="1"/>
  <c r="G58" i="63" s="1"/>
  <c r="H242" i="63"/>
  <c r="H303" i="63"/>
  <c r="J277" i="63"/>
  <c r="H30" i="63"/>
  <c r="I30" i="63"/>
  <c r="J30" i="63"/>
  <c r="H308" i="63"/>
  <c r="J347" i="63"/>
  <c r="J271" i="63"/>
  <c r="H271" i="63"/>
  <c r="I271" i="63"/>
  <c r="I121" i="63"/>
  <c r="J121" i="63"/>
  <c r="H121" i="63"/>
  <c r="G344" i="63" a="1"/>
  <c r="G344" i="63" s="1"/>
  <c r="J342" i="63"/>
  <c r="I111" i="63"/>
  <c r="J310" i="63"/>
  <c r="H281" i="63"/>
  <c r="J305" i="63"/>
  <c r="H155" i="63"/>
  <c r="I263" i="63"/>
  <c r="F242" i="63"/>
  <c r="G242" i="63" s="1" a="1"/>
  <c r="G242" i="63" s="1"/>
  <c r="J155" i="63"/>
  <c r="I215" i="63"/>
  <c r="I231" i="63"/>
  <c r="I243" i="63"/>
  <c r="H253" i="63"/>
  <c r="J281" i="63"/>
  <c r="I305" i="63"/>
  <c r="I310" i="63"/>
  <c r="H319" i="63"/>
  <c r="I334" i="63"/>
  <c r="J348" i="63"/>
  <c r="G320" i="63" a="1"/>
  <c r="G320" i="63" s="1"/>
  <c r="J111" i="63"/>
  <c r="I253" i="63"/>
  <c r="J263" i="63"/>
  <c r="I319" i="63"/>
  <c r="H334" i="63"/>
  <c r="G324" i="63" a="1"/>
  <c r="G324" i="63" s="1"/>
  <c r="I306" i="63"/>
  <c r="H348" i="63"/>
  <c r="G80" i="63" a="1"/>
  <c r="G80" i="63" s="1"/>
  <c r="J50" i="63"/>
  <c r="G204" i="63" a="1"/>
  <c r="G204" i="63" s="1"/>
  <c r="G10" i="63" a="1"/>
  <c r="G10" i="63" s="1"/>
  <c r="G11" i="63" a="1"/>
  <c r="G11" i="63" s="1"/>
  <c r="H118" i="63"/>
  <c r="G203" i="63" a="1"/>
  <c r="G203" i="63" s="1"/>
  <c r="G8" i="63" a="1"/>
  <c r="G8" i="63" s="1"/>
  <c r="G41" i="63" a="1"/>
  <c r="G41" i="63" s="1"/>
  <c r="G241" i="63" a="1"/>
  <c r="G241" i="63" s="1"/>
  <c r="G311" i="63" a="1"/>
  <c r="G311" i="63" s="1"/>
  <c r="G325" i="63" a="1"/>
  <c r="G325" i="63" s="1"/>
  <c r="H254" i="63"/>
  <c r="H285" i="63"/>
  <c r="H328" i="63"/>
  <c r="F329" i="63"/>
  <c r="G329" i="63" s="1" a="1"/>
  <c r="G329" i="63" s="1"/>
  <c r="F343" i="63"/>
  <c r="G343" i="63" s="1" a="1"/>
  <c r="G343" i="63" s="1"/>
  <c r="G148" i="63" a="1"/>
  <c r="G148" i="63" s="1"/>
  <c r="H50" i="63"/>
  <c r="J118" i="63"/>
  <c r="J254" i="63"/>
  <c r="J285" i="63"/>
  <c r="I11" i="63"/>
  <c r="J11" i="63"/>
  <c r="J328" i="63"/>
  <c r="G345" i="63" a="1"/>
  <c r="G345" i="63" s="1"/>
  <c r="G12" i="63" a="1"/>
  <c r="G12" i="63" s="1"/>
  <c r="G149" i="63" a="1"/>
  <c r="G149" i="63" s="1"/>
  <c r="F352" i="63"/>
  <c r="G352" i="63" s="1" a="1"/>
  <c r="G352" i="63" s="1"/>
  <c r="G182" i="63" a="1"/>
  <c r="G182" i="63" s="1"/>
  <c r="G9" i="63" a="1"/>
  <c r="G9" i="63" s="1"/>
  <c r="G81" i="63" a="1"/>
  <c r="G81" i="63" s="1"/>
  <c r="G205" i="63" a="1"/>
  <c r="G205" i="63" s="1"/>
  <c r="G346" i="63" a="1"/>
  <c r="G346" i="63" s="1"/>
  <c r="G3" i="63" a="1"/>
  <c r="G3" i="63" s="1"/>
  <c r="F341" i="63"/>
  <c r="G341" i="63" s="1" a="1"/>
  <c r="G341" i="63" s="1"/>
  <c r="I340" i="63"/>
  <c r="J340" i="63"/>
  <c r="F160" i="63"/>
  <c r="G160" i="63" s="1" a="1"/>
  <c r="G160" i="63" s="1"/>
  <c r="F349" i="63"/>
  <c r="G349" i="63" s="1" a="1"/>
  <c r="G349" i="63" s="1"/>
  <c r="H350" i="63"/>
  <c r="F313" i="63"/>
  <c r="G313" i="63" s="1" a="1"/>
  <c r="G313" i="63" s="1"/>
  <c r="F314" i="63"/>
  <c r="G314" i="63" s="1" a="1"/>
  <c r="G314" i="63" s="1"/>
  <c r="F309" i="63"/>
  <c r="G309" i="63" s="1" a="1"/>
  <c r="G309" i="63" s="1"/>
  <c r="F318" i="63"/>
  <c r="G318" i="63" s="1" a="1"/>
  <c r="G318" i="63" s="1"/>
  <c r="F340" i="63"/>
  <c r="G340" i="63" s="1" a="1"/>
  <c r="G340" i="63" s="1"/>
  <c r="F350" i="63"/>
  <c r="G350" i="63" s="1" a="1"/>
  <c r="G350" i="63" s="1"/>
  <c r="F342" i="63"/>
  <c r="G342" i="63" s="1" a="1"/>
  <c r="G342" i="63" s="1"/>
  <c r="I350" i="63"/>
  <c r="F158" i="63"/>
  <c r="G158" i="63" s="1" a="1"/>
  <c r="G158" i="63" s="1"/>
  <c r="F161" i="63"/>
  <c r="G161" i="63" s="1" a="1"/>
  <c r="G161" i="63" s="1"/>
  <c r="F347" i="63"/>
  <c r="G347" i="63" s="1" a="1"/>
  <c r="G347" i="63" s="1"/>
  <c r="F264" i="63"/>
  <c r="G264" i="63" s="1" a="1"/>
  <c r="G264" i="63" s="1"/>
  <c r="E23" i="64"/>
  <c r="E29" i="64" s="1" a="1"/>
  <c r="E29" i="64" s="1"/>
  <c r="F351" i="63"/>
  <c r="G351" i="63" s="1" a="1"/>
  <c r="G351" i="63" s="1"/>
  <c r="F37" i="63"/>
  <c r="G37" i="63" s="1" a="1"/>
  <c r="G37" i="63" s="1"/>
  <c r="F327" i="63"/>
  <c r="G327" i="63" s="1" a="1"/>
  <c r="G327" i="63" s="1"/>
  <c r="F39" i="63"/>
  <c r="G39" i="63" s="1" a="1"/>
  <c r="G39" i="63" s="1"/>
  <c r="F112" i="63"/>
  <c r="G112" i="63" s="1" a="1"/>
  <c r="G112" i="63" s="1"/>
  <c r="F208" i="63"/>
  <c r="G208" i="63" s="1" a="1"/>
  <c r="G208" i="63" s="1"/>
  <c r="F233" i="63"/>
  <c r="G233" i="63" s="1" a="1"/>
  <c r="G233" i="63" s="1"/>
  <c r="F116" i="63"/>
  <c r="G116" i="63" s="1" a="1"/>
  <c r="G116" i="63" s="1"/>
  <c r="F246" i="63"/>
  <c r="G246" i="63" s="1" a="1"/>
  <c r="G246" i="63" s="1"/>
  <c r="F294" i="63"/>
  <c r="G294" i="63" s="1" a="1"/>
  <c r="G294" i="63" s="1"/>
  <c r="F330" i="63"/>
  <c r="G330" i="63" s="1" a="1"/>
  <c r="G330" i="63" s="1"/>
  <c r="F328" i="63"/>
  <c r="G328" i="63" s="1" a="1"/>
  <c r="G328" i="63" s="1"/>
  <c r="F52" i="63"/>
  <c r="G52" i="63" s="1" a="1"/>
  <c r="G52" i="63" s="1"/>
  <c r="F60" i="63"/>
  <c r="G60" i="63" s="1" a="1"/>
  <c r="G60" i="63" s="1"/>
  <c r="F68" i="63"/>
  <c r="G68" i="63" s="1" a="1"/>
  <c r="G68" i="63" s="1"/>
  <c r="F76" i="63"/>
  <c r="G76" i="63" s="1" a="1"/>
  <c r="G76" i="63" s="1"/>
  <c r="F88" i="63"/>
  <c r="G88" i="63" s="1" a="1"/>
  <c r="G88" i="63" s="1"/>
  <c r="F164" i="63"/>
  <c r="G164" i="63" s="1" a="1"/>
  <c r="G164" i="63" s="1"/>
  <c r="F168" i="63"/>
  <c r="G168" i="63" s="1" a="1"/>
  <c r="G168" i="63" s="1"/>
  <c r="F189" i="63"/>
  <c r="G189" i="63" s="1" a="1"/>
  <c r="G189" i="63" s="1"/>
  <c r="F193" i="63"/>
  <c r="G193" i="63" s="1" a="1"/>
  <c r="G193" i="63" s="1"/>
  <c r="F201" i="63"/>
  <c r="G201" i="63" s="1" a="1"/>
  <c r="G201" i="63" s="1"/>
  <c r="F223" i="63"/>
  <c r="G223" i="63" s="1" a="1"/>
  <c r="G223" i="63" s="1"/>
  <c r="F295" i="63"/>
  <c r="G295" i="63" s="1" a="1"/>
  <c r="G295" i="63" s="1"/>
  <c r="F166" i="63"/>
  <c r="G166" i="63" s="1" a="1"/>
  <c r="G166" i="63" s="1"/>
  <c r="F170" i="63"/>
  <c r="G170" i="63" s="1" a="1"/>
  <c r="G170" i="63" s="1"/>
  <c r="F209" i="63"/>
  <c r="G209" i="63" s="1" a="1"/>
  <c r="G209" i="63" s="1"/>
  <c r="F186" i="63"/>
  <c r="G186" i="63" s="1" a="1"/>
  <c r="G186" i="63" s="1"/>
  <c r="F191" i="63"/>
  <c r="G191" i="63" s="1" a="1"/>
  <c r="G191" i="63" s="1"/>
  <c r="F229" i="63"/>
  <c r="G229" i="63" s="1" a="1"/>
  <c r="G229" i="63" s="1"/>
  <c r="F34" i="63"/>
  <c r="G34" i="63" s="1" a="1"/>
  <c r="G34" i="63" s="1"/>
  <c r="F43" i="63"/>
  <c r="G43" i="63" s="1" a="1"/>
  <c r="G43" i="63" s="1"/>
  <c r="F57" i="63"/>
  <c r="G57" i="63" s="1" a="1"/>
  <c r="G57" i="63" s="1"/>
  <c r="F65" i="63"/>
  <c r="G65" i="63" s="1" a="1"/>
  <c r="G65" i="63" s="1"/>
  <c r="F73" i="63"/>
  <c r="G73" i="63" s="1" a="1"/>
  <c r="G73" i="63" s="1"/>
  <c r="F85" i="63"/>
  <c r="G85" i="63" s="1" a="1"/>
  <c r="G85" i="63" s="1"/>
  <c r="F115" i="63"/>
  <c r="G115" i="63" s="1" a="1"/>
  <c r="G115" i="63" s="1"/>
  <c r="F152" i="63"/>
  <c r="G152" i="63" s="1" a="1"/>
  <c r="G152" i="63" s="1"/>
  <c r="F165" i="63"/>
  <c r="G165" i="63" s="1" a="1"/>
  <c r="G165" i="63" s="1"/>
  <c r="F184" i="63"/>
  <c r="G184" i="63" s="1" a="1"/>
  <c r="G184" i="63" s="1"/>
  <c r="F188" i="63"/>
  <c r="G188" i="63" s="1" a="1"/>
  <c r="G188" i="63" s="1"/>
  <c r="F200" i="63"/>
  <c r="G200" i="63" s="1" a="1"/>
  <c r="G200" i="63" s="1"/>
  <c r="F206" i="63"/>
  <c r="G206" i="63" s="1" a="1"/>
  <c r="G206" i="63" s="1"/>
  <c r="F231" i="63"/>
  <c r="G231" i="63" s="1" a="1"/>
  <c r="G231" i="63" s="1"/>
  <c r="F251" i="63"/>
  <c r="G251" i="63" s="1" a="1"/>
  <c r="G251" i="63" s="1"/>
  <c r="F280" i="63"/>
  <c r="G280" i="63" s="1" a="1"/>
  <c r="G280" i="63" s="1"/>
  <c r="F284" i="63"/>
  <c r="G284" i="63" s="1" a="1"/>
  <c r="G284" i="63" s="1"/>
  <c r="F289" i="63"/>
  <c r="G289" i="63" s="1" a="1"/>
  <c r="G289" i="63" s="1"/>
  <c r="F301" i="63"/>
  <c r="G301" i="63" s="1" a="1"/>
  <c r="G301" i="63" s="1"/>
  <c r="F40" i="63"/>
  <c r="G40" i="63" s="1" a="1"/>
  <c r="G40" i="63" s="1"/>
  <c r="F150" i="63"/>
  <c r="G150" i="63" s="1" a="1"/>
  <c r="G150" i="63" s="1"/>
  <c r="F154" i="63"/>
  <c r="G154" i="63" s="1" a="1"/>
  <c r="G154" i="63" s="1"/>
  <c r="F162" i="63"/>
  <c r="G162" i="63" s="1" a="1"/>
  <c r="G162" i="63" s="1"/>
  <c r="F176" i="63"/>
  <c r="G176" i="63" s="1" a="1"/>
  <c r="G176" i="63" s="1"/>
  <c r="F202" i="63"/>
  <c r="G202" i="63" s="1" a="1"/>
  <c r="G202" i="63" s="1"/>
  <c r="F236" i="63"/>
  <c r="G236" i="63" s="1" a="1"/>
  <c r="G236" i="63" s="1"/>
  <c r="F239" i="63"/>
  <c r="G239" i="63" s="1" a="1"/>
  <c r="G239" i="63" s="1"/>
  <c r="F253" i="63"/>
  <c r="G253" i="63" s="1" a="1"/>
  <c r="G253" i="63" s="1"/>
  <c r="F278" i="63"/>
  <c r="G278" i="63" s="1" a="1"/>
  <c r="G278" i="63" s="1"/>
  <c r="F293" i="63"/>
  <c r="G293" i="63" s="1" a="1"/>
  <c r="G293" i="63" s="1"/>
  <c r="F38" i="63"/>
  <c r="G38" i="63" s="1" a="1"/>
  <c r="G38" i="63" s="1"/>
  <c r="F102" i="63"/>
  <c r="G102" i="63" s="1" a="1"/>
  <c r="G102" i="63" s="1"/>
  <c r="F213" i="63"/>
  <c r="G213" i="63" s="1" a="1"/>
  <c r="G213" i="63" s="1"/>
  <c r="F259" i="63"/>
  <c r="G259" i="63" s="1" a="1"/>
  <c r="G259" i="63" s="1"/>
  <c r="F288" i="63"/>
  <c r="G288" i="63" s="1" a="1"/>
  <c r="G288" i="63" s="1"/>
  <c r="F244" i="63"/>
  <c r="G244" i="63" s="1" a="1"/>
  <c r="G244" i="63" s="1"/>
  <c r="F272" i="63"/>
  <c r="G272" i="63" s="1" a="1"/>
  <c r="G272" i="63" s="1"/>
  <c r="F277" i="63"/>
  <c r="G277" i="63" s="1" a="1"/>
  <c r="G277" i="63" s="1"/>
  <c r="F53" i="63"/>
  <c r="G53" i="63" s="1" a="1"/>
  <c r="G53" i="63" s="1"/>
  <c r="F61" i="63"/>
  <c r="G61" i="63" s="1" a="1"/>
  <c r="G61" i="63" s="1"/>
  <c r="F69" i="63"/>
  <c r="G69" i="63" s="1" a="1"/>
  <c r="G69" i="63" s="1"/>
  <c r="F77" i="63"/>
  <c r="G77" i="63" s="1" a="1"/>
  <c r="G77" i="63" s="1"/>
  <c r="F190" i="63"/>
  <c r="G190" i="63" s="1" a="1"/>
  <c r="G190" i="63" s="1"/>
  <c r="F42" i="63"/>
  <c r="G42" i="63" s="1" a="1"/>
  <c r="G42" i="63" s="1"/>
  <c r="F56" i="63"/>
  <c r="G56" i="63" s="1" a="1"/>
  <c r="G56" i="63" s="1"/>
  <c r="F64" i="63"/>
  <c r="G64" i="63" s="1" a="1"/>
  <c r="G64" i="63" s="1"/>
  <c r="F72" i="63"/>
  <c r="G72" i="63" s="1" a="1"/>
  <c r="G72" i="63" s="1"/>
  <c r="F84" i="63"/>
  <c r="G84" i="63" s="1" a="1"/>
  <c r="G84" i="63" s="1"/>
  <c r="F118" i="63"/>
  <c r="G118" i="63" s="1" a="1"/>
  <c r="G118" i="63" s="1"/>
  <c r="F187" i="63"/>
  <c r="G187" i="63" s="1" a="1"/>
  <c r="G187" i="63" s="1"/>
  <c r="F199" i="63"/>
  <c r="G199" i="63" s="1" a="1"/>
  <c r="G199" i="63" s="1"/>
  <c r="F279" i="63"/>
  <c r="G279" i="63" s="1" a="1"/>
  <c r="G279" i="63" s="1"/>
  <c r="F100" i="63"/>
  <c r="G100" i="63" s="1" a="1"/>
  <c r="G100" i="63" s="1"/>
  <c r="F108" i="63"/>
  <c r="G108" i="63" s="1" a="1"/>
  <c r="G108" i="63" s="1"/>
  <c r="F114" i="63"/>
  <c r="G114" i="63" s="1" a="1"/>
  <c r="G114" i="63" s="1"/>
  <c r="F117" i="63"/>
  <c r="G117" i="63" s="1" a="1"/>
  <c r="G117" i="63" s="1"/>
  <c r="F155" i="63"/>
  <c r="G155" i="63" s="1" a="1"/>
  <c r="G155" i="63" s="1"/>
  <c r="F163" i="63"/>
  <c r="G163" i="63" s="1" a="1"/>
  <c r="G163" i="63" s="1"/>
  <c r="F177" i="63"/>
  <c r="G177" i="63" s="1" a="1"/>
  <c r="G177" i="63" s="1"/>
  <c r="F183" i="63"/>
  <c r="G183" i="63" s="1" a="1"/>
  <c r="G183" i="63" s="1"/>
  <c r="F221" i="63"/>
  <c r="G221" i="63" s="1" a="1"/>
  <c r="G221" i="63" s="1"/>
  <c r="F237" i="63"/>
  <c r="G237" i="63" s="1" a="1"/>
  <c r="G237" i="63" s="1"/>
  <c r="F265" i="63"/>
  <c r="G265" i="63" s="1" a="1"/>
  <c r="G265" i="63" s="1"/>
  <c r="F282" i="63"/>
  <c r="G282" i="63" s="1" a="1"/>
  <c r="G282" i="63" s="1"/>
  <c r="F307" i="63"/>
  <c r="G307" i="63" s="1" a="1"/>
  <c r="G307" i="63" s="1"/>
  <c r="F315" i="63"/>
  <c r="G315" i="63" s="1" a="1"/>
  <c r="G315" i="63" s="1"/>
  <c r="F96" i="63"/>
  <c r="G96" i="63" s="1" a="1"/>
  <c r="G96" i="63" s="1"/>
  <c r="F169" i="63"/>
  <c r="G169" i="63" s="1" a="1"/>
  <c r="G169" i="63" s="1"/>
  <c r="F185" i="63"/>
  <c r="G185" i="63" s="1" a="1"/>
  <c r="G185" i="63" s="1"/>
  <c r="F192" i="63"/>
  <c r="G192" i="63" s="1" a="1"/>
  <c r="G192" i="63" s="1"/>
  <c r="F194" i="63"/>
  <c r="G194" i="63" s="1" a="1"/>
  <c r="G194" i="63" s="1"/>
  <c r="F212" i="63"/>
  <c r="G212" i="63" s="1" a="1"/>
  <c r="G212" i="63" s="1"/>
  <c r="F227" i="63"/>
  <c r="G227" i="63" s="1" a="1"/>
  <c r="G227" i="63" s="1"/>
  <c r="F230" i="63"/>
  <c r="G230" i="63" s="1" a="1"/>
  <c r="G230" i="63" s="1"/>
  <c r="F234" i="63"/>
  <c r="G234" i="63" s="1" a="1"/>
  <c r="G234" i="63" s="1"/>
  <c r="F257" i="63"/>
  <c r="G257" i="63" s="1" a="1"/>
  <c r="G257" i="63" s="1"/>
  <c r="F275" i="63"/>
  <c r="G275" i="63" s="1" a="1"/>
  <c r="G275" i="63" s="1"/>
  <c r="F285" i="63"/>
  <c r="G285" i="63" s="1" a="1"/>
  <c r="G285" i="63" s="1"/>
  <c r="F287" i="63"/>
  <c r="G287" i="63" s="1" a="1"/>
  <c r="G287" i="63" s="1"/>
  <c r="F303" i="63"/>
  <c r="G303" i="63" s="1" a="1"/>
  <c r="G303" i="63" s="1"/>
  <c r="F312" i="63"/>
  <c r="G312" i="63" s="1" a="1"/>
  <c r="G312" i="63" s="1"/>
  <c r="F331" i="63"/>
  <c r="G331" i="63" s="1" a="1"/>
  <c r="G331" i="63" s="1"/>
  <c r="F35" i="63"/>
  <c r="G35" i="63" s="1" a="1"/>
  <c r="G35" i="63" s="1"/>
  <c r="F51" i="63"/>
  <c r="G51" i="63" s="1" a="1"/>
  <c r="G51" i="63" s="1"/>
  <c r="F92" i="63"/>
  <c r="G92" i="63" s="1" a="1"/>
  <c r="G92" i="63" s="1"/>
  <c r="F104" i="63"/>
  <c r="G104" i="63" s="1" a="1"/>
  <c r="G104" i="63" s="1"/>
  <c r="F106" i="63"/>
  <c r="G106" i="63" s="1" a="1"/>
  <c r="G106" i="63" s="1"/>
  <c r="F113" i="63"/>
  <c r="G113" i="63" s="1" a="1"/>
  <c r="G113" i="63" s="1"/>
  <c r="F153" i="63"/>
  <c r="G153" i="63" s="1" a="1"/>
  <c r="G153" i="63" s="1"/>
  <c r="F159" i="63"/>
  <c r="G159" i="63" s="1" a="1"/>
  <c r="G159" i="63" s="1"/>
  <c r="F167" i="63"/>
  <c r="G167" i="63" s="1" a="1"/>
  <c r="G167" i="63" s="1"/>
  <c r="F171" i="63"/>
  <c r="G171" i="63" s="1" a="1"/>
  <c r="G171" i="63" s="1"/>
  <c r="F216" i="63"/>
  <c r="G216" i="63" s="1" a="1"/>
  <c r="G216" i="63" s="1"/>
  <c r="F250" i="63"/>
  <c r="G250" i="63" s="1" a="1"/>
  <c r="G250" i="63" s="1"/>
  <c r="F260" i="63"/>
  <c r="G260" i="63" s="1" a="1"/>
  <c r="G260" i="63" s="1"/>
  <c r="F273" i="63"/>
  <c r="G273" i="63" s="1" a="1"/>
  <c r="G273" i="63" s="1"/>
  <c r="F283" i="63"/>
  <c r="G283" i="63" s="1" a="1"/>
  <c r="G283" i="63" s="1"/>
  <c r="F305" i="63"/>
  <c r="G305" i="63" s="1" a="1"/>
  <c r="G305" i="63" s="1"/>
  <c r="F334" i="63"/>
  <c r="G334" i="63" s="1" a="1"/>
  <c r="G334" i="63" s="1"/>
  <c r="F235" i="63"/>
  <c r="G235" i="63" s="1" a="1"/>
  <c r="G235" i="63" s="1"/>
  <c r="F36" i="63"/>
  <c r="G36" i="63" s="1" a="1"/>
  <c r="G36" i="63" s="1"/>
  <c r="F107" i="63"/>
  <c r="G107" i="63" s="1" a="1"/>
  <c r="G107" i="63" s="1"/>
  <c r="F50" i="63"/>
  <c r="G50" i="63" s="1" a="1"/>
  <c r="G50" i="63" s="1"/>
  <c r="F105" i="63"/>
  <c r="G105" i="63" s="1" a="1"/>
  <c r="G105" i="63" s="1"/>
  <c r="F109" i="63"/>
  <c r="G109" i="63" s="1" a="1"/>
  <c r="G109" i="63" s="1"/>
  <c r="F111" i="63"/>
  <c r="G111" i="63" s="1" a="1"/>
  <c r="G111" i="63" s="1"/>
  <c r="F110" i="63"/>
  <c r="G110" i="63" s="1" a="1"/>
  <c r="G110" i="63" s="1"/>
  <c r="H37" i="63"/>
  <c r="F89" i="63"/>
  <c r="G89" i="63" s="1" a="1"/>
  <c r="G89" i="63" s="1"/>
  <c r="F97" i="63"/>
  <c r="G97" i="63" s="1" a="1"/>
  <c r="G97" i="63" s="1"/>
  <c r="F103" i="63"/>
  <c r="G103" i="63" s="1" a="1"/>
  <c r="G103" i="63" s="1"/>
  <c r="H105" i="63"/>
  <c r="H3" i="63"/>
  <c r="J52" i="63"/>
  <c r="J35" i="63"/>
  <c r="J105" i="63"/>
  <c r="F151" i="63"/>
  <c r="G151" i="63" s="1" a="1"/>
  <c r="G151" i="63" s="1"/>
  <c r="H52" i="63"/>
  <c r="F93" i="63"/>
  <c r="G93" i="63" s="1" a="1"/>
  <c r="G93" i="63" s="1"/>
  <c r="F101" i="63"/>
  <c r="G101" i="63" s="1" a="1"/>
  <c r="G101" i="63" s="1"/>
  <c r="F119" i="63"/>
  <c r="G119" i="63" s="1" a="1"/>
  <c r="G119" i="63" s="1"/>
  <c r="H185" i="63"/>
  <c r="J222" i="63"/>
  <c r="J227" i="63"/>
  <c r="F228" i="63"/>
  <c r="G228" i="63" s="1" a="1"/>
  <c r="G228" i="63" s="1"/>
  <c r="F243" i="63"/>
  <c r="G243" i="63" s="1" a="1"/>
  <c r="G243" i="63" s="1"/>
  <c r="I185" i="63"/>
  <c r="I244" i="63"/>
  <c r="J244" i="63"/>
  <c r="F207" i="63"/>
  <c r="G207" i="63" s="1" a="1"/>
  <c r="G207" i="63" s="1"/>
  <c r="H208" i="63"/>
  <c r="F222" i="63"/>
  <c r="G222" i="63" s="1" a="1"/>
  <c r="G222" i="63" s="1"/>
  <c r="F232" i="63"/>
  <c r="G232" i="63" s="1" a="1"/>
  <c r="G232" i="63" s="1"/>
  <c r="H233" i="63"/>
  <c r="F238" i="63"/>
  <c r="G238" i="63" s="1" a="1"/>
  <c r="G238" i="63" s="1"/>
  <c r="F240" i="63"/>
  <c r="G240" i="63" s="1" a="1"/>
  <c r="G240" i="63" s="1"/>
  <c r="J242" i="63"/>
  <c r="J256" i="63"/>
  <c r="H256" i="63"/>
  <c r="F261" i="63"/>
  <c r="G261" i="63" s="1" a="1"/>
  <c r="G261" i="63" s="1"/>
  <c r="J208" i="63"/>
  <c r="F215" i="63"/>
  <c r="G215" i="63" s="1" a="1"/>
  <c r="G215" i="63" s="1"/>
  <c r="H222" i="63"/>
  <c r="F224" i="63"/>
  <c r="G224" i="63" s="1" a="1"/>
  <c r="G224" i="63" s="1"/>
  <c r="H227" i="63"/>
  <c r="J233" i="63"/>
  <c r="H244" i="63"/>
  <c r="F245" i="63"/>
  <c r="G245" i="63" s="1" a="1"/>
  <c r="G245" i="63" s="1"/>
  <c r="F247" i="63"/>
  <c r="G247" i="63" s="1" a="1"/>
  <c r="G247" i="63" s="1"/>
  <c r="F252" i="63"/>
  <c r="G252" i="63" s="1" a="1"/>
  <c r="G252" i="63" s="1"/>
  <c r="F254" i="63"/>
  <c r="G254" i="63" s="1" a="1"/>
  <c r="G254" i="63" s="1"/>
  <c r="F255" i="63"/>
  <c r="G255" i="63" s="1" a="1"/>
  <c r="G255" i="63" s="1"/>
  <c r="F258" i="63"/>
  <c r="G258" i="63" s="1" a="1"/>
  <c r="G258" i="63" s="1"/>
  <c r="F263" i="63"/>
  <c r="G263" i="63" s="1" a="1"/>
  <c r="G263" i="63" s="1"/>
  <c r="F262" i="63"/>
  <c r="G262" i="63" s="1" a="1"/>
  <c r="G262" i="63" s="1"/>
  <c r="H251" i="63"/>
  <c r="F256" i="63"/>
  <c r="G256" i="63" s="1" a="1"/>
  <c r="G256" i="63" s="1"/>
  <c r="H258" i="63"/>
  <c r="F274" i="63"/>
  <c r="G274" i="63" s="1" a="1"/>
  <c r="G274" i="63" s="1"/>
  <c r="F286" i="63"/>
  <c r="G286" i="63" s="1" a="1"/>
  <c r="G286" i="63" s="1"/>
  <c r="F290" i="63"/>
  <c r="G290" i="63" s="1" a="1"/>
  <c r="G290" i="63" s="1"/>
  <c r="F296" i="63"/>
  <c r="G296" i="63" s="1" a="1"/>
  <c r="G296" i="63" s="1"/>
  <c r="F302" i="63"/>
  <c r="G302" i="63" s="1" a="1"/>
  <c r="G302" i="63" s="1"/>
  <c r="F310" i="63"/>
  <c r="G310" i="63" s="1" a="1"/>
  <c r="G310" i="63" s="1"/>
  <c r="J318" i="63"/>
  <c r="F319" i="63"/>
  <c r="G319" i="63" s="1" a="1"/>
  <c r="G319" i="63" s="1"/>
  <c r="F326" i="63"/>
  <c r="G326" i="63" s="1" a="1"/>
  <c r="G326" i="63" s="1"/>
  <c r="H215" i="63"/>
  <c r="H231" i="63"/>
  <c r="H243" i="63"/>
  <c r="J251" i="63"/>
  <c r="J258" i="63"/>
  <c r="F281" i="63"/>
  <c r="G281" i="63" s="1" a="1"/>
  <c r="G281" i="63" s="1"/>
  <c r="J303" i="63"/>
  <c r="F304" i="63"/>
  <c r="G304" i="63" s="1" a="1"/>
  <c r="G304" i="63" s="1"/>
  <c r="J306" i="63"/>
  <c r="J308" i="63"/>
  <c r="H313" i="63"/>
  <c r="F276" i="63"/>
  <c r="G276" i="63" s="1" a="1"/>
  <c r="G276" i="63" s="1"/>
  <c r="J313" i="63"/>
  <c r="I273" i="63"/>
  <c r="H277" i="63"/>
  <c r="F306" i="63"/>
  <c r="G306" i="63" s="1" a="1"/>
  <c r="G306" i="63" s="1"/>
  <c r="F308" i="63"/>
  <c r="G308" i="63" s="1" a="1"/>
  <c r="G308" i="63" s="1"/>
  <c r="H318" i="63"/>
  <c r="F335" i="63"/>
  <c r="G335" i="63" s="1" a="1"/>
  <c r="G335" i="63" s="1"/>
  <c r="F348" i="63"/>
  <c r="G348" i="63" s="1" a="1"/>
  <c r="G348" i="63" s="1"/>
  <c r="H301" i="63"/>
  <c r="H307" i="63"/>
  <c r="H314" i="63"/>
  <c r="H330" i="63"/>
  <c r="H342" i="63"/>
  <c r="H331" i="63"/>
  <c r="H347" i="63"/>
  <c r="I331" i="63"/>
  <c r="D35" i="25"/>
  <c r="D34" i="25"/>
  <c r="AB3" i="5" l="1"/>
  <c r="AB6" i="5" s="1"/>
  <c r="AB8" i="5" l="1"/>
  <c r="AB10" i="5"/>
  <c r="AB7" i="5"/>
  <c r="AB23" i="5"/>
  <c r="F18" i="36"/>
  <c r="C11" i="5" l="1" a="1"/>
  <c r="C11" i="5" s="1"/>
  <c r="AF6" i="14" s="1"/>
  <c r="AF7" i="14"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F29" i="14" a="1"/>
  <c r="AB29" i="14" a="1"/>
  <c r="D29" i="14" a="1"/>
  <c r="F30" i="14" a="1"/>
  <c r="AB30" i="14" a="1"/>
  <c r="D112" i="61" l="1"/>
  <c r="D113" i="61" s="1"/>
  <c r="J113" i="61" s="1"/>
  <c r="V6" i="14"/>
  <c r="V7" i="14" s="1"/>
  <c r="AD6" i="14"/>
  <c r="AD7" i="14" s="1"/>
  <c r="J6" i="14"/>
  <c r="J7" i="14" s="1"/>
  <c r="F41" i="75" a="1"/>
  <c r="F41" i="75" s="1"/>
  <c r="F42" i="75" s="1" a="1"/>
  <c r="F42" i="75" s="1"/>
  <c r="AP18" i="25"/>
  <c r="AP19" i="25" s="1"/>
  <c r="AT18" i="25"/>
  <c r="AT19" i="25" s="1"/>
  <c r="AL6" i="8"/>
  <c r="AL7" i="8" s="1"/>
  <c r="AF6" i="8"/>
  <c r="AF7" i="8" s="1"/>
  <c r="C13" i="5"/>
  <c r="AX113" i="61"/>
  <c r="AP113" i="61"/>
  <c r="AB29" i="14"/>
  <c r="AB31" i="14"/>
  <c r="AB30" i="14"/>
  <c r="F30" i="14"/>
  <c r="F29" i="14"/>
  <c r="D29" i="14"/>
  <c r="P26" i="25"/>
  <c r="AN25" i="25" a="1"/>
  <c r="AR25" i="25" a="1"/>
  <c r="AR26" i="25" a="1"/>
  <c r="P25" i="25" a="1"/>
  <c r="BR113" i="61" l="1"/>
  <c r="P25" i="25"/>
  <c r="AR26" i="25"/>
  <c r="AR25" i="25"/>
  <c r="AN25" i="25"/>
  <c r="N27" i="25" a="1"/>
  <c r="N27" i="25" l="1"/>
  <c r="BL25" i="25" a="1"/>
  <c r="BL25" i="25" l="1"/>
  <c r="F54" i="33" a="1"/>
  <c r="F54" i="33" l="1"/>
  <c r="R10" i="8" l="1"/>
  <c r="R11" i="8" s="1"/>
  <c r="L11" i="8"/>
  <c r="T11" i="8" s="1"/>
  <c r="J12" i="8"/>
  <c r="J30" i="8" s="1"/>
  <c r="P11" i="8" l="1"/>
  <c r="Z11" i="8"/>
  <c r="N11" i="8"/>
  <c r="AJ11" i="8"/>
  <c r="BR110" i="61"/>
  <c r="BR108" i="61"/>
  <c r="AX97" i="61"/>
  <c r="AP97" i="61"/>
  <c r="J97" i="61"/>
  <c r="AX98" i="61"/>
  <c r="AP98" i="61"/>
  <c r="J98" i="61"/>
  <c r="BR95" i="61"/>
  <c r="BR96" i="61"/>
  <c r="D110" i="61"/>
  <c r="D109" i="61"/>
  <c r="D108" i="61"/>
  <c r="C109" i="61"/>
  <c r="C110" i="61"/>
  <c r="C108" i="61"/>
  <c r="C112" i="61"/>
  <c r="D111" i="61"/>
  <c r="R10" i="14" l="1"/>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Y24" i="25"/>
  <c r="Y25" i="25"/>
  <c r="Y26" i="25"/>
  <c r="Y27" i="25"/>
  <c r="Y28" i="25"/>
  <c r="Y29" i="25"/>
  <c r="C36" i="30" l="1"/>
  <c r="D35" i="30"/>
  <c r="X32" i="25"/>
  <c r="X13" i="25"/>
  <c r="X14" i="25"/>
  <c r="X25" i="25" l="1"/>
  <c r="D36" i="30"/>
  <c r="C37" i="30"/>
  <c r="C38" i="30"/>
  <c r="X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37" i="34" a="1"/>
  <c r="F24"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D77" i="61" s="1"/>
  <c r="CC2" i="61"/>
  <c r="CD2" i="61" s="1"/>
  <c r="BY7" i="61"/>
  <c r="BZ7" i="61" s="1"/>
  <c r="BY6" i="61"/>
  <c r="BZ6" i="61" s="1"/>
  <c r="BY5" i="61"/>
  <c r="BZ5" i="61" s="1"/>
  <c r="BY2" i="61"/>
  <c r="BZ2" i="61" s="1"/>
  <c r="BU2" i="61"/>
  <c r="BV2" i="61" s="1"/>
  <c r="BM7" i="61"/>
  <c r="BN7" i="61" s="1"/>
  <c r="BM6" i="61"/>
  <c r="BN6" i="61" s="1"/>
  <c r="BM5" i="61"/>
  <c r="BN5" i="61" s="1"/>
  <c r="BN77"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H74" i="61" a="1"/>
  <c r="CD74" i="61" a="1"/>
  <c r="AT77" i="61" l="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N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L32" i="25"/>
  <c r="BL13" i="25"/>
  <c r="BL14" i="25"/>
  <c r="BM29" i="25"/>
  <c r="BM28" i="25"/>
  <c r="BM27" i="25"/>
  <c r="BM26" i="25"/>
  <c r="BM25" i="25"/>
  <c r="BM24" i="25"/>
  <c r="BI29" i="25"/>
  <c r="BI28" i="25"/>
  <c r="BI27" i="25"/>
  <c r="BI26" i="25"/>
  <c r="BI25" i="25"/>
  <c r="BI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L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AZ26" i="25"/>
  <c r="L10" i="8"/>
  <c r="AJ10" i="8" s="1"/>
  <c r="AV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F11" i="25"/>
  <c r="H31" i="14" a="1"/>
  <c r="AD31" i="14" a="1"/>
  <c r="AF31" i="14" a="1"/>
  <c r="T30" i="14" a="1"/>
  <c r="AF31" i="14" l="1"/>
  <c r="AD31" i="14"/>
  <c r="AD10" i="14"/>
  <c r="AF10" i="14"/>
  <c r="H31" i="14"/>
  <c r="J9" i="14"/>
  <c r="J19" i="14" s="1"/>
  <c r="CR5" i="61"/>
  <c r="V9" i="14"/>
  <c r="V19" i="14" s="1"/>
  <c r="CT81" i="61" a="1"/>
  <c r="CT81" i="61" s="1"/>
  <c r="R28" i="25"/>
  <c r="R27" i="25"/>
  <c r="F31" i="36"/>
  <c r="H32" i="36"/>
  <c r="H31" i="36"/>
  <c r="X27" i="25"/>
  <c r="F42" i="32"/>
  <c r="F32" i="36"/>
  <c r="F43" i="32"/>
  <c r="X28" i="25"/>
  <c r="P10" i="8"/>
  <c r="Z10" i="8"/>
  <c r="T10" i="8"/>
  <c r="N10" i="8"/>
  <c r="AZ25" i="25"/>
  <c r="AZ11" i="25"/>
  <c r="AZ13" i="25" s="1"/>
  <c r="AZ12" i="25"/>
  <c r="AZ14" i="25" s="1"/>
  <c r="L9" i="8"/>
  <c r="N9" i="8" s="1"/>
  <c r="AV25" i="25"/>
  <c r="F38" i="25"/>
  <c r="F37" i="25"/>
  <c r="T30" i="14"/>
  <c r="CL81" i="61" a="1"/>
  <c r="CL81" i="61" s="1"/>
  <c r="BV81" i="61" a="1"/>
  <c r="BV81" i="61" s="1"/>
  <c r="CJ5" i="61"/>
  <c r="BT5" i="61"/>
  <c r="C40" i="60"/>
  <c r="D40" i="60"/>
  <c r="O41" i="60" a="1"/>
  <c r="O41" i="60" s="1"/>
  <c r="P41" i="60" a="1"/>
  <c r="P41" i="60" s="1"/>
  <c r="B13" i="35"/>
  <c r="C13" i="35" s="1"/>
  <c r="H9" i="14"/>
  <c r="T9" i="14"/>
  <c r="AV11" i="25"/>
  <c r="F13" i="25"/>
  <c r="F12" i="25"/>
  <c r="C3" i="53"/>
  <c r="C8" i="53" s="1"/>
  <c r="C5" i="53"/>
  <c r="C27" i="53"/>
  <c r="C12" i="53"/>
  <c r="J30" i="14" a="1"/>
  <c r="V30" i="14" a="1"/>
  <c r="AD30" i="14" a="1"/>
  <c r="H30" i="14" a="1"/>
  <c r="AF30" i="14" a="1"/>
  <c r="T29" i="14" a="1"/>
  <c r="AF30" i="14" l="1"/>
  <c r="AD30" i="14"/>
  <c r="AD9" i="14"/>
  <c r="AD19" i="14" s="1"/>
  <c r="AF9" i="14"/>
  <c r="J30" i="14"/>
  <c r="H30" i="14"/>
  <c r="V30" i="14"/>
  <c r="CS5" i="61"/>
  <c r="CT5" i="61" s="1"/>
  <c r="CR8" i="61"/>
  <c r="CR13" i="61"/>
  <c r="CS13" i="61" s="1"/>
  <c r="CT13" i="61" s="1"/>
  <c r="BB17" i="25"/>
  <c r="AZ17" i="25"/>
  <c r="P9" i="8"/>
  <c r="Z9" i="8"/>
  <c r="T9" i="8"/>
  <c r="AJ9" i="8"/>
  <c r="F26" i="25"/>
  <c r="F25" i="25"/>
  <c r="F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V29" i="14" a="1"/>
  <c r="H29" i="14" a="1"/>
  <c r="AF29" i="14" a="1"/>
  <c r="J29" i="14" a="1"/>
  <c r="Z29" i="14" a="1"/>
  <c r="Z30" i="14" a="1"/>
  <c r="V29" i="14" l="1"/>
  <c r="CS8" i="61"/>
  <c r="CT8" i="61"/>
  <c r="BU8" i="61"/>
  <c r="BV8" i="61"/>
  <c r="CK8" i="61"/>
  <c r="CL8" i="61"/>
  <c r="AF29" i="14"/>
  <c r="AF19" i="14"/>
  <c r="J29" i="14"/>
  <c r="H29" i="14"/>
  <c r="CT77" i="61"/>
  <c r="CR18" i="61"/>
  <c r="CT80" i="61" a="1"/>
  <c r="CT80" i="61" s="1"/>
  <c r="Z30" i="14"/>
  <c r="Z29" i="14"/>
  <c r="CJ18" i="61"/>
  <c r="BV80" i="61" a="1"/>
  <c r="BV80" i="61" s="1"/>
  <c r="CL80" i="61" a="1"/>
  <c r="CL80" i="61" s="1"/>
  <c r="BT18" i="61"/>
  <c r="F3" i="60"/>
  <c r="AD30" i="8"/>
  <c r="C15" i="35"/>
  <c r="F26" i="60" a="1"/>
  <c r="AD29" i="14" a="1"/>
  <c r="X29" i="14" a="1"/>
  <c r="X30" i="14"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AV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H37" i="24" a="1"/>
  <c r="N37" i="24" a="1"/>
  <c r="J37" i="24" a="1"/>
  <c r="N29" i="1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Q29" i="25"/>
  <c r="Q28" i="25"/>
  <c r="Q27" i="25"/>
  <c r="Q26" i="25"/>
  <c r="Q25" i="25"/>
  <c r="Q24" i="25"/>
  <c r="BN26" i="25"/>
  <c r="BN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N26" i="25" l="1"/>
  <c r="AD26" i="8" l="1"/>
  <c r="AD28" i="8"/>
  <c r="AD27" i="8"/>
  <c r="AD34" i="8"/>
  <c r="AD20" i="8"/>
  <c r="AD4" i="8"/>
  <c r="AD6" i="8" s="1"/>
  <c r="AD7" i="8" s="1"/>
  <c r="AH4" i="8"/>
  <c r="AH6" i="8" s="1"/>
  <c r="AH7" i="8" s="1"/>
  <c r="AI25" i="8"/>
  <c r="AH26" i="8"/>
  <c r="AI26" i="8"/>
  <c r="AH27" i="8"/>
  <c r="AI27" i="8"/>
  <c r="AH28" i="8"/>
  <c r="AI28" i="8"/>
  <c r="AI29" i="8"/>
  <c r="AI30" i="8"/>
  <c r="AI31" i="8"/>
  <c r="AH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H25" i="25" l="1"/>
  <c r="AH32" i="25" l="1"/>
  <c r="AH13" i="25"/>
  <c r="AH14" i="25"/>
  <c r="AI29" i="25"/>
  <c r="AI28" i="25"/>
  <c r="AI27" i="25"/>
  <c r="AI26" i="25"/>
  <c r="AI25" i="25"/>
  <c r="AI24" i="25"/>
  <c r="AH17" i="25" l="1"/>
  <c r="I3" i="21"/>
  <c r="I23" i="21"/>
  <c r="AJ32" i="25" l="1"/>
  <c r="AJ13" i="25"/>
  <c r="AJ12" i="25"/>
  <c r="AK29" i="25"/>
  <c r="AK28" i="25"/>
  <c r="AK27" i="25"/>
  <c r="AK26" i="25"/>
  <c r="AK25" i="25"/>
  <c r="AK24" i="25"/>
  <c r="AJ26" i="25" a="1"/>
  <c r="AJ26" i="25" l="1"/>
  <c r="AJ14" i="25"/>
  <c r="AJ27" i="25" s="1"/>
  <c r="AJ17" i="25" l="1"/>
  <c r="L27" i="25"/>
  <c r="L25" i="25"/>
  <c r="BO29" i="25"/>
  <c r="BO28" i="25"/>
  <c r="BO27" i="25"/>
  <c r="BO26" i="25"/>
  <c r="BO25" i="25"/>
  <c r="BO24" i="25"/>
  <c r="BE29" i="25"/>
  <c r="BE28" i="25"/>
  <c r="BE27" i="25"/>
  <c r="BE25" i="25"/>
  <c r="BE24" i="25"/>
  <c r="AS29" i="25"/>
  <c r="AS28" i="25"/>
  <c r="AS27" i="25"/>
  <c r="AS26" i="25"/>
  <c r="AS25" i="25"/>
  <c r="AS24" i="25"/>
  <c r="AO29" i="25"/>
  <c r="AO28" i="25"/>
  <c r="AO27" i="25"/>
  <c r="AO26" i="25"/>
  <c r="AO25" i="25"/>
  <c r="AO24" i="25"/>
  <c r="AG29" i="25"/>
  <c r="AG28" i="25"/>
  <c r="AG27" i="25"/>
  <c r="AG26" i="25"/>
  <c r="AG25" i="25"/>
  <c r="AG24" i="25"/>
  <c r="AE29" i="25"/>
  <c r="AE28" i="25"/>
  <c r="AE27" i="25"/>
  <c r="AE26" i="25"/>
  <c r="AE25" i="25"/>
  <c r="AE24" i="25"/>
  <c r="AC29" i="25"/>
  <c r="AC28" i="25"/>
  <c r="AC27" i="25"/>
  <c r="AC26" i="25"/>
  <c r="AC25" i="25"/>
  <c r="AC24" i="25"/>
  <c r="AA29" i="25"/>
  <c r="AA28" i="25"/>
  <c r="AA27" i="25"/>
  <c r="AA26" i="25"/>
  <c r="AA25" i="25"/>
  <c r="AA24" i="25"/>
  <c r="W29" i="25"/>
  <c r="W28" i="25"/>
  <c r="W27" i="25"/>
  <c r="W26" i="25"/>
  <c r="W25" i="25"/>
  <c r="W24" i="25"/>
  <c r="S29" i="25"/>
  <c r="S28" i="25"/>
  <c r="S27" i="25"/>
  <c r="S26" i="25"/>
  <c r="S25" i="25"/>
  <c r="S24" i="25"/>
  <c r="O29" i="25"/>
  <c r="O28" i="25"/>
  <c r="O27" i="25"/>
  <c r="O26" i="25"/>
  <c r="O25" i="25"/>
  <c r="O24" i="25"/>
  <c r="M29" i="25"/>
  <c r="M28" i="25"/>
  <c r="M27" i="25"/>
  <c r="M26" i="25"/>
  <c r="M25" i="25"/>
  <c r="M24" i="25"/>
  <c r="C29" i="25"/>
  <c r="C28" i="25"/>
  <c r="C27" i="25"/>
  <c r="C26" i="25"/>
  <c r="C25" i="25"/>
  <c r="C24" i="25"/>
  <c r="E29" i="25"/>
  <c r="E28" i="25"/>
  <c r="E27" i="25"/>
  <c r="E26" i="25"/>
  <c r="E25" i="25"/>
  <c r="E24" i="25"/>
  <c r="G29" i="25"/>
  <c r="G28" i="25"/>
  <c r="G27" i="25"/>
  <c r="G26" i="25"/>
  <c r="G25" i="25"/>
  <c r="G24" i="25"/>
  <c r="K29" i="25"/>
  <c r="K28" i="25"/>
  <c r="K27" i="25"/>
  <c r="K26" i="25"/>
  <c r="K25" i="25"/>
  <c r="K24" i="25"/>
  <c r="I28" i="25"/>
  <c r="D32" i="25"/>
  <c r="F32" i="25"/>
  <c r="L32" i="25"/>
  <c r="L14" i="25"/>
  <c r="L13" i="25"/>
  <c r="I29" i="25"/>
  <c r="I27" i="25"/>
  <c r="I26" i="25"/>
  <c r="I25" i="25"/>
  <c r="I24" i="25"/>
  <c r="L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J4" i="8"/>
  <c r="AB4" i="8"/>
  <c r="Z4" i="8"/>
  <c r="V4" i="8"/>
  <c r="X4" i="8" s="1"/>
  <c r="T4" i="8"/>
  <c r="R4" i="8"/>
  <c r="N4" i="8"/>
  <c r="L4" i="8"/>
  <c r="J4" i="8"/>
  <c r="H4" i="8"/>
  <c r="F4" i="8"/>
  <c r="E37" i="72" l="1"/>
  <c r="F46" i="26"/>
  <c r="BP3" i="25"/>
  <c r="BT3" i="25"/>
  <c r="BT18" i="25" s="1"/>
  <c r="BT19" i="25" s="1"/>
  <c r="F32" i="73"/>
  <c r="E39" i="72" a="1"/>
  <c r="E39" i="72" s="1"/>
  <c r="E40" i="72" s="1" a="1"/>
  <c r="E40" i="72" s="1"/>
  <c r="BB3" i="25"/>
  <c r="BB18" i="25" s="1"/>
  <c r="BB19" i="25" s="1"/>
  <c r="G31" i="71"/>
  <c r="G33" i="71" s="1" a="1"/>
  <c r="G33" i="71" s="1"/>
  <c r="G34" i="71" s="1" a="1"/>
  <c r="G34" i="71" s="1"/>
  <c r="I44" i="70"/>
  <c r="T3" i="25"/>
  <c r="T18" i="25" s="1"/>
  <c r="T19" i="25" s="1"/>
  <c r="V3" i="25"/>
  <c r="BH3" i="25"/>
  <c r="X3" i="25"/>
  <c r="AV3" i="25"/>
  <c r="F30" i="76" s="1"/>
  <c r="F32" i="76" s="1" a="1"/>
  <c r="F32" i="76" s="1"/>
  <c r="F33" i="76" s="1" a="1"/>
  <c r="F33" i="76" s="1"/>
  <c r="AZ3" i="25"/>
  <c r="AZ18" i="25" s="1"/>
  <c r="AZ19" i="25" s="1"/>
  <c r="E25" i="69"/>
  <c r="E27" i="69" s="1" a="1"/>
  <c r="E27" i="69" s="1"/>
  <c r="E28" i="69" s="1" a="1"/>
  <c r="E28" i="69" s="1"/>
  <c r="BF3" i="25"/>
  <c r="BF18" i="25" s="1"/>
  <c r="BF19" i="25" s="1"/>
  <c r="BL3" i="25"/>
  <c r="BL18" i="25" s="1"/>
  <c r="BL19" i="25" s="1"/>
  <c r="F60" i="68"/>
  <c r="BR3" i="25"/>
  <c r="BR18" i="25" s="1"/>
  <c r="BR19" i="25" s="1"/>
  <c r="BJ3" i="25"/>
  <c r="BJ18" i="25" s="1"/>
  <c r="BJ19" i="25" s="1"/>
  <c r="F37" i="65"/>
  <c r="F39" i="65" s="1" a="1"/>
  <c r="F39" i="65" s="1"/>
  <c r="F40" i="65" s="1" a="1"/>
  <c r="F40" i="65" s="1"/>
  <c r="AL3" i="25"/>
  <c r="AL18" i="25" s="1"/>
  <c r="AL19" i="25" s="1"/>
  <c r="E28" i="64"/>
  <c r="E30" i="64" s="1" a="1"/>
  <c r="E30" i="64" s="1"/>
  <c r="E31" i="64" s="1" a="1"/>
  <c r="E31" i="64" s="1"/>
  <c r="F33" i="62"/>
  <c r="BR3" i="61"/>
  <c r="CH3" i="61"/>
  <c r="CD3" i="61"/>
  <c r="G44" i="35"/>
  <c r="G46" i="35" s="1" a="1"/>
  <c r="G46" i="35" s="1"/>
  <c r="G47" i="35" s="1" a="1"/>
  <c r="G47" i="35" s="1"/>
  <c r="AJ3" i="25"/>
  <c r="AJ18" i="25" s="1"/>
  <c r="AJ19" i="25" s="1"/>
  <c r="X18" i="25" l="1"/>
  <c r="X19" i="25" s="1"/>
  <c r="F6" i="14"/>
  <c r="D6" i="14"/>
  <c r="AJ6" i="8"/>
  <c r="AB6" i="8"/>
  <c r="Z6" i="8"/>
  <c r="V6" i="8"/>
  <c r="X6" i="8" s="1"/>
  <c r="T6" i="8"/>
  <c r="R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N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H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J32" i="25" l="1"/>
  <c r="J13" i="25"/>
  <c r="J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J14" i="25"/>
  <c r="J36" i="40"/>
  <c r="G36" i="40"/>
  <c r="H48" i="40" s="1"/>
  <c r="J42" i="40" l="1"/>
  <c r="I42" i="40"/>
  <c r="I48" i="40"/>
  <c r="J48" i="40"/>
  <c r="G42" i="40"/>
  <c r="G48" i="40"/>
  <c r="H42" i="40"/>
  <c r="J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J18" i="25" l="1"/>
  <c r="J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Z29" i="8"/>
  <c r="V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P32" i="25"/>
  <c r="P14" i="25"/>
  <c r="P13" i="25"/>
  <c r="P17" i="25" l="1"/>
  <c r="O24" i="3" a="1"/>
  <c r="O24" i="3" s="1"/>
  <c r="C13" i="57"/>
  <c r="D13" i="57" s="1"/>
  <c r="F13" i="57" s="1"/>
  <c r="E13" i="57" l="1" a="1"/>
  <c r="E13" i="57" s="1"/>
  <c r="A14" i="57" l="1"/>
  <c r="B14" i="57"/>
  <c r="C14" i="57" l="1"/>
  <c r="D14" i="57" s="1"/>
  <c r="F14" i="57" s="1"/>
  <c r="E14" i="57" l="1" a="1"/>
  <c r="E14" i="57" s="1"/>
  <c r="C7" i="5"/>
  <c r="C8" i="5" s="1"/>
  <c r="AB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Z32" i="25" l="1"/>
  <c r="Z12" i="25"/>
  <c r="Z13" i="25"/>
  <c r="Z25" i="25" a="1"/>
  <c r="Z26" i="25" a="1"/>
  <c r="Z26" i="25" l="1"/>
  <c r="Z25" i="25"/>
  <c r="Z14" i="25"/>
  <c r="Z17" i="25" s="1"/>
  <c r="M33" i="5"/>
  <c r="L33" i="5"/>
  <c r="M32" i="5"/>
  <c r="L32" i="5"/>
  <c r="K32" i="5" a="1"/>
  <c r="K32" i="5" s="1"/>
  <c r="AJ29" i="8"/>
  <c r="AB29" i="8"/>
  <c r="L29" i="8"/>
  <c r="AJ28" i="8"/>
  <c r="AB28" i="8"/>
  <c r="Z28" i="8"/>
  <c r="V28" i="8"/>
  <c r="T28" i="8"/>
  <c r="N28" i="8"/>
  <c r="L28" i="8"/>
  <c r="J28" i="8"/>
  <c r="H28" i="8"/>
  <c r="AJ27" i="8"/>
  <c r="AB27" i="8"/>
  <c r="Z27" i="8"/>
  <c r="T27" i="8"/>
  <c r="N27" i="8"/>
  <c r="L27" i="8"/>
  <c r="H27" i="8"/>
  <c r="AJ26" i="8"/>
  <c r="Z26" i="8"/>
  <c r="V26" i="8"/>
  <c r="T26" i="8"/>
  <c r="R26" i="8"/>
  <c r="N26" i="8"/>
  <c r="L26" i="8"/>
  <c r="J26" i="8"/>
  <c r="H26" i="8"/>
  <c r="BP32" i="25" l="1"/>
  <c r="BP14" i="25"/>
  <c r="BP13" i="25"/>
  <c r="BP17" i="25" l="1"/>
  <c r="BP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N32" i="25" l="1"/>
  <c r="BN14" i="25"/>
  <c r="BN13" i="25"/>
  <c r="BN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H32" i="25"/>
  <c r="BH13" i="25"/>
  <c r="BH14" i="25"/>
  <c r="BD32" i="25"/>
  <c r="BD13" i="25"/>
  <c r="BD12" i="25"/>
  <c r="F3" i="25"/>
  <c r="D3" i="25"/>
  <c r="D12" i="25"/>
  <c r="D13" i="25"/>
  <c r="M27" i="5"/>
  <c r="L27" i="5"/>
  <c r="K27" i="5" a="1"/>
  <c r="K27" i="5" s="1"/>
  <c r="M26" i="5"/>
  <c r="L30" i="5"/>
  <c r="M30" i="5"/>
  <c r="L31" i="5"/>
  <c r="V27" i="8"/>
  <c r="J27" i="8"/>
  <c r="M31" i="5"/>
  <c r="O21" i="43" l="1" a="1"/>
  <c r="O21" i="43" s="1"/>
  <c r="K23" i="43" a="1"/>
  <c r="K23" i="43" s="1"/>
  <c r="J22" i="43" a="1"/>
  <c r="J22" i="43" s="1"/>
  <c r="N22" i="43" a="1"/>
  <c r="N22" i="43" s="1"/>
  <c r="M22" i="43" a="1"/>
  <c r="M22" i="43" s="1"/>
  <c r="D24" i="44"/>
  <c r="F35" i="44"/>
  <c r="F34" i="44"/>
  <c r="F35" i="25"/>
  <c r="D25" i="25"/>
  <c r="D26" i="25"/>
  <c r="BH17" i="25"/>
  <c r="BH18" i="25" s="1"/>
  <c r="BD14" i="25"/>
  <c r="BD17" i="25" s="1"/>
  <c r="D14" i="25"/>
  <c r="D23" i="45"/>
  <c r="D13" i="44"/>
  <c r="D27" i="44" s="1"/>
  <c r="C23" i="45"/>
  <c r="C28" i="45" s="1"/>
  <c r="I23" i="43" a="1"/>
  <c r="I23" i="43" s="1"/>
  <c r="D36" i="25" l="1"/>
  <c r="F34" i="25"/>
  <c r="F39" i="25" s="1"/>
  <c r="J23" i="43" a="1"/>
  <c r="J23" i="43" s="1"/>
  <c r="N23" i="43" a="1"/>
  <c r="N23" i="43" s="1"/>
  <c r="M23" i="43" a="1"/>
  <c r="M23" i="43" s="1"/>
  <c r="O22" i="43" a="1"/>
  <c r="O22" i="43" s="1"/>
  <c r="P22" i="43" a="1"/>
  <c r="P22" i="43" s="1"/>
  <c r="D28" i="45"/>
  <c r="F17" i="25"/>
  <c r="F18" i="25" s="1"/>
  <c r="D17" i="25"/>
  <c r="D18" i="25" s="1"/>
  <c r="D14" i="44"/>
  <c r="D28" i="44" s="1"/>
  <c r="AB20" i="8"/>
  <c r="AB34" i="8"/>
  <c r="AC31" i="8"/>
  <c r="AC30" i="8"/>
  <c r="AC29" i="8"/>
  <c r="AC28" i="8"/>
  <c r="AC27" i="8"/>
  <c r="AC26" i="8"/>
  <c r="AC25" i="8"/>
  <c r="AA31" i="8"/>
  <c r="AA30" i="8"/>
  <c r="AA29" i="8"/>
  <c r="AA28" i="8"/>
  <c r="AA27" i="8"/>
  <c r="AA26" i="8"/>
  <c r="AA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S31" i="8"/>
  <c r="S30" i="8"/>
  <c r="S29" i="8"/>
  <c r="S28" i="8"/>
  <c r="S27" i="8"/>
  <c r="S26" i="8"/>
  <c r="S25" i="8"/>
  <c r="U31" i="8"/>
  <c r="U30" i="8"/>
  <c r="U29" i="8"/>
  <c r="U28" i="8"/>
  <c r="U27" i="8"/>
  <c r="U26" i="8"/>
  <c r="U25" i="8"/>
  <c r="W31" i="8"/>
  <c r="W30" i="8"/>
  <c r="W29" i="8"/>
  <c r="W28" i="8"/>
  <c r="W27" i="8"/>
  <c r="W26" i="8"/>
  <c r="W25" i="8"/>
  <c r="C13" i="42"/>
  <c r="B14" i="42"/>
  <c r="C16" i="42"/>
  <c r="B17" i="42"/>
  <c r="C18" i="42"/>
  <c r="C12" i="42"/>
  <c r="B12" i="42"/>
  <c r="H26" i="40"/>
  <c r="F26" i="40"/>
  <c r="E26" i="40"/>
  <c r="AR32" i="25"/>
  <c r="AR14" i="25"/>
  <c r="AR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F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R17" i="25"/>
  <c r="AR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N32" i="25"/>
  <c r="AN13" i="25"/>
  <c r="AN14" i="25"/>
  <c r="AF13" i="25"/>
  <c r="AF12" i="25"/>
  <c r="AF32" i="25"/>
  <c r="AD32" i="25"/>
  <c r="AD13" i="25"/>
  <c r="AD12" i="25"/>
  <c r="AB32" i="25"/>
  <c r="AB12" i="25"/>
  <c r="AB13" i="25"/>
  <c r="C24" i="35"/>
  <c r="C26" i="35" s="1"/>
  <c r="G25" i="35"/>
  <c r="G5" i="35"/>
  <c r="F23" i="39" l="1"/>
  <c r="C24" i="39" a="1"/>
  <c r="C24" i="39" s="1"/>
  <c r="D24" i="39"/>
  <c r="B9" i="38"/>
  <c r="D8" i="38"/>
  <c r="C8" i="38"/>
  <c r="F37" i="44"/>
  <c r="AH3" i="25"/>
  <c r="AH18" i="25" s="1"/>
  <c r="AH19" i="25" s="1"/>
  <c r="L3" i="25"/>
  <c r="L18" i="25" s="1"/>
  <c r="L19" i="25" s="1"/>
  <c r="AN17" i="25"/>
  <c r="AN18" i="25" s="1"/>
  <c r="C25" i="41"/>
  <c r="K25" i="41" s="1"/>
  <c r="I31" i="41"/>
  <c r="AD14" i="25"/>
  <c r="AD17" i="25" s="1"/>
  <c r="AB14" i="25"/>
  <c r="AF14" i="25"/>
  <c r="AF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V32" i="25"/>
  <c r="V14" i="25"/>
  <c r="V13" i="25"/>
  <c r="C48" i="5"/>
  <c r="F32" i="74" s="1"/>
  <c r="R32" i="25"/>
  <c r="R14" i="25"/>
  <c r="R13" i="25"/>
  <c r="F24" i="39" l="1"/>
  <c r="F31" i="39" s="1"/>
  <c r="C9" i="38"/>
  <c r="D9" i="38"/>
  <c r="V26" i="25"/>
  <c r="V25" i="25"/>
  <c r="AH12" i="8"/>
  <c r="AH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V17" i="25"/>
  <c r="V18" i="25" s="1"/>
  <c r="V19" i="25" s="1"/>
  <c r="AB17" i="25"/>
  <c r="R17" i="25"/>
  <c r="R18" i="25" s="1"/>
  <c r="R19" i="25" s="1"/>
  <c r="C29" i="41"/>
  <c r="K29" i="41" s="1"/>
  <c r="C27" i="41"/>
  <c r="H27" i="41" s="1"/>
  <c r="H31" i="41" s="1"/>
  <c r="C26" i="41"/>
  <c r="F53" i="33" a="1"/>
  <c r="F53" i="33" s="1"/>
  <c r="F64" i="34" a="1"/>
  <c r="F64" i="34" s="1"/>
  <c r="F63" i="34" a="1"/>
  <c r="F63" i="34" s="1"/>
  <c r="C13" i="50" a="1"/>
  <c r="C13" i="50" s="1"/>
  <c r="C15" i="49" a="1"/>
  <c r="C15" i="49" s="1"/>
  <c r="C13" i="48" a="1"/>
  <c r="C13" i="48" s="1"/>
  <c r="AB7" i="8"/>
  <c r="BH19" i="25"/>
  <c r="J20" i="40" a="1"/>
  <c r="J20" i="40" s="1"/>
  <c r="D19" i="25"/>
  <c r="C12" i="39" a="1"/>
  <c r="C12" i="39" s="1"/>
  <c r="F19" i="25"/>
  <c r="AR19" i="25"/>
  <c r="AB7" i="14"/>
  <c r="B10" i="38"/>
  <c r="F48" i="34"/>
  <c r="F49" i="34"/>
  <c r="C10" i="30"/>
  <c r="C11" i="30" s="1"/>
  <c r="C12" i="30" s="1"/>
  <c r="C13" i="30" s="1"/>
  <c r="D9" i="30"/>
  <c r="I20" i="29" a="1"/>
  <c r="I20" i="29" s="1"/>
  <c r="H22" i="29" s="1" a="1"/>
  <c r="H22" i="29" s="1"/>
  <c r="H22" i="28" a="1"/>
  <c r="H22" i="28" s="1"/>
  <c r="F57" i="30" a="1"/>
  <c r="F6" i="32" a="1"/>
  <c r="AH30" i="8" a="1"/>
  <c r="G31" i="39" l="1"/>
  <c r="D10" i="38"/>
  <c r="C10" i="38"/>
  <c r="E3" i="64"/>
  <c r="AH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AV32" i="25"/>
  <c r="AV14" i="25"/>
  <c r="AV13" i="25"/>
  <c r="E36" i="64" a="1"/>
  <c r="E6" i="64" a="1"/>
  <c r="E6" i="64" l="1"/>
  <c r="D11" i="38"/>
  <c r="C11" i="38"/>
  <c r="F40" i="32" a="1"/>
  <c r="F40" i="32" s="1"/>
  <c r="E36" i="64"/>
  <c r="K27" i="41"/>
  <c r="K31" i="41"/>
  <c r="AV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AV18" i="25"/>
  <c r="AV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N32" i="25"/>
  <c r="N13" i="25"/>
  <c r="N14" i="25"/>
  <c r="D13" i="38" l="1"/>
  <c r="C13" i="38"/>
  <c r="N17" i="25"/>
  <c r="N18" i="25" s="1"/>
  <c r="M24" i="29" a="1"/>
  <c r="M24" i="29" s="1"/>
  <c r="N24" i="29" a="1"/>
  <c r="N24" i="29" s="1"/>
  <c r="J24" i="29" a="1"/>
  <c r="J24" i="29" s="1"/>
  <c r="M24" i="28" a="1"/>
  <c r="M24" i="28" s="1"/>
  <c r="N24" i="28" a="1"/>
  <c r="N24" i="28" s="1"/>
  <c r="J24" i="28" a="1"/>
  <c r="J24" i="28" s="1"/>
  <c r="C22" i="29"/>
  <c r="B14" i="38"/>
  <c r="D22" i="29"/>
  <c r="O23" i="29" a="1"/>
  <c r="O23" i="29" s="1"/>
  <c r="P23" i="29" a="1"/>
  <c r="P23" i="29" s="1"/>
  <c r="AX32" i="25"/>
  <c r="B15" i="38" l="1"/>
  <c r="D14" i="38"/>
  <c r="C14" i="38"/>
  <c r="C23" i="29"/>
  <c r="O24" i="29" a="1"/>
  <c r="O24" i="29" s="1"/>
  <c r="P24" i="29" a="1"/>
  <c r="P24" i="29" s="1"/>
  <c r="O24" i="28" a="1"/>
  <c r="O24" i="28" s="1"/>
  <c r="P24" i="28" a="1"/>
  <c r="P24" i="28" s="1"/>
  <c r="D23" i="29"/>
  <c r="N19" i="25"/>
  <c r="D15" i="38" l="1"/>
  <c r="C15" i="38"/>
  <c r="J20" i="8"/>
  <c r="J34" i="8"/>
  <c r="H12" i="25" l="1"/>
  <c r="H32" i="25"/>
  <c r="D32" i="26"/>
  <c r="D33" i="26" s="1"/>
  <c r="D34" i="26" s="1"/>
  <c r="C32" i="26"/>
  <c r="C33" i="26" s="1"/>
  <c r="C34" i="26" s="1"/>
  <c r="D27" i="26"/>
  <c r="C27" i="26"/>
  <c r="BY2" i="25"/>
  <c r="N3" i="24"/>
  <c r="J3" i="24"/>
  <c r="L3" i="24" s="1"/>
  <c r="H76" i="24"/>
  <c r="J76" i="24"/>
  <c r="N76" i="24"/>
  <c r="P2" i="24"/>
  <c r="P76" i="24" s="1"/>
  <c r="F40" i="66" l="1" a="1"/>
  <c r="F40" i="66" s="1"/>
  <c r="F41" i="66" s="1" a="1"/>
  <c r="F41" i="66" s="1"/>
  <c r="D28" i="26"/>
  <c r="D29" i="26" s="1"/>
  <c r="C28" i="26"/>
  <c r="C29" i="26" s="1"/>
  <c r="H14" i="25"/>
  <c r="H13" i="25"/>
  <c r="F2" i="26" l="1"/>
  <c r="H17" i="25"/>
  <c r="H18" i="25" s="1"/>
  <c r="AX12" i="25"/>
  <c r="AX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5" i="26" a="1"/>
  <c r="F5" i="26" a="1"/>
  <c r="F56"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AX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AX17" i="25"/>
  <c r="F47" i="26"/>
  <c r="F48" i="26" s="1"/>
  <c r="F49" i="26" s="1" a="1"/>
  <c r="F49" i="26" s="1"/>
  <c r="S3" i="9"/>
  <c r="E10" i="18"/>
  <c r="E14" i="18"/>
  <c r="E18" i="18"/>
  <c r="I16" i="21"/>
  <c r="H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J34" i="8"/>
  <c r="Z34" i="8"/>
  <c r="V34" i="8"/>
  <c r="T34" i="8"/>
  <c r="R34" i="8"/>
  <c r="N34" i="8"/>
  <c r="L34" i="8"/>
  <c r="H34" i="8"/>
  <c r="D34" i="8"/>
  <c r="X37" i="14"/>
  <c r="T37" i="14"/>
  <c r="P37" i="14"/>
  <c r="N37" i="14"/>
  <c r="L37" i="14"/>
  <c r="H37" i="14"/>
  <c r="F37" i="14"/>
  <c r="P32" i="14"/>
  <c r="H6" i="18" a="1"/>
  <c r="H39" i="22" a="1"/>
  <c r="H35" i="22" a="1"/>
  <c r="H27" i="22" a="1"/>
  <c r="H43" i="22" a="1"/>
  <c r="H51" i="22" a="1"/>
  <c r="H47" i="22" a="1"/>
  <c r="H23" i="22" a="1"/>
  <c r="H51" i="18"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J20" i="8"/>
  <c r="Z20" i="8"/>
  <c r="V20" i="8"/>
  <c r="X20" i="8" s="1"/>
  <c r="T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AX3" i="25"/>
  <c r="E26" i="42"/>
  <c r="I13" i="41"/>
  <c r="P3" i="25"/>
  <c r="Z3" i="25"/>
  <c r="BP19" i="25"/>
  <c r="F37" i="54"/>
  <c r="H41" i="18"/>
  <c r="BN3" i="25"/>
  <c r="F36" i="45"/>
  <c r="F36" i="43"/>
  <c r="BD3" i="25"/>
  <c r="AB3" i="25"/>
  <c r="AD3" i="25"/>
  <c r="AF3" i="25"/>
  <c r="AN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X31" i="14" a="1"/>
  <c r="F11" i="62" a="1"/>
  <c r="F24" i="74" l="1"/>
  <c r="F26" i="74" s="1"/>
  <c r="F33" i="74" s="1" a="1"/>
  <c r="F33" i="74" s="1"/>
  <c r="F34" i="74" s="1" a="1"/>
  <c r="F34" i="74" s="1"/>
  <c r="F35" i="74" s="1" a="1"/>
  <c r="F35" i="74" s="1"/>
  <c r="D27" i="23"/>
  <c r="C27" i="23"/>
  <c r="J31" i="23"/>
  <c r="N31" i="23" a="1"/>
  <c r="N31" i="23" s="1"/>
  <c r="M31" i="23" a="1"/>
  <c r="M31" i="23" s="1"/>
  <c r="K32" i="23" a="1"/>
  <c r="K32" i="23" s="1"/>
  <c r="L32" i="23" a="1"/>
  <c r="L32" i="23" s="1"/>
  <c r="O30" i="23" a="1"/>
  <c r="O30" i="23" s="1"/>
  <c r="P30" i="23" a="1"/>
  <c r="P30" i="23" s="1"/>
  <c r="D6" i="74"/>
  <c r="F3" i="74" a="1"/>
  <c r="F3" i="74" s="1"/>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F18" i="25"/>
  <c r="AF19" i="25" s="1"/>
  <c r="F38" i="45"/>
  <c r="F39" i="45" s="1" a="1"/>
  <c r="F39" i="45" s="1"/>
  <c r="P18" i="25"/>
  <c r="P19" i="25" s="1"/>
  <c r="AX18" i="25"/>
  <c r="AX19" i="25" s="1"/>
  <c r="AD18" i="25"/>
  <c r="AD19" i="25" s="1"/>
  <c r="BN18" i="25"/>
  <c r="BN19" i="25" s="1"/>
  <c r="Z18" i="25"/>
  <c r="Z19" i="25" s="1"/>
  <c r="F55" i="34"/>
  <c r="F56" i="34" s="1" a="1"/>
  <c r="F56" i="34" s="1"/>
  <c r="AB18" i="25"/>
  <c r="AB19" i="25" s="1"/>
  <c r="BD18" i="25"/>
  <c r="BD19" i="25" s="1"/>
  <c r="I32" i="23"/>
  <c r="H35" i="23"/>
  <c r="C14" i="42"/>
  <c r="B13" i="42"/>
  <c r="C17" i="42"/>
  <c r="C17" i="19"/>
  <c r="C9" i="19"/>
  <c r="C19" i="19"/>
  <c r="C11" i="19"/>
  <c r="C15" i="19"/>
  <c r="C7" i="19"/>
  <c r="C21" i="19"/>
  <c r="C13" i="19"/>
  <c r="F15" i="62" a="1"/>
  <c r="F6" i="74" a="1"/>
  <c r="F19" i="62" a="1"/>
  <c r="L35" i="23" l="1" a="1"/>
  <c r="L35" i="23" s="1"/>
  <c r="K35" i="23" a="1"/>
  <c r="K35" i="23" s="1"/>
  <c r="N32" i="23" a="1"/>
  <c r="N32" i="23" s="1"/>
  <c r="M32" i="23" a="1"/>
  <c r="M32" i="23" s="1"/>
  <c r="P31" i="23" a="1"/>
  <c r="P31" i="23" s="1"/>
  <c r="O31" i="23" a="1"/>
  <c r="O31" i="23" s="1"/>
  <c r="F6" i="74"/>
  <c r="F40" i="74"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J7" i="8"/>
  <c r="Z7" i="8"/>
  <c r="V7" i="8"/>
  <c r="X7" i="8" s="1"/>
  <c r="T7" i="8"/>
  <c r="R7" i="8"/>
  <c r="N7" i="8"/>
  <c r="L7" i="8"/>
  <c r="H7" i="8"/>
  <c r="T29" i="8"/>
  <c r="AD3" i="5" a="1"/>
  <c r="AD3" i="5" s="1"/>
  <c r="AD9" i="5" s="1"/>
  <c r="F32" i="68" a="1"/>
  <c r="E5" i="42" a="1"/>
  <c r="F23" i="62" a="1"/>
  <c r="F6" i="68" a="1"/>
  <c r="F44" i="68" a="1"/>
  <c r="F27" i="68" a="1"/>
  <c r="F37"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46" i="31" a="1"/>
  <c r="F34" i="31" a="1"/>
  <c r="E6" i="15" a="1"/>
  <c r="F6" i="31" a="1"/>
  <c r="F19" i="31" a="1"/>
  <c r="F30" i="31" a="1"/>
  <c r="F26" i="31" a="1"/>
  <c r="F38"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F40" i="23" a="1"/>
  <c r="AL18" i="61" a="1"/>
  <c r="AH18" i="61" a="1"/>
  <c r="CT18" i="61" a="1"/>
  <c r="CD18" i="61" a="1"/>
  <c r="CP18" i="61" a="1"/>
  <c r="AT18" i="61" a="1"/>
  <c r="F30" i="23" a="1"/>
  <c r="F5" i="36" a="1"/>
  <c r="AP18" i="61" a="1"/>
  <c r="CX18" i="61" a="1"/>
  <c r="F8" i="23" a="1"/>
  <c r="CH18" i="61" a="1"/>
  <c r="AX18" i="61" a="1"/>
  <c r="N18" i="61" a="1"/>
  <c r="BF18" i="61" a="1"/>
  <c r="BB18" i="61" a="1"/>
  <c r="Z18" i="61" a="1"/>
  <c r="F25" i="23" a="1"/>
  <c r="CL18" i="61" a="1"/>
  <c r="E6" i="51" a="1"/>
  <c r="AD18" i="61" a="1"/>
  <c r="BJ18" i="61" a="1"/>
  <c r="R18" i="61" a="1"/>
  <c r="J18" i="61" a="1"/>
  <c r="BN52" i="61" a="1"/>
  <c r="BV18" i="61" a="1"/>
  <c r="BN18" i="61" a="1"/>
  <c r="F35" i="23" a="1"/>
  <c r="BZ18" i="61" a="1"/>
  <c r="V18" i="61"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76" i="61" s="1" a="1"/>
  <c r="J76" i="61" s="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30" i="61" a="1"/>
  <c r="BN5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Z73" i="61" s="1"/>
  <c r="E47" i="40"/>
  <c r="L35" i="40"/>
  <c r="F41" i="40"/>
  <c r="F47" i="40"/>
  <c r="R67" i="6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R18" i="61" a="1"/>
  <c r="BN42" i="61" a="1"/>
  <c r="Z15" i="61" a="1"/>
  <c r="N68" i="61" l="1"/>
  <c r="N69" i="61" s="1"/>
  <c r="CT73" i="61"/>
  <c r="F39" i="32"/>
  <c r="V25" i="8"/>
  <c r="H57" i="22"/>
  <c r="AH24" i="25"/>
  <c r="CP73" i="61"/>
  <c r="AD24" i="25"/>
  <c r="M54" i="40"/>
  <c r="G61" i="35"/>
  <c r="E35" i="42"/>
  <c r="AB24" i="25"/>
  <c r="BH24" i="25"/>
  <c r="G40" i="71"/>
  <c r="AJ25" i="8"/>
  <c r="AN24" i="25"/>
  <c r="AB28" i="14"/>
  <c r="D25" i="8"/>
  <c r="H50" i="18"/>
  <c r="F28" i="14"/>
  <c r="F53" i="26"/>
  <c r="O23" i="48"/>
  <c r="AL24" i="25"/>
  <c r="E35" i="64"/>
  <c r="AF28" i="14"/>
  <c r="H25" i="8"/>
  <c r="F45" i="45"/>
  <c r="T28" i="14"/>
  <c r="I22" i="21"/>
  <c r="F24" i="25"/>
  <c r="P25" i="8"/>
  <c r="R28" i="14"/>
  <c r="AT24" i="25"/>
  <c r="Z24" i="25"/>
  <c r="P24" i="25"/>
  <c r="L28" i="14"/>
  <c r="AV24" i="25"/>
  <c r="AH25" i="8"/>
  <c r="C30" i="52"/>
  <c r="BL24" i="25"/>
  <c r="T24" i="25"/>
  <c r="J25" i="8"/>
  <c r="L54" i="40"/>
  <c r="R24" i="25"/>
  <c r="F25" i="8"/>
  <c r="G51" i="35"/>
  <c r="BF24" i="25"/>
  <c r="BJ24" i="25"/>
  <c r="F39" i="74"/>
  <c r="BN42" i="61"/>
  <c r="BN43" i="61"/>
  <c r="BN44" i="61"/>
  <c r="F37" i="69"/>
  <c r="E44" i="72"/>
  <c r="AD28" i="14"/>
  <c r="BR21" i="61"/>
  <c r="BR25" i="61"/>
  <c r="BR18" i="61"/>
  <c r="BR22" i="61"/>
  <c r="BR26" i="61"/>
  <c r="BR19" i="61"/>
  <c r="BR23" i="61"/>
  <c r="BR27" i="61"/>
  <c r="BR20" i="61"/>
  <c r="BR24" i="61"/>
  <c r="F42" i="62"/>
  <c r="Z25" i="8"/>
  <c r="N25" i="8"/>
  <c r="AF24" i="25"/>
  <c r="BD24" i="25"/>
  <c r="F62" i="34"/>
  <c r="H28" i="14"/>
  <c r="X28" i="14"/>
  <c r="F20" i="17"/>
  <c r="F45" i="66"/>
  <c r="O3" i="49"/>
  <c r="AR24" i="25"/>
  <c r="D24" i="25"/>
  <c r="AB25" i="8"/>
  <c r="L24" i="25"/>
  <c r="J24" i="25"/>
  <c r="BR24" i="25"/>
  <c r="AD25" i="8"/>
  <c r="Z28" i="14"/>
  <c r="E37" i="69"/>
  <c r="AL25" i="8"/>
  <c r="AP24" i="25"/>
  <c r="CX73" i="61"/>
  <c r="BB24" i="25"/>
  <c r="V28" i="14"/>
  <c r="F65" i="31"/>
  <c r="K84" i="67"/>
  <c r="S38" i="9"/>
  <c r="T25" i="8"/>
  <c r="L25" i="8"/>
  <c r="BN24" i="25"/>
  <c r="AX24" i="25"/>
  <c r="P28" i="14"/>
  <c r="BP24" i="25"/>
  <c r="N28" i="14"/>
  <c r="H24" i="25"/>
  <c r="N24" i="25"/>
  <c r="F28" i="39"/>
  <c r="F52" i="33"/>
  <c r="V24" i="25"/>
  <c r="P18" i="50"/>
  <c r="C26" i="53"/>
  <c r="D28" i="14"/>
  <c r="F46" i="65"/>
  <c r="X24" i="25"/>
  <c r="AJ24" i="25"/>
  <c r="AF25" i="8"/>
  <c r="AZ24" i="25"/>
  <c r="X25" i="8"/>
  <c r="J28" i="14"/>
  <c r="F48" i="75"/>
  <c r="AD73" i="61"/>
  <c r="AH73" i="61"/>
  <c r="G28" i="39"/>
  <c r="F37" i="76"/>
  <c r="BT24" i="25"/>
  <c r="N73" i="61"/>
  <c r="Z15" i="61"/>
  <c r="BR63" i="61"/>
  <c r="AP99" i="61"/>
  <c r="AX99" i="61"/>
  <c r="J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4" i="61" a="1"/>
  <c r="CT15" i="61" a="1"/>
  <c r="R25" i="14" a="1"/>
  <c r="AH15" i="61" a="1"/>
  <c r="L22" i="25" a="1"/>
  <c r="CH15" i="61" a="1"/>
  <c r="AF22" i="25" a="1"/>
  <c r="CP15" i="61" a="1"/>
  <c r="BD22" i="25" a="1"/>
  <c r="H23" i="8" a="1"/>
  <c r="AF23" i="8" a="1"/>
  <c r="CL15" i="61" a="1"/>
  <c r="AL22" i="25" a="1"/>
  <c r="H22" i="25" a="1"/>
  <c r="S35" i="9" a="1"/>
  <c r="Z25" i="14" a="1"/>
  <c r="C52" i="33" a="1"/>
  <c r="BV15" i="61" a="1"/>
  <c r="H25" i="14" a="1"/>
  <c r="V23" i="8" a="1"/>
  <c r="AX15" i="61" a="1"/>
  <c r="C35" i="64" a="1"/>
  <c r="AH22" i="25" a="1"/>
  <c r="AD25" i="14" a="1"/>
  <c r="AF25" i="14" a="1"/>
  <c r="BB15" i="61" a="1"/>
  <c r="AT22" i="25" a="1"/>
  <c r="D48" i="75" a="1"/>
  <c r="AB22" i="25" a="1"/>
  <c r="T22" i="25" a="1"/>
  <c r="AV22" i="25" a="1"/>
  <c r="AZ22" i="25" a="1"/>
  <c r="D23" i="8" a="1"/>
  <c r="D46" i="65" a="1"/>
  <c r="AD22" i="25" a="1"/>
  <c r="AX22" i="25" a="1"/>
  <c r="V25" i="14" a="1"/>
  <c r="L23" i="8" a="1"/>
  <c r="CD15" i="61" a="1"/>
  <c r="Z22" i="25" a="1"/>
  <c r="AB23" i="8" a="1"/>
  <c r="E40" i="71" a="1"/>
  <c r="H84" i="67" a="1"/>
  <c r="AR22" i="25" a="1"/>
  <c r="X23" i="8" a="1"/>
  <c r="C35" i="42" a="1"/>
  <c r="F18" i="39" a="1"/>
  <c r="P23" i="8" a="1"/>
  <c r="E34" i="69" a="1"/>
  <c r="L25" i="14" a="1"/>
  <c r="BR22" i="25" a="1"/>
  <c r="AT15" i="61" a="1"/>
  <c r="D25" i="14" a="1"/>
  <c r="C62" i="23" a="1"/>
  <c r="E13" i="22" a="1"/>
  <c r="R22" i="25" a="1"/>
  <c r="BJ15" i="61" a="1"/>
  <c r="BN22" i="25" a="1"/>
  <c r="F22" i="25" a="1"/>
  <c r="BP22" i="25" a="1"/>
  <c r="R15" i="61" a="1"/>
  <c r="D65" i="31" a="1"/>
  <c r="BF15" i="61" a="1"/>
  <c r="AN22" i="25" a="1"/>
  <c r="N23" i="8" a="1"/>
  <c r="BJ22" i="25" a="1"/>
  <c r="BZ15" i="61" a="1"/>
  <c r="D22" i="25" a="1"/>
  <c r="T23" i="8" a="1"/>
  <c r="V15" i="61" a="1"/>
  <c r="AJ23" i="8" a="1"/>
  <c r="F3" i="21" a="1"/>
  <c r="J23" i="8" a="1"/>
  <c r="P22" i="25" a="1"/>
  <c r="C44" i="72" a="1"/>
  <c r="O20" i="48" a="1"/>
  <c r="T25" i="14" a="1"/>
  <c r="BH22" i="25" a="1"/>
  <c r="AL23" i="8" a="1"/>
  <c r="C31" i="51" a="1"/>
  <c r="AJ22" i="25" a="1"/>
  <c r="BL22" i="25" a="1"/>
  <c r="F25" i="14" a="1"/>
  <c r="D37" i="76" a="1"/>
  <c r="BT22" i="25" a="1"/>
  <c r="AB25" i="14" a="1"/>
  <c r="Z23" i="8" a="1"/>
  <c r="V22" i="25" a="1"/>
  <c r="D39" i="74" a="1"/>
  <c r="CX15" i="61" a="1"/>
  <c r="J22" i="25" a="1"/>
  <c r="C39" i="32" a="1"/>
  <c r="AH23" i="8" a="1"/>
  <c r="AL15" i="61" a="1"/>
  <c r="BB22" i="25" a="1"/>
  <c r="AD23" i="8" a="1"/>
  <c r="AD15" i="61" a="1"/>
  <c r="X25" i="14" a="1"/>
  <c r="D42" i="62" a="1"/>
  <c r="C62" i="34" a="1"/>
  <c r="F23" i="8" a="1"/>
  <c r="AP15" i="61" a="1"/>
  <c r="N25" i="14" a="1"/>
  <c r="N22" i="25" a="1"/>
  <c r="P25" i="14" a="1"/>
  <c r="N15" i="61" a="1"/>
  <c r="J25" i="14" a="1"/>
  <c r="X22" i="25" a="1"/>
  <c r="BF22" i="25" a="1"/>
  <c r="AP22" i="25" a="1"/>
  <c r="J15" i="61" a="1"/>
  <c r="C39" i="32" l="1"/>
  <c r="CT15" i="61"/>
  <c r="V23" i="8"/>
  <c r="AH22" i="25"/>
  <c r="E13" i="22"/>
  <c r="E40" i="71"/>
  <c r="AB25" i="14"/>
  <c r="BH22" i="25"/>
  <c r="AN22" i="25"/>
  <c r="AB22" i="25"/>
  <c r="AD22" i="25"/>
  <c r="AJ23" i="8"/>
  <c r="C35" i="42"/>
  <c r="CP15" i="61"/>
  <c r="F3" i="21"/>
  <c r="R25" i="14"/>
  <c r="T25" i="14"/>
  <c r="AF25" i="14"/>
  <c r="P23" i="8"/>
  <c r="C35" i="64"/>
  <c r="F25" i="14"/>
  <c r="F22" i="25"/>
  <c r="H23" i="8"/>
  <c r="AL22" i="25"/>
  <c r="O20" i="48"/>
  <c r="D23" i="8"/>
  <c r="AT22" i="25"/>
  <c r="T22" i="25"/>
  <c r="AV22" i="25"/>
  <c r="BL22" i="25"/>
  <c r="L25" i="14"/>
  <c r="P22" i="25"/>
  <c r="AH23" i="8"/>
  <c r="Z22" i="25"/>
  <c r="D39" i="74"/>
  <c r="F23" i="8"/>
  <c r="BJ22" i="25"/>
  <c r="R22" i="25"/>
  <c r="BF22" i="25"/>
  <c r="J23" i="8"/>
  <c r="BN48" i="61"/>
  <c r="BN49" i="61"/>
  <c r="BN47" i="61"/>
  <c r="BN63" i="61"/>
  <c r="AD25" i="14"/>
  <c r="C44" i="72"/>
  <c r="BR74" i="61"/>
  <c r="BR97" i="61" s="1"/>
  <c r="R15" i="61"/>
  <c r="AZ22" i="25"/>
  <c r="D46" i="65"/>
  <c r="V22" i="25"/>
  <c r="H22" i="25"/>
  <c r="AX22" i="25"/>
  <c r="S35" i="9"/>
  <c r="O3" i="9" s="1"/>
  <c r="BB22" i="25"/>
  <c r="E34" i="69"/>
  <c r="J22" i="25"/>
  <c r="AR22" i="25"/>
  <c r="X25" i="14"/>
  <c r="AF22" i="25"/>
  <c r="D48" i="75"/>
  <c r="AF23" i="8"/>
  <c r="D25" i="14"/>
  <c r="C52" i="33"/>
  <c r="N25" i="14"/>
  <c r="BN22" i="25"/>
  <c r="H84" i="67"/>
  <c r="CX15" i="61"/>
  <c r="Z25" i="14"/>
  <c r="L22" i="25"/>
  <c r="H25" i="14"/>
  <c r="N23" i="8"/>
  <c r="J25" i="14"/>
  <c r="AJ22" i="25"/>
  <c r="F18" i="39"/>
  <c r="BP22" i="25"/>
  <c r="L23" i="8"/>
  <c r="D65" i="31"/>
  <c r="AP22" i="25"/>
  <c r="AD23" i="8"/>
  <c r="AB23" i="8"/>
  <c r="C62" i="34"/>
  <c r="Z23" i="8"/>
  <c r="X23" i="8"/>
  <c r="X22" i="25"/>
  <c r="N22" i="25"/>
  <c r="P25" i="14"/>
  <c r="T23" i="8"/>
  <c r="V25" i="14"/>
  <c r="AL23" i="8"/>
  <c r="BR22" i="25"/>
  <c r="D22" i="25"/>
  <c r="BD22" i="25"/>
  <c r="D42" i="62"/>
  <c r="F55" i="75"/>
  <c r="D37" i="76"/>
  <c r="N15" i="61"/>
  <c r="AH15" i="61"/>
  <c r="BT22" i="25"/>
  <c r="AD15" i="61"/>
  <c r="BB15" i="61"/>
  <c r="BF15" i="61"/>
  <c r="CH15" i="61"/>
  <c r="J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BR75" i="61" a="1"/>
  <c r="B28" i="36" a="1"/>
  <c r="L51" i="40"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E27" i="15" a="1"/>
  <c r="BN15" i="61" a="1"/>
  <c r="BR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15" i="30" a="1"/>
  <c r="F20" i="44" a="1"/>
  <c r="F6" i="44" a="1"/>
  <c r="F28" i="30"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F23" i="38" s="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20" i="38"/>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1" i="38" l="1"/>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6" i="29" a="1"/>
  <c r="F22"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28" a="1"/>
  <c r="F6" i="7"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N95" i="58"/>
  <c r="L95" i="58"/>
  <c r="R95" i="58"/>
  <c r="P95" i="58"/>
  <c r="V95" i="58"/>
  <c r="J95" i="58"/>
  <c r="X95" i="58"/>
  <c r="T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T96" i="58"/>
  <c r="R96" i="58"/>
  <c r="N97" i="58"/>
  <c r="L97" i="58"/>
  <c r="P97" i="58"/>
  <c r="J97" i="58"/>
  <c r="D47" i="58" l="1" a="1"/>
  <c r="D47" i="58" s="1"/>
  <c r="C68" i="58"/>
  <c r="C69" i="58"/>
  <c r="C63" i="58"/>
  <c r="C72" i="58"/>
  <c r="C73" i="58"/>
  <c r="C65" i="58"/>
  <c r="C66" i="58"/>
  <c r="C38" i="58" a="1"/>
  <c r="C38" i="58" s="1"/>
  <c r="C64" i="58" s="1"/>
  <c r="C45" i="58" a="1"/>
  <c r="C45" i="58" s="1"/>
  <c r="C44" i="58" a="1"/>
  <c r="C44" i="58" s="1"/>
  <c r="T99" i="58"/>
  <c r="R99" i="58"/>
  <c r="D73" i="58" l="1"/>
  <c r="C70" i="58"/>
  <c r="C71" i="58"/>
  <c r="V98" i="58"/>
  <c r="X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X7" i="58" a="1"/>
  <c r="V7" i="58" a="1"/>
  <c r="J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20" i="59" a="1"/>
  <c r="F27" i="59" a="1"/>
  <c r="F13"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R29" i="8"/>
  <c r="R27" i="8"/>
  <c r="R20" i="8"/>
  <c r="R25" i="8" s="1"/>
  <c r="R28" i="8"/>
  <c r="D58" i="60" a="1"/>
  <c r="R23" i="8" a="1"/>
  <c r="D58" i="60" l="1"/>
  <c r="R23" i="8"/>
  <c r="N11" i="63"/>
  <c r="N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<sst xmlns="http://schemas.openxmlformats.org/spreadsheetml/2006/main" count="4434" uniqueCount="2673">
  <si>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</si>
  <si>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</si>
  <si>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</si>
  <si>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</si>
  <si>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</si>
  <si>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</si>
  <si>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</si>
  <si>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</si>
  <si>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</si>
  <si>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</si>
  <si>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</si>
  <si>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</si>
  <si>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</si>
  <si>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</si>
  <si>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</si>
  <si>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</si>
  <si>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</si>
  <si>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</si>
  <si>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</si>
  <si>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</si>
  <si>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</si>
  <si>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</si>
  <si>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</si>
  <si>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</si>
  <si>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</si>
  <si>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</si>
  <si>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</si>
  <si>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</si>
  <si>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</si>
  <si>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</si>
  <si>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</si>
  <si>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</si>
  <si>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</si>
  <si>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</si>
  <si>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</si>
  <si>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</si>
  <si>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</si>
  <si>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</si>
  <si>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</si>
  <si>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</si>
  <si>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</si>
  <si>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</si>
  <si>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</si>
  <si>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</si>
  <si>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</si>
  <si>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</si>
  <si>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</si>
  <si>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</si>
  <si>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</si>
  <si>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</si>
  <si>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</si>
  <si>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</si>
  <si>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</si>
  <si>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</si>
  <si>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</si>
  <si>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</si>
  <si>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</si>
  <si>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</si>
  <si>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</si>
  <si>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</si>
  <si>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</si>
  <si>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</si>
  <si>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</si>
  <si>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</si>
  <si>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</si>
  <si>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</si>
  <si>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</si>
  <si>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</si>
  <si>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</si>
  <si>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</si>
  <si>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</si>
  <si>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</si>
  <si>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</si>
  <si>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</si>
  <si>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</si>
  <si>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</si>
  <si>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</si>
  <si>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</si>
  <si>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</si>
  <si>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</si>
  <si>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</si>
  <si>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</si>
  <si>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</si>
  <si>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</si>
  <si>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</si>
  <si>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</si>
  <si>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</si>
  <si>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</si>
  <si>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</si>
  <si>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</si>
  <si>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</si>
  <si>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</si>
  <si>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</si>
  <si>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</si>
  <si>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</si>
  <si>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</si>
  <si>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</si>
  <si>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</si>
  <si>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</si>
  <si>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</si>
  <si>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</si>
  <si>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</si>
  <si>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</si>
  <si>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</si>
  <si>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</si>
  <si>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</si>
  <si>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</si>
  <si>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</si>
  <si>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</si>
  <si>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</si>
  <si>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</si>
  <si>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</si>
  <si>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</si>
  <si>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</si>
  <si>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</si>
  <si>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</si>
  <si>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</si>
  <si>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</si>
  <si>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</si>
  <si>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</si>
  <si>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</si>
  <si>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</si>
  <si>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</si>
  <si>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</si>
  <si>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</si>
  <si>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</si>
  <si>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</si>
  <si>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</si>
  <si>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</si>
  <si>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</si>
  <si>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</si>
  <si>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</si>
  <si>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</si>
  <si>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</si>
  <si>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</si>
  <si>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</si>
  <si>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</si>
  <si>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</si>
  <si>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</si>
  <si>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</si>
  <si>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</si>
  <si>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</si>
  <si>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</si>
  <si>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</si>
  <si>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</si>
  <si>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</si>
  <si>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</si>
  <si>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</si>
  <si>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</si>
  <si>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</si>
  <si>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</si>
  <si>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</si>
  <si>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</si>
  <si>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</si>
  <si>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</si>
  <si>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</si>
  <si>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</si>
  <si>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</si>
  <si>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</si>
  <si>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</si>
  <si>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</si>
  <si>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</si>
  <si>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</si>
  <si>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</si>
  <si>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</si>
  <si>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</si>
  <si>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</si>
  <si>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</si>
  <si>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</si>
  <si>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</si>
  <si>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</si>
  <si>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</si>
  <si>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</si>
  <si>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</si>
  <si>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</si>
  <si>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</si>
  <si>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</si>
  <si>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</si>
  <si>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</si>
  <si>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</si>
  <si>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</si>
  <si>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</si>
  <si>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</si>
  <si>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</si>
  <si>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</si>
  <si>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</si>
  <si>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</si>
  <si>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</si>
  <si>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</si>
  <si>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</si>
  <si>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</si>
  <si>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</si>
  <si>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</si>
  <si>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</si>
  <si>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</si>
  <si>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</si>
  <si>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</si>
  <si>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</si>
  <si>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</si>
  <si>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</si>
  <si>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</si>
  <si>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</si>
  <si>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</si>
  <si>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</si>
  <si>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</si>
  <si>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</si>
  <si>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</si>
  <si>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</si>
  <si>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</si>
  <si>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</si>
  <si>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</si>
  <si>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</si>
  <si>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</si>
  <si>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</si>
  <si>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</si>
  <si>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</si>
  <si>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</si>
  <si>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</si>
  <si>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</si>
  <si>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</si>
  <si>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</si>
  <si>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</si>
  <si>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</si>
  <si>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</si>
  <si>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</si>
  <si>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</si>
  <si>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</si>
  <si>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</si>
  <si>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</si>
  <si>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</si>
  <si>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</si>
  <si>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</si>
  <si>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</si>
  <si>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</si>
  <si>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</si>
  <si>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</si>
  <si>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</si>
  <si>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</si>
  <si>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</si>
  <si>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</si>
  <si>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</si>
  <si>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</si>
  <si>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</si>
  <si>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</si>
  <si>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</si>
  <si>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</si>
  <si>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</si>
  <si>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</si>
  <si>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</si>
  <si>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</si>
  <si>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</si>
  <si>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</si>
  <si>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</si>
  <si>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</si>
  <si>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</si>
  <si>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</si>
  <si>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</si>
  <si>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</si>
  <si>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</si>
  <si>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</si>
  <si>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</si>
  <si>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</si>
  <si>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</si>
  <si>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</si>
  <si>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</si>
  <si>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</si>
  <si>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</si>
  <si>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</si>
  <si>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</si>
  <si>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</si>
  <si>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</si>
  <si>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</si>
  <si>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</si>
  <si>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</si>
  <si>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</si>
  <si>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</si>
  <si>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</si>
  <si>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</si>
  <si>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</si>
  <si>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</si>
  <si>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</si>
  <si>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</si>
  <si>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</si>
  <si>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</si>
  <si>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</si>
  <si>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</si>
  <si>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</si>
  <si>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</si>
  <si>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</si>
  <si>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</si>
  <si>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</si>
  <si>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</si>
  <si>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</si>
  <si>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</si>
  <si>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</si>
  <si>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</si>
  <si>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</si>
  <si>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</si>
  <si>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</si>
  <si>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</si>
  <si>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</si>
  <si>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</si>
  <si>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</si>
  <si>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</si>
  <si>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</si>
  <si>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</si>
  <si>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</si>
  <si>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</si>
  <si>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</si>
  <si>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</si>
  <si>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</si>
  <si>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</si>
  <si>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</si>
  <si>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</si>
  <si>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</si>
  <si>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</si>
  <si>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</si>
  <si>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</si>
  <si>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</si>
  <si>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</si>
  <si>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</si>
  <si>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</si>
  <si>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</si>
  <si>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</si>
  <si>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</si>
  <si>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</si>
  <si>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</si>
  <si>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</si>
  <si>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</si>
  <si>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</si>
  <si>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</si>
  <si>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</si>
  <si>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</si>
  <si>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</si>
  <si>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</si>
  <si>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</si>
  <si>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</si>
  <si>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</si>
  <si>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</si>
  <si>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</si>
  <si>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</si>
  <si>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</si>
  <si>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</si>
  <si>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</si>
  <si>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</si>
  <si>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</si>
  <si>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</si>
  <si>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</si>
  <si>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</si>
  <si>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</si>
  <si>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</si>
  <si>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</si>
  <si>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</si>
  <si>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</si>
  <si>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</si>
  <si>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</si>
  <si>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</si>
  <si>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</si>
  <si>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</si>
  <si>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</si>
  <si>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</si>
  <si>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</si>
  <si>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</si>
  <si>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</si>
  <si>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</si>
  <si>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</si>
  <si>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</si>
  <si>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</si>
  <si>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</si>
  <si>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</si>
  <si>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</si>
  <si>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</si>
  <si>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</si>
  <si>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</si>
  <si>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</si>
  <si>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</si>
  <si>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</si>
  <si>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</si>
  <si>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</si>
  <si>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</si>
  <si>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</si>
  <si>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</si>
  <si>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</si>
  <si>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</si>
  <si>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</si>
  <si>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</si>
  <si>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</si>
  <si>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</si>
  <si>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</si>
  <si>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</si>
  <si>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</si>
  <si>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</si>
  <si>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</si>
  <si>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BGN</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</si>
  <si>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</si>
  <si>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</si>
  <si>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</si>
  <si>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</si>
  <si>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</si>
  <si>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</si>
  <si>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</si>
  <si>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</si>
  <si>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</si>
  <si>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</si>
  <si>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</si>
  <si>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</si>
  <si>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</si>
  <si>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</si>
  <si>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</si>
  <si>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</si>
  <si>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</si>
  <si>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</si>
  <si>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</si>
  <si>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</si>
  <si>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</si>
  <si>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</si>
  <si>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</si>
  <si>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</si>
  <si>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</si>
  <si>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</si>
  <si>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</si>
  <si>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</si>
  <si>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</si>
  <si>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</si>
  <si>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</si>
  <si>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</si>
  <si>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</si>
  <si>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</si>
  <si>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</si>
  <si>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</si>
  <si>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</si>
  <si>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</si>
  <si>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</si>
  <si>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</si>
  <si>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</si>
  <si>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</si>
  <si>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</si>
  <si>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</si>
  <si>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</si>
  <si>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</si>
  <si>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</si>
  <si>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</si>
  <si>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</si>
  <si>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</si>
  <si>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</si>
  <si>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</si>
  <si>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</si>
  <si>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</si>
  <si>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</si>
  <si>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</si>
  <si>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</si>
  <si>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</si>
  <si>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</si>
  <si>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</si>
  <si>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</si>
  <si>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</si>
  <si>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</si>
  <si>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</si>
  <si>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</si>
  <si>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</si>
  <si>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</si>
  <si>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</si>
  <si>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</si>
  <si>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</si>
  <si>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</si>
  <si>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</si>
  <si>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</si>
  <si>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</si>
  <si>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</si>
  <si>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</si>
  <si>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</si>
  <si>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</si>
  <si>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</si>
  <si>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</si>
  <si>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</si>
  <si>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</si>
  <si>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</si>
  <si>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</si>
  <si>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</si>
  <si>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</si>
  <si>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</si>
  <si>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</si>
  <si>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</si>
  <si>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</si>
  <si>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</si>
  <si>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</si>
  <si>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</si>
  <si>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</si>
  <si>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</si>
  <si>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</si>
  <si>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</si>
  <si>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</si>
  <si>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</si>
  <si>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</si>
  <si>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</si>
  <si>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</si>
  <si>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</si>
  <si>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</si>
  <si>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</si>
  <si>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</si>
  <si>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</si>
  <si>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</si>
  <si>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</si>
  <si>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</si>
  <si>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</si>
  <si>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</si>
  <si>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</si>
  <si>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</si>
  <si>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</si>
  <si>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</si>
  <si>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</si>
  <si>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</si>
  <si>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</si>
  <si>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</si>
  <si>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</si>
  <si>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</si>
  <si>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</si>
  <si>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</si>
  <si>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</si>
  <si>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</si>
  <si>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</si>
  <si>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</si>
  <si>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</si>
  <si>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</si>
  <si>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</si>
  <si>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</si>
  <si>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</si>
  <si>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</si>
  <si>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</si>
  <si>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</si>
  <si>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</si>
  <si>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</si>
  <si>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</si>
  <si>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</si>
  <si>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</si>
  <si>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</si>
  <si>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</si>
  <si>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</si>
  <si>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</si>
  <si>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</si>
  <si>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</si>
  <si>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</si>
  <si>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</si>
  <si>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</si>
  <si>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</si>
  <si>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</si>
  <si>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</si>
  <si>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</si>
  <si>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</si>
  <si>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</si>
  <si>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</si>
  <si>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</si>
  <si>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</si>
  <si>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</si>
  <si>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</si>
  <si>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</si>
  <si>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</si>
  <si>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</si>
  <si>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</si>
  <si>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</si>
  <si>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</si>
  <si>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</si>
  <si>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</si>
  <si>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</si>
  <si>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</si>
  <si>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</si>
  <si>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</si>
  <si>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</si>
  <si>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</si>
  <si>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</si>
  <si>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</si>
  <si>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</si>
  <si>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</si>
  <si>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</si>
  <si>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</si>
  <si>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</si>
  <si>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</si>
  <si>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</si>
  <si>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</si>
  <si>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</si>
  <si>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</si>
  <si>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</si>
  <si>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</si>
  <si>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</si>
  <si>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</si>
  <si>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</si>
  <si>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</si>
  <si>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</si>
  <si>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</si>
  <si>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</si>
  <si>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</si>
  <si>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</si>
  <si>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</si>
  <si>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</si>
  <si>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</si>
  <si>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</si>
  <si>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</si>
  <si>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</si>
  <si>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</si>
  <si>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</si>
  <si>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</si>
  <si>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</si>
  <si>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</si>
  <si>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</si>
  <si>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</si>
  <si>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</si>
  <si>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</si>
  <si>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</si>
  <si>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</si>
  <si>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</si>
  <si>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</si>
  <si>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</si>
  <si>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</si>
  <si>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</si>
  <si>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</si>
  <si>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</si>
  <si>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</si>
  <si>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</si>
  <si>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</si>
  <si>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</si>
  <si>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</si>
  <si>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</si>
  <si>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</si>
  <si>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</si>
  <si>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</si>
  <si>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</si>
  <si>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</si>
  <si>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</si>
  <si>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</si>
  <si>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</si>
  <si>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</si>
  <si>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</si>
  <si>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</si>
  <si>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</si>
  <si>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</si>
  <si>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</si>
  <si>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</si>
  <si>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</si>
  <si>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</si>
  <si>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</si>
  <si>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</si>
  <si>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</si>
  <si>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</si>
  <si>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</si>
  <si>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</si>
  <si>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</si>
  <si>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</si>
  <si>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</si>
  <si>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</si>
  <si>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</si>
  <si>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</si>
  <si>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</si>
  <si>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</si>
  <si>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</si>
  <si>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</si>
  <si>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</si>
  <si>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</si>
  <si>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</si>
  <si>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</si>
  <si>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</si>
  <si>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</si>
  <si>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</si>
  <si>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</si>
  <si>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</si>
  <si>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</si>
  <si>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</si>
  <si>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</si>
  <si>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</si>
  <si>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</si>
  <si>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</si>
  <si>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</si>
  <si>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</si>
  <si>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</si>
  <si>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</si>
  <si>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</si>
  <si>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</si>
  <si>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</si>
  <si>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</si>
  <si>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</si>
  <si>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</si>
  <si>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</si>
  <si>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</si>
  <si>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</si>
  <si>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</si>
  <si>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</si>
  <si>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</si>
  <si>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</si>
  <si>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</si>
  <si>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</si>
  <si>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</si>
  <si>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</si>
  <si>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</si>
  <si>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</si>
  <si>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</si>
  <si>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</si>
  <si>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</si>
  <si>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</si>
  <si>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</si>
  <si>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</si>
  <si>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</si>
  <si>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</si>
  <si>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</si>
  <si>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</si>
  <si>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</si>
  <si>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</si>
  <si>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</si>
  <si>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</si>
  <si>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</si>
  <si>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</si>
  <si>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</si>
  <si>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</si>
  <si>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</si>
  <si>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</si>
  <si>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</si>
  <si>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</si>
  <si>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</si>
  <si>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</si>
  <si>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</si>
  <si>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</si>
  <si>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</si>
  <si>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</si>
  <si>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</si>
  <si>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</si>
  <si>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</si>
  <si>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</si>
  <si>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</si>
  <si>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</si>
  <si>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</si>
  <si>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</si>
  <si>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</si>
  <si>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</si>
  <si>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</si>
  <si>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</si>
  <si>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</si>
  <si>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</si>
  <si>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</si>
  <si>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</si>
  <si>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</si>
  <si>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</si>
  <si>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</si>
  <si>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</si>
  <si>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</si>
  <si>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</si>
  <si>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</si>
  <si>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</si>
  <si>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</si>
  <si>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</si>
  <si>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</si>
  <si>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</si>
  <si>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</si>
  <si>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</si>
  <si>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</si>
  <si>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</si>
  <si>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</si>
  <si>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</si>
  <si>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</si>
  <si>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</si>
  <si>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</si>
  <si>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</si>
  <si>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</si>
  <si>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</si>
  <si>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</si>
  <si>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</si>
  <si>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</si>
  <si>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</si>
  <si>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</si>
  <si>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</si>
  <si>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</si>
  <si>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</si>
  <si>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</si>
  <si>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</si>
  <si>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</si>
  <si>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</si>
  <si>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</si>
  <si>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</si>
  <si>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</si>
  <si>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</si>
  <si>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</si>
  <si>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</si>
  <si>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</si>
  <si>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</si>
  <si>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</si>
  <si>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</si>
  <si>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</si>
  <si>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</si>
  <si>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</si>
  <si>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</si>
  <si>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</si>
  <si>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</si>
  <si>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</si>
  <si>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</si>
  <si>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</si>
  <si>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</si>
  <si>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</si>
  <si>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</si>
  <si>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</si>
  <si>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</si>
  <si>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</si>
  <si>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</si>
  <si>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</si>
  <si>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</si>
  <si>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</si>
  <si>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</si>
  <si>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</si>
  <si>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</si>
  <si>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</si>
  <si>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</si>
  <si>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</si>
  <si>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</si>
  <si>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</si>
  <si>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</si>
  <si>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</si>
  <si>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</si>
  <si>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</si>
  <si>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</si>
  <si>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</si>
  <si>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</si>
  <si>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</si>
  <si>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</si>
  <si>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</si>
  <si>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</si>
  <si>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</si>
  <si>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</si>
  <si>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</si>
  <si>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</si>
  <si>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</si>
  <si>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</si>
  <si>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</si>
  <si>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</si>
  <si>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</si>
  <si>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</si>
  <si>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</si>
  <si>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</si>
  <si>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</si>
  <si>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</si>
  <si>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</si>
  <si>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</si>
  <si>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</si>
  <si>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</si>
  <si>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</si>
  <si>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</si>
  <si>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</si>
  <si>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</si>
  <si>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</si>
  <si>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</si>
  <si>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</si>
  <si>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</si>
  <si>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</si>
  <si>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</si>
  <si>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</si>
  <si>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</si>
  <si>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</si>
  <si>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</si>
  <si>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</si>
  <si>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</si>
  <si>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</si>
  <si>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</si>
  <si>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</si>
  <si>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</si>
  <si>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</si>
  <si>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</si>
  <si>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</si>
  <si>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</si>
  <si>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</si>
  <si>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</si>
  <si>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</si>
  <si>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</si>
  <si>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</si>
  <si>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</si>
  <si>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</si>
  <si>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</si>
  <si>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</si>
  <si>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</si>
  <si>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</si>
  <si>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</si>
  <si>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</si>
  <si>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</si>
  <si>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</si>
  <si>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</si>
  <si>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</si>
  <si>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</si>
  <si>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</si>
  <si>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</si>
  <si>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</si>
  <si>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</si>
  <si>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</si>
  <si>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</si>
  <si>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</si>
  <si>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</si>
  <si>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</si>
  <si>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</si>
  <si>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</si>
  <si>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</si>
  <si>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</si>
  <si>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</si>
  <si>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</si>
  <si>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</si>
  <si>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</si>
  <si>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</si>
  <si>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</si>
  <si>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</si>
  <si>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</si>
  <si>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</si>
  <si>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</si>
  <si>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</si>
  <si>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</si>
  <si>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</si>
  <si>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</si>
  <si>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</si>
  <si>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</si>
  <si>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</si>
  <si>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</si>
  <si>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</si>
  <si>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</si>
  <si>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</si>
  <si>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</si>
  <si>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</si>
  <si>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</si>
  <si>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</si>
  <si>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</si>
  <si>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</si>
  <si>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</si>
  <si>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</si>
  <si>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</si>
  <si>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</si>
  <si>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</si>
  <si>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</si>
  <si>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</si>
  <si>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</si>
  <si>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</si>
  <si>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</si>
  <si>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</si>
  <si>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</si>
  <si>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</si>
  <si>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</si>
  <si>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</si>
  <si>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</si>
  <si>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</si>
  <si>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</si>
  <si>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</si>
  <si>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</si>
  <si>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</si>
  <si>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</si>
  <si>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</si>
  <si>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</si>
  <si>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</si>
  <si>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</si>
  <si>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</si>
  <si>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</si>
  <si>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</si>
  <si>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</si>
  <si>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</si>
  <si>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</si>
  <si>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</si>
  <si>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</si>
  <si>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</si>
  <si>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</si>
  <si>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</si>
  <si>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</si>
  <si>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</si>
  <si>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</si>
  <si>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</si>
  <si>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</si>
  <si>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</si>
  <si>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</si>
  <si>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</si>
  <si>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</si>
  <si>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</si>
  <si>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</si>
  <si>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</si>
  <si>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</si>
  <si>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</si>
  <si>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</si>
  <si>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</si>
  <si>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</si>
  <si>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</si>
  <si>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</si>
  <si>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</si>
  <si>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</si>
  <si>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</si>
  <si>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</si>
  <si>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</si>
  <si>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</si>
  <si>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</si>
  <si>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</si>
  <si>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</si>
  <si>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</si>
  <si>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</si>
  <si>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</si>
  <si>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</si>
  <si>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</si>
  <si>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</si>
  <si>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</si>
  <si>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</si>
  <si>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</si>
  <si>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</si>
  <si>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</si>
  <si>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</si>
  <si>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</si>
  <si>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</si>
  <si>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</si>
  <si>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</si>
  <si>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</si>
  <si>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</si>
  <si>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</si>
  <si>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</si>
  <si>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</si>
  <si>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</si>
  <si>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</si>
  <si>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</si>
  <si>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</si>
  <si>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</si>
  <si>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</si>
  <si>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</si>
  <si>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</si>
  <si>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</si>
  <si>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</si>
  <si>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</si>
  <si>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</si>
  <si>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</si>
  <si>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</si>
  <si>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</si>
  <si>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</si>
  <si>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</si>
  <si>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</si>
  <si>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</si>
  <si>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</si>
  <si>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</si>
  <si>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</si>
  <si>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</si>
  <si>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</si>
  <si>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</si>
  <si>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</si>
  <si>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</si>
  <si>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</si>
  <si>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</si>
  <si>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</si>
  <si>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</si>
  <si>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</si>
  <si>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</si>
  <si>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</si>
  <si>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</si>
  <si>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</si>
  <si>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</si>
  <si>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</si>
  <si>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</si>
  <si>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</si>
  <si>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</si>
  <si>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</si>
  <si>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</si>
  <si>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</si>
  <si>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</si>
  <si>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</si>
  <si>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</si>
  <si>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</si>
  <si>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</si>
  <si>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</si>
  <si>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</si>
  <si>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</si>
  <si>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</si>
  <si>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</si>
  <si>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</si>
  <si>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</si>
  <si>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</si>
  <si>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</si>
  <si>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</si>
  <si>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</si>
  <si>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</si>
  <si>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</si>
  <si>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</si>
  <si>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</si>
  <si>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</si>
  <si>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</si>
  <si>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</si>
  <si>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</si>
  <si>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</si>
  <si>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</si>
  <si>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</si>
  <si>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</si>
  <si>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</si>
  <si>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</si>
  <si>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</si>
  <si>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</si>
  <si>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</si>
  <si>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</si>
  <si>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</si>
  <si>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</si>
  <si>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</si>
  <si>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</si>
  <si>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</si>
  <si>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</si>
  <si>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</si>
  <si>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</si>
  <si>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</si>
  <si>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</si>
  <si>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</si>
  <si>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</si>
  <si>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</si>
  <si>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</si>
  <si>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</si>
  <si>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</si>
  <si>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</si>
  <si>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</si>
  <si>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</si>
  <si>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</si>
  <si>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</si>
  <si>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</si>
  <si>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</si>
  <si>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</si>
  <si>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</si>
  <si>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</si>
  <si>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</si>
  <si>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</si>
  <si>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</si>
  <si>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</si>
  <si>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</si>
  <si>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</si>
  <si>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</si>
  <si>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</si>
  <si>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</si>
  <si>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</si>
  <si>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</si>
  <si>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</si>
  <si>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</si>
  <si>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</si>
  <si>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</si>
  <si>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</si>
  <si>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</si>
  <si>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</si>
  <si>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</si>
  <si>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</si>
  <si>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</si>
  <si>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</si>
  <si>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</si>
  <si>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</si>
  <si>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</si>
  <si>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</si>
  <si>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</si>
  <si>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</si>
  <si>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</si>
  <si>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</si>
  <si>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</si>
  <si>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</si>
  <si>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</si>
  <si>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</si>
  <si>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</si>
  <si>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</si>
  <si>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</si>
  <si>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</si>
  <si>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</si>
  <si>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</si>
  <si>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</si>
  <si>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</si>
  <si>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</si>
  <si>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</si>
  <si>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</si>
  <si>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</si>
  <si>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</si>
  <si>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</si>
  <si>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</si>
  <si>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</si>
  <si>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</si>
  <si>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</si>
  <si>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</si>
  <si>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</si>
  <si>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</si>
  <si>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</si>
  <si>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</si>
  <si>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</si>
  <si>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</si>
  <si>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</si>
  <si>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</si>
  <si>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</si>
  <si>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</si>
  <si>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</si>
  <si>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</si>
  <si>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</si>
  <si>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</si>
  <si>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</si>
  <si>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</si>
  <si>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</si>
  <si>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</si>
  <si>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</si>
  <si>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</si>
  <si>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</si>
  <si>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</si>
  <si>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</si>
  <si>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</si>
  <si>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</si>
  <si>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</si>
  <si>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</si>
  <si>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</si>
  <si>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</si>
  <si>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</si>
  <si>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</si>
  <si>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</si>
  <si>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</si>
  <si>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</si>
  <si>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</si>
  <si>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</si>
  <si>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</si>
  <si>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</si>
  <si>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</si>
  <si>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</si>
  <si>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</si>
  <si>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</si>
  <si>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</si>
  <si>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</si>
  <si>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</si>
  <si>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</si>
  <si>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</si>
  <si>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</si>
  <si>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</si>
  <si>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</si>
  <si>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</si>
  <si>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</si>
  <si>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</si>
  <si>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</si>
  <si>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</si>
  <si>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</si>
  <si>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</si>
  <si>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</si>
  <si>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</si>
  <si>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</si>
  <si>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</si>
  <si>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</si>
  <si>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</si>
  <si>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</si>
  <si>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</si>
  <si>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</si>
  <si>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</si>
  <si>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</si>
  <si>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</si>
  <si>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</si>
  <si>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</si>
  <si>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</si>
  <si>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</si>
  <si>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</si>
  <si>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</si>
  <si>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</si>
  <si>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</si>
  <si>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</si>
  <si>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</si>
  <si>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</si>
  <si>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</si>
  <si>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</si>
  <si>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</si>
  <si>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</si>
  <si>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</si>
  <si>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</si>
  <si>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</si>
  <si>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</si>
  <si>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</si>
  <si>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</si>
  <si>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</si>
  <si>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</si>
  <si>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</si>
  <si>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</si>
  <si>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</si>
  <si>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</si>
  <si>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</si>
  <si>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</si>
  <si>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</si>
  <si>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</si>
  <si>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</si>
  <si>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</si>
  <si>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</si>
  <si>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</si>
  <si>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</si>
  <si>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</si>
  <si>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</si>
  <si>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</si>
  <si>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</si>
  <si>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</si>
  <si>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</si>
  <si>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</si>
  <si>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</si>
  <si>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</si>
  <si>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</si>
  <si>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</si>
  <si>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</si>
  <si>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</si>
  <si>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</si>
  <si>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</si>
  <si>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</si>
  <si>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</si>
  <si>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</si>
  <si>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</si>
  <si>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</si>
  <si>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</si>
  <si>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</si>
  <si>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</si>
  <si>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</si>
  <si>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</si>
  <si>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</si>
  <si>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</si>
  <si>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</si>
  <si>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</si>
  <si>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</si>
  <si>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</si>
  <si>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</si>
  <si>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</si>
  <si>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</si>
  <si>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</si>
  <si>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</si>
  <si>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</si>
  <si>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</si>
  <si>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</si>
  <si>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</si>
  <si>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</si>
  <si>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</si>
  <si>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</si>
  <si>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</si>
  <si>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</si>
  <si>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</si>
  <si>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</si>
  <si>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</si>
  <si>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</si>
  <si>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</si>
  <si>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</si>
  <si>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</si>
  <si>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</si>
  <si>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</si>
  <si>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</si>
  <si>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</si>
  <si>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</si>
  <si>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</si>
  <si>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</si>
  <si>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</si>
  <si>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</si>
  <si>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</si>
  <si>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</si>
  <si>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</si>
  <si>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</si>
  <si>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</si>
  <si>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</si>
  <si>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</si>
  <si>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</si>
  <si>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</si>
  <si>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</si>
  <si>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</si>
  <si>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</si>
  <si>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</si>
  <si>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</si>
  <si>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</si>
  <si>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</si>
  <si>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</si>
  <si>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</si>
  <si>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</si>
  <si>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</si>
  <si>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</si>
  <si>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</si>
  <si>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</si>
  <si>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</si>
  <si>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</si>
  <si>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</si>
  <si>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</si>
  <si>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</si>
  <si>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</si>
  <si>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</si>
  <si>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</si>
  <si>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</si>
  <si>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</si>
  <si>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</si>
  <si>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</si>
  <si>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</si>
  <si>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</si>
  <si>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</si>
  <si>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</si>
  <si>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</si>
  <si>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</si>
  <si>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</si>
  <si>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</si>
  <si>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</si>
  <si>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</si>
  <si>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</si>
  <si>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</si>
  <si>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</si>
  <si>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</si>
  <si>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</si>
  <si>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</si>
  <si>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</si>
  <si>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</si>
  <si>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</si>
  <si>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</si>
  <si>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</si>
  <si>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</si>
  <si>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</si>
  <si>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</si>
  <si>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</si>
  <si>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</si>
  <si>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</si>
  <si>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</si>
  <si>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</si>
  <si>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</si>
  <si>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</si>
  <si>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</si>
  <si>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</si>
  <si>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</si>
  <si>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</si>
  <si>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</si>
  <si>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</si>
  <si>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</si>
  <si>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</si>
  <si>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</si>
  <si>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</si>
  <si>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</si>
  <si>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</si>
  <si>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</si>
  <si>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</si>
  <si>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</si>
  <si>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</si>
  <si>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</si>
  <si>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</si>
  <si>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</si>
  <si>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</si>
  <si>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</si>
  <si>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</si>
  <si>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</si>
  <si>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</si>
  <si>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</si>
  <si>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</si>
  <si>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</si>
  <si>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</si>
  <si>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</si>
  <si>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</si>
  <si>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</si>
  <si>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</si>
  <si>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</si>
  <si>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</si>
  <si>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</si>
  <si>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</si>
  <si>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</si>
  <si>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</si>
  <si>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</si>
  <si>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</si>
  <si>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</si>
  <si>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</si>
  <si>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</si>
  <si>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</si>
  <si>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</si>
  <si>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</si>
  <si>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</si>
  <si>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</si>
  <si>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</si>
  <si>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</si>
  <si>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</si>
  <si>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</si>
  <si>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</si>
  <si>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</si>
  <si>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</si>
  <si>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</si>
  <si>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</si>
  <si>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</si>
  <si>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</si>
  <si>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</si>
  <si>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</si>
  <si>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</si>
  <si>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</si>
  <si>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</si>
  <si>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</si>
  <si>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</si>
  <si>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</si>
  <si>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</si>
  <si>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</si>
  <si>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</si>
  <si>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</si>
  <si>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</si>
  <si>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</si>
  <si>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</si>
  <si>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</si>
  <si>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</si>
  <si>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</si>
  <si>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</si>
  <si>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</si>
  <si>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</si>
  <si>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</si>
  <si>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</si>
  <si>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</si>
  <si>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</si>
  <si>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</si>
  <si>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</si>
  <si>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</si>
  <si>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</si>
  <si>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</si>
  <si>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</si>
  <si>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</si>
  <si>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</si>
  <si>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</si>
  <si>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</si>
  <si>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</si>
  <si>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</si>
  <si>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</si>
  <si>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</si>
  <si>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</si>
  <si>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</si>
  <si>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</si>
  <si>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</si>
  <si>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</si>
  <si>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</si>
  <si>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</si>
  <si>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</si>
  <si>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</si>
  <si>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</si>
  <si>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</si>
  <si>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</si>
  <si>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</si>
  <si>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</si>
  <si>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</si>
  <si>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</si>
  <si>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</si>
  <si>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</si>
  <si>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</si>
  <si>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</si>
  <si>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</si>
  <si>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</si>
  <si>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</si>
  <si>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</si>
  <si>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</si>
  <si>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</si>
  <si>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</si>
  <si>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</si>
  <si>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</si>
  <si>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</si>
  <si>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</si>
  <si>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</si>
  <si>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</si>
  <si>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</si>
  <si>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</si>
  <si>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</si>
  <si>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</si>
  <si>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</si>
  <si>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</si>
  <si>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</si>
  <si>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</si>
  <si>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</si>
  <si>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</si>
  <si>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</si>
  <si>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</si>
  <si>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</si>
  <si>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</si>
  <si>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</si>
  <si>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</si>
  <si>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</si>
  <si>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</si>
  <si>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</si>
  <si>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</si>
  <si>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</si>
  <si>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</si>
  <si>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</si>
  <si>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</si>
  <si>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</si>
  <si>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</si>
  <si>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</si>
  <si>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</si>
  <si>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</si>
  <si>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</si>
  <si>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</si>
  <si>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</si>
  <si>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</si>
  <si>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</si>
  <si>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</si>
  <si>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</si>
  <si>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</si>
  <si>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</si>
  <si>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</si>
  <si>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</si>
  <si>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</si>
  <si>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</si>
  <si>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</si>
  <si>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</si>
  <si>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</si>
  <si>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</si>
  <si>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</si>
  <si>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</si>
  <si>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</si>
  <si>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</si>
  <si>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</si>
  <si>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</si>
  <si>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</si>
  <si>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</si>
  <si>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</si>
  <si>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</si>
  <si>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</si>
  <si>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</si>
  <si>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</si>
  <si>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</si>
  <si>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</si>
  <si>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</si>
  <si>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</si>
  <si>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</si>
  <si>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</si>
  <si>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</si>
  <si>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</si>
  <si>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</si>
  <si>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</si>
  <si>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</si>
  <si>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</si>
  <si>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</si>
  <si>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</si>
  <si>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</si>
  <si>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</si>
  <si>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</si>
  <si>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</si>
  <si>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</si>
  <si>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</si>
  <si>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</si>
  <si>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</si>
  <si>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</si>
  <si>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</si>
  <si>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</si>
  <si>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</si>
  <si>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</si>
  <si>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</si>
  <si>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</si>
  <si>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</si>
  <si>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</si>
  <si>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</si>
  <si>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</si>
  <si>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</si>
  <si>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</si>
  <si>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</si>
  <si>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</si>
  <si>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</si>
  <si>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</si>
  <si>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</si>
  <si>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</si>
  <si>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</si>
  <si>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</si>
  <si>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</si>
  <si>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</si>
  <si>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</si>
  <si>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</si>
  <si>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</si>
  <si>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</si>
  <si>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</si>
  <si>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</si>
  <si>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</si>
  <si>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</si>
  <si>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</si>
  <si>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</si>
  <si>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</si>
  <si>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</si>
  <si>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</si>
  <si>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</si>
  <si>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</si>
  <si>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</si>
  <si>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</si>
  <si>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</si>
  <si>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</si>
  <si>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</si>
  <si>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</si>
  <si>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</si>
  <si>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</si>
  <si>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</si>
  <si>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</si>
  <si>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</si>
  <si>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</si>
  <si>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</si>
  <si>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</si>
  <si>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</si>
  <si>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</si>
  <si>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</si>
  <si>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</si>
  <si>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</si>
  <si>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</si>
  <si>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</si>
  <si>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</si>
  <si>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</si>
  <si>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</si>
  <si>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</si>
  <si>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</si>
  <si>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</si>
  <si>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</si>
  <si>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</si>
  <si>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</si>
  <si>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</si>
  <si>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</si>
  <si>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</si>
  <si>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</si>
  <si>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</si>
  <si>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</si>
  <si>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</si>
  <si>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</si>
  <si>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</si>
  <si>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</si>
  <si>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</si>
  <si>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</si>
  <si>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</si>
  <si>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</si>
  <si>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</si>
  <si>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</si>
  <si>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</si>
  <si>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</si>
  <si>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</si>
  <si>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</si>
  <si>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</si>
  <si>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</si>
  <si>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</si>
  <si>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</si>
  <si>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</si>
  <si>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</si>
  <si>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</si>
  <si>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</si>
  <si>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</si>
  <si>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</si>
  <si>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</si>
  <si>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</si>
  <si>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</si>
  <si>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</si>
  <si>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</si>
  <si>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</si>
  <si>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</si>
  <si>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</si>
  <si>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</si>
  <si>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</si>
  <si>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</si>
  <si>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</si>
  <si>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</si>
  <si>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</si>
  <si>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</si>
  <si>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</si>
  <si>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</si>
  <si>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</si>
  <si>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</si>
  <si>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</si>
  <si>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</si>
  <si>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</si>
  <si>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</si>
  <si>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</si>
  <si>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</si>
  <si>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</si>
  <si>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</si>
  <si>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</si>
  <si>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</si>
  <si>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</si>
  <si>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</si>
  <si>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</si>
  <si>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</si>
  <si>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</si>
  <si>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</si>
  <si>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</si>
  <si>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</si>
  <si>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</si>
  <si>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</si>
  <si>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</si>
  <si>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</si>
  <si>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</si>
  <si>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</si>
  <si>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</si>
  <si>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</si>
  <si>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</si>
  <si>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</si>
  <si>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</si>
  <si>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</si>
  <si>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</si>
  <si>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</si>
  <si>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</si>
  <si>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</si>
  <si>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</si>
  <si>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</si>
  <si>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</si>
  <si>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</si>
  <si>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</si>
  <si>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</si>
  <si>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</si>
  <si>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</si>
  <si>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</si>
  <si>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</si>
  <si>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</si>
  <si>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</si>
  <si>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</si>
  <si>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</si>
  <si>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</si>
  <si>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</si>
  <si>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</si>
  <si>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</si>
  <si>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</si>
  <si>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</si>
  <si>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</si>
  <si>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</si>
  <si>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</si>
  <si>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</si>
  <si>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</si>
  <si>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</si>
  <si>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</si>
  <si>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</si>
  <si>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</si>
  <si>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</si>
  <si>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</si>
  <si>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</si>
  <si>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</si>
  <si>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</si>
  <si>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</si>
  <si>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</si>
  <si>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</si>
  <si>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</si>
  <si>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</si>
  <si>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</si>
  <si>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</si>
  <si>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</si>
  <si>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</si>
  <si>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</si>
  <si>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</si>
  <si>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</si>
  <si>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</si>
  <si>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</si>
  <si>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</si>
  <si>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</si>
  <si>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</si>
  <si>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</si>
  <si>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</si>
  <si>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</si>
  <si>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</si>
  <si>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</si>
  <si>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</si>
  <si>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</si>
  <si>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</si>
  <si>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</si>
  <si>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</si>
  <si>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</si>
  <si>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</si>
  <si>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</si>
  <si>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</si>
  <si>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</si>
  <si>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</si>
  <si>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</si>
  <si>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</si>
  <si>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</si>
  <si>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</si>
  <si>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</si>
  <si>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</si>
  <si>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</si>
  <si>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</si>
  <si>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</si>
  <si>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</si>
  <si>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</si>
  <si>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</si>
  <si>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</si>
  <si>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</si>
  <si>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</si>
  <si>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</si>
  <si>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</si>
  <si>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</si>
  <si>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</si>
  <si>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</si>
  <si>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</si>
  <si>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</si>
  <si>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</si>
  <si>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</si>
  <si>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</si>
  <si>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</si>
  <si>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</si>
  <si>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</si>
  <si>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</si>
  <si>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</si>
  <si>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</si>
  <si>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</si>
  <si>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</si>
  <si>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</si>
  <si>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</si>
  <si>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</si>
  <si>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</si>
  <si>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</si>
  <si>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</si>
  <si>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</si>
  <si>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</si>
  <si>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</si>
  <si>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</si>
  <si>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</si>
  <si>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</si>
  <si>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</si>
  <si>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</si>
  <si>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</si>
  <si>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</si>
  <si>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</si>
  <si>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</si>
  <si>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</si>
  <si>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</si>
  <si>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</si>
  <si>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</si>
  <si>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</si>
  <si>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</si>
  <si>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</si>
  <si>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</si>
  <si>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</si>
  <si>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</si>
  <si>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</si>
  <si>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</si>
  <si>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</si>
  <si>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</si>
  <si>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</si>
  <si>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</si>
  <si>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</si>
  <si>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</si>
  <si>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</si>
  <si>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</si>
  <si>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</si>
  <si>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</si>
  <si>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</si>
  <si>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</si>
  <si>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</si>
  <si>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</si>
  <si>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</si>
  <si>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</si>
  <si>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</si>
  <si>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</si>
  <si>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</si>
  <si>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</si>
  <si>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</si>
  <si>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</si>
  <si>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</si>
  <si>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</si>
  <si>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</si>
  <si>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</si>
  <si>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</si>
  <si>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</si>
  <si>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</si>
  <si>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</si>
  <si>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</si>
  <si>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</si>
  <si>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</si>
  <si>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</si>
  <si>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</si>
  <si>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</si>
  <si>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</si>
  <si>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</si>
  <si>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</si>
  <si>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</si>
  <si>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</si>
  <si>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</si>
  <si>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</si>
  <si>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</si>
  <si>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</si>
  <si>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</si>
  <si>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</si>
  <si>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</si>
  <si>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</si>
  <si>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</si>
  <si>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</si>
  <si>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</si>
  <si>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</si>
  <si>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</si>
  <si>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</si>
  <si>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</si>
  <si>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</si>
  <si>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</si>
  <si>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</si>
  <si>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</si>
  <si>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</si>
  <si>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</si>
  <si>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</si>
  <si>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</si>
  <si>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</si>
  <si>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</si>
  <si>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</si>
  <si>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</si>
  <si>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</si>
  <si>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</si>
  <si>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</si>
  <si>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</si>
  <si>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</si>
  <si>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</si>
  <si>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</si>
  <si>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</si>
  <si>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</si>
  <si>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</si>
  <si>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</si>
  <si>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</si>
  <si>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</si>
  <si>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</si>
  <si>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</si>
  <si>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</si>
  <si>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</si>
  <si>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</si>
  <si>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</si>
  <si>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</si>
  <si>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</si>
  <si>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</si>
  <si>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</si>
  <si>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</si>
  <si>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</si>
  <si>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</si>
  <si>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</si>
  <si>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</si>
  <si>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</si>
  <si>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</si>
  <si>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</si>
  <si>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</si>
  <si>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</si>
  <si>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</si>
  <si>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</si>
  <si>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</si>
  <si>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</si>
  <si>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</si>
  <si>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</si>
  <si>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</si>
  <si>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</si>
  <si>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</si>
  <si>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</si>
  <si>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</si>
  <si>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</si>
  <si>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</si>
  <si>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</si>
  <si>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</si>
  <si>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</si>
  <si>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</si>
  <si>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</si>
  <si>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</si>
  <si>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</si>
  <si>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</si>
  <si>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</si>
  <si>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</si>
  <si>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</si>
  <si>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</si>
  <si>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</si>
  <si>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</si>
  <si>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</si>
  <si>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</si>
  <si>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</si>
  <si>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</si>
  <si>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</si>
  <si>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</si>
  <si>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</si>
  <si>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</si>
  <si>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</si>
  <si>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</si>
  <si>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</si>
  <si>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</si>
  <si>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</si>
  <si>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</si>
  <si>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</si>
  <si>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</si>
  <si>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</si>
  <si>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</si>
  <si>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</si>
  <si>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</si>
  <si>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</si>
  <si>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</si>
  <si>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</si>
  <si>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</si>
  <si>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</si>
  <si>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</si>
  <si>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</si>
  <si>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</si>
  <si>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</si>
  <si>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</si>
  <si>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</si>
  <si>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</si>
  <si>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</si>
  <si>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</si>
  <si>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</si>
  <si>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</si>
  <si>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</si>
  <si>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</si>
  <si>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</si>
  <si>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</si>
  <si>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</si>
  <si>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</si>
  <si>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</si>
  <si>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</si>
  <si>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</si>
  <si>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</si>
  <si>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</si>
  <si>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</si>
  <si>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</si>
  <si>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</si>
  <si>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</si>
  <si>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</si>
  <si>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</si>
  <si>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</si>
  <si>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</si>
  <si>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</si>
  <si>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</si>
  <si>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</si>
  <si>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</si>
  <si>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</si>
  <si>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</si>
  <si>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</si>
  <si>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</si>
  <si>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</si>
  <si>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</si>
  <si>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</si>
  <si>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</si>
  <si>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</si>
  <si>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</si>
  <si>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</si>
  <si>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</si>
  <si>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</si>
  <si>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</si>
  <si>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</si>
  <si>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</si>
  <si>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</si>
  <si>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</si>
  <si>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</si>
  <si>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</si>
  <si>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</si>
  <si>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</si>
  <si>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</si>
  <si>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</si>
  <si>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</si>
  <si>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</si>
  <si>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</si>
  <si>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</si>
  <si>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</si>
  <si>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</si>
  <si>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</si>
  <si>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</si>
  <si>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</si>
  <si>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</si>
  <si>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</si>
  <si>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</si>
  <si>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</si>
  <si>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</si>
  <si>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</si>
  <si>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</si>
  <si>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</si>
  <si>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</si>
  <si>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</si>
  <si>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</si>
  <si>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</si>
  <si>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</si>
  <si>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</si>
  <si>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</si>
  <si>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</si>
  <si>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</si>
  <si>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</si>
  <si>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</si>
  <si>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</si>
  <si>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</si>
  <si>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</si>
  <si>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</si>
  <si>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</si>
  <si>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</si>
  <si>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</si>
  <si>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</si>
  <si>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</si>
  <si>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</si>
  <si>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</si>
  <si>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</si>
  <si>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</si>
  <si>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</si>
  <si>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</si>
  <si>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</si>
  <si>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</si>
  <si>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</si>
  <si>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</si>
  <si>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</si>
  <si>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</si>
  <si>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</si>
  <si>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</si>
  <si>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</si>
  <si>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</si>
  <si>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</si>
  <si>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</si>
  <si>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</si>
  <si>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</si>
  <si>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</si>
  <si>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</si>
  <si>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</si>
  <si>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</si>
  <si>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</si>
  <si>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</si>
  <si>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</si>
  <si>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</si>
  <si>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</si>
  <si>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</si>
  <si>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</si>
  <si>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</si>
  <si>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</si>
  <si>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</si>
  <si>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</si>
  <si>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</si>
  <si>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</si>
  <si>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</si>
  <si>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</si>
  <si>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</si>
  <si>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</si>
  <si>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</si>
  <si>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</si>
  <si>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</si>
  <si>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</si>
  <si>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</si>
  <si>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</si>
  <si>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</si>
  <si>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</si>
  <si>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</si>
  <si>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</si>
  <si>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</si>
  <si>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</si>
  <si>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</si>
  <si>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</si>
  <si>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</si>
  <si>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</si>
  <si>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</si>
  <si>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</si>
  <si>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</si>
  <si>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</si>
  <si>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</si>
  <si>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</si>
  <si>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</si>
  <si>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</si>
  <si>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</si>
  <si>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</si>
  <si>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</si>
  <si>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</si>
  <si>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</si>
  <si>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</si>
  <si>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</si>
  <si>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</si>
  <si>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</si>
  <si>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</si>
  <si>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</si>
  <si>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</si>
  <si>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</si>
  <si>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</si>
  <si>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</si>
  <si>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</si>
  <si>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</si>
  <si>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</si>
  <si>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</si>
  <si>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</si>
  <si>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</si>
  <si>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</si>
  <si>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</si>
  <si>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</si>
  <si>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</si>
  <si>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</si>
  <si>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</si>
  <si>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</si>
  <si>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</si>
  <si>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</si>
  <si>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</si>
  <si>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</si>
  <si>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</si>
  <si>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</si>
  <si>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</si>
  <si>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</si>
  <si>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</si>
  <si>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</si>
  <si>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</si>
  <si>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</si>
  <si>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</si>
  <si>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</si>
  <si>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</si>
  <si>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</si>
  <si>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</si>
  <si>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</si>
  <si>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</si>
  <si>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</si>
  <si>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</si>
  <si>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</si>
  <si>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</si>
  <si>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</si>
  <si>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</si>
  <si>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</si>
  <si>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</si>
  <si>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</si>
  <si>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</si>
  <si>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</si>
  <si>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</si>
  <si>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</si>
  <si>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</si>
  <si>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</si>
  <si>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</si>
  <si>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</si>
  <si>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</si>
  <si>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</si>
  <si>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</si>
  <si>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</si>
  <si>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</si>
  <si>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</si>
  <si>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</si>
  <si>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</si>
  <si>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</si>
  <si>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</si>
  <si>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</si>
  <si>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</si>
  <si>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</si>
  <si>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</si>
  <si>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</si>
  <si>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</si>
  <si>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</si>
  <si>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</si>
  <si>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</si>
  <si>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</si>
  <si>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</si>
  <si>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</si>
  <si>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</si>
  <si>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</si>
  <si>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</si>
  <si>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</si>
  <si>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</si>
  <si>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</si>
  <si>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</si>
  <si>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</si>
  <si>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</si>
  <si>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</si>
  <si>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</si>
  <si>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</si>
  <si>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</si>
  <si>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</si>
  <si>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</si>
  <si>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</si>
  <si>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</si>
  <si>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</si>
  <si>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</si>
  <si>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</si>
  <si>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</si>
  <si>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</si>
  <si>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</si>
  <si>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</si>
  <si>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</si>
  <si>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</si>
  <si>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</si>
  <si>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</si>
  <si>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</si>
  <si>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</si>
  <si>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</si>
  <si>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</si>
  <si>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</si>
  <si>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</si>
  <si>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</si>
  <si>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</si>
  <si>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</si>
  <si>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</si>
  <si>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</si>
  <si>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</si>
  <si>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</si>
  <si>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</si>
  <si>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</si>
  <si>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</si>
  <si>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</si>
  <si>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</si>
  <si>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</si>
  <si>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</si>
  <si>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</si>
  <si>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</si>
  <si>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</si>
  <si>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</si>
  <si>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</si>
  <si>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</si>
  <si>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</si>
  <si>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</si>
  <si>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</si>
  <si>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</si>
  <si>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</si>
  <si>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</si>
  <si>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</si>
  <si>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</si>
  <si>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</si>
  <si>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</si>
  <si>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</si>
  <si>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</si>
  <si>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</si>
  <si>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</si>
  <si>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</si>
  <si>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</si>
  <si>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</si>
  <si>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</si>
  <si>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</si>
  <si>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</si>
  <si>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</si>
  <si>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</si>
  <si>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</si>
  <si>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</si>
  <si>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</si>
  <si>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</si>
  <si>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</si>
  <si>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</si>
  <si>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</si>
  <si>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</si>
  <si>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</si>
  <si>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</si>
  <si>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</si>
  <si>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</si>
  <si>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</si>
  <si>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</si>
  <si>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</si>
  <si>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</si>
  <si>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</si>
  <si>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</si>
  <si>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</si>
  <si>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</si>
  <si>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</si>
  <si>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</si>
  <si>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</si>
  <si>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</si>
  <si>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</si>
  <si>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</si>
  <si>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</si>
  <si>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</si>
  <si>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</si>
  <si>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</si>
  <si>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</si>
  <si>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</si>
  <si>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</si>
  <si>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</si>
  <si>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</si>
  <si>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</si>
  <si>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</si>
  <si>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</si>
  <si>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</si>
  <si>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</si>
  <si>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</si>
  <si>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</si>
  <si>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</si>
  <si>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</si>
  <si>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</si>
  <si>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</si>
  <si>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</si>
  <si>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</si>
  <si>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</si>
  <si>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</si>
  <si>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</si>
  <si>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</si>
  <si>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</si>
  <si>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</si>
  <si>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</si>
  <si>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</si>
  <si>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</si>
  <si>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</si>
  <si>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</si>
  <si>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</si>
  <si>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</si>
  <si>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</si>
  <si>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</si>
  <si>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</si>
  <si>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</si>
  <si>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</si>
  <si>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</si>
  <si>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</si>
  <si>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</si>
  <si>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</si>
  <si>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</si>
  <si>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</si>
  <si>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</si>
  <si>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</si>
  <si>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</si>
  <si>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</si>
  <si>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</si>
  <si>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</si>
  <si>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</si>
  <si>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</si>
  <si>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</si>
  <si>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</si>
  <si>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</si>
  <si>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</si>
  <si>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</si>
  <si>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</si>
  <si>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</si>
  <si>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</si>
  <si>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</si>
  <si>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</si>
  <si>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</si>
  <si>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</si>
  <si>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</si>
  <si>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</si>
  <si>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</si>
  <si>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</si>
  <si>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</si>
  <si>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</si>
  <si>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</si>
  <si>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</si>
  <si>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</si>
  <si>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</si>
  <si>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</si>
  <si>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</si>
  <si>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</si>
  <si>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</si>
  <si>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</si>
  <si>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</si>
  <si>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</si>
  <si>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</si>
  <si>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</si>
  <si>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</si>
  <si>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</si>
  <si>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</si>
  <si>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</si>
  <si>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</si>
  <si>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</si>
  <si>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</si>
  <si>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</si>
  <si>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</si>
  <si>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</si>
  <si>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</si>
  <si>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</si>
  <si>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</si>
  <si>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</si>
  <si>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</si>
  <si>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</si>
  <si>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</si>
  <si>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</si>
  <si>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</si>
  <si>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</si>
  <si>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</si>
  <si>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</si>
  <si>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</si>
  <si>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</si>
  <si>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</si>
  <si>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</si>
  <si>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</si>
  <si>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</si>
  <si>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</si>
  <si>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</si>
  <si>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</si>
  <si>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</si>
  <si>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</si>
  <si>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</si>
  <si>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</si>
  <si>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</si>
  <si>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</si>
  <si>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</si>
  <si>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</si>
  <si>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</si>
  <si>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</si>
  <si>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</si>
  <si>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</si>
  <si>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</si>
  <si>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</si>
  <si>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</si>
  <si>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</si>
  <si>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</si>
  <si>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</si>
  <si>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</si>
  <si>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</si>
  <si>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</si>
  <si>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</si>
  <si>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</si>
  <si>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</si>
  <si>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</si>
  <si>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</si>
  <si>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</si>
  <si>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</si>
  <si>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</si>
  <si>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</si>
  <si>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</si>
  <si>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</si>
  <si>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</si>
  <si>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</si>
  <si>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</si>
  <si>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</si>
  <si>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</si>
  <si>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</si>
  <si>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</si>
  <si>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</si>
  <si>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</si>
  <si>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</si>
  <si>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</si>
  <si>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</si>
  <si>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</si>
  <si>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</si>
  <si>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</si>
  <si>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</si>
  <si>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</si>
  <si>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</si>
  <si>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</si>
  <si>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</si>
  <si>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</si>
  <si>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</si>
  <si>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</si>
  <si>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</si>
  <si>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</si>
  <si>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</si>
  <si>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</si>
  <si>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</si>
  <si>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</si>
  <si>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</si>
  <si>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</si>
  <si>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</si>
  <si>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</si>
  <si>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</si>
  <si>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</si>
  <si>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</si>
  <si>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</si>
  <si>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</si>
  <si>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</si>
  <si>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</si>
  <si>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</si>
  <si>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</si>
  <si>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</si>
  <si>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</si>
  <si>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</si>
  <si>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</si>
  <si>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</si>
  <si>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</si>
  <si>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</si>
  <si>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</si>
  <si>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</si>
  <si>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</si>
  <si>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</si>
  <si>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</si>
  <si>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</si>
  <si>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</si>
  <si>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</si>
  <si>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</si>
  <si>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</si>
  <si>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</si>
  <si>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</si>
  <si>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</si>
  <si>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</si>
  <si>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</si>
  <si>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</si>
  <si>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</si>
  <si>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</si>
  <si>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</si>
  <si>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</si>
  <si>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</si>
  <si>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</si>
  <si>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</si>
  <si>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</si>
  <si>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</si>
  <si>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</si>
  <si>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</si>
  <si>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</si>
  <si>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</si>
  <si>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</si>
  <si>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</si>
  <si>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</si>
  <si>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</si>
  <si>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</si>
  <si>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</si>
  <si>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</si>
  <si>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</si>
  <si>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</si>
  <si>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</si>
  <si>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</si>
  <si>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</si>
  <si>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</si>
  <si>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</si>
  <si>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</si>
  <si>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</si>
  <si>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</si>
  <si>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</si>
  <si>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</si>
  <si>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</si>
  <si>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</si>
  <si>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</si>
  <si>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</si>
  <si>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</si>
  <si>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</si>
  <si>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</si>
  <si>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</si>
  <si>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</si>
  <si>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</si>
  <si>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</si>
  <si>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</si>
  <si>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</si>
  <si>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</si>
  <si>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</si>
  <si>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</si>
  <si>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</si>
  <si>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</si>
  <si>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</si>
  <si>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</si>
  <si>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</si>
  <si>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</si>
  <si>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</si>
  <si>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</si>
  <si>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</si>
  <si>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</si>
  <si>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</si>
  <si>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</si>
  <si>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</si>
  <si>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</si>
  <si>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</si>
  <si>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</si>
  <si>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</si>
  <si>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</si>
  <si>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</si>
  <si>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</si>
  <si>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</si>
  <si>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BGN RSD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</si>
</sst>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ddd\ dd\ mmm\ yyyy"/>
    <numFmt numFmtId="165" formatCode="ddd\ dd\ mmm\ yyyy"/>
    <numFmt numFmtId="166" formatCode="[&gt;1000000]0.00E+00;[&gt;1000]#,##0;#,##0.0"/>
    <numFmt numFmtId="167" formatCode="0.00E+00;[Red]\−0.00E+0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68">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cellXfs>
  <cellStyles count="1">
    <cellStyle name="Normal" xfId="0" builtinId="0" customBuiltin="1"/>
  </cellStyles>
  <dxfs count="0"/>
  <tableStyles count="0" defaultTableStyle="TableStyleMedium2" defaultPivotStyle="PivotStyleLight16"/>
  <colors>
    <mruColors>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0.85505035831417175</c:v>
                </c:pt>
                <c:pt idx="1">
                  <c:v>4.4995132678057743</c:v>
                </c:pt>
                <c:pt idx="2">
                  <c:v>2.1650635094610964</c:v>
                </c:pt>
                <c:pt idx="3">
                  <c:v>6.893654271085456</c:v>
                </c:pt>
                <c:pt idx="4">
                  <c:v>2.4620193825305199</c:v>
                </c:pt>
                <c:pt idx="5">
                  <c:v>6.0621778264910713</c:v>
                </c:pt>
                <c:pt idx="6">
                  <c:v>1.6069690242163488</c:v>
                </c:pt>
                <c:pt idx="7">
                  <c:v>2.3941410032796822</c:v>
                </c:pt>
                <c:pt idx="8">
                  <c:v>3.06287113727155E-16</c:v>
                </c:pt>
                <c:pt idx="9">
                  <c:v>-2.3941410032796808</c:v>
                </c:pt>
                <c:pt idx="10">
                  <c:v>-1.6069690242163472</c:v>
                </c:pt>
                <c:pt idx="11">
                  <c:v>-6.0621778264910686</c:v>
                </c:pt>
                <c:pt idx="12">
                  <c:v>-2.4620193825305199</c:v>
                </c:pt>
                <c:pt idx="13">
                  <c:v>-6.8936542710854569</c:v>
                </c:pt>
                <c:pt idx="14">
                  <c:v>-2.1650635094610977</c:v>
                </c:pt>
                <c:pt idx="15">
                  <c:v>-4.499513267805777</c:v>
                </c:pt>
                <c:pt idx="16">
                  <c:v>-0.85505035831417153</c:v>
                </c:pt>
                <c:pt idx="17">
                  <c:v>-1.715207836872068E-15</c:v>
                </c:pt>
              </c:numCache>
            </c:numRef>
          </c:xVal>
          <c:yVal>
            <c:numRef>
              <c:f>[0]!_CoEDB.RawY</c:f>
              <c:numCache>
                <c:formatCode>General</c:formatCode>
                <c:ptCount val="18"/>
                <c:pt idx="0">
                  <c:v>2.3492315519647713</c:v>
                </c:pt>
                <c:pt idx="1">
                  <c:v>5.3623111018328462</c:v>
                </c:pt>
                <c:pt idx="2">
                  <c:v>1.2500000000000002</c:v>
                </c:pt>
                <c:pt idx="3">
                  <c:v>1.2155372436685128</c:v>
                </c:pt>
                <c:pt idx="4">
                  <c:v>-0.43412044416732576</c:v>
                </c:pt>
                <c:pt idx="5">
                  <c:v>-3.4999999999999982</c:v>
                </c:pt>
                <c:pt idx="6">
                  <c:v>-1.9151111077974448</c:v>
                </c:pt>
                <c:pt idx="7">
                  <c:v>-6.5778483455013586</c:v>
                </c:pt>
                <c:pt idx="8">
                  <c:v>-2.5</c:v>
                </c:pt>
                <c:pt idx="9">
                  <c:v>-6.5778483455013586</c:v>
                </c:pt>
                <c:pt idx="10">
                  <c:v>-1.9151111077974459</c:v>
                </c:pt>
                <c:pt idx="11">
                  <c:v>-3.5000000000000031</c:v>
                </c:pt>
                <c:pt idx="12">
                  <c:v>-0.43412044416732581</c:v>
                </c:pt>
                <c:pt idx="13">
                  <c:v>1.2155372436685097</c:v>
                </c:pt>
                <c:pt idx="14">
                  <c:v>1.2499999999999982</c:v>
                </c:pt>
                <c:pt idx="15">
                  <c:v>5.3623111018328444</c:v>
                </c:pt>
                <c:pt idx="16">
                  <c:v>2.3492315519647713</c:v>
                </c:pt>
                <c:pt idx="17">
                  <c:v>7</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max val="8"/>
          <c:min val="-8"/>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11</xdr:col>
      <xdr:colOff>215900</xdr:colOff>
      <xdr:row>0</xdr:row>
      <xdr:rowOff>50800</xdr:rowOff>
    </xdr:from>
    <xdr:to>
      <xdr:col>13</xdr:col>
      <xdr:colOff>393700</xdr:colOff>
      <xdr:row>1</xdr:row>
      <xdr:rowOff>152400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9296400" y="508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2648</v>
      </c>
      <c r="M2" t="str">
        <f xml:space="preserve"> L2</f>
        <v>USD_2</v>
      </c>
      <c r="N2" t="str">
        <f xml:space="preserve"> L2</f>
        <v>USD_2</v>
      </c>
      <c r="P2" t="s">
        <v>2651</v>
      </c>
      <c r="Q2" t="str">
        <f xml:space="preserve"> P2</f>
        <v>USD_3</v>
      </c>
      <c r="R2" t="str">
        <f xml:space="preserve"> P2</f>
        <v>USD_3</v>
      </c>
      <c r="T2" t="s">
        <v>794</v>
      </c>
      <c r="U2" t="str">
        <f xml:space="preserve"> T2</f>
        <v>EU</v>
      </c>
      <c r="V2" t="str">
        <f xml:space="preserve"> T2</f>
        <v>EU</v>
      </c>
      <c r="X2" t="s">
        <v>2652</v>
      </c>
      <c r="Y2" t="str">
        <f xml:space="preserve"> X2</f>
        <v>EU_2</v>
      </c>
      <c r="Z2" t="str">
        <f xml:space="preserve"> X2</f>
        <v>EU_2</v>
      </c>
      <c r="AB2" t="s">
        <v>2653</v>
      </c>
      <c r="AC2" t="str">
        <f xml:space="preserve"> AB2</f>
        <v>EU_3</v>
      </c>
      <c r="AD2" t="str">
        <f xml:space="preserve"> AB2</f>
        <v>EU_3</v>
      </c>
      <c r="AF2" t="s">
        <v>2654</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1617</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1624</v>
      </c>
      <c r="BQ2" t="str">
        <f xml:space="preserve"> BP2</f>
        <v>DZD</v>
      </c>
      <c r="BR2" t="str">
        <f xml:space="preserve"> BQ2</f>
        <v>DZD</v>
      </c>
      <c r="BT2" t="s">
        <v>1959</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1707</v>
      </c>
      <c r="CG2" t="str">
        <f xml:space="preserve"> CF2</f>
        <v>PAB</v>
      </c>
      <c r="CH2" t="str">
        <f xml:space="preserve"> CG2</f>
        <v>PAB</v>
      </c>
      <c r="CJ2" t="s">
        <v>2309</v>
      </c>
      <c r="CK2" t="str">
        <f xml:space="preserve"> CJ2</f>
        <v>VED</v>
      </c>
      <c r="CL2" t="str">
        <f xml:space="preserve"> CK2</f>
        <v>VED</v>
      </c>
      <c r="CN2" t="s">
        <v>2268</v>
      </c>
      <c r="CO2" t="str">
        <f xml:space="preserve"> CN2</f>
        <v>KPW</v>
      </c>
      <c r="CP2" t="str">
        <f xml:space="preserve"> CO2</f>
        <v>KPW</v>
      </c>
      <c r="CR2" t="s">
        <v>2310</v>
      </c>
      <c r="CS2" t="str">
        <f xml:space="preserve"> CR2</f>
        <v>SYP</v>
      </c>
      <c r="CT2" t="str">
        <f xml:space="preserve"> CS2</f>
        <v>SYP</v>
      </c>
      <c r="CV2" t="s">
        <v>2311</v>
      </c>
      <c r="CW2" t="str">
        <f xml:space="preserve"> CV2</f>
        <v>UZS</v>
      </c>
      <c r="CX2" t="str">
        <f xml:space="preserve"> CW2</f>
        <v>UZS</v>
      </c>
      <c r="DC2" t="e">
        <f xml:space="preserve"> NA()</f>
        <v>#N/A</v>
      </c>
    </row>
    <row r="3" spans="2:107">
      <c r="C3" s="4" t="s">
        <v>2085</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2086</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1773</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726</v>
      </c>
      <c r="M9" s="5"/>
      <c r="N9" s="5" t="s">
        <v>726</v>
      </c>
      <c r="Q9" s="5"/>
      <c r="R9" s="5" t="s">
        <v>726</v>
      </c>
      <c r="U9" s="5"/>
      <c r="V9" s="5" t="s">
        <v>2655</v>
      </c>
      <c r="Y9" s="5"/>
      <c r="Z9" s="5" t="str">
        <f xml:space="preserve"> $V9</f>
        <v xml:space="preserve">fill='#F3F' </v>
      </c>
      <c r="AC9" s="5"/>
      <c r="AD9" s="5" t="str">
        <f xml:space="preserve"> $V9</f>
        <v xml:space="preserve">fill='#F3F' </v>
      </c>
      <c r="AG9" s="5"/>
      <c r="AH9" s="5" t="str">
        <f xml:space="preserve"> $V9</f>
        <v xml:space="preserve">fill='#F3F' </v>
      </c>
      <c r="AK9" s="5"/>
      <c r="AL9" s="5" t="s">
        <v>1472</v>
      </c>
      <c r="AO9" s="5"/>
      <c r="AP9" s="5" t="s">
        <v>782</v>
      </c>
      <c r="AS9" s="5"/>
      <c r="AT9" s="5" t="s">
        <v>783</v>
      </c>
      <c r="AW9" s="5"/>
      <c r="AX9" s="5" t="s">
        <v>784</v>
      </c>
      <c r="BA9" s="5"/>
      <c r="BB9" s="5" t="s">
        <v>785</v>
      </c>
      <c r="BE9" s="5"/>
      <c r="BF9" s="5" t="s">
        <v>1618</v>
      </c>
      <c r="BI9" s="5"/>
      <c r="BJ9" s="5" t="s">
        <v>787</v>
      </c>
      <c r="BM9" s="5"/>
      <c r="BN9" s="5" t="s">
        <v>788</v>
      </c>
      <c r="BQ9" s="5"/>
      <c r="BR9" s="5" t="s">
        <v>1625</v>
      </c>
      <c r="BU9" s="5"/>
      <c r="BV9" s="5" t="s">
        <v>726</v>
      </c>
      <c r="BY9" s="21"/>
      <c r="BZ9" s="21" t="s">
        <v>1062</v>
      </c>
      <c r="CC9" s="5"/>
      <c r="CD9" s="5" t="s">
        <v>1826</v>
      </c>
      <c r="CG9" s="5"/>
      <c r="CH9" s="5" t="s">
        <v>1698</v>
      </c>
      <c r="CK9" s="5"/>
      <c r="CL9" s="5" t="s">
        <v>717</v>
      </c>
      <c r="CM9" s="5"/>
      <c r="CO9" s="5"/>
      <c r="CP9" s="5" t="s">
        <v>2266</v>
      </c>
      <c r="CQ9" s="5"/>
      <c r="CS9" s="5"/>
      <c r="CT9" s="5" t="s">
        <v>1667</v>
      </c>
      <c r="CU9" s="5"/>
      <c r="CW9" s="5"/>
      <c r="CX9" s="5" t="s">
        <v>2312</v>
      </c>
      <c r="CY9" s="5"/>
      <c r="CZ9" s="5"/>
      <c r="DA9" s="5"/>
      <c r="DB9" s="5"/>
    </row>
    <row r="10" spans="2:107">
      <c r="F10" s="4" t="s">
        <v>150</v>
      </c>
      <c r="I10" s="5"/>
      <c r="J10" s="5" t="s">
        <v>2087</v>
      </c>
      <c r="M10" s="5"/>
      <c r="N10" s="5" t="s">
        <v>2649</v>
      </c>
      <c r="Q10" s="5"/>
      <c r="R10" s="5" t="s">
        <v>2650</v>
      </c>
      <c r="U10" s="5"/>
      <c r="V10" s="5" t="s">
        <v>2087</v>
      </c>
      <c r="Y10" s="5"/>
      <c r="Z10" s="5" t="s">
        <v>2087</v>
      </c>
      <c r="AC10" s="5"/>
      <c r="AD10" s="5" t="s">
        <v>2657</v>
      </c>
      <c r="AG10" s="5"/>
      <c r="AH10" s="5" t="s">
        <v>2087</v>
      </c>
      <c r="AK10" s="5"/>
      <c r="AL10" s="5" t="s">
        <v>2087</v>
      </c>
      <c r="AO10" s="5"/>
      <c r="AP10" s="5" t="s">
        <v>786</v>
      </c>
      <c r="AS10" s="5"/>
      <c r="AT10" s="5" t="s">
        <v>2087</v>
      </c>
      <c r="AW10" s="5"/>
      <c r="AX10" s="5" t="s">
        <v>2087</v>
      </c>
      <c r="BA10" s="5"/>
      <c r="BB10" s="5" t="s">
        <v>2087</v>
      </c>
      <c r="BE10" s="5"/>
      <c r="BF10" s="5" t="s">
        <v>1619</v>
      </c>
      <c r="BI10" s="5"/>
      <c r="BJ10" s="5" t="s">
        <v>2087</v>
      </c>
      <c r="BM10" s="5"/>
      <c r="BN10" s="5"/>
      <c r="BQ10" s="5"/>
      <c r="BR10" s="5" t="s">
        <v>2087</v>
      </c>
      <c r="BU10" s="5"/>
      <c r="BV10" s="5" t="s">
        <v>722</v>
      </c>
      <c r="BY10" s="21"/>
      <c r="BZ10" s="21" t="s">
        <v>1063</v>
      </c>
      <c r="CC10" s="5"/>
      <c r="CD10" s="5" t="s">
        <v>2087</v>
      </c>
      <c r="CG10" s="5"/>
      <c r="CH10" s="5"/>
      <c r="CK10" s="5"/>
      <c r="CL10" s="5" t="s">
        <v>721</v>
      </c>
      <c r="CM10" s="5"/>
      <c r="CO10" s="5"/>
      <c r="CP10" s="5" t="s">
        <v>2267</v>
      </c>
      <c r="CQ10" s="5"/>
      <c r="CS10" s="5"/>
      <c r="CT10" s="5" t="s">
        <v>2087</v>
      </c>
      <c r="CU10" s="5"/>
      <c r="CW10" s="5"/>
      <c r="CX10" s="5" t="s">
        <v>2087</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2656</v>
      </c>
      <c r="AC11" s="5"/>
      <c r="AD11" s="5" t="s">
        <v>2658</v>
      </c>
      <c r="AG11" s="5"/>
      <c r="AH11" s="5" t="s">
        <v>2657</v>
      </c>
      <c r="AK11" s="5"/>
      <c r="AL11" s="5" t="s">
        <v>728</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1535</v>
      </c>
      <c r="BQ11" s="5"/>
      <c r="BR11" s="5" t="s">
        <v>1626</v>
      </c>
      <c r="BU11" s="5"/>
      <c r="BV11" s="5" t="s">
        <v>726</v>
      </c>
      <c r="CC11" s="5"/>
      <c r="CD11" s="5" t="s">
        <v>781</v>
      </c>
      <c r="CG11" s="5"/>
      <c r="CH11" s="5" t="s">
        <v>1699</v>
      </c>
      <c r="CK11" s="5"/>
      <c r="CL11" s="5" t="s">
        <v>789</v>
      </c>
      <c r="CM11" s="5"/>
      <c r="CO11" s="5"/>
      <c r="CP11" s="5" t="s">
        <v>2087</v>
      </c>
      <c r="CQ11" s="5"/>
      <c r="CS11" s="5"/>
      <c r="CT11" s="5" t="s">
        <v>754</v>
      </c>
      <c r="CU11" s="5"/>
      <c r="CW11" s="5"/>
      <c r="CX11" s="5" t="s">
        <v>2313</v>
      </c>
      <c r="CY11" s="5"/>
      <c r="CZ11" s="5"/>
      <c r="DA11" s="5"/>
      <c r="DB11" s="5"/>
    </row>
    <row r="12" spans="2:107">
      <c r="B12" t="b">
        <v>1</v>
      </c>
      <c r="F12" s="4" t="s">
        <v>1685</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1538</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1774</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1774</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1774</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1774</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1774</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1774</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1774</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1774</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1774</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1774</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1752</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1753</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1754</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1755</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1767</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1768</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1769</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1770</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1771</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1772</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1775</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1808</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1807</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1809</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1822</v>
      </c>
      <c r="E95" t="s">
        <v>1811</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1821</v>
      </c>
      <c r="D96">
        <v>0.44</v>
      </c>
      <c r="E96" t="s">
        <v>1813</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1810</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1810</v>
      </c>
      <c r="J98" s="57" t="str">
        <f t="shared" si="141"/>
        <v/>
      </c>
      <c r="AP98" s="57" t="str">
        <f t="shared" si="142"/>
        <v/>
      </c>
      <c r="AX98" s="57" t="str">
        <f t="shared" si="143"/>
        <v/>
      </c>
      <c r="BR98" s="57" t="str">
        <f t="shared" si="144"/>
        <v>&lt;path fill='#FFF' d='M4.8541 5.70634H-4.8541V-5.70634H4.8541Z'/&gt;</v>
      </c>
    </row>
    <row r="99" spans="3:70">
      <c r="E99" t="s">
        <v>1810</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1810</v>
      </c>
      <c r="J100" s="57" t="str">
        <f t="shared" si="141"/>
        <v/>
      </c>
      <c r="AP100" s="57" t="str">
        <f t="shared" si="142"/>
        <v>&lt;use href='#CNY-s' fill='#DE2910'/&gt;</v>
      </c>
      <c r="AX100" s="57" t="str">
        <f t="shared" si="143"/>
        <v>&lt;use href='#PKR-s' fill='#01411C'/&gt;</v>
      </c>
      <c r="BR100" s="57" t="str">
        <f t="shared" si="144"/>
        <v/>
      </c>
    </row>
    <row r="101" spans="3:70">
      <c r="E101" t="s">
        <v>1810</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1810</v>
      </c>
      <c r="J102" s="57" t="str">
        <f t="shared" si="141"/>
        <v/>
      </c>
      <c r="AP102" s="57" t="str">
        <f t="shared" si="142"/>
        <v/>
      </c>
      <c r="AX102" s="57" t="str">
        <f t="shared" si="143"/>
        <v/>
      </c>
      <c r="BR102" s="57" t="str">
        <f t="shared" si="144"/>
        <v/>
      </c>
    </row>
    <row r="103" spans="3:70">
      <c r="E103" t="s">
        <v>1810</v>
      </c>
      <c r="J103" s="57" t="str">
        <f t="shared" si="141"/>
        <v/>
      </c>
      <c r="AP103" s="57" t="str">
        <f t="shared" si="142"/>
        <v/>
      </c>
      <c r="AX103" s="57" t="str">
        <f t="shared" si="143"/>
        <v/>
      </c>
      <c r="BR103" s="57" t="str">
        <f t="shared" si="144"/>
        <v/>
      </c>
    </row>
    <row r="104" spans="3:70">
      <c r="E104" t="s">
        <v>1810</v>
      </c>
      <c r="J104" s="57" t="str">
        <f t="shared" si="141"/>
        <v/>
      </c>
      <c r="AP104" s="57" t="str">
        <f t="shared" si="142"/>
        <v/>
      </c>
      <c r="AX104" s="57" t="str">
        <f t="shared" si="143"/>
        <v/>
      </c>
      <c r="BR104" s="57" t="str">
        <f t="shared" si="144"/>
        <v/>
      </c>
    </row>
    <row r="105" spans="3:70">
      <c r="E105" t="s">
        <v>1810</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1810</v>
      </c>
      <c r="J106" s="57" t="str">
        <f t="shared" si="141"/>
        <v/>
      </c>
      <c r="AP106" s="57" t="str">
        <f t="shared" si="142"/>
        <v/>
      </c>
      <c r="AX106" s="57" t="str">
        <f t="shared" si="143"/>
        <v/>
      </c>
      <c r="BR106" s="57" t="str">
        <f t="shared" si="144"/>
        <v/>
      </c>
    </row>
    <row r="107" spans="3:70">
      <c r="C107" t="s">
        <v>1812</v>
      </c>
      <c r="D107">
        <f xml:space="preserve"> D$96 / 2</f>
        <v>0.22</v>
      </c>
      <c r="E107" t="s">
        <v>1814</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1815</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1816</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1817</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1820</v>
      </c>
      <c r="D111">
        <f xml:space="preserve"> D$107</f>
        <v>0.22</v>
      </c>
      <c r="E111" t="s">
        <v>1819</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1818</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2087</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N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0">
      <c r="B2" s="4" t="s">
        <v>91</v>
      </c>
      <c r="D2" t="s">
        <v>7</v>
      </c>
      <c r="F2" t="s">
        <v>132</v>
      </c>
      <c r="H2" t="s">
        <v>97</v>
      </c>
      <c r="J2" t="s">
        <v>394</v>
      </c>
      <c r="L2" t="s">
        <v>99</v>
      </c>
      <c r="N2" t="s">
        <v>98</v>
      </c>
      <c r="P2" t="s">
        <v>1637</v>
      </c>
      <c r="R2" t="s">
        <v>100</v>
      </c>
      <c r="T2" t="s">
        <v>101</v>
      </c>
      <c r="V2" t="s">
        <v>103</v>
      </c>
      <c r="X2" t="s">
        <v>2297</v>
      </c>
      <c r="Z2" t="s">
        <v>105</v>
      </c>
      <c r="AB2" t="s">
        <v>715</v>
      </c>
      <c r="AD2" t="s">
        <v>1670</v>
      </c>
      <c r="AF2" t="s">
        <v>2247</v>
      </c>
      <c r="AH2" t="s">
        <v>173</v>
      </c>
      <c r="AJ2" t="s">
        <v>106</v>
      </c>
      <c r="AL2" t="s">
        <v>2037</v>
      </c>
    </row>
    <row r="4" spans="2:40">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$V4</f>
        <v>1</v>
      </c>
      <c r="Z4" s="26">
        <f xml:space="preserve"> $D4</f>
        <v>1</v>
      </c>
      <c r="AB4" s="26">
        <f xml:space="preserve"> $D4</f>
        <v>1</v>
      </c>
      <c r="AD4" s="26">
        <f xml:space="preserve"> $D4</f>
        <v>1</v>
      </c>
      <c r="AF4" s="26">
        <f xml:space="preserve"> $D4</f>
        <v>1</v>
      </c>
      <c r="AH4" s="26">
        <f xml:space="preserve"> $D4</f>
        <v>1</v>
      </c>
      <c r="AJ4" s="26">
        <f xml:space="preserve"> $D4</f>
        <v>1</v>
      </c>
      <c r="AL4" s="26">
        <f xml:space="preserve"> $D4</f>
        <v>1</v>
      </c>
      <c r="AN4" s="26"/>
    </row>
    <row r="5" spans="2:40">
      <c r="B5" s="4" t="s">
        <v>88</v>
      </c>
      <c r="D5">
        <v>1</v>
      </c>
      <c r="F5">
        <v>1</v>
      </c>
      <c r="H5">
        <v>1</v>
      </c>
      <c r="J5">
        <v>1</v>
      </c>
      <c r="L5">
        <v>1</v>
      </c>
      <c r="N5">
        <v>1</v>
      </c>
      <c r="P5">
        <v>1</v>
      </c>
      <c r="R5">
        <v>1</v>
      </c>
      <c r="T5">
        <v>1</v>
      </c>
      <c r="V5">
        <v>1</v>
      </c>
      <c r="X5">
        <f t="shared" ref="X5:X7" si="0" xml:space="preserve"> $V5</f>
        <v>1</v>
      </c>
      <c r="Z5">
        <v>1</v>
      </c>
      <c r="AB5">
        <v>1</v>
      </c>
      <c r="AD5">
        <v>1</v>
      </c>
      <c r="AF5">
        <v>1</v>
      </c>
      <c r="AH5">
        <v>1</v>
      </c>
      <c r="AJ5">
        <v>1</v>
      </c>
      <c r="AL5">
        <v>1</v>
      </c>
    </row>
    <row r="6" spans="2:40">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t="shared" si="0"/>
        <v>15</v>
      </c>
      <c r="Z6">
        <f xml:space="preserve"> VALUE(TEXT(SQRT(_xlfn.SINGLE(Circles.AreaMultiplier) * BasicBBoxArea * _xlfn.SINGLE(Circles.Aspect)), SVG.NumberFormatHeight))</f>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row>
    <row r="7" spans="2:40">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t="shared" si="0"/>
        <v>15</v>
      </c>
      <c r="Z7">
        <f xml:space="preserve"> _xlfn.SINGLE(Circles.Height) / _xlfn.SINGLE(Circles.Aspect)</f>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row>
    <row r="9" spans="2:40">
      <c r="B9" s="4" t="s">
        <v>111</v>
      </c>
      <c r="D9">
        <v>3</v>
      </c>
      <c r="F9">
        <v>5</v>
      </c>
      <c r="H9">
        <v>3</v>
      </c>
      <c r="J9">
        <v>6</v>
      </c>
      <c r="L9">
        <f xml:space="preserve"> Thirds_O</f>
        <v>27</v>
      </c>
      <c r="N9">
        <f xml:space="preserve"> $L9</f>
        <v>27</v>
      </c>
      <c r="P9">
        <f xml:space="preserve"> $L9</f>
        <v>27</v>
      </c>
      <c r="R9">
        <v>4</v>
      </c>
      <c r="T9">
        <f xml:space="preserve"> $L9</f>
        <v>27</v>
      </c>
      <c r="V9">
        <v>3</v>
      </c>
      <c r="X9">
        <f t="shared" ref="X9:X10" si="1" xml:space="preserve"> $V9</f>
        <v>3</v>
      </c>
      <c r="Z9">
        <f xml:space="preserve"> $L9</f>
        <v>27</v>
      </c>
      <c r="AB9">
        <v>5</v>
      </c>
      <c r="AD9">
        <v>5</v>
      </c>
      <c r="AF9">
        <v>10</v>
      </c>
      <c r="AH9">
        <v>1</v>
      </c>
      <c r="AJ9">
        <f xml:space="preserve"> $L9</f>
        <v>27</v>
      </c>
      <c r="AL9">
        <v>10</v>
      </c>
    </row>
    <row r="10" spans="2:40">
      <c r="B10" s="4" t="s">
        <v>112</v>
      </c>
      <c r="D10">
        <v>2</v>
      </c>
      <c r="H10">
        <v>2</v>
      </c>
      <c r="L10">
        <f xml:space="preserve"> Thirds_M</f>
        <v>19</v>
      </c>
      <c r="N10">
        <f t="shared" ref="N10:P11" si="2" xml:space="preserve"> $L10</f>
        <v>19</v>
      </c>
      <c r="P10">
        <f t="shared" si="2"/>
        <v>19</v>
      </c>
      <c r="R10">
        <f xml:space="preserve"> _xlfn.SINGLE(Circles.SVG_Radius_3) - 1</f>
        <v>3</v>
      </c>
      <c r="T10">
        <f t="shared" ref="T10:T11" si="3" xml:space="preserve"> $L10</f>
        <v>19</v>
      </c>
      <c r="V10">
        <v>2</v>
      </c>
      <c r="X10">
        <f t="shared" si="1"/>
        <v>2</v>
      </c>
      <c r="Z10">
        <f t="shared" ref="Z10:Z11" si="4" xml:space="preserve"> $L10</f>
        <v>19</v>
      </c>
      <c r="AD10">
        <f xml:space="preserve"> _xlfn.SINGLE(Circles.SVG_Radius_3) * 0.8</f>
        <v>4</v>
      </c>
      <c r="AF10">
        <v>7</v>
      </c>
      <c r="AJ10">
        <f t="shared" ref="AJ10:AJ11" si="5" xml:space="preserve"> $L10</f>
        <v>19</v>
      </c>
      <c r="AL10">
        <f xml:space="preserve"> _xlfn.SINGLE(Circles.SVG_Radius_3) - 3</f>
        <v>7</v>
      </c>
    </row>
    <row r="11" spans="2:40">
      <c r="B11" s="4" t="s">
        <v>113</v>
      </c>
      <c r="L11">
        <f xml:space="preserve"> Thirds_I</f>
        <v>10</v>
      </c>
      <c r="N11">
        <f t="shared" si="2"/>
        <v>10</v>
      </c>
      <c r="P11">
        <f t="shared" si="2"/>
        <v>10</v>
      </c>
      <c r="R11">
        <f xml:space="preserve"> _xlfn.SINGLE(Circles.SVG_Radius_2) - 1</f>
        <v>2</v>
      </c>
      <c r="T11">
        <f t="shared" si="3"/>
        <v>10</v>
      </c>
      <c r="Z11">
        <f t="shared" si="4"/>
        <v>10</v>
      </c>
      <c r="AF11">
        <v>5</v>
      </c>
      <c r="AJ11">
        <f t="shared" si="5"/>
        <v>10</v>
      </c>
      <c r="AL11">
        <f xml:space="preserve"> _xlfn.SINGLE(Circles.SVG_Radius_2) - 2</f>
        <v>5</v>
      </c>
    </row>
    <row r="12" spans="2:40">
      <c r="B12" s="4" t="s">
        <v>114</v>
      </c>
      <c r="J12">
        <f xml:space="preserve"> _xlfn.SINGLE(Circles.SVG_Radius_3) * 5 / 6</f>
        <v>5</v>
      </c>
      <c r="AD12">
        <v>1</v>
      </c>
      <c r="AH12">
        <f xml:space="preserve"> _xlfn.SINGLE(Circles.SVG_Radius_3) * SqrtHalf</f>
        <v>0.70710678118654757</v>
      </c>
    </row>
    <row r="14" spans="2:40">
      <c r="B14" s="4" t="s">
        <v>108</v>
      </c>
      <c r="D14" t="s">
        <v>717</v>
      </c>
      <c r="F14" t="s">
        <v>720</v>
      </c>
      <c r="H14" t="s">
        <v>719</v>
      </c>
      <c r="J14" t="s">
        <v>726</v>
      </c>
      <c r="L14" t="s">
        <v>723</v>
      </c>
      <c r="N14" t="s">
        <v>724</v>
      </c>
      <c r="P14" t="s">
        <v>726</v>
      </c>
      <c r="R14" t="s">
        <v>728</v>
      </c>
      <c r="T14" t="s">
        <v>728</v>
      </c>
      <c r="V14" t="s">
        <v>720</v>
      </c>
      <c r="X14" t="str">
        <f t="shared" ref="X14" si="6" xml:space="preserve"> $V14</f>
        <v>fill='#DA291C'</v>
      </c>
      <c r="Z14" t="s">
        <v>734</v>
      </c>
      <c r="AB14" t="s">
        <v>735</v>
      </c>
      <c r="AD14" t="s">
        <v>1671</v>
      </c>
      <c r="AF14" t="s">
        <v>2248</v>
      </c>
      <c r="AH14" t="s">
        <v>725</v>
      </c>
      <c r="AJ14" t="s">
        <v>726</v>
      </c>
      <c r="AL14" t="s">
        <v>2038</v>
      </c>
    </row>
    <row r="15" spans="2:40">
      <c r="B15" s="4" t="s">
        <v>109</v>
      </c>
      <c r="D15" t="str">
        <f xml:space="preserve"> "fill='#FFF'"</f>
        <v>fill='#FFF'</v>
      </c>
      <c r="H15" t="s">
        <v>718</v>
      </c>
      <c r="L15" t="s">
        <v>722</v>
      </c>
      <c r="N15" t="s">
        <v>2087</v>
      </c>
      <c r="P15" t="s">
        <v>1638</v>
      </c>
      <c r="R15" t="s">
        <v>730</v>
      </c>
      <c r="T15" t="s">
        <v>2087</v>
      </c>
      <c r="V15" t="s">
        <v>732</v>
      </c>
      <c r="X15" s="28" t="s">
        <v>2300</v>
      </c>
      <c r="Z15" t="s">
        <v>2128</v>
      </c>
      <c r="AD15" t="s">
        <v>1673</v>
      </c>
      <c r="AF15" t="s">
        <v>2087</v>
      </c>
      <c r="AJ15" t="s">
        <v>2087</v>
      </c>
      <c r="AL15" t="s">
        <v>2087</v>
      </c>
    </row>
    <row r="16" spans="2:40">
      <c r="B16" s="4" t="s">
        <v>110</v>
      </c>
      <c r="L16" t="s">
        <v>721</v>
      </c>
      <c r="N16" t="s">
        <v>727</v>
      </c>
      <c r="P16" t="s">
        <v>1639</v>
      </c>
      <c r="R16" t="s">
        <v>731</v>
      </c>
      <c r="T16" t="str">
        <f xml:space="preserve"> _xlfn.SINGLE(Circles.SVG_Painting_3)</f>
        <v>fill='#C8102E'</v>
      </c>
      <c r="Z16" t="s">
        <v>2087</v>
      </c>
      <c r="AF16" t="s">
        <v>2249</v>
      </c>
      <c r="AJ16" t="s">
        <v>737</v>
      </c>
      <c r="AL16" t="s">
        <v>2039</v>
      </c>
    </row>
    <row r="17" spans="2:40">
      <c r="B17" s="4" t="s">
        <v>107</v>
      </c>
      <c r="F17" t="s">
        <v>2087</v>
      </c>
      <c r="J17" t="s">
        <v>720</v>
      </c>
      <c r="AB17" t="s">
        <v>736</v>
      </c>
      <c r="AD17" t="s">
        <v>1672</v>
      </c>
      <c r="AH17" t="s">
        <v>2087</v>
      </c>
    </row>
    <row r="20" spans="2:40">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4</v>
      </c>
      <c r="T20">
        <f xml:space="preserve"> MAX(_xlfn.SINGLE(Circles.SVG_Radius_0), _xlfn.SINGLE(Circles.SVG_Radius_1), _xlfn.SINGLE(Circles.SVG_Radius_2), _xlfn.SINGLE(Circles.SVG_Radius_3))</f>
        <v>27</v>
      </c>
      <c r="V20">
        <f xml:space="preserve"> MAX(_xlfn.SINGLE(Circles.SVG_Radius_0), _xlfn.SINGLE(Circles.SVG_Radius_1), _xlfn.SINGLE(Circles.SVG_Radius_2), _xlfn.SINGLE(Circles.SVG_Radius_3))</f>
        <v>3</v>
      </c>
      <c r="X20">
        <f xml:space="preserve"> $V20</f>
        <v>3</v>
      </c>
      <c r="Z20">
        <f xml:space="preserve"> MAX(_xlfn.SINGLE(Circles.SVG_Radius_0), _xlfn.SINGLE(Circles.SVG_Radius_1), _xlfn.SINGLE(Circles.SVG_Radius_2), _xlfn.SINGLE(Circles.SVG_Radius_3))</f>
        <v>27</v>
      </c>
      <c r="AB20">
        <f xml:space="preserve"> MAX(_xlfn.SINGLE(Circles.SVG_Radius_0), _xlfn.SINGLE(Circles.SVG_Radius_1), _xlfn.SINGLE(Circles.SVG_Radius_2), _xlfn.SINGLE(Circles.SVG_Radius_3))</f>
        <v>5</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10</v>
      </c>
      <c r="AH20">
        <f xml:space="preserve"> MAX(_xlfn.SINGLE(Circles.SVG_Radius_0), _xlfn.SINGLE(Circles.SVG_Radius_1), _xlfn.SINGLE(Circles.SVG_Radius_2), _xlfn.SINGLE(Circles.SVG_Radius_3))</f>
        <v>1</v>
      </c>
      <c r="AJ20">
        <f xml:space="preserve"> MAX(_xlfn.SINGLE(Circles.SVG_Radius_0), _xlfn.SINGLE(Circles.SVG_Radius_1), _xlfn.SINGLE(Circles.SVG_Radius_2), _xlfn.SINGLE(Circles.SVG_Radius_3))</f>
        <v>27</v>
      </c>
      <c r="AL20">
        <f xml:space="preserve"> MAX(_xlfn.SINGLE(Circles.SVG_Radius_0), _xlfn.SINGLE(Circles.SVG_Radius_1), _xlfn.SINGLE(Circles.SVG_Radius_2), _xlfn.SINGLE(Circles.SVG_Radius_3))</f>
        <v>10</v>
      </c>
    </row>
    <row r="23" spans="2:40">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196</v>
      </c>
      <c r="T23" cm="1">
        <f t="array" ref="T23" xml:space="preserve"> SVG_length(T$25:T$31)</f>
        <v>202</v>
      </c>
      <c r="V23" cm="1">
        <f t="array" ref="V23" xml:space="preserve"> SVG_length(V$25:V$31)</f>
        <v>168</v>
      </c>
      <c r="X23" cm="1">
        <f t="array" ref="X23" xml:space="preserve"> SVG_length(X$25:X$31)</f>
        <v>165</v>
      </c>
      <c r="Z23" cm="1">
        <f t="array" ref="Z23" xml:space="preserve"> SVG_length(Z$25:Z$31)</f>
        <v>187</v>
      </c>
      <c r="AB23" cm="1">
        <f t="array" ref="AB23" xml:space="preserve"> SVG_length(AB$25:AB$31)</f>
        <v>221</v>
      </c>
      <c r="AD23" cm="1">
        <f t="array" ref="AD23" xml:space="preserve"> SVG_length(AD$25:AD$31)</f>
        <v>235</v>
      </c>
      <c r="AF23" cm="1">
        <f t="array" ref="AF23" xml:space="preserve"> SVG_length(AF$25:AF$31)</f>
        <v>196</v>
      </c>
      <c r="AH23" cm="1">
        <f t="array" ref="AH23" xml:space="preserve"> SVG_length(AH$25:AH$31)</f>
        <v>200</v>
      </c>
      <c r="AJ23" cm="1">
        <f t="array" ref="AJ23" xml:space="preserve"> SVG_length(AJ$25:AJ$31)</f>
        <v>187</v>
      </c>
      <c r="AL23" cm="1">
        <f t="array" ref="AL23" xml:space="preserve"> SVG_length(AL$25:AL$31)</f>
        <v>196</v>
      </c>
    </row>
    <row r="24" spans="2:40" ht="17" thickBot="1">
      <c r="B24" s="6" t="s">
        <v>94</v>
      </c>
    </row>
    <row r="25" spans="2:40">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M25" s="18" t="str">
        <f t="shared" ref="AM25" si="7" xml:space="preserve"> ""</f>
        <v/>
      </c>
      <c r="AN25" s="19"/>
    </row>
    <row r="26" spans="2:40">
      <c r="C26" s="20"/>
      <c r="D26" s="21" t="str">
        <f xml:space="preserve"> IF(_xlfn.SINGLE(Circles.SVG_Radius_3)&lt;&gt;0, "&lt;circle " &amp; _xlfn.SINGLE(Circles.SVG_Painting_3) &amp; " r='" &amp; ROUND(_xlfn.SINGLE(Circles.SVG_Radius_3), DecimalPlaces) &amp; "'/&gt;", "")</f>
        <v>&lt;circle fill='#EF3340' r='3'/&gt;</v>
      </c>
      <c r="E26" s="21" t="str">
        <f t="shared" ref="E26:AM31" si="8" xml:space="preserve"> ""</f>
        <v/>
      </c>
      <c r="F26" s="21" t="str">
        <f xml:space="preserve"> IF(_xlfn.SINGLE(Circles.SVG_Radius_3)&lt;&gt;0, "&lt;circle " &amp; _xlfn.SINGLE(Circles.SVG_Painting_3) &amp; " r='" &amp; ROUND(_xlfn.SINGLE(Circles.SVG_Radius_3), DecimalPlaces) &amp; "'/&gt;", "")</f>
        <v>&lt;circle fill='#DA291C' r='5'/&gt;</v>
      </c>
      <c r="G26" s="21" t="str">
        <f t="shared" si="8"/>
        <v/>
      </c>
      <c r="H26" s="21" t="str">
        <f xml:space="preserve"> IF(_xlfn.SINGLE(Circles.SVG_Radius_3)&lt;&gt;0, "&lt;circle " &amp; _xlfn.SINGLE(Circles.SVG_Painting_3) &amp; " r='" &amp; ROUND(_xlfn.SINGLE(Circles.SVG_Radius_3), DecimalPlaces) &amp; "'/&gt;", "")</f>
        <v>&lt;circle fill='#006A4E' r='3'/&gt;</v>
      </c>
      <c r="I26" s="21" t="str">
        <f t="shared" si="8"/>
        <v/>
      </c>
      <c r="J26" s="21" t="str">
        <f xml:space="preserve"> IF(_xlfn.SINGLE(Circles.SVG_Radius_3)&lt;&gt;0, "&lt;circle " &amp; _xlfn.SINGLE(Circles.SVG_Painting_3) &amp; " r='" &amp; ROUND(_xlfn.SINGLE(Circles.SVG_Radius_3), DecimalPlaces) &amp; "'/&gt;", "")</f>
        <v>&lt;circle fill='black' r='6'/&gt;</v>
      </c>
      <c r="K26" s="21" t="str">
        <f t="shared" si="8"/>
        <v/>
      </c>
      <c r="L26" s="21" t="str">
        <f xml:space="preserve"> IF(_xlfn.SINGLE(Circles.SVG_Radius_3)&lt;&gt;0, "&lt;circle " &amp; _xlfn.SINGLE(Circles.SVG_Painting_3) &amp; " r='" &amp; ROUND(_xlfn.SINGLE(Circles.SVG_Radius_3), DecimalPlaces) &amp; "'/&gt;", "")</f>
        <v>&lt;circle fill='#009639' r='27'/&gt;</v>
      </c>
      <c r="M26" s="21" t="str">
        <f t="shared" si="8"/>
        <v/>
      </c>
      <c r="N26" s="21" t="str">
        <f xml:space="preserve"> IF(_xlfn.SINGLE(Circles.SVG_Radius_3)&lt;&gt;0, "&lt;circle " &amp; _xlfn.SINGLE(Circles.SVG_Painting_3) &amp; " r='" &amp; ROUND(_xlfn.SINGLE(Circles.SVG_Radius_3), DecimalPlaces) &amp; "'/&gt;", "")</f>
        <v>&lt;circle fill='#009A44' r='27'/&gt;</v>
      </c>
      <c r="O26" s="21" t="str">
        <f t="shared" si="8"/>
        <v/>
      </c>
      <c r="P26" s="21" t="str">
        <f xml:space="preserve"> IF(_xlfn.SINGLE(Circles.SVG_Radius_3)&lt;&gt;0, "&lt;circle " &amp; _xlfn.SINGLE(Circles.SVG_Painting_3) &amp; " r='" &amp; ROUND(_xlfn.SINGLE(Circles.SVG_Radius_3), DecimalPlaces) &amp; "'/&gt;", "")</f>
        <v>&lt;circle fill='black' r='27'/&gt;</v>
      </c>
      <c r="Q26" s="21" t="str">
        <f t="shared" si="8"/>
        <v/>
      </c>
      <c r="R26" s="21" t="str">
        <f xml:space="preserve"> IF(_xlfn.SINGLE(Circles.SVG_Radius_3)&lt;&gt;0, "&lt;circle " &amp; _xlfn.SINGLE(Circles.SVG_Painting_3) &amp; " r='" &amp; ROUND(_xlfn.SINGLE(Circles.SVG_Radius_3), DecimalPlaces) &amp; "'/&gt;", "")</f>
        <v>&lt;circle fill='#C8102E' r='4'/&gt;</v>
      </c>
      <c r="S26" s="21" t="str">
        <f t="shared" si="8"/>
        <v/>
      </c>
      <c r="T26" s="21" t="str">
        <f xml:space="preserve"> IF(_xlfn.SINGLE(Circles.SVG_Radius_3)&lt;&gt;0, "&lt;circle " &amp; _xlfn.SINGLE(Circles.SVG_Painting_3) &amp; " r='" &amp; ROUND(_xlfn.SINGLE(Circles.SVG_Radius_3), DecimalPlaces) &amp; "'/&gt;", "")</f>
        <v>&lt;circle fill='#C8102E' r='27'/&gt;</v>
      </c>
      <c r="U26" s="21" t="str">
        <f t="shared" si="8"/>
        <v/>
      </c>
      <c r="V26" s="21" t="str">
        <f xml:space="preserve"> IF(_xlfn.SINGLE(Circles.SVG_Radius_3)&lt;&gt;0, "&lt;circle " &amp; _xlfn.SINGLE(Circles.SVG_Painting_3) &amp; " r='" &amp; ROUND(_xlfn.SINGLE(Circles.SVG_Radius_3), DecimalPlaces) &amp; "'/&gt;", "")</f>
        <v>&lt;circle fill='#DA291C' r='3'/&gt;</v>
      </c>
      <c r="W26" s="21" t="str">
        <f t="shared" si="8"/>
        <v/>
      </c>
      <c r="X26" s="21" t="str">
        <f xml:space="preserve"> IF(_xlfn.SINGLE(Circles.SVG_Radius_3)&lt;&gt;0, "&lt;circle " &amp; _xlfn.SINGLE(Circles.SVG_Painting_3) &amp; " r='" &amp; ROUND(_xlfn.SINGLE(Circles.SVG_Radius_3), DecimalPlaces) &amp; "'/&gt;", "")</f>
        <v>&lt;circle fill='#DA291C' r='3'/&gt;</v>
      </c>
      <c r="Y26" s="21" t="str">
        <f t="shared" si="8"/>
        <v/>
      </c>
      <c r="Z26" s="21" t="str">
        <f xml:space="preserve"> IF(_xlfn.SINGLE(Circles.SVG_Radius_3)&lt;&gt;0, "&lt;circle " &amp; _xlfn.SINGLE(Circles.SVG_Painting_3) &amp; " r='" &amp; ROUND(_xlfn.SINGLE(Circles.SVG_Radius_3), DecimalPlaces) &amp; "'/&gt;", "")</f>
        <v>&lt;circle fill='#0072CE' r='27'/&gt;</v>
      </c>
      <c r="AA26" s="21" t="str">
        <f t="shared" si="8"/>
        <v/>
      </c>
      <c r="AB26" s="21" t="str">
        <f xml:space="preserve"> IF(_xlfn.SINGLE(Circles.SVG_Radius_3)&lt;&gt;0, "&lt;circle " &amp; _xlfn.SINGLE(Circles.SVG_Painting_3) &amp; " r='" &amp; ROUND(_xlfn.SINGLE(Circles.SVG_Radius_3), DecimalPlaces) &amp; "'/&gt;", "")</f>
        <v>&lt;circle fill='#215F8F' r='5'/&gt;</v>
      </c>
      <c r="AC26" s="21" t="str">
        <f t="shared" si="8"/>
        <v/>
      </c>
      <c r="AD26" s="21" t="str">
        <f xml:space="preserve"> IF(_xlfn.SINGLE(Circles.SVG_Radius_3)&lt;&gt;0, "&lt;circle " &amp; _xlfn.SINGLE(Circles.SVG_Painting_3) &amp; " r='" &amp; ROUND(_xlfn.SINGLE(Circles.SVG_Radius_3), DecimalPlaces) &amp; "'/&gt;", "")</f>
        <v>&lt;circle fill='#0046AE' r='5'/&gt;</v>
      </c>
      <c r="AE26" s="21" t="str">
        <f t="shared" si="8"/>
        <v/>
      </c>
      <c r="AF26" s="21" t="str">
        <f xml:space="preserve"> IF(_xlfn.SINGLE(Circles.SVG_Radius_3)&lt;&gt;0, "&lt;circle " &amp; _xlfn.SINGLE(Circles.SVG_Painting_3) &amp; " r='" &amp; ROUND(_xlfn.SINGLE(Circles.SVG_Radius_3), DecimalPlaces) &amp; "'/&gt;", "")</f>
        <v>&lt;circle fill='#273375' r='10'/&gt;</v>
      </c>
      <c r="AG26" s="21" t="str">
        <f t="shared" si="8"/>
        <v/>
      </c>
      <c r="AH26" s="21" t="str">
        <f xml:space="preserve"> IF(_xlfn.SINGLE(Circles.SVG_Radius_3)&lt;&gt;0, "&lt;circle " &amp; _xlfn.SINGLE(Circles.SVG_Painting_3) &amp; " r='" &amp; ROUND(_xlfn.SINGLE(Circles.SVG_Radius_3), DecimalPlaces) &amp; "'/&gt;", "")</f>
        <v>&lt;circle fill='#1C3060' r='1'/&gt;</v>
      </c>
      <c r="AI26" s="21" t="str">
        <f t="shared" si="8"/>
        <v/>
      </c>
      <c r="AJ26" s="21" t="str">
        <f xml:space="preserve"> IF(_xlfn.SINGLE(Circles.SVG_Radius_3)&lt;&gt;0, "&lt;circle " &amp; _xlfn.SINGLE(Circles.SVG_Painting_3) &amp; " r='" &amp; ROUND(_xlfn.SINGLE(Circles.SVG_Radius_3), DecimalPlaces) &amp; "'/&gt;", "")</f>
        <v>&lt;circle fill='black' r='27'/&gt;</v>
      </c>
      <c r="AK26" s="21" t="str">
        <f t="shared" si="8"/>
        <v/>
      </c>
      <c r="AL26" s="21" t="str">
        <f xml:space="preserve"> IF(_xlfn.SINGLE(Circles.SVG_Radius_3)&lt;&gt;0, "&lt;circle " &amp; _xlfn.SINGLE(Circles.SVG_Painting_3) &amp; " r='" &amp; ROUND(_xlfn.SINGLE(Circles.SVG_Radius_3), DecimalPlaces) &amp; "'/&gt;", "")</f>
        <v>&lt;circle fill='#EFBE20' r='10'/&gt;</v>
      </c>
      <c r="AM26" s="21" t="str">
        <f t="shared" si="8"/>
        <v/>
      </c>
      <c r="AN26" s="22"/>
    </row>
    <row r="27" spans="2:40">
      <c r="C27" s="20"/>
      <c r="D27" s="21" t="str">
        <f xml:space="preserve"> IF(_xlfn.SINGLE(Circles.SVG_Radius_2)&lt;&gt;0, "&lt;circle " &amp; _xlfn.SINGLE(Circles.SVG_Painting_2) &amp; " r='" &amp; ROUND(_xlfn.SINGLE(Circles.SVG_Radius_2), DecimalPlaces) &amp; "'/&gt;", "")</f>
        <v>&lt;circle fill='#FFF' r='2'/&gt;</v>
      </c>
      <c r="E27" s="21" t="str">
        <f t="shared" si="8"/>
        <v/>
      </c>
      <c r="F27" s="21" t="str">
        <f xml:space="preserve"> IF(_xlfn.SINGLE(Circles.SVG_Radius_2)&lt;&gt;0, "&lt;circle " &amp; _xlfn.SINGLE(Circles.SVG_Painting_2) &amp; " r='" &amp; ROUND(_xlfn.SINGLE(Circles.SVG_Radius_2), DecimalPlaces) &amp; "'/&gt;", "")</f>
        <v/>
      </c>
      <c r="G27" s="21" t="str">
        <f t="shared" si="8"/>
        <v/>
      </c>
      <c r="H27" s="21" t="str">
        <f xml:space="preserve"> IF(_xlfn.SINGLE(Circles.SVG_Radius_2)&lt;&gt;0, "&lt;circle " &amp; _xlfn.SINGLE(Circles.SVG_Painting_2) &amp; " r='" &amp; ROUND(_xlfn.SINGLE(Circles.SVG_Radius_2), DecimalPlaces) &amp; "'/&gt;", "")</f>
        <v>&lt;circle fill='#F42A41' r='2'/&gt;</v>
      </c>
      <c r="I27" s="21" t="str">
        <f t="shared" si="8"/>
        <v/>
      </c>
      <c r="J27" s="21" t="str">
        <f xml:space="preserve"> IF(_xlfn.SINGLE(Circles.SVG_Radius_2)&lt;&gt;0, "&lt;circle " &amp; _xlfn.SINGLE(Circles.SVG_Painting_2) &amp; " r='" &amp; ROUND(_xlfn.SINGLE(Circles.SVG_Radius_2), DecimalPlaces) &amp; "'/&gt;", "")</f>
        <v/>
      </c>
      <c r="K27" s="21" t="str">
        <f t="shared" si="8"/>
        <v/>
      </c>
      <c r="L27" s="21" t="str">
        <f xml:space="preserve"> IF(_xlfn.SINGLE(Circles.SVG_Radius_2)&lt;&gt;0, "&lt;circle " &amp; _xlfn.SINGLE(Circles.SVG_Painting_2) &amp; " r='" &amp; ROUND(_xlfn.SINGLE(Circles.SVG_Radius_2), DecimalPlaces) &amp; "'/&gt;", "")</f>
        <v>&lt;circle fill='#FFD100' r='19'/&gt;</v>
      </c>
      <c r="M27" s="21" t="str">
        <f t="shared" si="8"/>
        <v/>
      </c>
      <c r="N27" s="21" t="str">
        <f xml:space="preserve"> IF(_xlfn.SINGLE(Circles.SVG_Radius_2)&lt;&gt;0, "&lt;circle " &amp; _xlfn.SINGLE(Circles.SVG_Painting_2) &amp; " r='" &amp; ROUND(_xlfn.SINGLE(Circles.SVG_Radius_2), DecimalPlaces) &amp; "'/&gt;", "")</f>
        <v>&lt;circle fill='#FFF' r='19'/&gt;</v>
      </c>
      <c r="O27" s="21" t="str">
        <f t="shared" si="8"/>
        <v/>
      </c>
      <c r="P27" s="21" t="str">
        <f xml:space="preserve"> IF(_xlfn.SINGLE(Circles.SVG_Radius_2)&lt;&gt;0, "&lt;circle " &amp; _xlfn.SINGLE(Circles.SVG_Painting_2) &amp; " r='" &amp; ROUND(_xlfn.SINGLE(Circles.SVG_Radius_2), DecimalPlaces) &amp; "'/&gt;", "")</f>
        <v>&lt;circle fill='#FCDC04' r='19'/&gt;</v>
      </c>
      <c r="Q27" s="21" t="str">
        <f t="shared" si="8"/>
        <v/>
      </c>
      <c r="R27" s="21" t="str">
        <f xml:space="preserve"> IF(_xlfn.SINGLE(Circles.SVG_Radius_2)&lt;&gt;0, "&lt;circle " &amp; _xlfn.SINGLE(Circles.SVG_Painting_2) &amp; " r='" &amp; ROUND(_xlfn.SINGLE(Circles.SVG_Radius_2), DecimalPlaces) &amp; "'/&gt;", "")</f>
        <v>&lt;circle fill='#003087' r='3'/&gt;</v>
      </c>
      <c r="S27" s="21" t="str">
        <f t="shared" si="8"/>
        <v/>
      </c>
      <c r="T27" s="21" t="str">
        <f xml:space="preserve"> IF(_xlfn.SINGLE(Circles.SVG_Radius_2)&lt;&gt;0, "&lt;circle " &amp; _xlfn.SINGLE(Circles.SVG_Painting_2) &amp; " r='" &amp; ROUND(_xlfn.SINGLE(Circles.SVG_Radius_2), DecimalPlaces) &amp; "'/&gt;", "")</f>
        <v>&lt;circle fill='#FFF' r='19'/&gt;</v>
      </c>
      <c r="U27" s="21" t="str">
        <f t="shared" si="8"/>
        <v/>
      </c>
      <c r="V27" s="21" t="str">
        <f xml:space="preserve"> IF(_xlfn.SINGLE(Circles.SVG_Radius_2)&lt;&gt;0, "&lt;circle " &amp; _xlfn.SINGLE(Circles.SVG_Painting_2) &amp; " r='" &amp; ROUND(_xlfn.SINGLE(Circles.SVG_Radius_2), DecimalPlaces) &amp; "'/&gt;", "")</f>
        <v>&lt;circle fill='#046A38' r='2'/&gt;</v>
      </c>
      <c r="W27" s="21" t="str">
        <f t="shared" si="8"/>
        <v/>
      </c>
      <c r="X27" s="21" t="str">
        <f xml:space="preserve"> IF(_xlfn.SINGLE(Circles.SVG_Radius_2)&lt;&gt;0, "&lt;circle " &amp; _xlfn.SINGLE(Circles.SVG_Painting_2) &amp; " r='" &amp; ROUND(_xlfn.SINGLE(Circles.SVG_Radius_2), DecimalPlaces) &amp; "'/&gt;", "")</f>
        <v>&lt;circle fill='#0F0' r='2'/&gt;</v>
      </c>
      <c r="Y27" s="21" t="str">
        <f t="shared" si="8"/>
        <v/>
      </c>
      <c r="Z27" s="21" t="str">
        <f xml:space="preserve"> IF(_xlfn.SINGLE(Circles.SVG_Radius_2)&lt;&gt;0, "&lt;circle " &amp; _xlfn.SINGLE(Circles.SVG_Painting_2) &amp; " r='" &amp; ROUND(_xlfn.SINGLE(Circles.SVG_Radius_2), DecimalPlaces) &amp; "'/&gt;", "")</f>
        <v>&lt;circle fill='#000' r='19'/&gt;</v>
      </c>
      <c r="AA27" s="21" t="str">
        <f t="shared" si="8"/>
        <v/>
      </c>
      <c r="AB27" s="21" t="str">
        <f xml:space="preserve"> IF(_xlfn.SINGLE(Circles.SVG_Radius_2)&lt;&gt;0, "&lt;circle " &amp; _xlfn.SINGLE(Circles.SVG_Painting_2) &amp; " r='" &amp; ROUND(_xlfn.SINGLE(Circles.SVG_Radius_2), DecimalPlaces) &amp; "'/&gt;", "")</f>
        <v/>
      </c>
      <c r="AC27" s="21" t="str">
        <f t="shared" si="8"/>
        <v/>
      </c>
      <c r="AD27" s="21" t="str">
        <f xml:space="preserve"> IF(_xlfn.SINGLE(Circles.SVG_Radius_2)&lt;&gt;0, "&lt;circle " &amp; _xlfn.SINGLE(Circles.SVG_Painting_2) &amp; " r='" &amp; ROUND(_xlfn.SINGLE(Circles.SVG_Radius_2), DecimalPlaces) &amp; "'/&gt;", "")</f>
        <v>&lt;circle fill='#FFD200' r='4'/&gt;</v>
      </c>
      <c r="AE27" s="21" t="str">
        <f t="shared" si="8"/>
        <v/>
      </c>
      <c r="AF27" s="21" t="str">
        <f xml:space="preserve"> IF(_xlfn.SINGLE(Circles.SVG_Radius_2)&lt;&gt;0, "&lt;circle " &amp; _xlfn.SINGLE(Circles.SVG_Painting_2) &amp; " r='" &amp; ROUND(_xlfn.SINGLE(Circles.SVG_Radius_2), DecimalPlaces) &amp; "'/&gt;", "")</f>
        <v>&lt;circle fill='#FFF' r='7'/&gt;</v>
      </c>
      <c r="AG27" s="21" t="str">
        <f t="shared" si="8"/>
        <v/>
      </c>
      <c r="AH27" s="21" t="str">
        <f xml:space="preserve"> IF(_xlfn.SINGLE(Circles.SVG_Radius_2)&lt;&gt;0, "&lt;circle " &amp; _xlfn.SINGLE(Circles.SVG_Painting_2) &amp; " r='" &amp; ROUND(_xlfn.SINGLE(Circles.SVG_Radius_2), DecimalPlaces) &amp; "'/&gt;", "")</f>
        <v/>
      </c>
      <c r="AI27" s="21" t="str">
        <f t="shared" si="8"/>
        <v/>
      </c>
      <c r="AJ27" s="21" t="str">
        <f xml:space="preserve"> IF(_xlfn.SINGLE(Circles.SVG_Radius_2)&lt;&gt;0, "&lt;circle " &amp; _xlfn.SINGLE(Circles.SVG_Painting_2) &amp; " r='" &amp; ROUND(_xlfn.SINGLE(Circles.SVG_Radius_2), DecimalPlaces) &amp; "'/&gt;", "")</f>
        <v>&lt;circle fill='#FFF' r='19'/&gt;</v>
      </c>
      <c r="AK27" s="21" t="str">
        <f t="shared" si="8"/>
        <v/>
      </c>
      <c r="AL27" s="21" t="str">
        <f xml:space="preserve"> IF(_xlfn.SINGLE(Circles.SVG_Radius_2)&lt;&gt;0, "&lt;circle " &amp; _xlfn.SINGLE(Circles.SVG_Painting_2) &amp; " r='" &amp; ROUND(_xlfn.SINGLE(Circles.SVG_Radius_2), DecimalPlaces) &amp; "'/&gt;", "")</f>
        <v>&lt;circle fill='#FFF' r='7'/&gt;</v>
      </c>
      <c r="AM27" s="21" t="str">
        <f t="shared" si="8"/>
        <v/>
      </c>
      <c r="AN27" s="22"/>
    </row>
    <row r="28" spans="2:40">
      <c r="C28" s="20"/>
      <c r="D28" s="21" t="str">
        <f xml:space="preserve"> IF(_xlfn.SINGLE(Circles.SVG_Radius_1)&lt;&gt;0, "&lt;circle " &amp; _xlfn.SINGLE(Circles.SVG_Painting_1) &amp; " r='" &amp; ROUND(_xlfn.SINGLE(Circles.SVG_Radius_1), DecimalPlaces) &amp; "'/&gt;", "")</f>
        <v/>
      </c>
      <c r="E28" s="21" t="str">
        <f t="shared" si="8"/>
        <v/>
      </c>
      <c r="F28" s="21" t="str">
        <f xml:space="preserve"> IF(_xlfn.SINGLE(Circles.SVG_Radius_1)&lt;&gt;0, "&lt;circle " &amp; _xlfn.SINGLE(Circles.SVG_Painting_1) &amp; " r='" &amp; ROUND(_xlfn.SINGLE(Circles.SVG_Radius_1), DecimalPlaces) &amp; "'/&gt;", "")</f>
        <v/>
      </c>
      <c r="G28" s="21" t="str">
        <f t="shared" si="8"/>
        <v/>
      </c>
      <c r="H28" s="21" t="str">
        <f xml:space="preserve"> IF(_xlfn.SINGLE(Circles.SVG_Radius_1)&lt;&gt;0, "&lt;circle " &amp; _xlfn.SINGLE(Circles.SVG_Painting_1) &amp; " r='" &amp; ROUND(_xlfn.SINGLE(Circles.SVG_Radius_1), DecimalPlaces) &amp; "'/&gt;", "")</f>
        <v/>
      </c>
      <c r="I28" s="21" t="str">
        <f t="shared" si="8"/>
        <v/>
      </c>
      <c r="J28" s="21" t="str">
        <f xml:space="preserve"> IF(_xlfn.SINGLE(Circles.SVG_Radius_1)&lt;&gt;0, "&lt;circle " &amp; _xlfn.SINGLE(Circles.SVG_Painting_1) &amp; " r='" &amp; ROUND(_xlfn.SINGLE(Circles.SVG_Radius_1), DecimalPlaces) &amp; "'/&gt;", "")</f>
        <v/>
      </c>
      <c r="K28" s="21" t="str">
        <f t="shared" si="8"/>
        <v/>
      </c>
      <c r="L28" s="21" t="str">
        <f xml:space="preserve"> IF(_xlfn.SINGLE(Circles.SVG_Radius_1)&lt;&gt;0, "&lt;circle " &amp; _xlfn.SINGLE(Circles.SVG_Painting_1) &amp; " r='" &amp; ROUND(_xlfn.SINGLE(Circles.SVG_Radius_1), DecimalPlaces) &amp; "'/&gt;", "")</f>
        <v>&lt;circle fill='#003DA5' r='10'/&gt;</v>
      </c>
      <c r="M28" s="21" t="str">
        <f t="shared" si="8"/>
        <v/>
      </c>
      <c r="N28" s="21" t="str">
        <f xml:space="preserve"> IF(_xlfn.SINGLE(Circles.SVG_Radius_1)&lt;&gt;0, "&lt;circle " &amp; _xlfn.SINGLE(Circles.SVG_Painting_1) &amp; " r='" &amp; ROUND(_xlfn.SINGLE(Circles.SVG_Radius_1), DecimalPlaces) &amp; "'/&gt;", "")</f>
        <v>&lt;circle fill='#EA7600' r='10'/&gt;</v>
      </c>
      <c r="O28" s="21" t="str">
        <f t="shared" si="8"/>
        <v/>
      </c>
      <c r="P28" s="21" t="str">
        <f xml:space="preserve"> IF(_xlfn.SINGLE(Circles.SVG_Radius_1)&lt;&gt;0, "&lt;circle " &amp; _xlfn.SINGLE(Circles.SVG_Painting_1) &amp; " r='" &amp; ROUND(_xlfn.SINGLE(Circles.SVG_Radius_1), DecimalPlaces) &amp; "'/&gt;", "")</f>
        <v>&lt;circle fill='#D90000' r='10'/&gt;</v>
      </c>
      <c r="Q28" s="21" t="str">
        <f t="shared" si="8"/>
        <v/>
      </c>
      <c r="R28" s="21" t="str">
        <f xml:space="preserve"> IF(_xlfn.SINGLE(Circles.SVG_Radius_1)&lt;&gt;0, "&lt;circle " &amp; _xlfn.SINGLE(Circles.SVG_Painting_1) &amp; " r='" &amp; ROUND(_xlfn.SINGLE(Circles.SVG_Radius_1), DecimalPlaces) &amp; "'/&gt;", "")</f>
        <v>&lt;circle fill='#FFCD00' r='2'/&gt;</v>
      </c>
      <c r="S28" s="21" t="str">
        <f t="shared" si="8"/>
        <v/>
      </c>
      <c r="T28" s="21" t="str">
        <f xml:space="preserve"> IF(_xlfn.SINGLE(Circles.SVG_Radius_1)&lt;&gt;0, "&lt;circle " &amp; _xlfn.SINGLE(Circles.SVG_Painting_1) &amp; " r='" &amp; ROUND(_xlfn.SINGLE(Circles.SVG_Radius_1), DecimalPlaces) &amp; "'/&gt;", "")</f>
        <v>&lt;circle fill='#C8102E' r='10'/&gt;</v>
      </c>
      <c r="U28" s="21" t="str">
        <f t="shared" si="8"/>
        <v/>
      </c>
      <c r="V28" s="21" t="str">
        <f xml:space="preserve"> IF(_xlfn.SINGLE(Circles.SVG_Radius_1)&lt;&gt;0, "&lt;circle " &amp; _xlfn.SINGLE(Circles.SVG_Painting_1) &amp; " r='" &amp; ROUND(_xlfn.SINGLE(Circles.SVG_Radius_1), DecimalPlaces) &amp; "'/&gt;", "")</f>
        <v/>
      </c>
      <c r="W28" s="21" t="str">
        <f t="shared" si="8"/>
        <v/>
      </c>
      <c r="X28" s="21" t="str">
        <f xml:space="preserve"> IF(_xlfn.SINGLE(Circles.SVG_Radius_1)&lt;&gt;0, "&lt;circle " &amp; _xlfn.SINGLE(Circles.SVG_Painting_1) &amp; " r='" &amp; ROUND(_xlfn.SINGLE(Circles.SVG_Radius_1), DecimalPlaces) &amp; "'/&gt;", "")</f>
        <v/>
      </c>
      <c r="Y28" s="21" t="str">
        <f t="shared" si="8"/>
        <v/>
      </c>
      <c r="Z28" s="21" t="str">
        <f xml:space="preserve"> IF(_xlfn.SINGLE(Circles.SVG_Radius_1)&lt;&gt;0, "&lt;circle " &amp; _xlfn.SINGLE(Circles.SVG_Painting_1) &amp; " r='" &amp; ROUND(_xlfn.SINGLE(Circles.SVG_Radius_1), DecimalPlaces) &amp; "'/&gt;", "")</f>
        <v>&lt;circle fill='#FFF' r='10'/&gt;</v>
      </c>
      <c r="AA28" s="21" t="str">
        <f t="shared" si="8"/>
        <v/>
      </c>
      <c r="AB28" s="21" t="str">
        <f xml:space="preserve"> IF(_xlfn.SINGLE(Circles.SVG_Radius_1)&lt;&gt;0, "&lt;circle " &amp; _xlfn.SINGLE(Circles.SVG_Painting_1) &amp; " r='" &amp; ROUND(_xlfn.SINGLE(Circles.SVG_Radius_1), DecimalPlaces) &amp; "'/&gt;", "")</f>
        <v/>
      </c>
      <c r="AC28" s="21" t="str">
        <f t="shared" si="8"/>
        <v/>
      </c>
      <c r="AD28" s="21" t="str">
        <f xml:space="preserve"> IF(_xlfn.SINGLE(Circles.SVG_Radius_1)&lt;&gt;0, "&lt;circle " &amp; _xlfn.SINGLE(Circles.SVG_Painting_1) &amp; " r='" &amp; ROUND(_xlfn.SINGLE(Circles.SVG_Radius_1), DecimalPlaces) &amp; "'/&gt;", "")</f>
        <v/>
      </c>
      <c r="AE28" s="21" t="str">
        <f t="shared" si="8"/>
        <v/>
      </c>
      <c r="AF28" s="21" t="str">
        <f xml:space="preserve"> IF(_xlfn.SINGLE(Circles.SVG_Radius_1)&lt;&gt;0, "&lt;circle " &amp; _xlfn.SINGLE(Circles.SVG_Painting_1) &amp; " r='" &amp; ROUND(_xlfn.SINGLE(Circles.SVG_Radius_1), DecimalPlaces) &amp; "'/&gt;", "")</f>
        <v>&lt;circle fill='#E20613' r='5'/&gt;</v>
      </c>
      <c r="AG28" s="21" t="str">
        <f t="shared" si="8"/>
        <v/>
      </c>
      <c r="AH28" s="21" t="str">
        <f xml:space="preserve"> IF(_xlfn.SINGLE(Circles.SVG_Radius_1)&lt;&gt;0, "&lt;circle " &amp; _xlfn.SINGLE(Circles.SVG_Painting_1) &amp; " r='" &amp; ROUND(_xlfn.SINGLE(Circles.SVG_Radius_1), DecimalPlaces) &amp; "'/&gt;", "")</f>
        <v/>
      </c>
      <c r="AI28" s="21" t="str">
        <f t="shared" si="8"/>
        <v/>
      </c>
      <c r="AJ28" s="21" t="str">
        <f xml:space="preserve"> IF(_xlfn.SINGLE(Circles.SVG_Radius_1)&lt;&gt;0, "&lt;circle " &amp; _xlfn.SINGLE(Circles.SVG_Painting_1) &amp; " r='" &amp; ROUND(_xlfn.SINGLE(Circles.SVG_Radius_1), DecimalPlaces) &amp; "'/&gt;", "")</f>
        <v>&lt;circle fill='#039355' r='10'/&gt;</v>
      </c>
      <c r="AK28" s="21" t="str">
        <f t="shared" si="8"/>
        <v/>
      </c>
      <c r="AL28" s="21" t="str">
        <f xml:space="preserve"> IF(_xlfn.SINGLE(Circles.SVG_Radius_1)&lt;&gt;0, "&lt;circle " &amp; _xlfn.SINGLE(Circles.SVG_Painting_1) &amp; " r='" &amp; ROUND(_xlfn.SINGLE(Circles.SVG_Radius_1), DecimalPlaces) &amp; "'/&gt;", "")</f>
        <v>&lt;circle fill='#0B5CAE' r='5'/&gt;</v>
      </c>
      <c r="AM28" s="21" t="str">
        <f t="shared" si="8"/>
        <v/>
      </c>
      <c r="AN28" s="22"/>
    </row>
    <row r="29" spans="2:40">
      <c r="C29" s="20"/>
      <c r="D29" s="21" t="str">
        <f xml:space="preserve"> IF(_xlfn.SINGLE(Circles.SVG_Radius_0)&lt;&gt;0, "&lt;circle " &amp; _xlfn.SINGLE(Circles.SVG_Painting_0) &amp; " r='" &amp; ROUND(_xlfn.SINGLE(Circles.SVG_Radius_0), DecimalPlaces) &amp; "'/&gt;", "")</f>
        <v/>
      </c>
      <c r="E29" s="21" t="str">
        <f t="shared" si="8"/>
        <v/>
      </c>
      <c r="F29" s="21" t="str">
        <f xml:space="preserve"> IF(_xlfn.SINGLE(Circles.SVG_Radius_0)&lt;&gt;0, "&lt;circle " &amp; _xlfn.SINGLE(Circles.SVG_Painting_0) &amp; " r='" &amp; ROUND(_xlfn.SINGLE(Circles.SVG_Radius_0), DecimalPlaces) &amp; "'/&gt;", "")</f>
        <v/>
      </c>
      <c r="G29" s="21" t="str">
        <f t="shared" si="8"/>
        <v/>
      </c>
      <c r="H29" s="21" t="str">
        <f xml:space="preserve"> IF(_xlfn.SINGLE(Circles.SVG_Radius_0)&lt;&gt;0, "&lt;circle " &amp; _xlfn.SINGLE(Circles.SVG_Painting_0) &amp; " r='" &amp; ROUND(_xlfn.SINGLE(Circles.SVG_Radius_0), DecimalPlaces) &amp; "'/&gt;", "")</f>
        <v/>
      </c>
      <c r="I29" s="21" t="str">
        <f t="shared" si="8"/>
        <v/>
      </c>
      <c r="J29" s="31"/>
      <c r="K29" s="21" t="str">
        <f t="shared" si="8"/>
        <v/>
      </c>
      <c r="L29" s="21" t="str">
        <f xml:space="preserve"> IF(_xlfn.SINGLE(Circles.SVG_Radius_0)&lt;&gt;0, "&lt;circle " &amp; _xlfn.SINGLE(Circles.SVG_Painting_0) &amp; " r='" &amp; ROUND(_xlfn.SINGLE(Circles.SVG_Radius_0), DecimalPlaces) &amp; "'/&gt;", "")</f>
        <v/>
      </c>
      <c r="M29" s="21" t="str">
        <f t="shared" si="8"/>
        <v/>
      </c>
      <c r="N29" s="21" t="str">
        <f xml:space="preserve"> IF(_xlfn.SINGLE(Circles.SVG_Radius_0)&lt;&gt;0, "&lt;circle " &amp; _xlfn.SINGLE(Circles.SVG_Painting_0) &amp; " r='" &amp; ROUND(_xlfn.SINGLE(Circles.SVG_Radius_0), DecimalPlaces) &amp; "'/&gt;", "")</f>
        <v/>
      </c>
      <c r="O29" s="21" t="str">
        <f t="shared" si="8"/>
        <v/>
      </c>
      <c r="P29" s="21" t="str">
        <f xml:space="preserve"> IF(_xlfn.SINGLE(Circles.SVG_Radius_0)&lt;&gt;0, "&lt;circle " &amp; _xlfn.SINGLE(Circles.SVG_Painting_0) &amp; " r='" &amp; ROUND(_xlfn.SINGLE(Circles.SVG_Radius_0), DecimalPlaces) &amp; "'/&gt;", "")</f>
        <v/>
      </c>
      <c r="Q29" s="21" t="str">
        <f t="shared" si="8"/>
        <v/>
      </c>
      <c r="R29" s="21" t="str">
        <f xml:space="preserve"> IF(_xlfn.SINGLE(Circles.SVG_Radius_0)&lt;&gt;0, "&lt;circle " &amp; _xlfn.SINGLE(Circles.SVG_Painting_0) &amp; " r='" &amp; ROUND(_xlfn.SINGLE(Circles.SVG_Radius_0), DecimalPlaces) &amp; "'/&gt;", "")</f>
        <v/>
      </c>
      <c r="S29" s="21" t="str">
        <f t="shared" si="8"/>
        <v/>
      </c>
      <c r="T29" s="21" t="str">
        <f xml:space="preserve"> IF(_xlfn.SINGLE(Circles.SVG_Radius_0)&lt;&gt;0, "&lt;circle " &amp; _xlfn.SINGLE(Circles.SVG_Painting_0) &amp; " r='" &amp; ROUND(_xlfn.SINGLE(Circles.SVG_Radius_0), DecimalPlaces) &amp; "'/&gt;", "")</f>
        <v/>
      </c>
      <c r="U29" s="21" t="str">
        <f t="shared" si="8"/>
        <v/>
      </c>
      <c r="V29" s="21" t="str">
        <f xml:space="preserve"> IF(_xlfn.SINGLE(Circles.SVG_Radius_0)&lt;&gt;0, "&lt;circle " &amp; _xlfn.SINGLE(Circles.SVG_Painting_0) &amp; " r='" &amp; ROUND(_xlfn.SINGLE(Circles.SVG_Radius_0), DecimalPlaces) &amp; "'/&gt;", "")</f>
        <v/>
      </c>
      <c r="W29" s="21" t="str">
        <f t="shared" si="8"/>
        <v/>
      </c>
      <c r="X29" s="21" t="str">
        <f xml:space="preserve"> IF(_xlfn.SINGLE(Circles.SVG_Radius_0)&lt;&gt;0, "&lt;circle " &amp; _xlfn.SINGLE(Circles.SVG_Painting_0) &amp; " r='" &amp; ROUND(_xlfn.SINGLE(Circles.SVG_Radius_0), DecimalPlaces) &amp; "'/&gt;", "")</f>
        <v/>
      </c>
      <c r="Y29" s="21" t="str">
        <f t="shared" si="8"/>
        <v/>
      </c>
      <c r="Z29" s="21" t="str">
        <f xml:space="preserve"> IF(_xlfn.SINGLE(Circles.SVG_Radius_0)&lt;&gt;0, "&lt;circle " &amp; _xlfn.SINGLE(Circles.SVG_Painting_0) &amp; " r='" &amp; ROUND(_xlfn.SINGLE(Circles.SVG_Radius_0), DecimalPlaces) &amp; "'/&gt;", "")</f>
        <v/>
      </c>
      <c r="AA29" s="21" t="str">
        <f t="shared" si="8"/>
        <v/>
      </c>
      <c r="AB29" s="21" t="str">
        <f xml:space="preserve"> IF(_xlfn.SINGLE(Circles.SVG_Radius_0)&lt;&gt;0, "&lt;circle " &amp; _xlfn.SINGLE(Circles.SVG_Painting_0) &amp; " r='" &amp; ROUND(_xlfn.SINGLE(Circles.SVG_Radius_0), DecimalPlaces) &amp; "'/&gt;", "")</f>
        <v/>
      </c>
      <c r="AC29" s="21" t="str">
        <f t="shared" si="8"/>
        <v/>
      </c>
      <c r="AD29" s="31"/>
      <c r="AE29" s="21" t="str">
        <f t="shared" si="8"/>
        <v/>
      </c>
      <c r="AF29" s="21" t="str">
        <f xml:space="preserve"> IF(_xlfn.SINGLE(Circles.SVG_Radius_0)&lt;&gt;0, "&lt;circle " &amp; _xlfn.SINGLE(Circles.SVG_Painting_0) &amp; " r='" &amp; ROUND(_xlfn.SINGLE(Circles.SVG_Radius_0), DecimalPlaces) &amp; "'/&gt;", "")</f>
        <v/>
      </c>
      <c r="AG29" s="21" t="str">
        <f t="shared" si="8"/>
        <v/>
      </c>
      <c r="AH29" s="31"/>
      <c r="AI29" s="21" t="str">
        <f t="shared" si="8"/>
        <v/>
      </c>
      <c r="AJ29" s="21" t="str">
        <f xml:space="preserve"> IF(_xlfn.SINGLE(Circles.SVG_Radius_0)&lt;&gt;0, "&lt;circle " &amp; _xlfn.SINGLE(Circles.SVG_Painting_0) &amp; " r='" &amp; ROUND(_xlfn.SINGLE(Circles.SVG_Radius_0), DecimalPlaces) &amp; "'/&gt;", "")</f>
        <v/>
      </c>
      <c r="AK29" s="21" t="str">
        <f t="shared" si="8"/>
        <v/>
      </c>
      <c r="AL29" s="21" t="str">
        <f xml:space="preserve"> IF(_xlfn.SINGLE(Circles.SVG_Radius_0)&lt;&gt;0, "&lt;circle " &amp; _xlfn.SINGLE(Circles.SVG_Painting_0) &amp; " r='" &amp; ROUND(_xlfn.SINGLE(Circles.SVG_Radius_0), DecimalPlaces) &amp; "'/&gt;", "")</f>
        <v/>
      </c>
      <c r="AM29" s="21" t="str">
        <f t="shared" si="8"/>
        <v/>
      </c>
      <c r="AN29" s="22"/>
    </row>
    <row r="30" spans="2:40">
      <c r="C30" s="20"/>
      <c r="D30" s="21"/>
      <c r="E30" s="21" t="str">
        <f t="shared" si="8"/>
        <v/>
      </c>
      <c r="F30" s="29" t="str">
        <f xml:space="preserve"> "&lt;path " &amp; _xlfn.SINGLE(Circles.SVG_Painting_0) &amp; " d='M4 1H1V4H-1V1H-4V-1h3V-4H1v3H4Z'/&gt;"</f>
        <v>&lt;path fill='#FFF' d='M4 1H1V4H-1V1H-4V-1h3V-4H1v3H4Z'/&gt;</v>
      </c>
      <c r="G30" s="21" t="str">
        <f t="shared" si="8"/>
        <v/>
      </c>
      <c r="H30" s="21"/>
      <c r="I30" s="21" t="str">
        <f t="shared" si="8"/>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8"/>
        <v/>
      </c>
      <c r="L30" s="21"/>
      <c r="M30" s="21" t="str">
        <f t="shared" si="8"/>
        <v/>
      </c>
      <c r="N30" s="21"/>
      <c r="O30" s="21" t="str">
        <f t="shared" si="8"/>
        <v/>
      </c>
      <c r="P30" s="21"/>
      <c r="Q30" s="21" t="str">
        <f t="shared" si="8"/>
        <v/>
      </c>
      <c r="R30" s="21"/>
      <c r="S30" s="21" t="str">
        <f t="shared" si="8"/>
        <v/>
      </c>
      <c r="T30" s="21"/>
      <c r="U30" s="21" t="str">
        <f t="shared" si="8"/>
        <v/>
      </c>
      <c r="V30" s="21"/>
      <c r="W30" s="21" t="str">
        <f t="shared" si="8"/>
        <v/>
      </c>
      <c r="X30" s="21"/>
      <c r="Y30" s="21" t="str">
        <f t="shared" si="8"/>
        <v/>
      </c>
      <c r="Z30" s="21"/>
      <c r="AA30" s="21" t="str">
        <f t="shared" si="8"/>
        <v/>
      </c>
      <c r="AB30" s="29" t="str">
        <f xml:space="preserve"> "&lt;path " &amp; _xlfn.SINGLE(Circles.SVG_Painting_0) &amp; " transform='rotate(15)' d='M4 1H1V4H-1V1H-4V-1h3V-4H1v3H4Z'/&gt;"</f>
        <v>&lt;path fill='#D3AE45' transform='rotate(15)' d='M4 1H1V4H-1V1H-4V-1h3V-4H1v3H4Z'/&gt;</v>
      </c>
      <c r="AC30" s="21" t="str">
        <f t="shared" si="8"/>
        <v/>
      </c>
      <c r="AD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E30" s="21" t="str">
        <f t="shared" si="8"/>
        <v/>
      </c>
      <c r="AF30" s="21"/>
      <c r="AG30" s="21" t="str">
        <f t="shared" si="8"/>
        <v/>
      </c>
      <c r="AH30" s="29" t="str" cm="1">
        <f t="array" ref="AH30" xml:space="preserve"> svgPathRect(DecimalPlaces, _xlfn.SINGLE(Circles.SVG_Painting_0), _xlfn.SINGLE(Circles.SVG_Radius_0), _xlfn.SINGLE(Circles.SVG_Radius_0))</f>
        <v>&lt;path fill='#FFF' d='M.70711 .70711V-.70711H-.70711V.70711Z'/&gt;</v>
      </c>
      <c r="AI30" s="21" t="str">
        <f t="shared" si="8"/>
        <v/>
      </c>
      <c r="AJ30" s="21"/>
      <c r="AK30" s="21" t="str">
        <f t="shared" si="8"/>
        <v/>
      </c>
      <c r="AL30" s="21"/>
      <c r="AM30" s="21" t="str">
        <f t="shared" si="8"/>
        <v/>
      </c>
      <c r="AN30" s="22"/>
    </row>
    <row r="31" spans="2:40">
      <c r="C31" s="23"/>
      <c r="D31" s="24" t="s">
        <v>15</v>
      </c>
      <c r="E31" s="24" t="str">
        <f t="shared" si="8"/>
        <v/>
      </c>
      <c r="F31" s="24" t="s">
        <v>15</v>
      </c>
      <c r="G31" s="24" t="str">
        <f t="shared" si="8"/>
        <v/>
      </c>
      <c r="H31" s="24" t="s">
        <v>15</v>
      </c>
      <c r="I31" s="24" t="str">
        <f t="shared" si="8"/>
        <v/>
      </c>
      <c r="J31" s="24" t="s">
        <v>15</v>
      </c>
      <c r="K31" s="24" t="str">
        <f t="shared" si="8"/>
        <v/>
      </c>
      <c r="L31" s="24" t="s">
        <v>15</v>
      </c>
      <c r="M31" s="24" t="str">
        <f t="shared" si="8"/>
        <v/>
      </c>
      <c r="N31" s="24" t="s">
        <v>15</v>
      </c>
      <c r="O31" s="24" t="str">
        <f t="shared" si="8"/>
        <v/>
      </c>
      <c r="P31" s="24" t="s">
        <v>15</v>
      </c>
      <c r="Q31" s="24" t="str">
        <f t="shared" si="8"/>
        <v/>
      </c>
      <c r="R31" s="24" t="s">
        <v>15</v>
      </c>
      <c r="S31" s="24" t="str">
        <f t="shared" si="8"/>
        <v/>
      </c>
      <c r="T31" s="24" t="s">
        <v>15</v>
      </c>
      <c r="U31" s="24" t="str">
        <f t="shared" si="8"/>
        <v/>
      </c>
      <c r="V31" s="24" t="s">
        <v>15</v>
      </c>
      <c r="W31" s="24" t="str">
        <f t="shared" si="8"/>
        <v/>
      </c>
      <c r="X31" s="24" t="s">
        <v>15</v>
      </c>
      <c r="Y31" s="24" t="str">
        <f t="shared" si="8"/>
        <v/>
      </c>
      <c r="Z31" s="24" t="s">
        <v>15</v>
      </c>
      <c r="AA31" s="24" t="str">
        <f t="shared" si="8"/>
        <v/>
      </c>
      <c r="AB31" s="24" t="s">
        <v>15</v>
      </c>
      <c r="AC31" s="24" t="str">
        <f t="shared" si="8"/>
        <v/>
      </c>
      <c r="AD31" s="24" t="s">
        <v>15</v>
      </c>
      <c r="AE31" s="24" t="str">
        <f t="shared" si="8"/>
        <v/>
      </c>
      <c r="AF31" s="24" t="s">
        <v>15</v>
      </c>
      <c r="AG31" s="24" t="str">
        <f t="shared" si="8"/>
        <v/>
      </c>
      <c r="AH31" s="24" t="s">
        <v>15</v>
      </c>
      <c r="AI31" s="24" t="str">
        <f t="shared" si="8"/>
        <v/>
      </c>
      <c r="AJ31" s="24" t="s">
        <v>15</v>
      </c>
      <c r="AK31" s="24" t="str">
        <f t="shared" si="8"/>
        <v/>
      </c>
      <c r="AL31" s="24" t="s">
        <v>15</v>
      </c>
      <c r="AM31" s="24" t="str">
        <f t="shared" si="8"/>
        <v/>
      </c>
      <c r="AN31" s="25"/>
    </row>
    <row r="34" spans="3:38">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COP</v>
      </c>
      <c r="T34" t="str">
        <f xml:space="preserve"> _xlfn.SINGLE(Circles.ID)</f>
        <v>PEN</v>
      </c>
      <c r="V34" t="str">
        <f xml:space="preserve"> _xlfn.SINGLE(Circles.ID)</f>
        <v>PT</v>
      </c>
      <c r="X34" t="str">
        <f xml:space="preserve"> _xlfn.SINGLE(Circles.ID)</f>
        <v>PT_2</v>
      </c>
      <c r="Z34" t="str">
        <f xml:space="preserve"> _xlfn.SINGLE(Circles.ID)</f>
        <v>EE</v>
      </c>
      <c r="AB34" t="str">
        <f xml:space="preserve"> _xlfn.SINGLE(Circles.ID)</f>
        <v>ME</v>
      </c>
      <c r="AD34" t="str">
        <f xml:space="preserve"> _xlfn.SINGLE(Circles.ID)</f>
        <v>MDL</v>
      </c>
      <c r="AF34" t="str">
        <f xml:space="preserve"> _xlfn.SINGLE(Circles.ID)</f>
        <v>_CADES</v>
      </c>
      <c r="AH34" t="str">
        <f xml:space="preserve"> _xlfn.SINGLE(Circles.ID)</f>
        <v>_ADB</v>
      </c>
      <c r="AJ34" t="str">
        <f xml:space="preserve"> _xlfn.SINGLE(Circles.ID)</f>
        <v>_AfDB</v>
      </c>
      <c r="AL34" t="str">
        <f xml:space="preserve"> _xlfn.SINGLE(Circles.ID)</f>
        <v>_CDB</v>
      </c>
    </row>
    <row r="35" spans="3:38">
      <c r="C35" s="5"/>
    </row>
    <row r="36" spans="3:38">
      <c r="C36" s="5"/>
    </row>
    <row r="37" spans="3:38">
      <c r="AK37" s="21"/>
    </row>
    <row r="38" spans="3:38">
      <c r="AK38" s="21"/>
    </row>
    <row r="39" spans="3:38">
      <c r="AK39" s="21"/>
    </row>
    <row r="40" spans="3:38">
      <c r="AK40" s="21"/>
    </row>
    <row r="41" spans="3:38">
      <c r="AK41" s="21"/>
    </row>
    <row r="42" spans="3:38">
      <c r="AK42" s="21"/>
    </row>
    <row r="43" spans="3:38">
      <c r="AK43" s="21"/>
    </row>
    <row r="44" spans="3:38">
      <c r="AK44" s="21"/>
    </row>
  </sheetData>
  <sortState xmlns:xlrd2="http://schemas.microsoft.com/office/spreadsheetml/2017/richdata2" ref="AE38:AH1038">
    <sortCondition ref="AH38:AH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2357</v>
      </c>
      <c r="L2" t="s">
        <v>164</v>
      </c>
      <c r="N2" t="s">
        <v>165</v>
      </c>
      <c r="P2" t="s">
        <v>167</v>
      </c>
      <c r="R2" t="s">
        <v>102</v>
      </c>
      <c r="T2" t="s">
        <v>169</v>
      </c>
      <c r="V2" t="s">
        <v>2377</v>
      </c>
      <c r="X2" t="s">
        <v>170</v>
      </c>
      <c r="Z2" t="s">
        <v>2278</v>
      </c>
      <c r="AB2" t="s">
        <v>560</v>
      </c>
      <c r="AD2" t="s">
        <v>2379</v>
      </c>
      <c r="AF2" t="s">
        <v>2418</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1068</v>
      </c>
      <c r="F14" t="s">
        <v>738</v>
      </c>
      <c r="H14" t="s">
        <v>739</v>
      </c>
      <c r="J14" t="s">
        <v>1065</v>
      </c>
      <c r="L14" t="s">
        <v>740</v>
      </c>
      <c r="N14" t="s">
        <v>1061</v>
      </c>
      <c r="P14" t="s">
        <v>717</v>
      </c>
      <c r="R14" t="s">
        <v>729</v>
      </c>
      <c r="T14" t="s">
        <v>744</v>
      </c>
      <c r="V14" t="s">
        <v>2378</v>
      </c>
      <c r="X14" t="s">
        <v>2149</v>
      </c>
      <c r="Z14" t="str">
        <f xml:space="preserve"> $X14</f>
        <v>fill='#AD1519'</v>
      </c>
      <c r="AB14" t="s">
        <v>728</v>
      </c>
      <c r="AD14" t="s">
        <v>2380</v>
      </c>
      <c r="AF14" t="s">
        <v>2419</v>
      </c>
    </row>
    <row r="15" spans="2:37">
      <c r="B15" s="4" t="s">
        <v>158</v>
      </c>
      <c r="F15" t="s">
        <v>2087</v>
      </c>
      <c r="H15" t="s">
        <v>2087</v>
      </c>
      <c r="J15" t="s">
        <v>2087</v>
      </c>
      <c r="L15" t="s">
        <v>741</v>
      </c>
      <c r="N15" t="s">
        <v>1960</v>
      </c>
      <c r="P15" t="s">
        <v>2087</v>
      </c>
      <c r="R15" t="s">
        <v>2087</v>
      </c>
      <c r="T15" t="s">
        <v>2087</v>
      </c>
      <c r="V15" t="s">
        <v>2087</v>
      </c>
      <c r="X15" t="s">
        <v>2150</v>
      </c>
      <c r="Z15" s="28" t="s">
        <v>2286</v>
      </c>
      <c r="AB15" t="s">
        <v>742</v>
      </c>
      <c r="AD15" t="s">
        <v>2381</v>
      </c>
      <c r="AF15" t="s">
        <v>754</v>
      </c>
    </row>
    <row r="16" spans="2:37">
      <c r="B16" s="4" t="s">
        <v>159</v>
      </c>
      <c r="H16" t="s">
        <v>743</v>
      </c>
      <c r="J16" t="s">
        <v>720</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2382</v>
      </c>
      <c r="AF16" t="s">
        <v>759</v>
      </c>
    </row>
    <row r="17" spans="2:37">
      <c r="B17" s="4" t="s">
        <v>160</v>
      </c>
      <c r="D17" t="s">
        <v>2087</v>
      </c>
      <c r="P17" t="s">
        <v>723</v>
      </c>
      <c r="R17" t="s">
        <v>1688</v>
      </c>
      <c r="AB17" t="s">
        <v>2087</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1545</v>
      </c>
      <c r="D2">
        <v>10</v>
      </c>
      <c r="H2" s="4" t="s">
        <v>1544</v>
      </c>
      <c r="J2" t="s">
        <v>1539</v>
      </c>
      <c r="L2" t="s">
        <v>2281</v>
      </c>
      <c r="N2" t="s">
        <v>126</v>
      </c>
      <c r="P2" t="s">
        <v>676</v>
      </c>
      <c r="R2" t="s">
        <v>128</v>
      </c>
      <c r="T2" t="s">
        <v>1540</v>
      </c>
      <c r="V2" t="s">
        <v>657</v>
      </c>
      <c r="X2" t="s">
        <v>2292</v>
      </c>
      <c r="Z2" t="e">
        <f xml:space="preserve"> NA()</f>
        <v>#N/A</v>
      </c>
    </row>
    <row r="3" spans="2:26">
      <c r="C3" s="4" t="s">
        <v>1543</v>
      </c>
      <c r="D3">
        <f xml:space="preserve"> EquilateralCross.Size2 * 2.5</f>
        <v>25</v>
      </c>
      <c r="H3" s="4" t="s">
        <v>1546</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1547</v>
      </c>
      <c r="D4" cm="1">
        <f t="array" ref="D4" xml:space="preserve"> EquilateralCross.Size2 / 2.5</f>
        <v>4</v>
      </c>
    </row>
    <row r="5" spans="2:26">
      <c r="C5" s="4" t="s">
        <v>1548</v>
      </c>
      <c r="D5">
        <f xml:space="preserve"> 1 + EquilateralCross.SizeGap3</f>
        <v>5</v>
      </c>
    </row>
    <row r="7" spans="2:26">
      <c r="C7" s="4" t="s">
        <v>1561</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1549</v>
      </c>
      <c r="C10" s="3" t="s">
        <v>1550</v>
      </c>
      <c r="D10" s="3" t="s">
        <v>1551</v>
      </c>
    </row>
    <row r="11" spans="2:26">
      <c r="B11" t="s">
        <v>1566</v>
      </c>
      <c r="C11" cm="1">
        <f t="array" ref="C11" xml:space="preserve"> EquilateralCross.Size2</f>
        <v>10</v>
      </c>
      <c r="D11" cm="1">
        <f t="array" ref="D11" xml:space="preserve"> EquilateralCross.Size2</f>
        <v>10</v>
      </c>
    </row>
    <row r="12" spans="2:26">
      <c r="B12" t="s">
        <v>1566</v>
      </c>
      <c r="C12" cm="1">
        <f t="array" ref="C12" xml:space="preserve"> EquilateralCross.Size1</f>
        <v>25</v>
      </c>
      <c r="D12" cm="1">
        <f t="array" ref="D12" xml:space="preserve"> EquilateralCross.Size2</f>
        <v>10</v>
      </c>
    </row>
    <row r="13" spans="2:26">
      <c r="B13" t="s">
        <v>1566</v>
      </c>
      <c r="C13" cm="1">
        <f t="array" ref="C13" xml:space="preserve"> EquilateralCross.Size1</f>
        <v>25</v>
      </c>
      <c r="D13" cm="1">
        <f t="array" ref="D13" xml:space="preserve"> - EquilateralCross.Size2</f>
        <v>-10</v>
      </c>
    </row>
    <row r="14" spans="2:26">
      <c r="B14" t="s">
        <v>1566</v>
      </c>
      <c r="C14" cm="1">
        <f t="array" ref="C14" xml:space="preserve"> EquilateralCross.Size2</f>
        <v>10</v>
      </c>
      <c r="D14" cm="1">
        <f t="array" ref="D14" xml:space="preserve"> - EquilateralCross.Size2</f>
        <v>-10</v>
      </c>
    </row>
    <row r="15" spans="2:26">
      <c r="B15" t="s">
        <v>1566</v>
      </c>
      <c r="C15" cm="1">
        <f t="array" ref="C15" xml:space="preserve"> EquilateralCross.Size2</f>
        <v>10</v>
      </c>
      <c r="D15" cm="1">
        <f t="array" ref="D15" xml:space="preserve"> - EquilateralCross.Size1</f>
        <v>-25</v>
      </c>
    </row>
    <row r="16" spans="2:26">
      <c r="B16" t="s">
        <v>1566</v>
      </c>
      <c r="C16" cm="1">
        <f t="array" ref="C16" xml:space="preserve"> - EquilateralCross.Size2</f>
        <v>-10</v>
      </c>
      <c r="D16" cm="1">
        <f t="array" ref="D16" xml:space="preserve"> - EquilateralCross.Size1</f>
        <v>-25</v>
      </c>
    </row>
    <row r="17" spans="2:4">
      <c r="B17" t="s">
        <v>1566</v>
      </c>
      <c r="C17" cm="1">
        <f t="array" ref="C17" xml:space="preserve"> - EquilateralCross.Size2</f>
        <v>-10</v>
      </c>
      <c r="D17" cm="1">
        <f t="array" ref="D17" xml:space="preserve"> - EquilateralCross.Size2</f>
        <v>-10</v>
      </c>
    </row>
    <row r="18" spans="2:4">
      <c r="B18" t="s">
        <v>1566</v>
      </c>
      <c r="C18" cm="1">
        <f t="array" ref="C18" xml:space="preserve"> - EquilateralCross.Size1</f>
        <v>-25</v>
      </c>
      <c r="D18" cm="1">
        <f t="array" ref="D18" xml:space="preserve"> - EquilateralCross.Size2</f>
        <v>-10</v>
      </c>
    </row>
    <row r="19" spans="2:4">
      <c r="B19" t="s">
        <v>1566</v>
      </c>
      <c r="C19" cm="1">
        <f t="array" ref="C19" xml:space="preserve"> - EquilateralCross.Size1</f>
        <v>-25</v>
      </c>
      <c r="D19" cm="1">
        <f t="array" ref="D19" xml:space="preserve"> EquilateralCross.Size2</f>
        <v>10</v>
      </c>
    </row>
    <row r="20" spans="2:4">
      <c r="B20" t="s">
        <v>1566</v>
      </c>
      <c r="C20" cm="1">
        <f t="array" ref="C20" xml:space="preserve"> - EquilateralCross.Size2</f>
        <v>-10</v>
      </c>
      <c r="D20" cm="1">
        <f t="array" ref="D20" xml:space="preserve"> EquilateralCross.Size2</f>
        <v>10</v>
      </c>
    </row>
    <row r="21" spans="2:4">
      <c r="B21" t="s">
        <v>1566</v>
      </c>
      <c r="C21" cm="1">
        <f t="array" ref="C21" xml:space="preserve"> - EquilateralCross.Size2</f>
        <v>-10</v>
      </c>
      <c r="D21" cm="1">
        <f t="array" ref="D21" xml:space="preserve"> EquilateralCross.Size1</f>
        <v>25</v>
      </c>
    </row>
    <row r="22" spans="2:4">
      <c r="B22" t="s">
        <v>1566</v>
      </c>
      <c r="C22" cm="1">
        <f t="array" ref="C22" xml:space="preserve"> EquilateralCross.Size2</f>
        <v>10</v>
      </c>
      <c r="D22" cm="1">
        <f t="array" ref="D22" xml:space="preserve"> EquilateralCross.Size1</f>
        <v>25</v>
      </c>
    </row>
    <row r="24" spans="2:4">
      <c r="B24" t="s">
        <v>1567</v>
      </c>
      <c r="C24" cm="1">
        <f t="array" ref="C24" xml:space="preserve"> (ABS(C11) - EquilateralCross.SizeGap3) * SIGN(C11)</f>
        <v>6</v>
      </c>
      <c r="D24" cm="1">
        <f t="array" ref="D24" xml:space="preserve"> (ABS(D11) - EquilateralCross.SizeGap3) * SIGN(D11)</f>
        <v>6</v>
      </c>
    </row>
    <row r="25" spans="2:4">
      <c r="B25" t="s">
        <v>1567</v>
      </c>
      <c r="C25" cm="1">
        <f t="array" ref="C25" xml:space="preserve"> (ABS(C12) - EquilateralCross.SizeGap3) * SIGN(C12)</f>
        <v>21</v>
      </c>
      <c r="D25" cm="1">
        <f t="array" ref="D25" xml:space="preserve"> (ABS(D12) - EquilateralCross.SizeGap3) * SIGN(D12)</f>
        <v>6</v>
      </c>
    </row>
    <row r="26" spans="2:4">
      <c r="B26" t="s">
        <v>1567</v>
      </c>
      <c r="C26" cm="1">
        <f t="array" ref="C26" xml:space="preserve"> (ABS(C13) - EquilateralCross.SizeGap3) * SIGN(C13)</f>
        <v>21</v>
      </c>
      <c r="D26" cm="1">
        <f t="array" ref="D26" xml:space="preserve"> (ABS(D13) - EquilateralCross.SizeGap3) * SIGN(D13)</f>
        <v>-6</v>
      </c>
    </row>
    <row r="27" spans="2:4">
      <c r="B27" t="s">
        <v>1567</v>
      </c>
      <c r="C27" cm="1">
        <f t="array" ref="C27" xml:space="preserve"> (ABS(C14) - EquilateralCross.SizeGap3) * SIGN(C14)</f>
        <v>6</v>
      </c>
      <c r="D27" cm="1">
        <f t="array" ref="D27" xml:space="preserve"> (ABS(D14) - EquilateralCross.SizeGap3) * SIGN(D14)</f>
        <v>-6</v>
      </c>
    </row>
    <row r="28" spans="2:4">
      <c r="B28" t="s">
        <v>1567</v>
      </c>
      <c r="C28" cm="1">
        <f t="array" ref="C28" xml:space="preserve"> (ABS(C15) - EquilateralCross.SizeGap3) * SIGN(C15)</f>
        <v>6</v>
      </c>
      <c r="D28" cm="1">
        <f t="array" ref="D28" xml:space="preserve"> (ABS(D15) - EquilateralCross.SizeGap3) * SIGN(D15)</f>
        <v>-21</v>
      </c>
    </row>
    <row r="29" spans="2:4">
      <c r="B29" t="s">
        <v>1567</v>
      </c>
      <c r="C29" cm="1">
        <f t="array" ref="C29" xml:space="preserve"> (ABS(C16) - EquilateralCross.SizeGap3) * SIGN(C16)</f>
        <v>-6</v>
      </c>
      <c r="D29" cm="1">
        <f t="array" ref="D29" xml:space="preserve"> (ABS(D16) - EquilateralCross.SizeGap3) * SIGN(D16)</f>
        <v>-21</v>
      </c>
    </row>
    <row r="30" spans="2:4">
      <c r="B30" t="s">
        <v>1567</v>
      </c>
      <c r="C30" cm="1">
        <f t="array" ref="C30" xml:space="preserve"> (ABS(C17) - EquilateralCross.SizeGap3) * SIGN(C17)</f>
        <v>-6</v>
      </c>
      <c r="D30" cm="1">
        <f t="array" ref="D30" xml:space="preserve"> (ABS(D17) - EquilateralCross.SizeGap3) * SIGN(D17)</f>
        <v>-6</v>
      </c>
    </row>
    <row r="31" spans="2:4">
      <c r="B31" t="s">
        <v>1567</v>
      </c>
      <c r="C31" cm="1">
        <f t="array" ref="C31" xml:space="preserve"> (ABS(C18) - EquilateralCross.SizeGap3) * SIGN(C18)</f>
        <v>-21</v>
      </c>
      <c r="D31" cm="1">
        <f t="array" ref="D31" xml:space="preserve"> (ABS(D18) - EquilateralCross.SizeGap3) * SIGN(D18)</f>
        <v>-6</v>
      </c>
    </row>
    <row r="32" spans="2:4">
      <c r="B32" t="s">
        <v>1567</v>
      </c>
      <c r="C32" cm="1">
        <f t="array" ref="C32" xml:space="preserve"> (ABS(C19) - EquilateralCross.SizeGap3) * SIGN(C19)</f>
        <v>-21</v>
      </c>
      <c r="D32" cm="1">
        <f t="array" ref="D32" xml:space="preserve"> (ABS(D19) - EquilateralCross.SizeGap3) * SIGN(D19)</f>
        <v>6</v>
      </c>
    </row>
    <row r="33" spans="2:4">
      <c r="B33" t="s">
        <v>1567</v>
      </c>
      <c r="C33" cm="1">
        <f t="array" ref="C33" xml:space="preserve"> (ABS(C20) - EquilateralCross.SizeGap3) * SIGN(C20)</f>
        <v>-6</v>
      </c>
      <c r="D33" cm="1">
        <f t="array" ref="D33" xml:space="preserve"> (ABS(D20) - EquilateralCross.SizeGap3) * SIGN(D20)</f>
        <v>6</v>
      </c>
    </row>
    <row r="34" spans="2:4">
      <c r="B34" t="s">
        <v>1567</v>
      </c>
      <c r="C34" cm="1">
        <f t="array" ref="C34" xml:space="preserve"> (ABS(C21) - EquilateralCross.SizeGap3) * SIGN(C21)</f>
        <v>-6</v>
      </c>
      <c r="D34" cm="1">
        <f t="array" ref="D34" xml:space="preserve"> (ABS(D21) - EquilateralCross.SizeGap3) * SIGN(D21)</f>
        <v>21</v>
      </c>
    </row>
    <row r="35" spans="2:4">
      <c r="B35" t="s">
        <v>1567</v>
      </c>
      <c r="C35" cm="1">
        <f t="array" ref="C35" xml:space="preserve"> (ABS(C22) - EquilateralCross.SizeGap3) * SIGN(C22)</f>
        <v>6</v>
      </c>
      <c r="D35" cm="1">
        <f t="array" ref="D35" xml:space="preserve"> (ABS(D22) - EquilateralCross.SizeGap3) * SIGN(D22)</f>
        <v>21</v>
      </c>
    </row>
    <row r="37" spans="2:4">
      <c r="B37" t="s">
        <v>1568</v>
      </c>
      <c r="C37" cm="1">
        <f t="array" ref="C37" xml:space="preserve"> (ABS(C24) - EquilateralCross.SizeGap3) * SIGN(C24)</f>
        <v>2</v>
      </c>
      <c r="D37" cm="1">
        <f t="array" ref="D37" xml:space="preserve"> (ABS(D24) - EquilateralCross.SizeGap3) * SIGN(D24)</f>
        <v>2</v>
      </c>
    </row>
    <row r="38" spans="2:4">
      <c r="B38" t="s">
        <v>1568</v>
      </c>
      <c r="C38" cm="1">
        <f t="array" ref="C38" xml:space="preserve"> (ABS(C25) - EquilateralCross.SizeGap3) * SIGN(C25)</f>
        <v>17</v>
      </c>
      <c r="D38" cm="1">
        <f t="array" ref="D38" xml:space="preserve"> (ABS(D25) - EquilateralCross.SizeGap3) * SIGN(D25)</f>
        <v>2</v>
      </c>
    </row>
    <row r="39" spans="2:4">
      <c r="B39" t="s">
        <v>1568</v>
      </c>
      <c r="C39" cm="1">
        <f t="array" ref="C39" xml:space="preserve"> (ABS(C26) - EquilateralCross.SizeGap3) * SIGN(C26)</f>
        <v>17</v>
      </c>
      <c r="D39" cm="1">
        <f t="array" ref="D39" xml:space="preserve"> (ABS(D26) - EquilateralCross.SizeGap3) * SIGN(D26)</f>
        <v>-2</v>
      </c>
    </row>
    <row r="40" spans="2:4">
      <c r="B40" t="s">
        <v>1568</v>
      </c>
      <c r="C40" cm="1">
        <f t="array" ref="C40" xml:space="preserve"> (ABS(C27) - EquilateralCross.SizeGap3) * SIGN(C27)</f>
        <v>2</v>
      </c>
      <c r="D40" cm="1">
        <f t="array" ref="D40" xml:space="preserve"> (ABS(D27) - EquilateralCross.SizeGap3) * SIGN(D27)</f>
        <v>-2</v>
      </c>
    </row>
    <row r="41" spans="2:4">
      <c r="B41" t="s">
        <v>1568</v>
      </c>
      <c r="C41" cm="1">
        <f t="array" ref="C41" xml:space="preserve"> (ABS(C28) - EquilateralCross.SizeGap3) * SIGN(C28)</f>
        <v>2</v>
      </c>
      <c r="D41" cm="1">
        <f t="array" ref="D41" xml:space="preserve"> (ABS(D28) - EquilateralCross.SizeGap3) * SIGN(D28)</f>
        <v>-17</v>
      </c>
    </row>
    <row r="42" spans="2:4">
      <c r="B42" t="s">
        <v>1568</v>
      </c>
      <c r="C42" cm="1">
        <f t="array" ref="C42" xml:space="preserve"> (ABS(C29) - EquilateralCross.SizeGap3) * SIGN(C29)</f>
        <v>-2</v>
      </c>
      <c r="D42" cm="1">
        <f t="array" ref="D42" xml:space="preserve"> (ABS(D29) - EquilateralCross.SizeGap3) * SIGN(D29)</f>
        <v>-17</v>
      </c>
    </row>
    <row r="43" spans="2:4">
      <c r="B43" t="s">
        <v>1568</v>
      </c>
      <c r="C43" cm="1">
        <f t="array" ref="C43" xml:space="preserve"> (ABS(C30) - EquilateralCross.SizeGap3) * SIGN(C30)</f>
        <v>-2</v>
      </c>
      <c r="D43" cm="1">
        <f t="array" ref="D43" xml:space="preserve"> (ABS(D30) - EquilateralCross.SizeGap3) * SIGN(D30)</f>
        <v>-2</v>
      </c>
    </row>
    <row r="44" spans="2:4">
      <c r="B44" t="s">
        <v>1568</v>
      </c>
      <c r="C44" cm="1">
        <f t="array" ref="C44" xml:space="preserve"> (ABS(C31) - EquilateralCross.SizeGap3) * SIGN(C31)</f>
        <v>-17</v>
      </c>
      <c r="D44" cm="1">
        <f t="array" ref="D44" xml:space="preserve"> (ABS(D31) - EquilateralCross.SizeGap3) * SIGN(D31)</f>
        <v>-2</v>
      </c>
    </row>
    <row r="45" spans="2:4">
      <c r="B45" t="s">
        <v>1568</v>
      </c>
      <c r="C45" cm="1">
        <f t="array" ref="C45" xml:space="preserve"> (ABS(C32) - EquilateralCross.SizeGap3) * SIGN(C32)</f>
        <v>-17</v>
      </c>
      <c r="D45" cm="1">
        <f t="array" ref="D45" xml:space="preserve"> (ABS(D32) - EquilateralCross.SizeGap3) * SIGN(D32)</f>
        <v>2</v>
      </c>
    </row>
    <row r="46" spans="2:4">
      <c r="B46" t="s">
        <v>1568</v>
      </c>
      <c r="C46" cm="1">
        <f t="array" ref="C46" xml:space="preserve"> (ABS(C33) - EquilateralCross.SizeGap3) * SIGN(C33)</f>
        <v>-2</v>
      </c>
      <c r="D46" cm="1">
        <f t="array" ref="D46" xml:space="preserve"> (ABS(D33) - EquilateralCross.SizeGap3) * SIGN(D33)</f>
        <v>2</v>
      </c>
    </row>
    <row r="47" spans="2:4">
      <c r="B47" t="s">
        <v>1568</v>
      </c>
      <c r="C47" cm="1">
        <f t="array" ref="C47" xml:space="preserve"> (ABS(C34) - EquilateralCross.SizeGap3) * SIGN(C34)</f>
        <v>-2</v>
      </c>
      <c r="D47" cm="1">
        <f t="array" ref="D47" xml:space="preserve"> (ABS(D34) - EquilateralCross.SizeGap3) * SIGN(D34)</f>
        <v>17</v>
      </c>
    </row>
    <row r="48" spans="2:4">
      <c r="B48" t="s">
        <v>1568</v>
      </c>
      <c r="C48" cm="1">
        <f t="array" ref="C48" xml:space="preserve"> (ABS(C35) - EquilateralCross.SizeGap3) * SIGN(C35)</f>
        <v>2</v>
      </c>
      <c r="D48" cm="1">
        <f t="array" ref="D48" xml:space="preserve"> (ABS(D35) - EquilateralCross.SizeGap3) * SIGN(D35)</f>
        <v>17</v>
      </c>
    </row>
    <row r="50" spans="2:4">
      <c r="B50" t="s">
        <v>1569</v>
      </c>
      <c r="C50">
        <f t="shared" ref="C50:D61" si="0" xml:space="preserve"> (ABS(C11) - EquilateralCross.SizeGap2) * SIGN(C11)</f>
        <v>5</v>
      </c>
      <c r="D50">
        <f t="shared" si="0"/>
        <v>5</v>
      </c>
    </row>
    <row r="51" spans="2:4">
      <c r="B51" t="s">
        <v>1569</v>
      </c>
      <c r="C51">
        <f t="shared" si="0"/>
        <v>20</v>
      </c>
      <c r="D51">
        <f t="shared" si="0"/>
        <v>5</v>
      </c>
    </row>
    <row r="52" spans="2:4">
      <c r="B52" t="s">
        <v>1569</v>
      </c>
      <c r="C52">
        <f t="shared" si="0"/>
        <v>20</v>
      </c>
      <c r="D52">
        <f t="shared" si="0"/>
        <v>-5</v>
      </c>
    </row>
    <row r="53" spans="2:4">
      <c r="B53" t="s">
        <v>1569</v>
      </c>
      <c r="C53">
        <f t="shared" si="0"/>
        <v>5</v>
      </c>
      <c r="D53">
        <f t="shared" si="0"/>
        <v>-5</v>
      </c>
    </row>
    <row r="54" spans="2:4">
      <c r="B54" t="s">
        <v>1569</v>
      </c>
      <c r="C54">
        <f t="shared" si="0"/>
        <v>5</v>
      </c>
      <c r="D54">
        <f t="shared" si="0"/>
        <v>-20</v>
      </c>
    </row>
    <row r="55" spans="2:4">
      <c r="B55" t="s">
        <v>1569</v>
      </c>
      <c r="C55">
        <f t="shared" si="0"/>
        <v>-5</v>
      </c>
      <c r="D55">
        <f t="shared" si="0"/>
        <v>-20</v>
      </c>
    </row>
    <row r="56" spans="2:4">
      <c r="B56" t="s">
        <v>1569</v>
      </c>
      <c r="C56">
        <f t="shared" si="0"/>
        <v>-5</v>
      </c>
      <c r="D56">
        <f t="shared" si="0"/>
        <v>-5</v>
      </c>
    </row>
    <row r="57" spans="2:4">
      <c r="B57" t="s">
        <v>1569</v>
      </c>
      <c r="C57">
        <f t="shared" si="0"/>
        <v>-20</v>
      </c>
      <c r="D57">
        <f t="shared" si="0"/>
        <v>-5</v>
      </c>
    </row>
    <row r="58" spans="2:4">
      <c r="B58" t="s">
        <v>1569</v>
      </c>
      <c r="C58">
        <f t="shared" si="0"/>
        <v>-20</v>
      </c>
      <c r="D58">
        <f t="shared" si="0"/>
        <v>5</v>
      </c>
    </row>
    <row r="59" spans="2:4">
      <c r="B59" t="s">
        <v>1569</v>
      </c>
      <c r="C59">
        <f t="shared" si="0"/>
        <v>-5</v>
      </c>
      <c r="D59">
        <f t="shared" si="0"/>
        <v>5</v>
      </c>
    </row>
    <row r="60" spans="2:4">
      <c r="B60" t="s">
        <v>1569</v>
      </c>
      <c r="C60">
        <f t="shared" si="0"/>
        <v>-5</v>
      </c>
      <c r="D60">
        <f t="shared" si="0"/>
        <v>20</v>
      </c>
    </row>
    <row r="61" spans="2:4">
      <c r="B61" t="s">
        <v>1569</v>
      </c>
      <c r="C61">
        <f t="shared" si="0"/>
        <v>5</v>
      </c>
      <c r="D61">
        <f t="shared" si="0"/>
        <v>20</v>
      </c>
    </row>
    <row r="63" spans="2:4">
      <c r="B63" t="s">
        <v>1574</v>
      </c>
      <c r="C63">
        <f xml:space="preserve"> AVERAGE(C37, C24)</f>
        <v>4</v>
      </c>
      <c r="D63">
        <f xml:space="preserve"> AVERAGE(D37, D24)</f>
        <v>4</v>
      </c>
    </row>
    <row r="64" spans="2:4">
      <c r="B64" t="s">
        <v>1574</v>
      </c>
      <c r="C64">
        <f t="shared" ref="C64:D64" si="1" xml:space="preserve"> AVERAGE(C38, C25)</f>
        <v>19</v>
      </c>
      <c r="D64">
        <f t="shared" si="1"/>
        <v>4</v>
      </c>
    </row>
    <row r="65" spans="2:24">
      <c r="B65" t="s">
        <v>1574</v>
      </c>
      <c r="C65">
        <f t="shared" ref="C65:D65" si="2" xml:space="preserve"> AVERAGE(C39, C26)</f>
        <v>19</v>
      </c>
      <c r="D65">
        <f t="shared" si="2"/>
        <v>-4</v>
      </c>
    </row>
    <row r="66" spans="2:24">
      <c r="B66" t="s">
        <v>1574</v>
      </c>
      <c r="C66">
        <f t="shared" ref="C66:D66" si="3" xml:space="preserve"> AVERAGE(C40, C27)</f>
        <v>4</v>
      </c>
      <c r="D66">
        <f t="shared" si="3"/>
        <v>-4</v>
      </c>
    </row>
    <row r="67" spans="2:24">
      <c r="B67" t="s">
        <v>1574</v>
      </c>
      <c r="C67">
        <f t="shared" ref="C67:D67" si="4" xml:space="preserve"> AVERAGE(C41, C28)</f>
        <v>4</v>
      </c>
      <c r="D67">
        <f t="shared" si="4"/>
        <v>-19</v>
      </c>
    </row>
    <row r="68" spans="2:24">
      <c r="B68" t="s">
        <v>1574</v>
      </c>
      <c r="C68">
        <f t="shared" ref="C68:D68" si="5" xml:space="preserve"> AVERAGE(C42, C29)</f>
        <v>-4</v>
      </c>
      <c r="D68">
        <f t="shared" si="5"/>
        <v>-19</v>
      </c>
    </row>
    <row r="69" spans="2:24">
      <c r="B69" t="s">
        <v>1574</v>
      </c>
      <c r="C69">
        <f t="shared" ref="C69:D69" si="6" xml:space="preserve"> AVERAGE(C43, C30)</f>
        <v>-4</v>
      </c>
      <c r="D69">
        <f t="shared" si="6"/>
        <v>-4</v>
      </c>
    </row>
    <row r="70" spans="2:24">
      <c r="B70" t="s">
        <v>1574</v>
      </c>
      <c r="C70">
        <f t="shared" ref="C70:D70" si="7" xml:space="preserve"> AVERAGE(C44, C31)</f>
        <v>-19</v>
      </c>
      <c r="D70">
        <f t="shared" si="7"/>
        <v>-4</v>
      </c>
    </row>
    <row r="71" spans="2:24">
      <c r="B71" t="s">
        <v>1574</v>
      </c>
      <c r="C71">
        <f t="shared" ref="C71:D71" si="8" xml:space="preserve"> AVERAGE(C45, C32)</f>
        <v>-19</v>
      </c>
      <c r="D71">
        <f t="shared" si="8"/>
        <v>4</v>
      </c>
    </row>
    <row r="72" spans="2:24">
      <c r="B72" t="s">
        <v>1574</v>
      </c>
      <c r="C72">
        <f t="shared" ref="C72:D72" si="9" xml:space="preserve"> AVERAGE(C46, C33)</f>
        <v>-4</v>
      </c>
      <c r="D72">
        <f t="shared" si="9"/>
        <v>4</v>
      </c>
    </row>
    <row r="73" spans="2:24">
      <c r="B73" t="s">
        <v>1574</v>
      </c>
      <c r="C73">
        <f t="shared" ref="C73:D73" si="10" xml:space="preserve"> AVERAGE(C47, C34)</f>
        <v>-4</v>
      </c>
      <c r="D73">
        <f t="shared" si="10"/>
        <v>19</v>
      </c>
    </row>
    <row r="74" spans="2:24">
      <c r="B74" t="s">
        <v>1574</v>
      </c>
      <c r="C74">
        <f t="shared" ref="C74:D74" si="11" xml:space="preserve"> AVERAGE(C48, C35)</f>
        <v>4</v>
      </c>
      <c r="D74">
        <f t="shared" si="11"/>
        <v>19</v>
      </c>
    </row>
    <row r="77" spans="2:24">
      <c r="H77" s="4" t="s">
        <v>1552</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1553</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1554</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1555</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1556</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1557</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1558</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1559</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1570</v>
      </c>
      <c r="J87" t="s">
        <v>738</v>
      </c>
      <c r="L87" t="str">
        <f t="shared" si="13"/>
        <v>fill='red'</v>
      </c>
      <c r="N87" s="5" t="s">
        <v>756</v>
      </c>
      <c r="P87" s="5" t="s">
        <v>1507</v>
      </c>
      <c r="R87" t="s">
        <v>792</v>
      </c>
      <c r="T87" t="s">
        <v>1542</v>
      </c>
      <c r="V87" s="5" t="s">
        <v>1486</v>
      </c>
      <c r="X87" s="5" t="str">
        <f xml:space="preserve"> $V87</f>
        <v>fill='#002F6C'</v>
      </c>
    </row>
    <row r="88" spans="6:26">
      <c r="H88" s="4" t="s">
        <v>1571</v>
      </c>
      <c r="P88" s="5"/>
      <c r="R88" t="s">
        <v>2088</v>
      </c>
      <c r="T88" t="s">
        <v>2088</v>
      </c>
      <c r="V88" s="5"/>
      <c r="X88" s="5"/>
    </row>
    <row r="89" spans="6:26">
      <c r="H89" s="4" t="s">
        <v>1572</v>
      </c>
      <c r="R89" t="s">
        <v>791</v>
      </c>
      <c r="T89" t="s">
        <v>1541</v>
      </c>
      <c r="V89" s="5"/>
      <c r="X89" s="5"/>
    </row>
    <row r="90" spans="6:26">
      <c r="H90" s="4" t="s">
        <v>1573</v>
      </c>
      <c r="J90" t="s">
        <v>2087</v>
      </c>
      <c r="L90" t="s">
        <v>2128</v>
      </c>
      <c r="N90" s="5" t="s">
        <v>722</v>
      </c>
      <c r="P90" s="5" t="s">
        <v>2087</v>
      </c>
      <c r="V90" s="5"/>
      <c r="X90" s="5"/>
    </row>
    <row r="91" spans="6:26">
      <c r="H91" s="4" t="s">
        <v>1575</v>
      </c>
      <c r="N91" s="5"/>
      <c r="P91" s="5"/>
      <c r="V91" s="5" t="s">
        <v>2087</v>
      </c>
      <c r="X91" s="63" t="s">
        <v>2286</v>
      </c>
    </row>
    <row r="93" spans="6:26" ht="17" thickBot="1">
      <c r="H93" s="6" t="s">
        <v>1560</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1784</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1785</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1783</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1786</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1787</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2293</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1070</v>
      </c>
      <c r="J5" s="5" t="s">
        <v>745</v>
      </c>
      <c r="L5" s="27" t="str">
        <f xml:space="preserve"> $J6</f>
        <v xml:space="preserve">  fill='#034DA3' </v>
      </c>
      <c r="N5" s="5" t="s">
        <v>746</v>
      </c>
    </row>
    <row r="6" spans="1:16">
      <c r="F6" s="4" t="s">
        <v>344</v>
      </c>
      <c r="H6" s="5" t="s">
        <v>1069</v>
      </c>
      <c r="J6" s="5" t="s">
        <v>1825</v>
      </c>
      <c r="L6" s="27" t="str">
        <f xml:space="preserve"> $J5</f>
        <v xml:space="preserve">  fill='#EF3340' </v>
      </c>
      <c r="N6" s="5" t="s">
        <v>747</v>
      </c>
    </row>
    <row r="7" spans="1:16">
      <c r="H7" s="5"/>
    </row>
    <row r="8" spans="1:16">
      <c r="A8" s="1">
        <v>1</v>
      </c>
      <c r="C8" s="4" t="s">
        <v>1680</v>
      </c>
      <c r="D8" s="1">
        <v>1</v>
      </c>
      <c r="F8" s="1"/>
      <c r="H8" s="5"/>
    </row>
    <row r="9" spans="1:16">
      <c r="A9" s="1">
        <v>3</v>
      </c>
      <c r="C9" s="4" t="s">
        <v>1675</v>
      </c>
      <c r="D9" s="1">
        <v>2</v>
      </c>
      <c r="F9" s="1"/>
      <c r="H9" s="5"/>
    </row>
    <row r="10" spans="1:16">
      <c r="A10" s="1">
        <v>8</v>
      </c>
      <c r="C10" s="4" t="s">
        <v>1677</v>
      </c>
      <c r="D10" s="1">
        <v>5</v>
      </c>
      <c r="F10" s="1"/>
      <c r="H10" s="5"/>
    </row>
    <row r="11" spans="1:16">
      <c r="A11" s="1">
        <v>1</v>
      </c>
      <c r="C11" s="4" t="s">
        <v>1676</v>
      </c>
      <c r="D11" s="1">
        <v>1</v>
      </c>
      <c r="F11" s="1"/>
      <c r="H11" s="5"/>
    </row>
    <row r="12" spans="1:16">
      <c r="A12" s="1">
        <v>7</v>
      </c>
      <c r="C12" s="4" t="s">
        <v>1678</v>
      </c>
      <c r="D12" s="1">
        <v>5</v>
      </c>
      <c r="F12" s="1"/>
      <c r="H12" s="5"/>
    </row>
    <row r="13" spans="1:16">
      <c r="A13" s="1">
        <v>11</v>
      </c>
      <c r="C13" s="4" t="s">
        <v>1679</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topLeftCell="A2" workbookViewId="0">
      <selection activeCell="B2" sqref="B2"/>
    </sheetView>
  </sheetViews>
  <sheetFormatPr baseColWidth="10" defaultRowHeight="16"/>
  <cols>
    <col min="7" max="7" width="10.83203125" style="21"/>
  </cols>
  <sheetData>
    <row r="4" spans="1:7">
      <c r="B4" s="4" t="s">
        <v>568</v>
      </c>
      <c r="C4">
        <f xml:space="preserve"> MAX(EC.RadiusX)</f>
        <v>378</v>
      </c>
      <c r="F4" s="4" t="s">
        <v>574</v>
      </c>
      <c r="G4">
        <f xml:space="preserve"> DecimalPlaces - INT(LOG(MIN(  EC.MaxX - EC.MinX,  EC.MaxY - EC.MinY  )/2, 10) + 0.2)</f>
        <v>3</v>
      </c>
    </row>
    <row r="5" spans="1:7">
      <c r="B5" s="4" t="s">
        <v>569</v>
      </c>
      <c r="C5">
        <f xml:space="preserve"> MAX(EC.RadiusY)</f>
        <v>513</v>
      </c>
      <c r="F5" s="4" t="s">
        <v>570</v>
      </c>
      <c r="G5" s="26">
        <f xml:space="preserve"> MODE(Circles.AreaMultiplier)</f>
        <v>1</v>
      </c>
    </row>
    <row r="6" spans="1:7">
      <c r="B6" s="4" t="s">
        <v>565</v>
      </c>
      <c r="C6">
        <f xml:space="preserve"> - EC.MaxX</f>
        <v>-378</v>
      </c>
      <c r="F6" s="4" t="s">
        <v>571</v>
      </c>
      <c r="G6">
        <f xml:space="preserve"> MAX(EC.MaxY, - EC.MinY) / MAX(EC.MaxX, - EC.MinX)</f>
        <v>1.3571428571428572</v>
      </c>
    </row>
    <row r="7" spans="1:7">
      <c r="B7" s="4" t="s">
        <v>566</v>
      </c>
      <c r="C7">
        <f xml:space="preserve"> - EC.MaxY</f>
        <v>-513</v>
      </c>
      <c r="F7" s="4" t="s">
        <v>572</v>
      </c>
      <c r="G7">
        <f xml:space="preserve"> VALUE(TEXT(SQRT(EC.AreaMultiplier * BasicBBoxArea * EC.Aspect), SVG.NumberFormatHeight))</f>
        <v>17.5</v>
      </c>
    </row>
    <row r="8" spans="1:7">
      <c r="F8" s="4" t="s">
        <v>573</v>
      </c>
      <c r="G8" cm="1">
        <f t="array" ref="G8" xml:space="preserve"> EC.Height / EC.Aspect</f>
        <v>12.894736842105262</v>
      </c>
    </row>
    <row r="9" spans="1:7">
      <c r="E9" cm="1">
        <f t="array" ref="E9" xml:space="preserve"> SVG_length(EC.svg)</f>
        <v>245</v>
      </c>
    </row>
    <row r="11" spans="1:7" ht="17" thickBot="1">
      <c r="B11" s="3" t="s">
        <v>561</v>
      </c>
      <c r="C11" s="3" t="s">
        <v>562</v>
      </c>
      <c r="E11" s="3" t="s">
        <v>564</v>
      </c>
      <c r="G11" s="36" t="s">
        <v>567</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717</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734</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722</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576</v>
      </c>
      <c r="C31" s="3" t="s">
        <v>577</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748</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749</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632</v>
      </c>
      <c r="C43">
        <f xml:space="preserve"> MAX(IT.RadiusX)</f>
        <v>82</v>
      </c>
      <c r="F43" s="4" t="s">
        <v>625</v>
      </c>
      <c r="G43" cm="1">
        <f t="array" ref="G43" xml:space="preserve"> DecimalPlaces - INT(LOG(MIN(  IT.MaxX - IT.MinX,  IT.MaxY - IT.MinY  )/2, 10) + 0.2)</f>
        <v>3</v>
      </c>
    </row>
    <row r="44" spans="2:7">
      <c r="B44" s="4" t="s">
        <v>634</v>
      </c>
      <c r="C44">
        <f xml:space="preserve"> MAX(IT.RadiusY)</f>
        <v>68</v>
      </c>
      <c r="F44" s="4" t="s">
        <v>627</v>
      </c>
      <c r="G44" s="26">
        <f xml:space="preserve"> MODE(Circles.AreaMultiplier)</f>
        <v>1</v>
      </c>
    </row>
    <row r="45" spans="2:7">
      <c r="B45" s="4" t="s">
        <v>631</v>
      </c>
      <c r="C45" cm="1">
        <f t="array" ref="C45" xml:space="preserve"> - IT.MaxX</f>
        <v>-82</v>
      </c>
      <c r="F45" s="4" t="s">
        <v>628</v>
      </c>
      <c r="G45" cm="1">
        <f t="array" ref="G45" xml:space="preserve"> MAX(IT.MaxY, - IT.MinY)  /  MAX(IT.MaxX, - IT.MinX)</f>
        <v>0.82926829268292679</v>
      </c>
    </row>
    <row r="46" spans="2:7">
      <c r="B46" s="4" t="s">
        <v>633</v>
      </c>
      <c r="C46" cm="1">
        <f t="array" ref="C46" xml:space="preserve"> - IT.MaxY</f>
        <v>-68</v>
      </c>
      <c r="F46" s="4" t="s">
        <v>629</v>
      </c>
      <c r="G46" cm="1">
        <f t="array" ref="G46" xml:space="preserve"> VALUE(TEXT(SQRT(IT.AreaMultiplier * BasicBBoxArea * IT.Aspect), SVG.NumberFormatHeight))</f>
        <v>13.7</v>
      </c>
    </row>
    <row r="47" spans="2:7">
      <c r="F47" s="4" t="s">
        <v>630</v>
      </c>
      <c r="G47" cm="1">
        <f t="array" ref="G47" xml:space="preserve"> IT.Height / IT.Aspect</f>
        <v>16.520588235294117</v>
      </c>
    </row>
    <row r="48" spans="2:7">
      <c r="B48" s="4" t="s">
        <v>1692</v>
      </c>
      <c r="C48">
        <f xml:space="preserve"> 2 / 15</f>
        <v>0.13333333333333333</v>
      </c>
    </row>
    <row r="50" spans="2:7" ht="17" thickBot="1">
      <c r="B50" s="3" t="s">
        <v>1689</v>
      </c>
      <c r="C50" s="3" t="s">
        <v>1690</v>
      </c>
      <c r="E50" s="3" t="s">
        <v>1691</v>
      </c>
      <c r="G50" s="36" t="s">
        <v>626</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779</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778</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780</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2271</v>
      </c>
      <c r="C60" s="3" t="s">
        <v>2272</v>
      </c>
      <c r="E60" s="3" t="s">
        <v>2273</v>
      </c>
      <c r="G60" s="36" t="s">
        <v>2270</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2128</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BY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77">
      <c r="B2" s="4" t="s">
        <v>361</v>
      </c>
      <c r="D2" t="s">
        <v>405</v>
      </c>
      <c r="F2" t="s">
        <v>796</v>
      </c>
      <c r="H2" t="s">
        <v>393</v>
      </c>
      <c r="J2" t="s">
        <v>879</v>
      </c>
      <c r="L2" t="s">
        <v>1614</v>
      </c>
      <c r="N2" t="s">
        <v>2154</v>
      </c>
      <c r="P2" t="s">
        <v>166</v>
      </c>
      <c r="R2" t="s">
        <v>492</v>
      </c>
      <c r="T2" t="s">
        <v>2151</v>
      </c>
      <c r="V2" t="s">
        <v>528</v>
      </c>
      <c r="X2" t="s">
        <v>1776</v>
      </c>
      <c r="Z2" t="s">
        <v>168</v>
      </c>
      <c r="AB2" t="s">
        <v>578</v>
      </c>
      <c r="AD2" t="s">
        <v>579</v>
      </c>
      <c r="AF2" t="s">
        <v>580</v>
      </c>
      <c r="AH2" t="s">
        <v>1627</v>
      </c>
      <c r="AJ2" t="s">
        <v>1623</v>
      </c>
      <c r="AL2" t="s">
        <v>1620</v>
      </c>
      <c r="AN2" t="s">
        <v>581</v>
      </c>
      <c r="AP2" t="s">
        <v>2274</v>
      </c>
      <c r="AR2" t="s">
        <v>656</v>
      </c>
      <c r="AT2" t="s">
        <v>2280</v>
      </c>
      <c r="AV2" t="s">
        <v>104</v>
      </c>
      <c r="AX2" t="s">
        <v>1666</v>
      </c>
      <c r="AZ2" t="s">
        <v>372</v>
      </c>
      <c r="BB2" t="s">
        <v>2306</v>
      </c>
      <c r="BD2" t="s">
        <v>795</v>
      </c>
      <c r="BF2" t="s">
        <v>2131</v>
      </c>
      <c r="BH2" t="s">
        <v>798</v>
      </c>
      <c r="BJ2" t="s">
        <v>2032</v>
      </c>
      <c r="BL2" t="s">
        <v>1704</v>
      </c>
      <c r="BN2" t="s">
        <v>929</v>
      </c>
      <c r="BP2" t="s">
        <v>172</v>
      </c>
      <c r="BR2" t="s">
        <v>2042</v>
      </c>
      <c r="BT2" t="s">
        <v>2314</v>
      </c>
      <c r="BY2" t="e">
        <f xml:space="preserve"> NA()</f>
        <v>#N/A</v>
      </c>
    </row>
    <row r="3" spans="2:77">
      <c r="B3" s="4" t="s">
        <v>362</v>
      </c>
      <c r="D3">
        <f xml:space="preserve"> MODE(Circles.AreaMultiplier)</f>
        <v>1</v>
      </c>
      <c r="F3">
        <f xml:space="preserve"> MODE(Circles.AreaMultiplier)</f>
        <v>1</v>
      </c>
      <c r="H3">
        <v>1.25</v>
      </c>
      <c r="J3">
        <v>1.25</v>
      </c>
      <c r="L3">
        <f xml:space="preserve"> EC.AreaMultiplier</f>
        <v>1</v>
      </c>
      <c r="N3">
        <v>1.3</v>
      </c>
      <c r="P3">
        <f xml:space="preserve"> MODE(Squares.AreaMultiplier)</f>
        <v>0.85</v>
      </c>
      <c r="R3">
        <v>1.2</v>
      </c>
      <c r="T3">
        <f xml:space="preserve"> MODE(Circles.AreaMultiplier)</f>
        <v>1</v>
      </c>
      <c r="V3">
        <f xml:space="preserve"> 1.625 * MODE(Squares.AreaMultiplier)</f>
        <v>1.3812499999999999</v>
      </c>
      <c r="X3">
        <f xml:space="preserve"> 1.625 * MODE(Squares.AreaMultiplier)</f>
        <v>1.3812499999999999</v>
      </c>
      <c r="Z3">
        <f xml:space="preserve"> MODE(Squares.AreaMultiplier)</f>
        <v>0.85</v>
      </c>
      <c r="AB3">
        <f xml:space="preserve"> MODE(Squares.AreaMultiplier)</f>
        <v>0.85</v>
      </c>
      <c r="AD3">
        <f xml:space="preserve"> MODE(Squares.AreaMultiplier)</f>
        <v>0.85</v>
      </c>
      <c r="AF3">
        <f xml:space="preserve"> MODE(Squares.AreaMultiplier)</f>
        <v>0.85</v>
      </c>
      <c r="AH3">
        <f xml:space="preserve"> EC.AreaMultiplier</f>
        <v>1</v>
      </c>
      <c r="AJ3">
        <f xml:space="preserve"> MODE(Squares.AreaMultiplier)</f>
        <v>0.85</v>
      </c>
      <c r="AL3">
        <f xml:space="preserve"> MODE(Squares.AreaMultiplier)</f>
        <v>0.85</v>
      </c>
      <c r="AN3">
        <v>1</v>
      </c>
      <c r="AP3">
        <v>1</v>
      </c>
      <c r="AR3">
        <v>0.875</v>
      </c>
      <c r="AT3">
        <v>0.875</v>
      </c>
      <c r="AV3">
        <f xml:space="preserve"> 1.625 * MODE(Squares.AreaMultiplier)</f>
        <v>1.3812499999999999</v>
      </c>
      <c r="AX3">
        <f xml:space="preserve"> MODE(Squares.AreaMultiplier)</f>
        <v>0.85</v>
      </c>
      <c r="AZ3">
        <f xml:space="preserve"> 1.625 * MODE(Squares.AreaMultiplier)</f>
        <v>1.3812499999999999</v>
      </c>
      <c r="BB3">
        <f xml:space="preserve"> 1.625 * MODE(Squares.AreaMultiplier)</f>
        <v>1.3812499999999999</v>
      </c>
      <c r="BD3">
        <f xml:space="preserve"> MODE(Squares.AreaMultiplier)</f>
        <v>0.85</v>
      </c>
      <c r="BF3">
        <f xml:space="preserve"> MODE(Squares.AreaMultiplier)</f>
        <v>0.85</v>
      </c>
      <c r="BH3">
        <f xml:space="preserve"> 1.625 * MODE(Squares.AreaMultiplier)</f>
        <v>1.3812499999999999</v>
      </c>
      <c r="BJ3">
        <f xml:space="preserve"> MODE(Squares.AreaMultiplier)</f>
        <v>0.85</v>
      </c>
      <c r="BL3">
        <f xml:space="preserve"> MODE(Squares.AreaMultiplier)</f>
        <v>0.85</v>
      </c>
      <c r="BN3">
        <f xml:space="preserve"> MODE(Squares.AreaMultiplier)</f>
        <v>0.85</v>
      </c>
      <c r="BP3">
        <f xml:space="preserve"> MEDIAN(Circles.AreaMultiplier)</f>
        <v>1</v>
      </c>
      <c r="BR3">
        <f xml:space="preserve"> MODE(Circles.AreaMultiplier)</f>
        <v>1</v>
      </c>
      <c r="BT3">
        <f xml:space="preserve"> MODE(Circles.AreaMultiplier)</f>
        <v>1</v>
      </c>
    </row>
    <row r="5" spans="2:77">
      <c r="B5" s="4" t="s">
        <v>363</v>
      </c>
      <c r="BH5">
        <v>44</v>
      </c>
      <c r="BJ5">
        <v>44</v>
      </c>
    </row>
    <row r="6" spans="2:77">
      <c r="B6" s="4" t="s">
        <v>2305</v>
      </c>
      <c r="BB6" s="5" t="s">
        <v>2308</v>
      </c>
    </row>
    <row r="7" spans="2:77">
      <c r="B7" s="4" t="s">
        <v>373</v>
      </c>
      <c r="C7" s="5"/>
      <c r="D7" s="5" t="s">
        <v>716</v>
      </c>
      <c r="E7" s="5"/>
      <c r="F7" s="5" t="s">
        <v>1824</v>
      </c>
      <c r="G7" s="5"/>
      <c r="H7" s="5" t="s">
        <v>1067</v>
      </c>
      <c r="I7" s="5"/>
      <c r="J7" s="5" t="s">
        <v>1504</v>
      </c>
      <c r="K7" s="5"/>
      <c r="L7" s="5" t="s">
        <v>1616</v>
      </c>
      <c r="M7" s="5"/>
      <c r="N7" s="5" t="s">
        <v>752</v>
      </c>
      <c r="O7" s="5"/>
      <c r="P7" s="5" t="s">
        <v>723</v>
      </c>
      <c r="Q7" s="5"/>
      <c r="R7" s="5" t="s">
        <v>755</v>
      </c>
      <c r="S7" s="5"/>
      <c r="T7" s="5" t="s">
        <v>2152</v>
      </c>
      <c r="U7" s="5"/>
      <c r="V7" s="5" t="s">
        <v>723</v>
      </c>
      <c r="W7" s="5"/>
      <c r="X7" s="5" t="s">
        <v>1777</v>
      </c>
      <c r="Y7" s="5"/>
      <c r="Z7" s="5" t="s">
        <v>723</v>
      </c>
      <c r="AA7" s="5"/>
      <c r="AB7" s="5"/>
      <c r="AC7" s="5"/>
      <c r="AD7" s="5"/>
      <c r="AE7" s="5"/>
      <c r="AF7" s="5"/>
      <c r="AG7" s="5"/>
      <c r="AH7" s="5" t="s">
        <v>1628</v>
      </c>
      <c r="AI7" s="5"/>
      <c r="AJ7" s="5"/>
      <c r="AK7" s="5"/>
      <c r="AL7" s="5"/>
      <c r="AM7" s="5"/>
      <c r="AN7" s="5" t="s">
        <v>726</v>
      </c>
      <c r="AO7" s="5"/>
      <c r="AP7" s="5" t="s">
        <v>726</v>
      </c>
      <c r="AQ7" s="5"/>
      <c r="AR7" s="5" t="s">
        <v>728</v>
      </c>
      <c r="AS7" s="5"/>
      <c r="AT7" s="5" t="s">
        <v>728</v>
      </c>
      <c r="AU7" s="5"/>
      <c r="AV7" s="5" t="s">
        <v>717</v>
      </c>
      <c r="AW7" s="5"/>
      <c r="AX7" s="5" t="s">
        <v>2087</v>
      </c>
      <c r="AY7" s="5"/>
      <c r="AZ7" s="5" t="s">
        <v>1071</v>
      </c>
      <c r="BA7" s="5"/>
      <c r="BB7" s="5" t="s">
        <v>2087</v>
      </c>
      <c r="BC7" s="5"/>
      <c r="BD7" s="5" t="s">
        <v>1043</v>
      </c>
      <c r="BE7" s="5"/>
      <c r="BF7" s="5" t="str">
        <f xml:space="preserve"> $AV$9</f>
        <v>fill='#00A3E0'</v>
      </c>
      <c r="BG7" s="5"/>
      <c r="BH7" s="5" t="s">
        <v>2087</v>
      </c>
      <c r="BI7" s="5"/>
      <c r="BJ7" s="5" t="s">
        <v>2033</v>
      </c>
      <c r="BK7" s="5"/>
      <c r="BL7" s="5" t="s">
        <v>1705</v>
      </c>
      <c r="BM7" s="5"/>
      <c r="BN7" s="5" t="s">
        <v>930</v>
      </c>
      <c r="BO7" s="5"/>
      <c r="BP7" s="5" t="s">
        <v>2442</v>
      </c>
      <c r="BQ7" s="5"/>
      <c r="BR7" s="5" t="s">
        <v>2045</v>
      </c>
      <c r="BS7" s="5"/>
      <c r="BT7" s="5" t="s">
        <v>2315</v>
      </c>
      <c r="BU7" s="5"/>
      <c r="BV7" s="5"/>
      <c r="BW7" s="5"/>
      <c r="BX7" s="5"/>
      <c r="BY7" s="5"/>
    </row>
    <row r="8" spans="2:77">
      <c r="B8" s="4" t="s">
        <v>374</v>
      </c>
      <c r="C8" s="5"/>
      <c r="D8" s="5" t="s">
        <v>2089</v>
      </c>
      <c r="E8" s="5"/>
      <c r="F8" s="5" t="s">
        <v>2089</v>
      </c>
      <c r="G8" s="5"/>
      <c r="H8" s="5" t="s">
        <v>2087</v>
      </c>
      <c r="I8" s="5"/>
      <c r="J8" s="5" t="s">
        <v>1503</v>
      </c>
      <c r="K8" s="5"/>
      <c r="L8" s="5" t="s">
        <v>1615</v>
      </c>
      <c r="M8" s="5"/>
      <c r="N8" s="5" t="s">
        <v>2087</v>
      </c>
      <c r="O8" s="5"/>
      <c r="P8" s="5" t="s">
        <v>2087</v>
      </c>
      <c r="Q8" s="5"/>
      <c r="R8" s="5" t="s">
        <v>2087</v>
      </c>
      <c r="S8" s="5"/>
      <c r="T8" s="5" t="s">
        <v>2153</v>
      </c>
      <c r="U8" s="5"/>
      <c r="V8" s="5" t="s">
        <v>750</v>
      </c>
      <c r="W8" s="5"/>
      <c r="X8" s="5" t="s">
        <v>1778</v>
      </c>
      <c r="Y8" s="5"/>
      <c r="Z8" s="5" t="s">
        <v>2087</v>
      </c>
      <c r="AA8" s="5"/>
      <c r="AB8" s="5" t="s">
        <v>751</v>
      </c>
      <c r="AC8" s="5"/>
      <c r="AD8" s="5" t="s">
        <v>728</v>
      </c>
      <c r="AE8" s="5"/>
      <c r="AF8" s="5" t="s">
        <v>723</v>
      </c>
      <c r="AG8" s="5"/>
      <c r="AH8" s="5" t="s">
        <v>726</v>
      </c>
      <c r="AI8" s="5"/>
      <c r="AJ8" s="5" t="s">
        <v>759</v>
      </c>
      <c r="AK8" s="5"/>
      <c r="AL8" s="5" t="s">
        <v>1621</v>
      </c>
      <c r="AM8" s="5"/>
      <c r="AN8" s="5" t="s">
        <v>2087</v>
      </c>
      <c r="AO8" s="5"/>
      <c r="AP8" s="5" t="s">
        <v>2275</v>
      </c>
      <c r="AQ8" s="5"/>
      <c r="AR8" s="5" t="s">
        <v>2087</v>
      </c>
      <c r="AS8" s="5"/>
      <c r="AT8" s="5" t="s">
        <v>2128</v>
      </c>
      <c r="AU8" s="5"/>
      <c r="AV8" s="5" t="s">
        <v>2087</v>
      </c>
      <c r="AW8" s="5"/>
      <c r="AX8" s="5" t="s">
        <v>738</v>
      </c>
      <c r="AY8" s="5"/>
      <c r="AZ8" s="5" t="s">
        <v>1072</v>
      </c>
      <c r="BA8" s="5"/>
      <c r="BB8" s="5" t="s">
        <v>2128</v>
      </c>
      <c r="BC8" s="5"/>
      <c r="BD8" s="5" t="s">
        <v>2087</v>
      </c>
      <c r="BE8" s="5"/>
      <c r="BF8" s="5" t="s">
        <v>2087</v>
      </c>
      <c r="BG8" s="5"/>
      <c r="BH8" s="5" t="str">
        <f xml:space="preserve"> "stroke-width='" &amp; _xlfn.SINGLE(Simple.SVG_borderWidth) &amp; "' stroke-linejoin='round' stroke='#1B618C' fill='none' "</f>
        <v xml:space="preserve">stroke-width='44' stroke-linejoin='round' stroke='#1B618C' fill='none' </v>
      </c>
      <c r="BI8" s="5"/>
      <c r="BJ8" s="5" t="s">
        <v>2087</v>
      </c>
      <c r="BK8" s="5"/>
      <c r="BL8" s="5" t="s">
        <v>1706</v>
      </c>
      <c r="BM8" s="5"/>
      <c r="BN8" s="5" t="s">
        <v>931</v>
      </c>
      <c r="BO8" s="5"/>
      <c r="BP8" s="5" t="s">
        <v>2443</v>
      </c>
      <c r="BQ8" s="5"/>
      <c r="BR8" s="5" t="s">
        <v>2046</v>
      </c>
      <c r="BS8" s="5"/>
      <c r="BT8" s="5" t="s">
        <v>2316</v>
      </c>
      <c r="BU8" s="5"/>
      <c r="BV8" s="5"/>
      <c r="BW8" s="5"/>
      <c r="BX8" s="5"/>
      <c r="BY8" s="5"/>
    </row>
    <row r="9" spans="2:77">
      <c r="B9" s="4" t="s">
        <v>375</v>
      </c>
      <c r="C9" s="5"/>
      <c r="D9" s="5"/>
      <c r="E9" s="5"/>
      <c r="F9" s="5"/>
      <c r="G9" s="5"/>
      <c r="H9" s="5"/>
      <c r="I9" s="5"/>
      <c r="J9" s="5"/>
      <c r="K9" s="5"/>
      <c r="L9" s="5"/>
      <c r="M9" s="5"/>
      <c r="N9" s="5" t="s">
        <v>752</v>
      </c>
      <c r="O9" s="5"/>
      <c r="P9" s="5"/>
      <c r="Q9" s="5"/>
      <c r="R9" s="5" t="s">
        <v>753</v>
      </c>
      <c r="S9" s="5"/>
      <c r="T9" s="5" t="s">
        <v>726</v>
      </c>
      <c r="U9" s="5"/>
      <c r="V9" s="5"/>
      <c r="W9" s="5"/>
      <c r="X9" s="5" t="s">
        <v>726</v>
      </c>
      <c r="Y9" s="5"/>
      <c r="Z9" s="5"/>
      <c r="AA9" s="5"/>
      <c r="AB9" s="5" t="s">
        <v>754</v>
      </c>
      <c r="AC9" s="5"/>
      <c r="AD9" s="5" t="s">
        <v>726</v>
      </c>
      <c r="AE9" s="5"/>
      <c r="AF9" s="5" t="s">
        <v>726</v>
      </c>
      <c r="AG9" s="5"/>
      <c r="AH9" s="5" t="s">
        <v>2087</v>
      </c>
      <c r="AI9" s="5"/>
      <c r="AJ9" s="5" t="s">
        <v>726</v>
      </c>
      <c r="AK9" s="5"/>
      <c r="AL9" s="5" t="s">
        <v>1622</v>
      </c>
      <c r="AM9" s="5"/>
      <c r="AN9" s="5"/>
      <c r="AO9" s="5"/>
      <c r="AP9" s="5"/>
      <c r="AQ9" s="5"/>
      <c r="AR9" s="5"/>
      <c r="AS9" s="5"/>
      <c r="AT9" s="5"/>
      <c r="AU9" s="5"/>
      <c r="AV9" s="5" t="s">
        <v>733</v>
      </c>
      <c r="AW9" s="5"/>
      <c r="AX9" s="5"/>
      <c r="AY9" s="5"/>
      <c r="AZ9" s="5" t="s">
        <v>2087</v>
      </c>
      <c r="BA9" s="5"/>
      <c r="BB9" s="5" t="s">
        <v>2307</v>
      </c>
      <c r="BC9" s="5"/>
      <c r="BD9" s="5" t="s">
        <v>797</v>
      </c>
      <c r="BE9" s="5"/>
      <c r="BF9" s="5" t="str">
        <f xml:space="preserve"> $AV$7</f>
        <v>fill='#EF3340'</v>
      </c>
      <c r="BG9" s="5"/>
      <c r="BH9" s="5"/>
      <c r="BI9" s="5"/>
      <c r="BJ9" s="5" t="s">
        <v>2034</v>
      </c>
      <c r="BK9" s="5"/>
      <c r="BL9" s="5"/>
      <c r="BM9" s="5"/>
      <c r="BN9" s="5"/>
      <c r="BO9" s="5"/>
      <c r="BP9" s="5"/>
      <c r="BQ9" s="5"/>
      <c r="BR9" s="5" t="s">
        <v>2087</v>
      </c>
      <c r="BS9" s="5"/>
      <c r="BT9" s="5" t="s">
        <v>2317</v>
      </c>
      <c r="BU9" s="5"/>
      <c r="BV9" s="5"/>
      <c r="BW9" s="5"/>
      <c r="BX9" s="5"/>
      <c r="BY9" s="5"/>
    </row>
    <row r="10" spans="2:77">
      <c r="U10" s="5"/>
      <c r="X10" s="5"/>
      <c r="AB10" s="5"/>
      <c r="AD10" s="5"/>
    </row>
    <row r="11" spans="2:77">
      <c r="B11" s="4" t="s">
        <v>365</v>
      </c>
      <c r="D11">
        <v>10</v>
      </c>
      <c r="F11">
        <f xml:space="preserve"> $D11</f>
        <v>10</v>
      </c>
      <c r="H11">
        <f xml:space="preserve"> 2 * 2</f>
        <v>4</v>
      </c>
      <c r="J11">
        <f xml:space="preserve"> $H11</f>
        <v>4</v>
      </c>
      <c r="L11">
        <v>11</v>
      </c>
      <c r="N11">
        <v>27</v>
      </c>
      <c r="P11">
        <v>6</v>
      </c>
      <c r="R11">
        <v>67</v>
      </c>
      <c r="T11">
        <v>8</v>
      </c>
      <c r="V11">
        <f xml:space="preserve"> 83 * 10</f>
        <v>830</v>
      </c>
      <c r="X11">
        <v>97</v>
      </c>
      <c r="Z11">
        <v>6</v>
      </c>
      <c r="AB11">
        <v>1</v>
      </c>
      <c r="AD11">
        <v>2</v>
      </c>
      <c r="AF11">
        <v>2</v>
      </c>
      <c r="AH11">
        <v>216</v>
      </c>
      <c r="AJ11">
        <v>4</v>
      </c>
      <c r="AL11">
        <v>4</v>
      </c>
      <c r="AN11">
        <v>11</v>
      </c>
      <c r="AP11">
        <v>11</v>
      </c>
      <c r="AR11">
        <v>9</v>
      </c>
      <c r="AT11">
        <v>9</v>
      </c>
      <c r="AV11">
        <f xml:space="preserve"> Thirds_O * 2</f>
        <v>54</v>
      </c>
      <c r="AX11">
        <v>3</v>
      </c>
      <c r="AZ11">
        <f xml:space="preserve"> Thirds_O * 3</f>
        <v>81</v>
      </c>
      <c r="BB11">
        <f xml:space="preserve"> 4*90</f>
        <v>360</v>
      </c>
      <c r="BD11">
        <v>5</v>
      </c>
      <c r="BF11">
        <v>5</v>
      </c>
      <c r="BH11">
        <f xml:space="preserve"> 17*8 + _xlfn.SINGLE(Simple.SVG_borderWidth)/2</f>
        <v>158</v>
      </c>
      <c r="BJ11">
        <v>8</v>
      </c>
      <c r="BL11">
        <v>5</v>
      </c>
      <c r="BN11">
        <v>20</v>
      </c>
      <c r="BP11">
        <v>40</v>
      </c>
      <c r="BR11">
        <v>4</v>
      </c>
      <c r="BT11">
        <v>2</v>
      </c>
    </row>
    <row r="12" spans="2:77">
      <c r="B12" s="4" t="s">
        <v>367</v>
      </c>
      <c r="D12">
        <f xml:space="preserve"> _xlfn.SINGLE(Simple.MaxX)</f>
        <v>10</v>
      </c>
      <c r="F12">
        <f xml:space="preserve"> _xlfn.SINGLE(Simple.MaxX)</f>
        <v>10</v>
      </c>
      <c r="H12">
        <f xml:space="preserve"> _xlfn.SINGLE(Simple.MaxX)</f>
        <v>4</v>
      </c>
      <c r="J12">
        <f xml:space="preserve"> _xlfn.SINGLE(Simple.MaxX)</f>
        <v>4</v>
      </c>
      <c r="L12">
        <v>14</v>
      </c>
      <c r="N12">
        <v>45</v>
      </c>
      <c r="P12">
        <v>5</v>
      </c>
      <c r="R12">
        <v>80</v>
      </c>
      <c r="T12">
        <f xml:space="preserve"> _xlfn.SINGLE(Simple.MaxX)</f>
        <v>8</v>
      </c>
      <c r="V12">
        <f xml:space="preserve"> _xlfn.SINGLE(Simple.MaxX) * 53 / 83</f>
        <v>530</v>
      </c>
      <c r="X12">
        <v>56</v>
      </c>
      <c r="Z12">
        <f xml:space="preserve"> _xlfn.SINGLE(Simple.MaxX)</f>
        <v>6</v>
      </c>
      <c r="AB12">
        <f xml:space="preserve"> _xlfn.SINGLE(Simple.MaxX)</f>
        <v>1</v>
      </c>
      <c r="AD12">
        <f xml:space="preserve"> _xlfn.SINGLE(Simple.MaxX)</f>
        <v>2</v>
      </c>
      <c r="AF12">
        <f xml:space="preserve"> _xlfn.SINGLE(Simple.MaxX)</f>
        <v>2</v>
      </c>
      <c r="AH12">
        <v>432</v>
      </c>
      <c r="AJ12">
        <f xml:space="preserve"> _xlfn.SINGLE(Simple.MaxX)</f>
        <v>4</v>
      </c>
      <c r="AL12">
        <f xml:space="preserve"> _xlfn.SINGLE(Simple.MaxX)</f>
        <v>4</v>
      </c>
      <c r="AN12">
        <v>8</v>
      </c>
      <c r="AP12">
        <v>8</v>
      </c>
      <c r="AR12">
        <v>6</v>
      </c>
      <c r="AT12">
        <v>6</v>
      </c>
      <c r="AV12">
        <f xml:space="preserve"> _xlfn.SINGLE(Simple.MaxX)  / 2</f>
        <v>27</v>
      </c>
      <c r="AX12">
        <f xml:space="preserve"> _xlfn.SINGLE(Simple.MaxX)</f>
        <v>3</v>
      </c>
      <c r="AZ12">
        <f xml:space="preserve"> Thirds_O * 2</f>
        <v>54</v>
      </c>
      <c r="BB12">
        <f xml:space="preserve"> _xlfn.SINGLE(Simple.MaxX) * 3 / 4</f>
        <v>270</v>
      </c>
      <c r="BD12">
        <f xml:space="preserve"> _xlfn.SINGLE(Simple.MaxX)</f>
        <v>5</v>
      </c>
      <c r="BF12">
        <f xml:space="preserve"> _xlfn.SINGLE(Simple.MaxX)</f>
        <v>5</v>
      </c>
      <c r="BH12">
        <f xml:space="preserve"> 17*11 + _xlfn.SINGLE(Simple.SVG_borderWidth)/2</f>
        <v>209</v>
      </c>
      <c r="BJ12">
        <f xml:space="preserve"> _xlfn.SINGLE(Simple.MaxX)</f>
        <v>8</v>
      </c>
      <c r="BL12">
        <f xml:space="preserve"> _xlfn.SINGLE(Simple.MaxX)</f>
        <v>5</v>
      </c>
      <c r="BN12">
        <v>39.5</v>
      </c>
      <c r="BP12">
        <v>32</v>
      </c>
      <c r="BR12">
        <f xml:space="preserve"> _xlfn.SINGLE(Simple.MaxX)</f>
        <v>4</v>
      </c>
      <c r="BT12">
        <v>1</v>
      </c>
    </row>
    <row r="13" spans="2:77">
      <c r="B13" s="4" t="s">
        <v>364</v>
      </c>
      <c r="D13">
        <f xml:space="preserve"> - _xlfn.SINGLE(Simple.MaxX)</f>
        <v>-10</v>
      </c>
      <c r="F13">
        <f xml:space="preserve"> - _xlfn.SINGLE(Simple.MaxX)</f>
        <v>-10</v>
      </c>
      <c r="H13">
        <f xml:space="preserve"> - _xlfn.SINGLE(Simple.MaxX)</f>
        <v>-4</v>
      </c>
      <c r="J13">
        <f xml:space="preserve"> - _xlfn.SINGLE(Simple.MaxX)</f>
        <v>-4</v>
      </c>
      <c r="L13">
        <f xml:space="preserve"> - _xlfn.SINGLE(Simple.MaxX)</f>
        <v>-11</v>
      </c>
      <c r="N13">
        <f xml:space="preserve"> - _xlfn.SINGLE(Simple.MaxX)</f>
        <v>-27</v>
      </c>
      <c r="P13">
        <f xml:space="preserve"> - _xlfn.SINGLE(Simple.MaxX)</f>
        <v>-6</v>
      </c>
      <c r="R13">
        <f xml:space="preserve"> - _xlfn.SINGLE(Simple.MaxX)</f>
        <v>-67</v>
      </c>
      <c r="T13">
        <f xml:space="preserve"> - _xlfn.SINGLE(Simple.MaxX)</f>
        <v>-8</v>
      </c>
      <c r="V13">
        <f xml:space="preserve"> - _xlfn.SINGLE(Simple.MaxX)</f>
        <v>-830</v>
      </c>
      <c r="X13">
        <f xml:space="preserve"> - _xlfn.SINGLE(Simple.MaxX)</f>
        <v>-97</v>
      </c>
      <c r="Z13">
        <f xml:space="preserve"> - _xlfn.SINGLE(Simple.MaxX)</f>
        <v>-6</v>
      </c>
      <c r="AB13">
        <f xml:space="preserve"> - _xlfn.SINGLE(Simple.MaxX)</f>
        <v>-1</v>
      </c>
      <c r="AD13">
        <f xml:space="preserve"> - _xlfn.SINGLE(Simple.MaxX)</f>
        <v>-2</v>
      </c>
      <c r="AF13">
        <f xml:space="preserve"> - _xlfn.SINGLE(Simple.MaxX)</f>
        <v>-2</v>
      </c>
      <c r="AH13">
        <f xml:space="preserve"> - _xlfn.SINGLE(Simple.MaxX)</f>
        <v>-216</v>
      </c>
      <c r="AJ13">
        <f xml:space="preserve"> - _xlfn.SINGLE(Simple.MaxX)</f>
        <v>-4</v>
      </c>
      <c r="AL13">
        <f xml:space="preserve"> - _xlfn.SINGLE(Simple.MaxX)</f>
        <v>-4</v>
      </c>
      <c r="AN13">
        <f xml:space="preserve"> - _xlfn.SINGLE(Simple.MaxX)</f>
        <v>-11</v>
      </c>
      <c r="AP13">
        <f xml:space="preserve"> - _xlfn.SINGLE(Simple.MaxX)</f>
        <v>-11</v>
      </c>
      <c r="AR13">
        <f xml:space="preserve"> - _xlfn.SINGLE(Simple.MaxX)</f>
        <v>-9</v>
      </c>
      <c r="AT13">
        <f xml:space="preserve"> - _xlfn.SINGLE(Simple.MaxX)</f>
        <v>-9</v>
      </c>
      <c r="AV13">
        <f xml:space="preserve"> - _xlfn.SINGLE(Simple.MaxX)</f>
        <v>-54</v>
      </c>
      <c r="AX13">
        <f xml:space="preserve"> - _xlfn.SINGLE(Simple.MaxX)</f>
        <v>-3</v>
      </c>
      <c r="AZ13">
        <f xml:space="preserve"> - _xlfn.SINGLE(Simple.MaxX)</f>
        <v>-81</v>
      </c>
      <c r="BB13">
        <f xml:space="preserve"> - _xlfn.SINGLE(Simple.MaxX)</f>
        <v>-360</v>
      </c>
      <c r="BD13">
        <f xml:space="preserve"> - _xlfn.SINGLE(Simple.MaxX)</f>
        <v>-5</v>
      </c>
      <c r="BF13">
        <f xml:space="preserve"> - _xlfn.SINGLE(Simple.MaxX)</f>
        <v>-5</v>
      </c>
      <c r="BH13">
        <f xml:space="preserve"> - _xlfn.SINGLE(Simple.MaxX)</f>
        <v>-158</v>
      </c>
      <c r="BJ13">
        <f xml:space="preserve"> - _xlfn.SINGLE(Simple.MaxX)</f>
        <v>-8</v>
      </c>
      <c r="BL13">
        <f xml:space="preserve"> - _xlfn.SINGLE(Simple.MaxX)</f>
        <v>-5</v>
      </c>
      <c r="BN13">
        <f xml:space="preserve"> - _xlfn.SINGLE(Simple.MaxX)</f>
        <v>-20</v>
      </c>
      <c r="BP13">
        <f xml:space="preserve"> - _xlfn.SINGLE(Simple.MaxX)</f>
        <v>-40</v>
      </c>
      <c r="BR13">
        <f xml:space="preserve"> - _xlfn.SINGLE(Simple.MaxX)</f>
        <v>-4</v>
      </c>
      <c r="BT13">
        <f xml:space="preserve"> - _xlfn.SINGLE(Simple.MaxX)</f>
        <v>-2</v>
      </c>
    </row>
    <row r="14" spans="2:77">
      <c r="B14" s="4" t="s">
        <v>366</v>
      </c>
      <c r="D14">
        <f xml:space="preserve"> - _xlfn.SINGLE(Simple.MaxY)</f>
        <v>-10</v>
      </c>
      <c r="F14">
        <f xml:space="preserve"> - _xlfn.SINGLE(Simple.MaxY)</f>
        <v>-10</v>
      </c>
      <c r="H14">
        <f xml:space="preserve"> - _xlfn.SINGLE(Simple.MaxY)</f>
        <v>-4</v>
      </c>
      <c r="J14">
        <f xml:space="preserve"> - _xlfn.SINGLE(Simple.MaxY)</f>
        <v>-4</v>
      </c>
      <c r="L14">
        <f xml:space="preserve"> - _xlfn.SINGLE(Simple.MaxY)</f>
        <v>-14</v>
      </c>
      <c r="N14">
        <f xml:space="preserve"> - _xlfn.SINGLE(Simple.MaxY)</f>
        <v>-45</v>
      </c>
      <c r="P14">
        <f xml:space="preserve"> - _xlfn.SINGLE(Simple.MaxY)</f>
        <v>-5</v>
      </c>
      <c r="R14">
        <f xml:space="preserve"> - _xlfn.SINGLE(Simple.MaxY)</f>
        <v>-80</v>
      </c>
      <c r="T14">
        <f xml:space="preserve"> - _xlfn.SINGLE(Simple.MaxY)</f>
        <v>-8</v>
      </c>
      <c r="V14">
        <f xml:space="preserve"> - _xlfn.SINGLE(Simple.MaxY)</f>
        <v>-530</v>
      </c>
      <c r="X14">
        <f xml:space="preserve"> - _xlfn.SINGLE(Simple.MaxY)</f>
        <v>-56</v>
      </c>
      <c r="Z14">
        <f xml:space="preserve"> - _xlfn.SINGLE(Simple.MaxY)</f>
        <v>-6</v>
      </c>
      <c r="AB14">
        <f xml:space="preserve"> - _xlfn.SINGLE(Simple.MaxY)</f>
        <v>-1</v>
      </c>
      <c r="AD14">
        <f xml:space="preserve"> - _xlfn.SINGLE(Simple.MaxY)</f>
        <v>-2</v>
      </c>
      <c r="AF14">
        <f xml:space="preserve"> - _xlfn.SINGLE(Simple.MaxY)</f>
        <v>-2</v>
      </c>
      <c r="AH14">
        <f xml:space="preserve"> - _xlfn.SINGLE(Simple.MaxY)</f>
        <v>-432</v>
      </c>
      <c r="AJ14">
        <f xml:space="preserve"> - _xlfn.SINGLE(Simple.MaxY)</f>
        <v>-4</v>
      </c>
      <c r="AL14">
        <f xml:space="preserve"> - _xlfn.SINGLE(Simple.MaxY)</f>
        <v>-4</v>
      </c>
      <c r="AN14">
        <f xml:space="preserve"> - _xlfn.SINGLE(Simple.MaxY)</f>
        <v>-8</v>
      </c>
      <c r="AP14">
        <f xml:space="preserve"> - _xlfn.SINGLE(Simple.MaxY)</f>
        <v>-8</v>
      </c>
      <c r="AR14">
        <f xml:space="preserve"> - _xlfn.SINGLE(Simple.MaxY)</f>
        <v>-6</v>
      </c>
      <c r="AT14">
        <f xml:space="preserve"> - _xlfn.SINGLE(Simple.MaxY)</f>
        <v>-6</v>
      </c>
      <c r="AV14">
        <f xml:space="preserve"> - _xlfn.SINGLE(Simple.MaxY)</f>
        <v>-27</v>
      </c>
      <c r="AX14">
        <f xml:space="preserve"> - _xlfn.SINGLE(Simple.MaxY)</f>
        <v>-3</v>
      </c>
      <c r="AZ14">
        <f xml:space="preserve"> - _xlfn.SINGLE(Simple.MaxY)</f>
        <v>-54</v>
      </c>
      <c r="BB14">
        <f xml:space="preserve"> - _xlfn.SINGLE(Simple.MaxY)</f>
        <v>-270</v>
      </c>
      <c r="BD14">
        <f xml:space="preserve"> - _xlfn.SINGLE(Simple.MaxY)</f>
        <v>-5</v>
      </c>
      <c r="BF14">
        <f xml:space="preserve"> - _xlfn.SINGLE(Simple.MaxY)</f>
        <v>-5</v>
      </c>
      <c r="BH14">
        <f xml:space="preserve"> - _xlfn.SINGLE(Simple.MaxY)</f>
        <v>-209</v>
      </c>
      <c r="BJ14">
        <f xml:space="preserve"> - _xlfn.SINGLE(Simple.MaxY)</f>
        <v>-8</v>
      </c>
      <c r="BL14">
        <f xml:space="preserve"> - _xlfn.SINGLE(Simple.MaxY)</f>
        <v>-5</v>
      </c>
      <c r="BN14">
        <f xml:space="preserve"> - _xlfn.SINGLE(Simple.MaxY)</f>
        <v>-39.5</v>
      </c>
      <c r="BP14">
        <f xml:space="preserve"> - _xlfn.SINGLE(Simple.MaxY)</f>
        <v>-32</v>
      </c>
      <c r="BR14">
        <f xml:space="preserve"> - _xlfn.SINGLE(Simple.MaxY)</f>
        <v>-4</v>
      </c>
      <c r="BT14">
        <f xml:space="preserve"> - _xlfn.SINGLE(Simple.MaxY)</f>
        <v>-1</v>
      </c>
    </row>
    <row r="17" spans="2:77">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1.2727272727272727</v>
      </c>
      <c r="N17">
        <f xml:space="preserve">  MAX( _xlfn.SINGLE(Simple.MaxY), - _xlfn.SINGLE(Simple.MinY ))   /   MAX( _xlfn.SINGLE(Simple.MaxX), - _xlfn.SINGLE(Simple.MinX ))</f>
        <v>1.6666666666666667</v>
      </c>
      <c r="P17">
        <f xml:space="preserve">  MAX( _xlfn.SINGLE(Simple.MaxY), - _xlfn.SINGLE(Simple.MinY ))   /   MAX( _xlfn.SINGLE(Simple.MaxX), - _xlfn.SINGLE(Simple.MinX ))</f>
        <v>0.83333333333333337</v>
      </c>
      <c r="R17">
        <f xml:space="preserve">  MAX( _xlfn.SINGLE(Simple.MaxY), - _xlfn.SINGLE(Simple.MinY ))   /   MAX( _xlfn.SINGLE(Simple.MaxX), - _xlfn.SINGLE(Simple.MinX ))</f>
        <v>1.1940298507462686</v>
      </c>
      <c r="T17">
        <f xml:space="preserve">  MAX( _xlfn.SINGLE(Simple.MaxY), - _xlfn.SINGLE(Simple.MinY ))   /   MAX( _xlfn.SINGLE(Simple.MaxX), - _xlfn.SINGLE(Simple.MinX ))</f>
        <v>1</v>
      </c>
      <c r="V17">
        <f xml:space="preserve">  MAX( _xlfn.SINGLE(Simple.MaxY), - _xlfn.SINGLE(Simple.MinY ))   /   MAX( _xlfn.SINGLE(Simple.MaxX), - _xlfn.SINGLE(Simple.MinX ))</f>
        <v>0.63855421686746983</v>
      </c>
      <c r="X17">
        <f xml:space="preserve">  MAX( _xlfn.SINGLE(Simple.MaxY), - _xlfn.SINGLE(Simple.MinY ))   /   MAX( _xlfn.SINGLE(Simple.MaxX), - _xlfn.SINGLE(Simple.MinX ))</f>
        <v>0.57731958762886593</v>
      </c>
      <c r="Z17">
        <f xml:space="preserve">  MAX( _xlfn.SINGLE(Simple.MaxY), - _xlfn.SINGLE(Simple.MinY ))   /   MAX( _xlfn.SINGLE(Simple.MaxX), - _xlfn.SINGLE(Simple.MinX ))</f>
        <v>1</v>
      </c>
      <c r="AB17">
        <f xml:space="preserve">  MAX( _xlfn.SINGLE(Simple.MaxY), - _xlfn.SINGLE(Simple.MinY ))   /   MAX( _xlfn.SINGLE(Simple.MaxX), - _xlfn.SINGLE(Simple.MinX ))</f>
        <v>1</v>
      </c>
      <c r="AD17">
        <f xml:space="preserve">  MAX( _xlfn.SINGLE(Simple.MaxY), - _xlfn.SINGLE(Simple.MinY ))   /   MAX( _xlfn.SINGLE(Simple.MaxX), - _xlfn.SINGLE(Simple.MinX ))</f>
        <v>1</v>
      </c>
      <c r="AF17">
        <f xml:space="preserve">  MAX( _xlfn.SINGLE(Simple.MaxY), - _xlfn.SINGLE(Simple.MinY ))   /   MAX( _xlfn.SINGLE(Simple.MaxX), - _xlfn.SINGLE(Simple.MinX ))</f>
        <v>1</v>
      </c>
      <c r="AH17">
        <f xml:space="preserve">  MAX( _xlfn.SINGLE(Simple.MaxY), - _xlfn.SINGLE(Simple.MinY ))   /   MAX( _xlfn.SINGLE(Simple.MaxX), - _xlfn.SINGLE(Simple.MinX ))</f>
        <v>2</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0.72727272727272729</v>
      </c>
      <c r="AP17">
        <f xml:space="preserve">  MAX( _xlfn.SINGLE(Simple.MaxY), - _xlfn.SINGLE(Simple.MinY ))   /   MAX( _xlfn.SINGLE(Simple.MaxX), - _xlfn.SINGLE(Simple.MinX ))</f>
        <v>0.72727272727272729</v>
      </c>
      <c r="AR17">
        <f xml:space="preserve">  MAX( _xlfn.SINGLE(Simple.MaxY), - _xlfn.SINGLE(Simple.MinY ))   /   MAX( _xlfn.SINGLE(Simple.MaxX), - _xlfn.SINGLE(Simple.MinX ))</f>
        <v>0.66666666666666663</v>
      </c>
      <c r="AT17">
        <f xml:space="preserve">  MAX( _xlfn.SINGLE(Simple.MaxY), - _xlfn.SINGLE(Simple.MinY ))   /   MAX( _xlfn.SINGLE(Simple.MaxX), - _xlfn.SINGLE(Simple.MinX ))</f>
        <v>0.66666666666666663</v>
      </c>
      <c r="AV17">
        <f xml:space="preserve">  MAX( _xlfn.SINGLE(Simple.MaxY), - _xlfn.SINGLE(Simple.MinY ))   /   MAX( _xlfn.SINGLE(Simple.MaxX), - _xlfn.SINGLE(Simple.MinX ))</f>
        <v>0.5</v>
      </c>
      <c r="AX17">
        <f xml:space="preserve">  MAX( _xlfn.SINGLE(Simple.MaxY), - _xlfn.SINGLE(Simple.MinY ))   /   MAX( _xlfn.SINGLE(Simple.MaxX), - _xlfn.SINGLE(Simple.MinX ))</f>
        <v>1</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0.75</v>
      </c>
      <c r="BD17">
        <f xml:space="preserve">  MAX( _xlfn.SINGLE(Simple.MaxY), - _xlfn.SINGLE(Simple.MinY ))   /   MAX( _xlfn.SINGLE(Simple.MaxX), - _xlfn.SINGLE(Simple.MinX ))</f>
        <v>1</v>
      </c>
      <c r="BF17">
        <f xml:space="preserve">  MAX( _xlfn.SINGLE(Simple.MaxY), - _xlfn.SINGLE(Simple.MinY ))   /   MAX( _xlfn.SINGLE(Simple.MaxX), - _xlfn.SINGLE(Simple.MinX ))</f>
        <v>1</v>
      </c>
      <c r="BH17">
        <f xml:space="preserve">  MAX( _xlfn.SINGLE(Simple.MaxY), - _xlfn.SINGLE(Simple.MinY ))   /   MAX( _xlfn.SINGLE(Simple.MaxX), - _xlfn.SINGLE(Simple.MinX ))</f>
        <v>1.3227848101265822</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1.9750000000000001</v>
      </c>
      <c r="BP17">
        <f xml:space="preserve">  MAX( _xlfn.SINGLE(Simple.MaxY), - _xlfn.SINGLE(Simple.MinY ))   /   MAX( _xlfn.SINGLE(Simple.MaxX), - _xlfn.SINGLE(Simple.MinX ))</f>
        <v>0.8</v>
      </c>
      <c r="BR17">
        <f xml:space="preserve">  MAX( _xlfn.SINGLE(Simple.MaxY), - _xlfn.SINGLE(Simple.MinY ))   /   MAX( _xlfn.SINGLE(Simple.MaxX), - _xlfn.SINGLE(Simple.MinX ))</f>
        <v>1</v>
      </c>
      <c r="BT17">
        <f xml:space="preserve">  MAX( _xlfn.SINGLE(Simple.MaxY), - _xlfn.SINGLE(Simple.MinY ))   /   MAX( _xlfn.SINGLE(Simple.MaxX), - _xlfn.SINGLE(Simple.MinX ))</f>
        <v>0.5</v>
      </c>
    </row>
    <row r="18" spans="2:77">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16.8</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16.899999999999999</v>
      </c>
      <c r="N18">
        <f xml:space="preserve"> VALUE(TEXT(SQRT(_xlfn.SINGLE(Simple.AreaMultiplier) * BasicBBoxArea * _xlfn.SINGLE(Simple.Aspect)), SVG.NumberFormatHeight))</f>
        <v>22.1</v>
      </c>
      <c r="P18">
        <f xml:space="preserve"> VALUE(TEXT(SQRT(_xlfn.SINGLE(Simple.AreaMultiplier) * BasicBBoxArea * _xlfn.SINGLE(Simple.Aspect)), SVG.NumberFormatHeight))</f>
        <v>12.6</v>
      </c>
      <c r="R18">
        <f xml:space="preserve"> VALUE(TEXT(SQRT(_xlfn.SINGLE(Simple.AreaMultiplier) * BasicBBoxArea * _xlfn.SINGLE(Simple.Aspect)), SVG.NumberFormatHeight))</f>
        <v>18</v>
      </c>
      <c r="T18">
        <f xml:space="preserve"> VALUE(TEXT(SQRT(_xlfn.SINGLE(Simple.AreaMultiplier) * BasicBBoxArea * _xlfn.SINGLE(Simple.Aspect)), SVG.NumberFormatHeight))</f>
        <v>15</v>
      </c>
      <c r="V18">
        <f xml:space="preserve"> VALUE(TEXT(SQRT(_xlfn.SINGLE(Simple.AreaMultiplier) * BasicBBoxArea * _xlfn.SINGLE(Simple.Aspect)), SVG.NumberFormatHeight))</f>
        <v>14.1</v>
      </c>
      <c r="X18">
        <f xml:space="preserve"> VALUE(TEXT(SQRT(_xlfn.SINGLE(Simple.AreaMultiplier) * BasicBBoxArea * _xlfn.SINGLE(Simple.Aspect)), SVG.NumberFormatHeight))</f>
        <v>13.4</v>
      </c>
      <c r="Z18">
        <f xml:space="preserve"> VALUE(TEXT(SQRT(_xlfn.SINGLE(Simple.AreaMultiplier) * BasicBBoxArea * _xlfn.SINGLE(Simple.Aspect)), SVG.NumberFormatHeight))</f>
        <v>13.8</v>
      </c>
      <c r="AB18">
        <f xml:space="preserve"> VALUE(TEXT(SQRT(_xlfn.SINGLE(Simple.AreaMultiplier) * BasicBBoxArea * _xlfn.SINGLE(Simple.Aspect)), SVG.NumberFormatHeight))</f>
        <v>13.8</v>
      </c>
      <c r="AD18">
        <f xml:space="preserve"> VALUE(TEXT(SQRT(_xlfn.SINGLE(Simple.AreaMultiplier) * BasicBBoxArea * _xlfn.SINGLE(Simple.Aspect)), SVG.NumberFormatHeight))</f>
        <v>13.8</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21.2</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12.8</v>
      </c>
      <c r="AP18">
        <f xml:space="preserve"> VALUE(TEXT(SQRT(_xlfn.SINGLE(Simple.AreaMultiplier) * BasicBBoxArea * _xlfn.SINGLE(Simple.Aspect)), SVG.NumberFormatHeight))</f>
        <v>12.8</v>
      </c>
      <c r="AR18">
        <f xml:space="preserve"> VALUE(TEXT(SQRT(_xlfn.SINGLE(Simple.AreaMultiplier) * BasicBBoxArea * _xlfn.SINGLE(Simple.Aspect)), SVG.NumberFormatHeight))</f>
        <v>11.5</v>
      </c>
      <c r="AT18">
        <f xml:space="preserve"> VALUE(TEXT(SQRT(_xlfn.SINGLE(Simple.AreaMultiplier) * BasicBBoxArea * _xlfn.SINGLE(Simple.Aspect)), SVG.NumberFormatHeight))</f>
        <v>11.5</v>
      </c>
      <c r="AV18">
        <f xml:space="preserve"> VALUE(TEXT(SQRT(_xlfn.SINGLE(Simple.AreaMultiplier) * BasicBBoxArea * _xlfn.SINGLE(Simple.Aspect)), SVG.NumberFormatHeight))</f>
        <v>12.5</v>
      </c>
      <c r="AX18">
        <f xml:space="preserve"> VALUE(TEXT(SQRT(_xlfn.SINGLE(Simple.AreaMultiplier) * BasicBBoxArea * _xlfn.SINGLE(Simple.Aspect)), SVG.NumberFormatHeight))</f>
        <v>13.8</v>
      </c>
      <c r="AZ18">
        <f xml:space="preserve"> VALUE(TEXT(SQRT(_xlfn.SINGLE(Simple.AreaMultiplier) * BasicBBoxArea * _xlfn.SINGLE(Simple.Aspect)), SVG.NumberFormatHeight))</f>
        <v>14.4</v>
      </c>
      <c r="BB18">
        <f xml:space="preserve"> VALUE(TEXT(SQRT(_xlfn.SINGLE(Simple.AreaMultiplier) * BasicBBoxArea * _xlfn.SINGLE(Simple.Aspect)), SVG.NumberFormatHeight))</f>
        <v>15.3</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13.8</v>
      </c>
      <c r="BH18">
        <f xml:space="preserve"> VALUE(TEXT(SQRT(_xlfn.SINGLE(Simple.AreaMultiplier) * BasicBBoxArea * _xlfn.SINGLE(Simple.Aspect)), SVG.NumberFormatHeight))</f>
        <v>20.3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19.399999999999999</v>
      </c>
      <c r="BP18">
        <f xml:space="preserve"> VALUE(TEXT(SQRT(_xlfn.SINGLE(Simple.AreaMultiplier) * BasicBBoxArea * _xlfn.SINGLE(Simple.Aspect)), SVG.NumberFormatHeight))</f>
        <v>13.4</v>
      </c>
      <c r="BR18">
        <f xml:space="preserve"> VALUE(TEXT(SQRT(_xlfn.SINGLE(Simple.AreaMultiplier) * BasicBBoxArea * _xlfn.SINGLE(Simple.Aspect)), SVG.NumberFormatHeight))</f>
        <v>15</v>
      </c>
      <c r="BT18">
        <f xml:space="preserve"> VALUE(TEXT(SQRT(_xlfn.SINGLE(Simple.AreaMultiplier) * BasicBBoxArea * _xlfn.SINGLE(Simple.Aspect)), SVG.NumberFormatHeight))</f>
        <v>10.6</v>
      </c>
    </row>
    <row r="19" spans="2:77">
      <c r="B19" s="4" t="s">
        <v>370</v>
      </c>
      <c r="D19">
        <f xml:space="preserve"> _xlfn.SINGLE(Simple.Height) / _xlfn.SINGLE(Simple.Aspect)</f>
        <v>15</v>
      </c>
      <c r="F19">
        <f xml:space="preserve"> _xlfn.SINGLE(Simple.Height) / _xlfn.SINGLE(Simple.Aspect)</f>
        <v>15</v>
      </c>
      <c r="H19">
        <f xml:space="preserve"> _xlfn.SINGLE(Simple.Height) / _xlfn.SINGLE(Simple.Aspect)</f>
        <v>16.8</v>
      </c>
      <c r="J19">
        <f xml:space="preserve"> _xlfn.SINGLE(Simple.Height) / _xlfn.SINGLE(Simple.Aspect)</f>
        <v>16.8</v>
      </c>
      <c r="L19">
        <f xml:space="preserve"> _xlfn.SINGLE(Simple.Height) / _xlfn.SINGLE(Simple.Aspect)</f>
        <v>13.278571428571428</v>
      </c>
      <c r="N19">
        <f xml:space="preserve"> _xlfn.SINGLE(Simple.Height) / _xlfn.SINGLE(Simple.Aspect)</f>
        <v>13.26</v>
      </c>
      <c r="P19">
        <f xml:space="preserve"> _xlfn.SINGLE(Simple.Height) / _xlfn.SINGLE(Simple.Aspect)</f>
        <v>15.12</v>
      </c>
      <c r="R19">
        <f xml:space="preserve"> _xlfn.SINGLE(Simple.Height) / _xlfn.SINGLE(Simple.Aspect)</f>
        <v>15.075000000000001</v>
      </c>
      <c r="T19">
        <f xml:space="preserve"> _xlfn.SINGLE(Simple.Height) / _xlfn.SINGLE(Simple.Aspect)</f>
        <v>15</v>
      </c>
      <c r="V19">
        <f xml:space="preserve"> _xlfn.SINGLE(Simple.Height) / _xlfn.SINGLE(Simple.Aspect)</f>
        <v>22.0811320754717</v>
      </c>
      <c r="X19">
        <f xml:space="preserve"> _xlfn.SINGLE(Simple.Height) / _xlfn.SINGLE(Simple.Aspect)</f>
        <v>23.210714285714289</v>
      </c>
      <c r="Z19">
        <f xml:space="preserve"> _xlfn.SINGLE(Simple.Height) / _xlfn.SINGLE(Simple.Aspect)</f>
        <v>13.8</v>
      </c>
      <c r="AB19">
        <f xml:space="preserve"> _xlfn.SINGLE(Simple.Height) / _xlfn.SINGLE(Simple.Aspect)</f>
        <v>13.8</v>
      </c>
      <c r="AD19">
        <f xml:space="preserve"> _xlfn.SINGLE(Simple.Height) / _xlfn.SINGLE(Simple.Aspect)</f>
        <v>13.8</v>
      </c>
      <c r="AF19">
        <f xml:space="preserve"> _xlfn.SINGLE(Simple.Height) / _xlfn.SINGLE(Simple.Aspect)</f>
        <v>13.8</v>
      </c>
      <c r="AH19">
        <f xml:space="preserve"> _xlfn.SINGLE(Simple.Height) / _xlfn.SINGLE(Simple.Aspect)</f>
        <v>10.6</v>
      </c>
      <c r="AJ19">
        <f xml:space="preserve"> _xlfn.SINGLE(Simple.Height) / _xlfn.SINGLE(Simple.Aspect)</f>
        <v>13.8</v>
      </c>
      <c r="AL19">
        <f xml:space="preserve"> _xlfn.SINGLE(Simple.Height) / _xlfn.SINGLE(Simple.Aspect)</f>
        <v>13.8</v>
      </c>
      <c r="AN19">
        <f xml:space="preserve"> _xlfn.SINGLE(Simple.Height) / _xlfn.SINGLE(Simple.Aspect)</f>
        <v>17.600000000000001</v>
      </c>
      <c r="AP19">
        <f xml:space="preserve"> _xlfn.SINGLE(Simple.Height) / _xlfn.SINGLE(Simple.Aspect)</f>
        <v>17.600000000000001</v>
      </c>
      <c r="AR19">
        <f xml:space="preserve"> _xlfn.SINGLE(Simple.Height) / _xlfn.SINGLE(Simple.Aspect)</f>
        <v>17.25</v>
      </c>
      <c r="AT19">
        <f xml:space="preserve"> _xlfn.SINGLE(Simple.Height) / _xlfn.SINGLE(Simple.Aspect)</f>
        <v>17.25</v>
      </c>
      <c r="AV19">
        <f xml:space="preserve"> _xlfn.SINGLE(Simple.Height) / _xlfn.SINGLE(Simple.Aspect)</f>
        <v>25</v>
      </c>
      <c r="AX19">
        <f xml:space="preserve"> _xlfn.SINGLE(Simple.Height) / _xlfn.SINGLE(Simple.Aspect)</f>
        <v>13.8</v>
      </c>
      <c r="AZ19">
        <f xml:space="preserve"> _xlfn.SINGLE(Simple.Height) / _xlfn.SINGLE(Simple.Aspect)</f>
        <v>21.6</v>
      </c>
      <c r="BB19">
        <f xml:space="preserve"> _xlfn.SINGLE(Simple.Height) / _xlfn.SINGLE(Simple.Aspect)</f>
        <v>20.400000000000002</v>
      </c>
      <c r="BD19">
        <f xml:space="preserve"> _xlfn.SINGLE(Simple.Height) / _xlfn.SINGLE(Simple.Aspect)</f>
        <v>13.8</v>
      </c>
      <c r="BF19">
        <f xml:space="preserve"> _xlfn.SINGLE(Simple.Height) / _xlfn.SINGLE(Simple.Aspect)</f>
        <v>13.8</v>
      </c>
      <c r="BH19">
        <f xml:space="preserve"> _xlfn.SINGLE(Simple.Height) / _xlfn.SINGLE(Simple.Aspect)</f>
        <v>15.34641148325359</v>
      </c>
      <c r="BJ19">
        <f xml:space="preserve"> _xlfn.SINGLE(Simple.Height) / _xlfn.SINGLE(Simple.Aspect)</f>
        <v>13.8</v>
      </c>
      <c r="BL19">
        <f xml:space="preserve"> _xlfn.SINGLE(Simple.Height) / _xlfn.SINGLE(Simple.Aspect)</f>
        <v>13.8</v>
      </c>
      <c r="BN19">
        <f xml:space="preserve"> _xlfn.SINGLE(Simple.Height) / _xlfn.SINGLE(Simple.Aspect)</f>
        <v>9.8227848101265813</v>
      </c>
      <c r="BP19">
        <f xml:space="preserve"> _xlfn.SINGLE(Simple.Height) / _xlfn.SINGLE(Simple.Aspect)</f>
        <v>16.75</v>
      </c>
      <c r="BR19">
        <f xml:space="preserve"> _xlfn.SINGLE(Simple.Height) / _xlfn.SINGLE(Simple.Aspect)</f>
        <v>15</v>
      </c>
      <c r="BT19">
        <f xml:space="preserve"> _xlfn.SINGLE(Simple.Height) / _xlfn.SINGLE(Simple.Aspect)</f>
        <v>21.2</v>
      </c>
    </row>
    <row r="22" spans="2:77">
      <c r="D22" cm="1">
        <f t="array" ref="D22" xml:space="preserve"> SVG_length(D$24:D$29)</f>
        <v>200</v>
      </c>
      <c r="F22" cm="1">
        <f t="array" ref="F22" xml:space="preserve"> SVG_length(F$24:F$29)</f>
        <v>215</v>
      </c>
      <c r="H22" cm="1">
        <f t="array" ref="H22" xml:space="preserve"> SVG_length(H$24:H$29)</f>
        <v>250</v>
      </c>
      <c r="J22" cm="1">
        <f t="array" ref="J22" xml:space="preserve"> SVG_length(J$24:J$29)</f>
        <v>253</v>
      </c>
      <c r="L22" cm="1">
        <f t="array" ref="L22" xml:space="preserve"> SVG_length(L$24:L$29)</f>
        <v>211</v>
      </c>
      <c r="N22" cm="1">
        <f t="array" ref="N22" xml:space="preserve"> SVG_length(N$24:N$29)</f>
        <v>419</v>
      </c>
      <c r="P22" cm="1">
        <f t="array" ref="P22" xml:space="preserve"> SVG_length(P$24:P$29)</f>
        <v>222</v>
      </c>
      <c r="R22" cm="1">
        <f t="array" ref="R22" xml:space="preserve"> SVG_length(R$24:R$29)</f>
        <v>347</v>
      </c>
      <c r="T22" cm="1">
        <f t="array" ref="T22" xml:space="preserve"> SVG_length(T$24:T$29)</f>
        <v>283</v>
      </c>
      <c r="V22" cm="1">
        <f t="array" ref="V22" xml:space="preserve"> SVG_length(V$24:V$29)</f>
        <v>246</v>
      </c>
      <c r="X22" cm="1">
        <f t="array" ref="X22" xml:space="preserve"> SVG_length(X$24:X$29)</f>
        <v>333</v>
      </c>
      <c r="Z22" cm="1">
        <f t="array" ref="Z22" xml:space="preserve"> SVG_length(Z$24:Z$29)</f>
        <v>207</v>
      </c>
      <c r="AB22" cm="1">
        <f t="array" ref="AB22" xml:space="preserve"> SVG_length(AB$24:AB$29)</f>
        <v>218</v>
      </c>
      <c r="AD22" cm="1">
        <f t="array" ref="AD22" xml:space="preserve"> SVG_length(AD$24:AD$29)</f>
        <v>207</v>
      </c>
      <c r="AF22" cm="1">
        <f t="array" ref="AF22" xml:space="preserve"> SVG_length(AF$24:AF$29)</f>
        <v>208</v>
      </c>
      <c r="AH22" cm="1">
        <f t="array" ref="AH22" xml:space="preserve"> SVG_length(AH$24:AH$29)</f>
        <v>430</v>
      </c>
      <c r="AJ22" cm="1">
        <f t="array" ref="AJ22" xml:space="preserve"> SVG_length(AJ$24:AJ$29)</f>
        <v>203</v>
      </c>
      <c r="AL22" cm="1">
        <f t="array" ref="AL22" xml:space="preserve"> SVG_length(AL$24:AL$29)</f>
        <v>213</v>
      </c>
      <c r="AN22" cm="1">
        <f t="array" ref="AN22" xml:space="preserve"> SVG_length(AN$24:AN$29)</f>
        <v>207</v>
      </c>
      <c r="AP22" cm="1">
        <f t="array" ref="AP22" xml:space="preserve"> SVG_length(AP$24:AP$29)</f>
        <v>207</v>
      </c>
      <c r="AR22" cm="1">
        <f t="array" ref="AR22" xml:space="preserve"> SVG_length(AR$24:AR$29)</f>
        <v>206</v>
      </c>
      <c r="AT22" cm="1">
        <f t="array" ref="AT22" xml:space="preserve"> SVG_length(AT$24:AT$29)</f>
        <v>194</v>
      </c>
      <c r="AV22" cm="1">
        <f t="array" ref="AV22" xml:space="preserve"> SVG_length(AV$24:AV$29)</f>
        <v>280</v>
      </c>
      <c r="AX22" cm="1">
        <f t="array" ref="AX22" xml:space="preserve"> SVG_length(AX$24:AX$29)</f>
        <v>237</v>
      </c>
      <c r="AZ22" cm="1">
        <f t="array" ref="AZ22" xml:space="preserve"> SVG_length(AZ$24:AZ$29)</f>
        <v>282</v>
      </c>
      <c r="BB22" cm="1">
        <f t="array" ref="BB22" xml:space="preserve"> SVG_length(BB$24:BB$29)</f>
        <v>330</v>
      </c>
      <c r="BD22" cm="1">
        <f t="array" ref="BD22" xml:space="preserve"> SVG_length(BD$24:BD$29)</f>
        <v>285</v>
      </c>
      <c r="BF22" cm="1">
        <f t="array" ref="BF22" xml:space="preserve"> SVG_length(BF$24:BF$29)</f>
        <v>285</v>
      </c>
      <c r="BH22" cm="1">
        <f t="array" ref="BH22" xml:space="preserve"> SVG_length(BH$24:BH$29)</f>
        <v>307</v>
      </c>
      <c r="BJ22" cm="1">
        <f t="array" ref="BJ22" xml:space="preserve"> SVG_length(BJ$24:BJ$29)</f>
        <v>309</v>
      </c>
      <c r="BL22" cm="1">
        <f t="array" ref="BL22" xml:space="preserve"> SVG_length(BL$24:BL$29)</f>
        <v>218</v>
      </c>
      <c r="BN22" cm="1">
        <f t="array" ref="BN22" xml:space="preserve"> SVG_length(BN$24:BN$29)</f>
        <v>272</v>
      </c>
      <c r="BP22" cm="1">
        <f t="array" ref="BP22" xml:space="preserve"> SVG_length(BP$24:BP$29)</f>
        <v>371</v>
      </c>
      <c r="BR22" cm="1">
        <f t="array" ref="BR22" xml:space="preserve"> SVG_length(BR$24:BR$29)</f>
        <v>238</v>
      </c>
      <c r="BT22" cm="1">
        <f t="array" ref="BT22" xml:space="preserve"> SVG_length(BT$24:BT$29)</f>
        <v>237</v>
      </c>
    </row>
    <row r="23" spans="2:77">
      <c r="B23" s="4" t="s">
        <v>371</v>
      </c>
    </row>
    <row r="24" spans="2:77">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BU24" s="7" t="str">
        <f xml:space="preserve"> ""</f>
        <v/>
      </c>
      <c r="BV24" s="7" t="str">
        <f xml:space="preserve"> ""</f>
        <v/>
      </c>
      <c r="BW24" s="16"/>
      <c r="BX24" s="16"/>
      <c r="BY24" s="8"/>
    </row>
    <row r="25" spans="2:77">
      <c r="C25" t="str">
        <f t="shared" ref="C25:BV29" si="0" xml:space="preserve"> ""</f>
        <v/>
      </c>
      <c r="D25" s="21" t="str">
        <f xml:space="preserve"> IF(_xlfn.SINGLE(Simple.MaxX)&lt;&gt;0, "&lt;circle " &amp; _xlfn.SINGLE(Simple.SVG_painting_2) &amp; " r='" &amp; ROUND(_xlfn.SINGLE(Simple.MaxY), DecimalPlaces) &amp; "'/&gt;", "")</f>
        <v>&lt;circle  fill='#FF33FF'  r='10'/&gt;</v>
      </c>
      <c r="E25" t="str">
        <f t="shared" si="0"/>
        <v/>
      </c>
      <c r="F25" s="21" t="str">
        <f xml:space="preserve"> IF(_xlfn.SINGLE(Simple.MaxX)&lt;&gt;0, "&lt;circle " &amp; _xlfn.SINGLE(Simple.SVG_painting_2) &amp; " r='" &amp; ROUND(_xlfn.SINGLE(Simple.MaxY), DecimalPlaces) &amp; "'/&gt;", "")</f>
        <v>&lt;circle  fill='#FF33FF' r='10'/&gt;</v>
      </c>
      <c r="G25" t="str">
        <f t="shared" si="0"/>
        <v/>
      </c>
      <c r="H25" s="5" t="str">
        <f xml:space="preserve"> "&lt;path " &amp; _xlfn.SINGLE(Simple.SVG_painting_2) &amp; " d='M 2 -2  A 2 2 0 0 1 2 2   A 2 2 0 0 1 -2 2  A 2 2 0 0 1 -2 -2  A 2 2 0 0 1 2 -2 Z'/&gt;"</f>
        <v>&lt;path fill='#00AF66' d='M 2 -2  A 2 2 0 0 1 2 2   A 2 2 0 0 1 -2 2  A 2 2 0 0 1 -2 -2  A 2 2 0 0 1 2 -2 Z'/&gt;</v>
      </c>
      <c r="I25" t="str">
        <f t="shared" si="0"/>
        <v/>
      </c>
      <c r="J25" s="5" t="str">
        <f xml:space="preserve"> "&lt;path " &amp; _xlfn.SINGLE(Simple.SVG_painting_2) &amp; " d='M 2 -2  A 2 2 0 0 1 2 2   A 2 2 0 0 1 -2 2  A 2 2 0 0 1 -2 -2  A 2 2 0 0 1 2 -2 Z'/&gt;"</f>
        <v>&lt;path fill='#C7363D' d='M 2 -2  A 2 2 0 0 1 2 2   A 2 2 0 0 1 -2 2  A 2 2 0 0 1 -2 -2  A 2 2 0 0 1 2 -2 Z'/&gt;</v>
      </c>
      <c r="K25" t="str">
        <f t="shared" si="0"/>
        <v/>
      </c>
      <c r="L25" s="5" t="str">
        <f xml:space="preserve"> "&lt;ellipse " &amp; _xlfn.SINGLE(Simple.SVG_painting_1) &amp; " ry='14' rx='11'/&gt;"</f>
        <v>&lt;ellipse fill='#C4272F' ry='14' rx='11'/&gt;</v>
      </c>
      <c r="M25" t="str">
        <f t="shared" si="0"/>
        <v/>
      </c>
      <c r="N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O25" t="str">
        <f t="shared" si="0"/>
        <v/>
      </c>
      <c r="P25" s="21" t="str" cm="1">
        <f t="array" ref="P25" xml:space="preserve"> svgPathRect(DecimalPlaces, _xlfn.SINGLE(Simple.SVG_painting_2), _xlfn.SINGLE(Simple.MaxX), _xlfn.SINGLE(Simple.MaxY))</f>
        <v>&lt;path fill='#009639' d='M6 5V-5H-6V5Z'/&gt;</v>
      </c>
      <c r="Q25" t="str">
        <f t="shared" si="0"/>
        <v/>
      </c>
      <c r="R25" s="21" t="str">
        <f xml:space="preserve"> "&lt;defs&gt;&lt;path id='" &amp; _xlfn.SINGLE(Simple.ID) &amp; "-m' d='M56 -47L-67 -80 -56 47 67 80Z'/&gt;&lt;/defs&gt;"</f>
        <v>&lt;defs&gt;&lt;path id='IRR-m' d='M56 -47L-67 -80 -56 47 67 80Z'/&gt;&lt;/defs&gt;</v>
      </c>
      <c r="S25" t="str">
        <f t="shared" si="0"/>
        <v/>
      </c>
      <c r="T25" s="21" t="str">
        <f xml:space="preserve"> "&lt;circle " &amp; _xlfn.SINGLE(Simple.SVG_painting_2) &amp; " r='7'/&gt;"</f>
        <v>&lt;circle fill='#C8102E'  r='7'/&gt;</v>
      </c>
      <c r="U25" t="str">
        <f t="shared" si="0"/>
        <v/>
      </c>
      <c r="V25" s="5" t="str">
        <f xml:space="preserve"> "&lt;path " &amp; _xlfn.SINGLE(Simple.SVG_painting_2) &amp; " d='M" &amp; _xlfn.SINGLE(Simple.MaxX) &amp; " 0L0 " &amp; _xlfn.SINGLE(Simple.MaxY) &amp; "L" &amp; _xlfn.SINGLE(Simple.MinX) &amp; " 0L0 " &amp; _xlfn.SINGLE(Simple.MinY) &amp; "Z'/&gt;"</f>
        <v>&lt;path fill='#009639' d='M830 0L0 530L-830 0L0 -530Z'/&gt;</v>
      </c>
      <c r="W25" t="str">
        <f t="shared" si="0"/>
        <v/>
      </c>
      <c r="X25" s="5" t="str">
        <f xml:space="preserve"> "&lt;defs&gt;&lt;path id='" &amp; _xlfn.SINGLE(Star_5_2.ID) &amp; "-h' d='M" &amp; _xlfn.SINGLE(Simple.MaxX) &amp; " 0 L 0 " &amp; _xlfn.SINGLE(Simple.MaxY) &amp; " " &amp; _xlfn.SINGLE(Simple.MinX) &amp; " 0 0 " &amp; _xlfn.SINGLE(Simple.MinY) &amp; "Z'/&gt;&lt;/defs&gt;"</f>
        <v>&lt;defs&gt;&lt;path id='EU_2-h' d='M97 0 L 0 56 -97 0 0 -56Z'/&gt;&lt;/defs&gt;</v>
      </c>
      <c r="Y25" t="str">
        <f t="shared" si="0"/>
        <v/>
      </c>
      <c r="Z25" s="21" t="str" cm="1">
        <f t="array" ref="Z25" xml:space="preserve"> svgPathRect(DecimalPlaces, _xlfn.SINGLE(Simple.SVG_painting_2), _xlfn.SINGLE(Simple.MaxX), _xlfn.SINGLE(Simple.MaxY))</f>
        <v>&lt;path fill='#009639' d='M6 6V-6H-6V6Z'/&gt;</v>
      </c>
      <c r="AA25" t="str">
        <f t="shared" si="0"/>
        <v/>
      </c>
      <c r="AB25" s="21"/>
      <c r="AC25" t="str">
        <f t="shared" si="0"/>
        <v/>
      </c>
      <c r="AD25" s="21"/>
      <c r="AE25" t="str">
        <f t="shared" si="0"/>
        <v/>
      </c>
      <c r="AF25" s="21"/>
      <c r="AG25" t="str">
        <f t="shared" si="0"/>
        <v/>
      </c>
      <c r="AH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I25" t="str">
        <f t="shared" si="0"/>
        <v/>
      </c>
      <c r="AJ25" s="21"/>
      <c r="AK25" t="str">
        <f t="shared" si="0"/>
        <v/>
      </c>
      <c r="AL25" s="21"/>
      <c r="AM25" t="str">
        <f t="shared" si="0"/>
        <v/>
      </c>
      <c r="AN25" s="21" t="str" cm="1">
        <f t="array" ref="AN25" xml:space="preserve"> svgPathRect(DecimalPlaces, _xlfn.SINGLE(Simple.SVG_painting_2), _xlfn.SINGLE(Simple.MaxX), _xlfn.SINGLE(Simple.MaxY))</f>
        <v>&lt;path fill='black' d='M11 8V-8H-11V8Z'/&gt;</v>
      </c>
      <c r="AO25" t="str">
        <f t="shared" si="0"/>
        <v/>
      </c>
      <c r="AP25" s="21" t="str" cm="1">
        <f t="array" ref="AP25" xml:space="preserve"> svgPathRect(DecimalPlaces, _xlfn.SINGLE(Simple.SVG_painting_2), _xlfn.SINGLE(Simple.MaxX), _xlfn.SINGLE(Simple.MaxY))</f>
        <v>&lt;path fill='black' d='M11 8V-8H-11V8Z'/&gt;</v>
      </c>
      <c r="AQ25" t="str">
        <f t="shared" si="0"/>
        <v/>
      </c>
      <c r="AR25" s="21" t="str" cm="1">
        <f t="array" ref="AR25" xml:space="preserve"> svgPathRect(DecimalPlaces, _xlfn.SINGLE(Simple.SVG_painting_2), _xlfn.SINGLE(Simple.MaxX), _xlfn.SINGLE(Simple.MaxY))</f>
        <v>&lt;path fill='#C8102E' d='M9 6V-6H-9V6Z'/&gt;</v>
      </c>
      <c r="AS25" t="str">
        <f t="shared" si="0"/>
        <v/>
      </c>
      <c r="AT25" s="21" t="str" cm="1">
        <f t="array" ref="AT25" xml:space="preserve"> svgPathRect(DecimalPlaces, _xlfn.SINGLE(Simple.SVG_painting_2), _xlfn.SINGLE(Simple.MaxX), _xlfn.SINGLE(Simple.MaxY))</f>
        <v>&lt;path fill='#C8102E' d='M9 6V-6H-9V6Z'/&gt;</v>
      </c>
      <c r="AU25" t="str">
        <f t="shared" si="0"/>
        <v/>
      </c>
      <c r="AV25" s="5" t="str">
        <f xml:space="preserve"> "&lt;path " &amp; _xlfn.SINGLE(Simple.SVG_painting_2) &amp; " d='M" &amp; (2*Thirds_O) &amp; " 0L0 " &amp; (Thirds_O) &amp; "L" &amp; (-2*Thirds_O) &amp; " 0L0 " &amp; (-Thirds_O) &amp; "Z'/&gt;"</f>
        <v>&lt;path fill='#EF3340' d='M54 0L0 27L-54 0L0 -27Z'/&gt;</v>
      </c>
      <c r="AW25" t="str">
        <f t="shared" si="0"/>
        <v/>
      </c>
      <c r="AX25" s="5" t="str">
        <f xml:space="preserve"> "&lt;path " &amp; _xlfn.SINGLE(Simple.SVG_painting_2) &amp; " d='M1 3H-1L-3 1V-1L-1 -3H1L3 -1V1Z'/&gt;"</f>
        <v>&lt;path fill='#FFF' d='M1 3H-1L-3 1V-1L-1 -3H1L3 -1V1Z'/&gt;</v>
      </c>
      <c r="AY25" t="str">
        <f t="shared" si="0"/>
        <v/>
      </c>
      <c r="AZ25" s="5" t="str">
        <f xml:space="preserve"> "&lt;path " &amp; _xlfn.SINGLE(Simple.SVG_painting_2) &amp; " d='M" &amp; (3*Thirds_O) &amp; " 0L0 " &amp; (2*Thirds_O) &amp; "L" &amp; (-3*Thirds_O) &amp; " 0L0 " &amp; (-2*Thirds_O) &amp; "Z'/&gt;"</f>
        <v>&lt;path fill='#11457E' d='M81 0L0 54L-81 0L0 -54Z'/&gt;</v>
      </c>
      <c r="BA25" t="str">
        <f t="shared" si="0"/>
        <v/>
      </c>
      <c r="BB25" s="5" t="str">
        <f xml:space="preserve"> _xlfn.LET(_xlpm.f,90,   "&lt;path " &amp; _xlfn.SINGLE(Simple.SVG_painting_3) &amp; " d='M" &amp; (4*_xlpm.f) &amp; " 0L0 " &amp; (3*_xlpm.f) &amp; "L" &amp; (-4*_xlpm.f) &amp; " 0L0 " &amp; (-3*_xlpm.f) &amp; "Z'/&gt;")</f>
        <v>&lt;path fill='#009736' d='M360 0L0 270L-360 0L0 -270Z'/&gt;</v>
      </c>
      <c r="BC25" t="str">
        <f t="shared" si="0"/>
        <v/>
      </c>
      <c r="BD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E25" t="str">
        <f t="shared" si="0"/>
        <v/>
      </c>
      <c r="BF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G25" t="str">
        <f t="shared" si="0"/>
        <v/>
      </c>
      <c r="BH25" s="5" t="str">
        <f xml:space="preserve"> "&lt;path " &amp; _xlfn.SINGLE(Simple.SVG_painting_2) &amp; " d='M0 -187L136 0 0 187 -136 0Z'/&gt;"</f>
        <v>&lt;path fill='#FFF' d='M0 -187L136 0 0 187 -136 0Z'/&gt;</v>
      </c>
      <c r="BI25" t="str">
        <f t="shared" si="0"/>
        <v/>
      </c>
      <c r="BJ25" s="21" t="str" cm="1">
        <f t="array" ref="BJ25" xml:space="preserve"> svgPathRect(DecimalPlaces, _xlfn.SINGLE(Simple.SVG_painting_2), _xlfn.SINGLE(Simple.MaxX), _xlfn.SINGLE(Simple.MaxY))</f>
        <v>&lt;path fill='#2BCE75' d='M8 8V-8H-8V8Z'/&gt;</v>
      </c>
      <c r="BK25" t="str">
        <f t="shared" si="0"/>
        <v/>
      </c>
      <c r="BL25" s="21" t="str" cm="1">
        <f t="array" ref="BL25" xml:space="preserve"> svgPathRect(DecimalPlaces, _xlfn.SINGLE(Simple.SVG_painting_2), _xlfn.SINGLE(Simple.MaxX), _xlfn.SINGLE(Simple.MaxY))</f>
        <v>&lt;path fill='#244AA5' d='M5 5V-5H-5V5Z'/&gt;</v>
      </c>
      <c r="BM25" t="str">
        <f t="shared" si="0"/>
        <v/>
      </c>
      <c r="BN25" s="5" t="str">
        <f xml:space="preserve"> "&lt;rect " &amp; _xlfn.SINGLE(Simple.SVG_painting_2) &amp; " x='-20' y='-39.5' width='40' height='79' rx='6'/&gt;"</f>
        <v>&lt;rect fill='#D95B14' x='-20' y='-39.5' width='40' height='79' rx='6'/&gt;</v>
      </c>
      <c r="BO25" t="str">
        <f t="shared" si="0"/>
        <v/>
      </c>
      <c r="BP25" s="21" t="str">
        <f xml:space="preserve"> "&lt;ellipse rx='" &amp; _xlfn.SINGLE(Simple.MaxX) &amp; "' ry='" &amp; _xlfn.SINGLE(Simple.MaxY) &amp; "' " &amp; _xlfn.SINGLE(Simple.SVG_painting_2) &amp; "/&gt;"</f>
        <v>&lt;ellipse rx='40' ry='32' fill='#003399'/&gt;</v>
      </c>
      <c r="BQ25" t="str">
        <f t="shared" si="0"/>
        <v/>
      </c>
      <c r="BR25" s="21" t="str">
        <f xml:space="preserve"> "&lt;path " &amp; _xlfn.SINGLE(Simple.SVG_painting_2) &amp; " d='M-4 0A4 4 0 0 1 0 -4L4 0A4 4 0 0 1 0 4Z'/&gt;"</f>
        <v>&lt;path fill='#198D66' d='M-4 0A4 4 0 0 1 0 -4L4 0A4 4 0 0 1 0 4Z'/&gt;</v>
      </c>
      <c r="BS25" t="str">
        <f t="shared" si="0"/>
        <v/>
      </c>
      <c r="BT25" s="21" t="str">
        <f xml:space="preserve"> "&lt;ellipse rx='" &amp; _xlfn.SINGLE(Simple.MaxX) &amp; "' ry='" &amp; _xlfn.SINGLE(Simple.MaxY) &amp; "' " &amp; _xlfn.SINGLE(Simple.SVG_painting_2) &amp; "/&gt;"</f>
        <v>&lt;ellipse rx='2' ry='1' fill='#2A936A'/&gt;</v>
      </c>
      <c r="BU25" t="str">
        <f t="shared" si="0"/>
        <v/>
      </c>
      <c r="BV25" t="str">
        <f t="shared" si="0"/>
        <v/>
      </c>
      <c r="BW25" s="21"/>
      <c r="BX25" s="21"/>
      <c r="BY25" s="9"/>
    </row>
    <row r="26" spans="2:77">
      <c r="C26" t="str">
        <f t="shared" si="0"/>
        <v/>
      </c>
      <c r="D26" s="21" t="str">
        <f xml:space="preserve"> IF(_xlfn.SINGLE(Simple.MaxX)&lt;&gt;0, "&lt;circle " &amp; _xlfn.SINGLE(Simple.SVG_painting_1) &amp; " r='" &amp; ROUND(_xlfn.SINGLE(Simple.MaxY) - 2, DecimalPlaces) &amp; "'/&gt;", "")</f>
        <v>&lt;circle  fill='#FFF'  r='8'/&gt;</v>
      </c>
      <c r="E26" t="str">
        <f t="shared" si="0"/>
        <v/>
      </c>
      <c r="F26" s="21" t="str">
        <f xml:space="preserve"> IF(_xlfn.SINGLE(Simple.MaxX)&lt;&gt;0, "&lt;circle " &amp; _xlfn.SINGLE(Simple.SVG_painting_1) &amp; " r='" &amp; ROUND(_xlfn.SINGLE(Simple.MaxY) - 2, DecimalPlaces) &amp; "'/&gt;", "")</f>
        <v>&lt;circle  fill='#FFF'  r='8'/&gt;</v>
      </c>
      <c r="G26" t="str">
        <f t="shared" si="0"/>
        <v/>
      </c>
      <c r="H26" s="5" t="str">
        <f xml:space="preserve"> "&lt;circle " &amp; _xlfn.SINGLE(Simple.SVG_painting_1) &amp; " r='" &amp; (_xlfn.SINGLE(Simple.MaxX) / 2) &amp; "'/&gt;"</f>
        <v>&lt;circle fill='#FFF' r='2'/&gt;</v>
      </c>
      <c r="I26" t="str">
        <f t="shared" si="0"/>
        <v/>
      </c>
      <c r="J26" s="5" t="str">
        <f xml:space="preserve"> "&lt;circle " &amp; _xlfn.SINGLE(Simple.SVG_painting_1) &amp; " r='" &amp; (_xlfn.SINGLE(Simple.MaxX) / 2) &amp; "'/&gt;"</f>
        <v>&lt;circle fill='#0C4077' r='2'/&gt;</v>
      </c>
      <c r="K26" t="str">
        <f t="shared" si="0"/>
        <v/>
      </c>
      <c r="L26" s="5" t="str">
        <f xml:space="preserve"> "&lt;circle " &amp; _xlfn.SINGLE(Simple.SVG_painting_2) &amp; " r='8'/&gt;"</f>
        <v>&lt;circle fill='#F9CF02' r='8'/&gt;</v>
      </c>
      <c r="M26" t="str">
        <f t="shared" si="0"/>
        <v/>
      </c>
      <c r="N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O26" t="str">
        <f t="shared" si="0"/>
        <v/>
      </c>
      <c r="P26" s="21" t="str">
        <f xml:space="preserve"> "&lt;path " &amp; _xlfn.SINGLE(Simple.SVG_painting_1) &amp; " d='M -4 -3 H4 v2 H-4 Z   M -4 1 H4 v2 H-4 Z'/&gt;"</f>
        <v>&lt;path fill='#FFF' d='M -4 -3 H4 v2 H-4 Z   M -4 1 H4 v2 H-4 Z'/&gt;</v>
      </c>
      <c r="Q26" t="str">
        <f t="shared" si="0"/>
        <v/>
      </c>
      <c r="R26" s="21" t="str">
        <f xml:space="preserve"> "&lt;use href='#" &amp; _xlfn.SINGLE(Simple.ID) &amp; "-m' " &amp; _xlfn.SINGLE(Simple.SVG_painting_2) &amp; "/&gt;"</f>
        <v>&lt;use href='#IRR-m' fill='#239F40'/&gt;</v>
      </c>
      <c r="S26" t="str">
        <f t="shared" si="0"/>
        <v/>
      </c>
      <c r="T26" s="21" t="str">
        <f xml:space="preserve"> "&lt;path " &amp; _xlfn.SINGLE(Simple.SVG_painting_1) &amp; " transform='rotate(36)' d='M7 1V-1H-7V1Z'/&gt;"</f>
        <v>&lt;path fill='#FFCD00'  transform='rotate(36)' d='M7 1V-1H-7V1Z'/&gt;</v>
      </c>
      <c r="U26" t="str">
        <f t="shared" si="0"/>
        <v/>
      </c>
      <c r="V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W26" t="str">
        <f t="shared" si="0"/>
        <v/>
      </c>
      <c r="X26" s="5" t="str">
        <f xml:space="preserve"> "&lt;use href='#" &amp; _xlfn.SINGLE(Star_5_2.ID) &amp; "-h' " &amp; _xlfn.SINGLE(Simple.SVG_painting_2) &amp; "/&gt;"</f>
        <v>&lt;use href='#EU_2-h' fill='#00778B'/&gt;</v>
      </c>
      <c r="Y26" t="str">
        <f t="shared" si="0"/>
        <v/>
      </c>
      <c r="Z26" s="21" t="str" cm="1">
        <f t="array" ref="Z26" xml:space="preserve"> svgPathRect(DecimalPlaces, _xlfn.SINGLE(Simple.SVG_painting_1), _xlfn.SINGLE(Simple.MaxX) / 3, _xlfn.SINGLE(Simple.MaxY) - 1)</f>
        <v>&lt;path fill='#FFF' d='M2 5V-5H-2V5Z'/&gt;</v>
      </c>
      <c r="AA26" t="str">
        <f t="shared" si="0"/>
        <v/>
      </c>
      <c r="AB26" s="5" t="str">
        <f xml:space="preserve"> "&lt;path " &amp; _xlfn.SINGLE(Simple.SVG_painting_1) &amp; " d='M1 0V1H0L-1 0V-1H0Z'/&gt;"</f>
        <v>&lt;path fill='#002D62' d='M1 0V1H0L-1 0V-1H0Z'/&gt;</v>
      </c>
      <c r="AC26" t="str">
        <f t="shared" si="0"/>
        <v/>
      </c>
      <c r="AD26" s="5" t="str">
        <f xml:space="preserve"> "&lt;path " &amp; _xlfn.SINGLE(Simple.SVG_painting_1) &amp; " d='M1 2H-2V-2L2 2V-2H-1 -2Z'/&gt;"</f>
        <v>&lt;path fill='#C8102E' d='M1 2H-2V-2L2 2V-2H-1 -2Z'/&gt;</v>
      </c>
      <c r="AE26" t="str">
        <f t="shared" si="0"/>
        <v/>
      </c>
      <c r="AF26" s="5" t="str">
        <f xml:space="preserve"> "&lt;path " &amp; _xlfn.SINGLE(Simple.SVG_painting_1) &amp; " d='M1 0L2 2H-2L-1 0L-2 -2H2Z'/&gt;"</f>
        <v>&lt;path fill='#009639' d='M1 0L2 2H-2L-1 0L-2 -2H2Z'/&gt;</v>
      </c>
      <c r="AG26" t="str">
        <f t="shared" si="0"/>
        <v/>
      </c>
      <c r="AH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I26" t="str">
        <f t="shared" si="0"/>
        <v/>
      </c>
      <c r="AJ26" s="5" t="str" cm="1">
        <f t="array" ref="AJ26" xml:space="preserve"> svgPathRect(DecimalPlaces, _xlfn.SINGLE(Simple.SVG_painting_1), _xlfn.SINGLE(Simple.MaxX), _xlfn.SINGLE(Simple.MaxY))</f>
        <v>&lt;path fill='#FCD116' d='M4 4V-4H-4V4Z'/&gt;</v>
      </c>
      <c r="AK26" t="str">
        <f t="shared" si="0"/>
        <v/>
      </c>
      <c r="AL26" s="5" t="str" cm="1">
        <f t="array" ref="AL26" xml:space="preserve"> svgPathRect(DecimalPlaces, _xlfn.SINGLE(Simple.SVG_painting_1), _xlfn.SINGLE(Simple.MaxX), _xlfn.SINGLE(Simple.MaxY))</f>
        <v>&lt;path fill='#007FFF' d='M4 4V-4H-4V4Z'/&gt;</v>
      </c>
      <c r="AM26" t="str">
        <f t="shared" si="0"/>
        <v/>
      </c>
      <c r="AN26" s="21" t="str">
        <f xml:space="preserve"> "&lt;path " &amp; _xlfn.SINGLE(Simple.SVG_painting_1) &amp; " d='M -9 -7 h 4 v 14 h -4 Z   M 5 -7 h 4 v 14 h -4 Z   M -3 -7 h 6 v 14 h -6 Z'/&gt;"</f>
        <v>&lt;path fill='#FFF' d='M -9 -7 h 4 v 14 h -4 Z   M 5 -7 h 4 v 14 h -4 Z   M -3 -7 h 6 v 14 h -6 Z'/&gt;</v>
      </c>
      <c r="AO26" t="str">
        <f t="shared" si="0"/>
        <v/>
      </c>
      <c r="AP26" s="21" t="str">
        <f xml:space="preserve"> "&lt;path " &amp; _xlfn.SINGLE(Simple.SVG_painting_1) &amp; " d='M -9 -7 h 4 v 14 h -4 Z   M 5 -7 h 4 v 14 h -4 Z   M -3 -7 h 6 v 14 h -6 Z'/&gt;"</f>
        <v>&lt;path fill='#FF0000' d='M -9 -7 h 4 v 14 h -4 Z   M 5 -7 h 4 v 14 h -4 Z   M -3 -7 h 6 v 14 h -6 Z'/&gt;</v>
      </c>
      <c r="AQ26" t="str">
        <f t="shared" si="0"/>
        <v/>
      </c>
      <c r="AR26" s="21" t="str" cm="1">
        <f t="array" ref="AR26" xml:space="preserve"> svgPathRect(DecimalPlaces, _xlfn.SINGLE(Simple.SVG_painting_1), 7, 2)</f>
        <v>&lt;path fill='#FFF' d='M7 2V-2H-7V2Z'/&gt;</v>
      </c>
      <c r="AS26" t="str">
        <f t="shared" si="0"/>
        <v/>
      </c>
      <c r="AT26" s="21" t="str" cm="1">
        <f t="array" ref="AT26" xml:space="preserve"> svgPathRect(DecimalPlaces, _xlfn.SINGLE(Simple.SVG_painting_1), 7, 2)</f>
        <v>&lt;path fill='#000' d='M7 2V-2H-7V2Z'/&gt;</v>
      </c>
      <c r="AU26" t="str">
        <f t="shared" si="0"/>
        <v/>
      </c>
      <c r="AV26" s="5" t="str">
        <f xml:space="preserve"> "&lt;path " &amp; _xlfn.SINGLE(Simple.SVG_painting_1) &amp; " d='M" &amp; (2*Thirds_M) &amp; " 0L0 " &amp; (Thirds_M) &amp; "L" &amp; (-2*Thirds_M) &amp; " 0L0 " &amp; (-Thirds_M) &amp; "Z'/&gt;"</f>
        <v>&lt;path fill='#FFF' d='M38 0L0 19L-38 0L0 -19Z'/&gt;</v>
      </c>
      <c r="AW26" t="str">
        <f t="shared" si="0"/>
        <v/>
      </c>
      <c r="AX26" s="5" t="str">
        <f xml:space="preserve"> "&lt;path " &amp; _xlfn.SINGLE(Simple.SVG_painting_1) &amp; " d='M3 1V3H1V-3H3v2H-3V-3h2V3H-3V1Z'/&gt;"</f>
        <v>&lt;path fill='red' d='M3 1V3H1V-3H3v2H-3V-3h2V3H-3V1Z'/&gt;</v>
      </c>
      <c r="AY26" t="str">
        <f t="shared" si="0"/>
        <v/>
      </c>
      <c r="AZ26" s="5" t="str">
        <f xml:space="preserve"> "&lt;path " &amp; _xlfn.SINGLE(Simple.SVG_painting_1) &amp; " d='M" &amp; (3*Thirds_M) &amp; " 0L0 " &amp; (2*Thirds_M) &amp; "L" &amp; (-3*Thirds_M) &amp; " 0L0 " &amp; (-2*Thirds_M) &amp; "Z'/&gt;"</f>
        <v>&lt;path fill='#D7141A' d='M57 0L0 38L-57 0L0 -38Z'/&gt;</v>
      </c>
      <c r="BA26" t="str">
        <f t="shared" si="0"/>
        <v/>
      </c>
      <c r="BB26" s="5" t="str">
        <f xml:space="preserve"> _xlfn.LET(_xlpm.f,69,   "&lt;path " &amp; _xlfn.SINGLE(Simple.SVG_painting_2) &amp; " d='M" &amp; (4*_xlpm.f) &amp; " 0L0 " &amp; (3*_xlpm.f) &amp; "L" &amp; (-4*_xlpm.f) &amp; " 0L0 " &amp; (-3*_xlpm.f) &amp; "Z'/&gt;")</f>
        <v>&lt;path fill='#FFF' d='M276 0L0 207L-276 0L0 -207Z'/&gt;</v>
      </c>
      <c r="BC26" t="str">
        <f t="shared" si="0"/>
        <v/>
      </c>
      <c r="BD26" s="5" t="str">
        <f xml:space="preserve"> "&lt;path " &amp; _xlfn.SINGLE(Simple.SVG_painting_1) &amp; " d='M3 1V3H-3V1L3 -1V-3H-3v2Z'/&gt;"</f>
        <v>&lt;path fill='#FFF' d='M3 1V3H-3V1L3 -1V-3H-3v2Z'/&gt;</v>
      </c>
      <c r="BE26" t="str">
        <f t="shared" si="0"/>
        <v/>
      </c>
      <c r="BF26" s="5" t="str">
        <f xml:space="preserve"> "&lt;path " &amp; _xlfn.SINGLE(Simple.SVG_painting_1) &amp; " d='M3 1V3H-3V1L3 -1V-3H-3v2Z'/&gt;"</f>
        <v>&lt;path fill='#FFF' d='M3 1V3H-3V1L3 -1V-3H-3v2Z'/&gt;</v>
      </c>
      <c r="BG26" t="str">
        <f t="shared" si="0"/>
        <v/>
      </c>
      <c r="BH26" s="5" t="str">
        <f xml:space="preserve"> "&lt;path " &amp; _xlfn.SINGLE(Simple.SVG_painting_1) &amp; " d='M0 -187L136 0L0 187L-136 0L0 -187V187'/&gt;"</f>
        <v>&lt;path stroke-width='44' stroke-linejoin='round' stroke='#1B618C' fill='none'  d='M0 -187L136 0L0 187L-136 0L0 -187V187'/&gt;</v>
      </c>
      <c r="BI26" t="str">
        <f t="shared" si="0"/>
        <v/>
      </c>
      <c r="BJ26" s="5" t="str">
        <f xml:space="preserve"> "&lt;circle " &amp; _xlfn.SINGLE(Simple.SVG_painting_1) &amp; " r='" &amp; (_xlfn.SINGLE(Simple.MaxX) - 1) &amp; "'/&gt;"</f>
        <v>&lt;circle fill='#FFF' r='7'/&gt;</v>
      </c>
      <c r="BK26" t="str">
        <f t="shared" si="0"/>
        <v/>
      </c>
      <c r="BL26" s="5" t="str">
        <f xml:space="preserve"> "&lt;path " &amp; _xlfn.SINGLE(Simple.SVG_painting_1) &amp; " d='M4 1L-1 4L-4 -1L1 -4Z'/&gt;"</f>
        <v>&lt;path fill='#D0A650' d='M4 1L-1 4L-4 -1L1 -4Z'/&gt;</v>
      </c>
      <c r="BM26" t="str">
        <f t="shared" si="0"/>
        <v/>
      </c>
      <c r="BN26" s="5" t="str">
        <f xml:space="preserve"> "&lt;rect " &amp; _xlfn.SINGLE(Simple.SVG_painting_1) &amp; " x='-16' y='-35.5' width='32' height='71' rx='2'/&gt;"</f>
        <v>&lt;rect fill='#C7C7C7' x='-16' y='-35.5' width='32' height='71' rx='2'/&gt;</v>
      </c>
      <c r="BO26" t="str">
        <f t="shared" si="0"/>
        <v/>
      </c>
      <c r="BP26" s="5" t="str">
        <f xml:space="preserve"> "&lt;path id='" &amp; _xlfn.SINGLE(Simple.ID) &amp; "-a' " &amp; _xlfn.SINGLE(Simple.SVG_painting_1) &amp; " d='M35.9073 2C34.5565 16.5521 18.8814 28 0 28S-34.5565 16.5521 -35.9073 2Z'/&gt;"</f>
        <v>&lt;path id='_EIB-a' fill='#9D9D9C' d='M35.9073 2C34.5565 16.5521 18.8814 28 0 28S-34.5565 16.5521 -35.9073 2Z'/&gt;</v>
      </c>
      <c r="BQ26" t="str">
        <f t="shared" si="0"/>
        <v/>
      </c>
      <c r="BR26" s="21" t="str">
        <f xml:space="preserve"> "&lt;path " &amp; _xlfn.SINGLE(Simple.SVG_painting_1) &amp; " d='M0 -4A4 4 0 0 1 4 0L-4 0A4 4 0 0 0 0 4Z'/&gt;"</f>
        <v>&lt;path fill='#FCB90E' d='M0 -4A4 4 0 0 1 4 0L-4 0A4 4 0 0 0 0 4Z'/&gt;</v>
      </c>
      <c r="BS26" t="str">
        <f t="shared" si="0"/>
        <v/>
      </c>
      <c r="BT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BU26" t="str">
        <f t="shared" si="0"/>
        <v/>
      </c>
      <c r="BV26" t="str">
        <f t="shared" si="0"/>
        <v/>
      </c>
      <c r="BW26" s="21"/>
      <c r="BX26" s="21"/>
      <c r="BY26" s="9"/>
    </row>
    <row r="27" spans="2:77">
      <c r="C27" t="str">
        <f t="shared" si="0"/>
        <v/>
      </c>
      <c r="D27" s="21" t="str" cm="1">
        <f t="array" ref="D27" xml:space="preserve"> svgPathRect(DecimalPlaces, _xlfn.SINGLE(Simple.SVG_painting_2), D$36, 1)</f>
        <v>&lt;path fill='#FF33FF' d='M9 1V-1H-9V1Z'/&gt;</v>
      </c>
      <c r="E27" t="str">
        <f t="shared" si="0"/>
        <v/>
      </c>
      <c r="F27" s="21" t="str">
        <f xml:space="preserve"> "&lt;path " &amp; _xlfn.SINGLE(Simple.SVG_painting_2) &amp; " d='M" &amp; F$39 &amp; " 1V3H" &amp; (-F$39) &amp; "V1Z M" &amp; F$39 &amp; " -1V-3H" &amp; (-F$39) &amp; "V-1Z'/&gt;"</f>
        <v>&lt;path  fill='#FF33FF' d='M9 1V3H-9V1Z M9 -1V-3H-9V-1Z'/&gt;</v>
      </c>
      <c r="G27" t="str">
        <f t="shared" si="0"/>
        <v/>
      </c>
      <c r="H27" s="5"/>
      <c r="I27" t="str">
        <f t="shared" si="0"/>
        <v/>
      </c>
      <c r="J27" s="5"/>
      <c r="K27" t="str">
        <f t="shared" si="0"/>
        <v/>
      </c>
      <c r="L27" s="5" t="str">
        <f xml:space="preserve"> "&lt;circle " &amp; _xlfn.SINGLE(Simple.SVG_painting_1) &amp; " r='5'/&gt;"</f>
        <v>&lt;circle fill='#C4272F' r='5'/&gt;</v>
      </c>
      <c r="M27" t="str">
        <f t="shared" si="0"/>
        <v/>
      </c>
      <c r="N27" s="21" t="str" cm="1">
        <f t="array" ref="N27" xml:space="preserve"> svgPathRect(DecimalPlaces, _xlfn.SINGLE(Simple.SVG_painting_0), 3, 5)</f>
        <v>&lt;path fill='#CF101A' d='M3 5V-5H-3V5Z'/&gt;</v>
      </c>
      <c r="O27" t="str">
        <f t="shared" si="0"/>
        <v/>
      </c>
      <c r="P27" s="21"/>
      <c r="Q27" t="str">
        <f t="shared" si="0"/>
        <v/>
      </c>
      <c r="R27" s="21" t="str">
        <f xml:space="preserve"> "&lt;use href='#" &amp; _xlfn.SINGLE(Simple.ID) &amp; "-m' " &amp; _xlfn.SINGLE(Simple.SVG_painting_1) &amp; " transform='scale(" &amp; ROUND(Thirds_M/Thirds_O,2) &amp; ")'/&gt;"</f>
        <v>&lt;use href='#IRR-m' fill='#FFF' transform='scale(0.7)'/&gt;</v>
      </c>
      <c r="S27" t="str">
        <f t="shared" si="0"/>
        <v/>
      </c>
      <c r="T27" s="21" t="str">
        <f xml:space="preserve"> "&lt;path " &amp; _xlfn.SINGLE(Simple.SVG_painting_0) &amp; " d='M0 -8A8 8 0 0 0 0 8 8 8 0 0 0 0 -8ZM0 -6A6 6 0 0 1 0 6 6 6 0 0 1 0 -6Z'/&gt;"</f>
        <v>&lt;path fill='black' d='M0 -8A8 8 0 0 0 0 8 8 8 0 0 0 0 -8ZM0 -6A6 6 0 0 1 0 6 6 6 0 0 1 0 -6Z'/&gt;</v>
      </c>
      <c r="U27" t="str">
        <f t="shared" si="0"/>
        <v/>
      </c>
      <c r="V27" s="5"/>
      <c r="W27" t="str">
        <f t="shared" si="0"/>
        <v/>
      </c>
      <c r="X27" s="5" t="str">
        <f xml:space="preserve"> "&lt;use href='#" &amp; _xlfn.SINGLE(Star_5_2.ID) &amp; "-h' " &amp; _xlfn.SINGLE(Simple.SVG_painting_1) &amp; " transform='scale(" &amp; ROUND(Thirds_M / Thirds_O, 2) &amp; ")'/&gt;"</f>
        <v>&lt;use href='#EU_2-h' fill='#FFC72C' transform='scale(0.7)'/&gt;</v>
      </c>
      <c r="Y27" t="str">
        <f t="shared" si="0"/>
        <v/>
      </c>
      <c r="AA27" t="str">
        <f t="shared" si="0"/>
        <v/>
      </c>
      <c r="AB27" s="5" t="str">
        <f xml:space="preserve"> "&lt;path " &amp; _xlfn.SINGLE(Simple.SVG_painting_0) &amp; " d='M1 0V-1H0V1H-1V0Z'/&gt;"</f>
        <v>&lt;path fill='#CE1126' d='M1 0V-1H0V1H-1V0Z'/&gt;</v>
      </c>
      <c r="AC27" t="str">
        <f t="shared" si="0"/>
        <v/>
      </c>
      <c r="AD27" s="5" t="str">
        <f xml:space="preserve"> "&lt;path " &amp; _xlfn.SINGLE(Simple.SVG_painting_0) &amp; " d='M-2 -2H-1L2 2H1Z'/&gt;"</f>
        <v>&lt;path fill='black' d='M-2 -2H-1L2 2H1Z'/&gt;</v>
      </c>
      <c r="AE27" t="str">
        <f t="shared" si="0"/>
        <v/>
      </c>
      <c r="AF27" s="5" t="str">
        <f xml:space="preserve"> "&lt;path " &amp; _xlfn.SINGLE(Simple.SVG_painting_0) &amp; " d='M2 2V-2L-2 2V-2Z'/&gt;"</f>
        <v>&lt;path fill='black' d='M2 2V-2L-2 2V-2Z'/&gt;</v>
      </c>
      <c r="AG27" t="str">
        <f t="shared" si="0"/>
        <v/>
      </c>
      <c r="AH27" s="5" t="str">
        <f xml:space="preserve"> "&lt;use href='#" &amp; _xlfn.SINGLE(Simple.ID) &amp; "-m' transform='translate(-288,0)'/&gt;"</f>
        <v>&lt;use href='#KYS-m' transform='translate(-288,0)'/&gt;</v>
      </c>
      <c r="AI27" t="str">
        <f t="shared" si="0"/>
        <v/>
      </c>
      <c r="AJ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K27" t="str">
        <f t="shared" si="0"/>
        <v/>
      </c>
      <c r="AL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M27" t="str">
        <f t="shared" si="0"/>
        <v/>
      </c>
      <c r="AN27" s="21"/>
      <c r="AO27" t="str">
        <f t="shared" si="0"/>
        <v/>
      </c>
      <c r="AP27" s="21"/>
      <c r="AQ27" t="str">
        <f t="shared" si="0"/>
        <v/>
      </c>
      <c r="AS27" t="str">
        <f t="shared" si="0"/>
        <v/>
      </c>
      <c r="AU27" t="str">
        <f t="shared" si="0"/>
        <v/>
      </c>
      <c r="AV27" s="5" t="str">
        <f xml:space="preserve"> "&lt;path " &amp; _xlfn.SINGLE(Simple.SVG_painting_0) &amp; " d='M" &amp; (2*Thirds_I) &amp; " 0L0 " &amp; (Thirds_I) &amp; "L" &amp; (-2*Thirds_I) &amp; " 0L0 " &amp; (-Thirds_I) &amp; "Z'/&gt;"</f>
        <v>&lt;path fill='#00A3E0' d='M20 0L0 10L-20 0L0 -10Z'/&gt;</v>
      </c>
      <c r="AW27" t="str">
        <f t="shared" si="0"/>
        <v/>
      </c>
      <c r="AX27" s="5"/>
      <c r="AY27" t="str">
        <f t="shared" si="0"/>
        <v/>
      </c>
      <c r="AZ27" s="5" t="str">
        <f xml:space="preserve"> "&lt;path " &amp; _xlfn.SINGLE(Simple.SVG_painting_0) &amp; " d='M" &amp; (3*Thirds_I) &amp; " 0L0 " &amp; (2*Thirds_I) &amp; "L" &amp; (-3*Thirds_I) &amp; " 0L0 " &amp; (-2*Thirds_I) &amp; "Z'/&gt;"</f>
        <v>&lt;path fill='#FFF' d='M30 0L0 20L-30 0L0 -20Z'/&gt;</v>
      </c>
      <c r="BA27" t="str">
        <f t="shared" si="0"/>
        <v/>
      </c>
      <c r="BB27" s="5" t="str">
        <f xml:space="preserve"> _xlfn.LET(_xlpm.f,47,   "&lt;path " &amp; _xlfn.SINGLE(Simple.SVG_painting_1) &amp; " d='M" &amp; (4*_xlpm.f) &amp; " 0L0 " &amp; (3*_xlpm.f) &amp; "L" &amp; (-4*_xlpm.f) &amp; " 0L0 " &amp; (-3*_xlpm.f) &amp; "Z'/&gt;")</f>
        <v>&lt;path fill='#000' d='M188 0L0 141L-188 0L0 -141Z'/&gt;</v>
      </c>
      <c r="BC27" t="str">
        <f t="shared" si="0"/>
        <v/>
      </c>
      <c r="BD27" s="21" t="str" cm="1">
        <f t="array" ref="BD27" xml:space="preserve"> svgPathRect(DecimalPlaces, _xlfn.SINGLE(Simple.SVG_painting_0), 3, 1)</f>
        <v>&lt;path fill='#FFD500' d='M3 1V-1H-3V1Z'/&gt;</v>
      </c>
      <c r="BE27" t="str">
        <f t="shared" si="0"/>
        <v/>
      </c>
      <c r="BF27" s="21" t="str" cm="1">
        <f t="array" ref="BF27" xml:space="preserve"> svgPathRect(DecimalPlaces, _xlfn.SINGLE(Simple.SVG_painting_0), 3, 1)</f>
        <v>&lt;path fill='#EF3340' d='M3 1V-1H-3V1Z'/&gt;</v>
      </c>
      <c r="BG27" t="str">
        <f t="shared" si="0"/>
        <v/>
      </c>
      <c r="BH27" s="5"/>
      <c r="BI27" t="str">
        <f t="shared" si="0"/>
        <v/>
      </c>
      <c r="BJ27" s="5" t="str">
        <f xml:space="preserve"> "&lt;circle " &amp; _xlfn.SINGLE(Simple.SVG_painting_0) &amp; " r='" &amp; (_xlfn.SINGLE(Simple.MaxX) - 3) &amp; "'/&gt;"</f>
        <v>&lt;circle fill='#0046C2' r='5'/&gt;</v>
      </c>
      <c r="BK27" t="str">
        <f t="shared" si="0"/>
        <v/>
      </c>
      <c r="BL27" s="5"/>
      <c r="BM27" t="str">
        <f t="shared" si="0"/>
        <v/>
      </c>
      <c r="BO27" t="str">
        <f t="shared" si="0"/>
        <v/>
      </c>
      <c r="BP27" s="5" t="str">
        <f xml:space="preserve"> "&lt;use href='#" &amp; _xlfn.SINGLE(Simple.ID) &amp; "-a' transform='rotate(180)'/&gt;"</f>
        <v>&lt;use href='#_EIB-a' transform='rotate(180)'/&gt;</v>
      </c>
      <c r="BQ27" t="str">
        <f t="shared" si="0"/>
        <v/>
      </c>
      <c r="BR27" s="62" t="str" cm="1">
        <f t="array" ref="BR27" xml:space="preserve"> IF(FALSE, svgPathRect(DecimalPlaces, _xlfn.SINGLE(Simple.SVG_painting_0),  2,  1), "")</f>
        <v/>
      </c>
      <c r="BS27" t="str">
        <f t="shared" si="0"/>
        <v/>
      </c>
      <c r="BT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BU27" t="str">
        <f t="shared" si="0"/>
        <v/>
      </c>
      <c r="BV27" t="str">
        <f t="shared" si="0"/>
        <v/>
      </c>
      <c r="BW27" s="5"/>
      <c r="BX27" s="5"/>
      <c r="BY27" s="9"/>
    </row>
    <row r="28" spans="2:77">
      <c r="C28" t="str">
        <f t="shared" si="0"/>
        <v/>
      </c>
      <c r="D28" s="21"/>
      <c r="E28" t="str">
        <f t="shared" si="0"/>
        <v/>
      </c>
      <c r="F28" s="21"/>
      <c r="G28" t="str">
        <f t="shared" si="0"/>
        <v/>
      </c>
      <c r="H28" s="5"/>
      <c r="I28" t="str">
        <f t="shared" si="0"/>
        <v/>
      </c>
      <c r="J28" s="5"/>
      <c r="K28" t="str">
        <f t="shared" si="0"/>
        <v/>
      </c>
      <c r="L28" s="5"/>
      <c r="M28" t="str">
        <f t="shared" si="0"/>
        <v/>
      </c>
      <c r="N28" s="21"/>
      <c r="O28" t="str">
        <f t="shared" si="0"/>
        <v/>
      </c>
      <c r="P28" s="21"/>
      <c r="Q28" t="str">
        <f t="shared" si="0"/>
        <v/>
      </c>
      <c r="R28" s="21" t="str">
        <f xml:space="preserve"> "&lt;use href='#" &amp; _xlfn.SINGLE(Simple.ID) &amp; "-m' " &amp; _xlfn.SINGLE(Simple.SVG_painting_0) &amp; " transform='scale(" &amp; ROUND(Thirds_I/Thirds_O,2) &amp; ")'/&gt;"</f>
        <v>&lt;use href='#IRR-m' fill='#DA0000' transform='scale(0.37)'/&gt;</v>
      </c>
      <c r="S28" t="str">
        <f t="shared" si="0"/>
        <v/>
      </c>
      <c r="T28" s="21"/>
      <c r="U28" t="str">
        <f t="shared" si="0"/>
        <v/>
      </c>
      <c r="V28" s="5"/>
      <c r="W28" t="str">
        <f t="shared" si="0"/>
        <v/>
      </c>
      <c r="X28" s="5" t="str">
        <f xml:space="preserve"> "&lt;use href='#" &amp; _xlfn.SINGLE(Star_5_2.ID) &amp; "-h' " &amp; _xlfn.SINGLE(Simple.SVG_painting_0) &amp; " transform='scale(" &amp; ROUND(Thirds_I / Thirds_O, 2) &amp; ")'/&gt;"</f>
        <v>&lt;use href='#EU_2-h' fill='black' transform='scale(0.37)'/&gt;</v>
      </c>
      <c r="Y28" t="str">
        <f t="shared" si="0"/>
        <v/>
      </c>
      <c r="AA28" t="str">
        <f t="shared" si="0"/>
        <v/>
      </c>
      <c r="AB28" s="5"/>
      <c r="AC28" t="str">
        <f t="shared" si="0"/>
        <v/>
      </c>
      <c r="AD28" s="5"/>
      <c r="AE28" t="str">
        <f t="shared" si="0"/>
        <v/>
      </c>
      <c r="AF28" s="5"/>
      <c r="AG28" t="str">
        <f t="shared" si="0"/>
        <v/>
      </c>
      <c r="AH28" s="5" t="str">
        <f xml:space="preserve"> "&lt;ellipse " &amp; _xlfn.SINGLE(Simple.SVG_painting_0) &amp; " rx='48' ry='72'/&gt;"</f>
        <v>&lt;ellipse fill='#FFF' rx='48' ry='72'/&gt;</v>
      </c>
      <c r="AI28" t="str">
        <f t="shared" si="0"/>
        <v/>
      </c>
      <c r="AJ28" s="5"/>
      <c r="AK28" t="str">
        <f t="shared" si="0"/>
        <v/>
      </c>
      <c r="AL28" s="5"/>
      <c r="AM28" t="str">
        <f t="shared" si="0"/>
        <v/>
      </c>
      <c r="AN28" s="21"/>
      <c r="AO28" t="str">
        <f t="shared" si="0"/>
        <v/>
      </c>
      <c r="AP28" s="21"/>
      <c r="AQ28" t="str">
        <f t="shared" si="0"/>
        <v/>
      </c>
      <c r="AS28" t="str">
        <f t="shared" si="0"/>
        <v/>
      </c>
      <c r="AU28" t="str">
        <f t="shared" si="0"/>
        <v/>
      </c>
      <c r="AV28" s="5"/>
      <c r="AW28" t="str">
        <f t="shared" si="0"/>
        <v/>
      </c>
      <c r="AX28" s="5"/>
      <c r="AY28" t="str">
        <f t="shared" si="0"/>
        <v/>
      </c>
      <c r="AZ28" s="5"/>
      <c r="BA28" t="str">
        <f t="shared" si="0"/>
        <v/>
      </c>
      <c r="BB28" s="5" t="str">
        <f xml:space="preserve"> _xlfn.LET(_xlpm.f,24,   "&lt;path " &amp; _xlfn.SINGLE(Simple.SVG_painting_0) &amp; " d='M" &amp; (4*_xlpm.f) &amp; " 0L0 " &amp; (3*_xlpm.f) &amp; "L" &amp; (-4*_xlpm.f) &amp; " 0L0 " &amp; (-3*_xlpm.f) &amp; "Z'/&gt;")</f>
        <v>&lt;path fill='#EE2A35' d='M96 0L0 72L-96 0L0 -72Z'/&gt;</v>
      </c>
      <c r="BC28" t="str">
        <f t="shared" si="0"/>
        <v/>
      </c>
      <c r="BD28" s="21"/>
      <c r="BE28" t="str">
        <f t="shared" si="0"/>
        <v/>
      </c>
      <c r="BF28" s="21"/>
      <c r="BG28" t="str">
        <f t="shared" si="0"/>
        <v/>
      </c>
      <c r="BH28" s="5"/>
      <c r="BI28" t="str">
        <f t="shared" si="0"/>
        <v/>
      </c>
      <c r="BJ28" s="5" t="str">
        <f xml:space="preserve"> "&lt;path transform='rotate(45)' " &amp; _xlfn.SINGLE(Simple.SVG_painting_1) &amp; " d='M1 6V-6L3 -5V5Z M-1 -6V6L-3 5V-5Z'/&gt;"</f>
        <v>&lt;path transform='rotate(45)' fill='#FFF' d='M1 6V-6L3 -5V5Z M-1 -6V6L-3 5V-5Z'/&gt;</v>
      </c>
      <c r="BK28" t="str">
        <f t="shared" si="0"/>
        <v/>
      </c>
      <c r="BL28" s="5"/>
      <c r="BM28" t="str">
        <f t="shared" si="0"/>
        <v/>
      </c>
      <c r="BO28" t="str">
        <f t="shared" si="0"/>
        <v/>
      </c>
      <c r="BP28" s="5" t="str">
        <f xml:space="preserve"> "&lt;path " &amp; _xlfn.SINGLE(Simple.SVG_painting_2) &amp; " d='M31 17H-31L-34 13H34Z M-31 -17H31L34 -13H-34Z'/&gt;"</f>
        <v>&lt;path fill='#003399' d='M31 17H-31L-34 13H34Z M-31 -17H31L34 -13H-34Z'/&gt;</v>
      </c>
      <c r="BQ28" t="str">
        <f t="shared" si="0"/>
        <v/>
      </c>
      <c r="BR28" s="5"/>
      <c r="BS28" t="str">
        <f t="shared" si="0"/>
        <v/>
      </c>
      <c r="BT28" s="5"/>
      <c r="BU28" t="str">
        <f t="shared" si="0"/>
        <v/>
      </c>
      <c r="BV28" t="str">
        <f t="shared" si="0"/>
        <v/>
      </c>
      <c r="BW28" s="5"/>
      <c r="BX28" s="5"/>
      <c r="BY28" s="9"/>
    </row>
    <row r="29" spans="2:77">
      <c r="C29" s="10" t="str">
        <f t="shared" si="0"/>
        <v/>
      </c>
      <c r="D29" s="15" t="s">
        <v>15</v>
      </c>
      <c r="E29" s="10" t="str">
        <f t="shared" si="0"/>
        <v/>
      </c>
      <c r="F29" s="15" t="s">
        <v>15</v>
      </c>
      <c r="G29" s="10" t="str">
        <f t="shared" si="0"/>
        <v/>
      </c>
      <c r="H29" s="15" t="s">
        <v>15</v>
      </c>
      <c r="I29" s="10" t="str">
        <f t="shared" si="0"/>
        <v/>
      </c>
      <c r="J29" s="15" t="s">
        <v>15</v>
      </c>
      <c r="K29" s="10" t="str">
        <f t="shared" si="0"/>
        <v/>
      </c>
      <c r="L29" s="15" t="s">
        <v>15</v>
      </c>
      <c r="M29" s="10" t="str">
        <f t="shared" si="0"/>
        <v/>
      </c>
      <c r="N29" s="15" t="s">
        <v>15</v>
      </c>
      <c r="O29" s="10" t="str">
        <f t="shared" si="0"/>
        <v/>
      </c>
      <c r="P29" s="15" t="s">
        <v>15</v>
      </c>
      <c r="Q29" s="10" t="str">
        <f t="shared" si="0"/>
        <v/>
      </c>
      <c r="R29" s="24" t="s">
        <v>15</v>
      </c>
      <c r="S29" s="10" t="str">
        <f t="shared" si="0"/>
        <v/>
      </c>
      <c r="T29" s="24" t="s">
        <v>15</v>
      </c>
      <c r="U29" s="10" t="str">
        <f t="shared" si="0"/>
        <v/>
      </c>
      <c r="V29" s="15" t="s">
        <v>15</v>
      </c>
      <c r="W29" s="10" t="str">
        <f t="shared" si="0"/>
        <v/>
      </c>
      <c r="X29" s="15" t="s">
        <v>15</v>
      </c>
      <c r="Y29" s="10" t="str">
        <f t="shared" si="0"/>
        <v/>
      </c>
      <c r="Z29" s="15" t="s">
        <v>15</v>
      </c>
      <c r="AA29" s="10" t="str">
        <f t="shared" si="0"/>
        <v/>
      </c>
      <c r="AB29" s="15" t="s">
        <v>15</v>
      </c>
      <c r="AC29" s="10" t="str">
        <f t="shared" si="0"/>
        <v/>
      </c>
      <c r="AD29" s="15" t="s">
        <v>15</v>
      </c>
      <c r="AE29" s="10" t="str">
        <f t="shared" si="0"/>
        <v/>
      </c>
      <c r="AF29" s="15" t="s">
        <v>15</v>
      </c>
      <c r="AG29" s="10" t="str">
        <f t="shared" si="0"/>
        <v/>
      </c>
      <c r="AH29" s="15" t="s">
        <v>15</v>
      </c>
      <c r="AI29" s="10" t="str">
        <f t="shared" si="0"/>
        <v/>
      </c>
      <c r="AJ29" s="15" t="s">
        <v>15</v>
      </c>
      <c r="AK29" s="10" t="str">
        <f t="shared" si="0"/>
        <v/>
      </c>
      <c r="AL29" s="15" t="s">
        <v>15</v>
      </c>
      <c r="AM29" s="10" t="str">
        <f t="shared" si="0"/>
        <v/>
      </c>
      <c r="AN29" s="15" t="s">
        <v>15</v>
      </c>
      <c r="AO29" s="10" t="str">
        <f t="shared" si="0"/>
        <v/>
      </c>
      <c r="AP29" s="15" t="s">
        <v>15</v>
      </c>
      <c r="AQ29" s="10" t="str">
        <f t="shared" si="0"/>
        <v/>
      </c>
      <c r="AR29" s="15" t="s">
        <v>15</v>
      </c>
      <c r="AS29" s="10" t="str">
        <f t="shared" si="0"/>
        <v/>
      </c>
      <c r="AT29" s="15" t="s">
        <v>15</v>
      </c>
      <c r="AU29" s="10" t="str">
        <f t="shared" si="0"/>
        <v/>
      </c>
      <c r="AV29" s="15" t="s">
        <v>15</v>
      </c>
      <c r="AW29" s="10" t="str">
        <f t="shared" si="0"/>
        <v/>
      </c>
      <c r="AX29" s="15" t="s">
        <v>15</v>
      </c>
      <c r="AY29" s="10" t="str">
        <f t="shared" si="0"/>
        <v/>
      </c>
      <c r="AZ29" s="15" t="s">
        <v>15</v>
      </c>
      <c r="BA29" s="10" t="str">
        <f t="shared" si="0"/>
        <v/>
      </c>
      <c r="BB29" s="15" t="s">
        <v>15</v>
      </c>
      <c r="BC29" s="10" t="str">
        <f t="shared" si="0"/>
        <v/>
      </c>
      <c r="BD29" s="15" t="s">
        <v>15</v>
      </c>
      <c r="BE29" s="10" t="str">
        <f t="shared" si="0"/>
        <v/>
      </c>
      <c r="BF29" s="15" t="s">
        <v>15</v>
      </c>
      <c r="BG29" s="10" t="str">
        <f t="shared" si="0"/>
        <v/>
      </c>
      <c r="BH29" s="15" t="s">
        <v>15</v>
      </c>
      <c r="BI29" s="10" t="str">
        <f t="shared" si="0"/>
        <v/>
      </c>
      <c r="BJ29" s="15" t="s">
        <v>15</v>
      </c>
      <c r="BK29" s="10" t="str">
        <f t="shared" si="0"/>
        <v/>
      </c>
      <c r="BL29" s="15" t="s">
        <v>15</v>
      </c>
      <c r="BM29" s="10" t="str">
        <f t="shared" si="0"/>
        <v/>
      </c>
      <c r="BN29" s="15" t="s">
        <v>15</v>
      </c>
      <c r="BO29" s="10" t="str">
        <f t="shared" si="0"/>
        <v/>
      </c>
      <c r="BP29" s="15" t="s">
        <v>15</v>
      </c>
      <c r="BQ29" s="10" t="str">
        <f t="shared" si="0"/>
        <v/>
      </c>
      <c r="BR29" s="15" t="s">
        <v>15</v>
      </c>
      <c r="BS29" s="10" t="str">
        <f t="shared" si="0"/>
        <v/>
      </c>
      <c r="BT29" s="15" t="s">
        <v>15</v>
      </c>
      <c r="BU29" s="10" t="str">
        <f t="shared" si="0"/>
        <v/>
      </c>
      <c r="BV29" s="10" t="str">
        <f t="shared" si="0"/>
        <v/>
      </c>
      <c r="BW29" s="15"/>
      <c r="BX29" s="15"/>
      <c r="BY29" s="11"/>
    </row>
    <row r="32" spans="2:77">
      <c r="D32" t="str">
        <f xml:space="preserve"> _xlfn.SINGLE(Simple.ID)</f>
        <v>EUR</v>
      </c>
      <c r="F32" t="str">
        <f xml:space="preserve"> _xlfn.SINGLE(Simple.ID)</f>
        <v>_ECB</v>
      </c>
      <c r="H32" t="str">
        <f xml:space="preserve"> _xlfn.SINGLE(Simple.ID)</f>
        <v>BGN</v>
      </c>
      <c r="J32" t="str">
        <f xml:space="preserve"> _xlfn.SINGLE(Simple.ID)</f>
        <v>RSD</v>
      </c>
      <c r="L32" t="str">
        <f xml:space="preserve"> _xlfn.SINGLE(Simple.ID)</f>
        <v>MNT</v>
      </c>
      <c r="N32" t="str">
        <f xml:space="preserve"> _xlfn.SINGLE(Simple.ID)</f>
        <v>BYN</v>
      </c>
      <c r="P32" t="str">
        <f xml:space="preserve"> _xlfn.SINGLE(Simple.ID)</f>
        <v>SAR</v>
      </c>
      <c r="R32" t="str">
        <f xml:space="preserve"> _xlfn.SINGLE(Simple.ID)</f>
        <v>IRR</v>
      </c>
      <c r="T32" t="str">
        <f xml:space="preserve"> _xlfn.SINGLE(Simple.ID)</f>
        <v>AOA</v>
      </c>
      <c r="V32" t="str">
        <f xml:space="preserve"> _xlfn.SINGLE(Simple.ID)</f>
        <v>BRL</v>
      </c>
      <c r="X32" t="str">
        <f xml:space="preserve"> _xlfn.SINGLE(Simple.ID)</f>
        <v>BSD</v>
      </c>
      <c r="Z32" t="str">
        <f xml:space="preserve"> _xlfn.SINGLE(Simple.ID)</f>
        <v>NGN</v>
      </c>
      <c r="AB32" t="str">
        <f xml:space="preserve"> _xlfn.SINGLE(Simple.ID)</f>
        <v>DOP</v>
      </c>
      <c r="AD32" t="str">
        <f xml:space="preserve"> _xlfn.SINGLE(Simple.ID)</f>
        <v>TTD</v>
      </c>
      <c r="AF32" t="str">
        <f xml:space="preserve"> _xlfn.SINGLE(Simple.ID)</f>
        <v>JMD</v>
      </c>
      <c r="AH32" t="str">
        <f xml:space="preserve"> _xlfn.SINGLE(Simple.ID)</f>
        <v>KYS</v>
      </c>
      <c r="AJ32" t="str">
        <f xml:space="preserve"> _xlfn.SINGLE(Simple.ID)</f>
        <v>TZS</v>
      </c>
      <c r="AL32" t="str">
        <f xml:space="preserve"> _xlfn.SINGLE(Simple.ID)</f>
        <v>CDF</v>
      </c>
      <c r="AN32" t="str">
        <f xml:space="preserve"> _xlfn.SINGLE(Simple.ID)</f>
        <v>DE</v>
      </c>
      <c r="AP32" t="str">
        <f xml:space="preserve"> _xlfn.SINGLE(Simple.ID)</f>
        <v>DE_2</v>
      </c>
      <c r="AR32" t="str">
        <f xml:space="preserve"> _xlfn.SINGLE(Simple.ID)</f>
        <v>AT</v>
      </c>
      <c r="AT32" t="str">
        <f xml:space="preserve"> _xlfn.SINGLE(Simple.ID)</f>
        <v>AT_2</v>
      </c>
      <c r="AV32" t="str">
        <f xml:space="preserve"> _xlfn.SINGLE(Simple.ID)</f>
        <v>LU</v>
      </c>
      <c r="AX32" t="str">
        <f xml:space="preserve"> _xlfn.SINGLE(Simple.ID)</f>
        <v>HR</v>
      </c>
      <c r="AZ32" t="str">
        <f xml:space="preserve"> _xlfn.SINGLE(Simple.ID)</f>
        <v>CZK</v>
      </c>
      <c r="BB32" t="str">
        <f xml:space="preserve"> _xlfn.SINGLE(Simple.ID)</f>
        <v>PS</v>
      </c>
      <c r="BD32" t="str">
        <f xml:space="preserve"> _xlfn.SINGLE(Simple.ID)</f>
        <v>_ESM</v>
      </c>
      <c r="BF32" t="str">
        <f xml:space="preserve"> _xlfn.SINGLE(Simple.ID)</f>
        <v>_EFSF</v>
      </c>
      <c r="BH32" t="str">
        <f xml:space="preserve"> _xlfn.SINGLE(Simple.ID)</f>
        <v>_KfW</v>
      </c>
      <c r="BJ32" t="str">
        <f xml:space="preserve"> _xlfn.SINGLE(Simple.ID)</f>
        <v>_BCIE</v>
      </c>
      <c r="BL32" t="str">
        <f xml:space="preserve"> _xlfn.SINGLE(Simple.ID)</f>
        <v>XK</v>
      </c>
      <c r="BN32" t="str">
        <f xml:space="preserve"> _xlfn.SINGLE(Simple.ID)</f>
        <v>XPT</v>
      </c>
      <c r="BP32" t="str">
        <f xml:space="preserve"> _xlfn.SINGLE(Simple.ID)</f>
        <v>_EIB</v>
      </c>
      <c r="BR32" t="str">
        <f xml:space="preserve"> _xlfn.SINGLE(Simple.ID)</f>
        <v>_AfExIm</v>
      </c>
      <c r="BT32" t="str">
        <f xml:space="preserve"> _xlfn.SINGLE(Simple.ID)</f>
        <v>GYD</v>
      </c>
    </row>
    <row r="34" spans="4:55">
      <c r="D34">
        <f xml:space="preserve"> SQRT((Simple.MaxX - 2)^2 - 1^2)</f>
        <v>7.9372539331937721</v>
      </c>
      <c r="F34">
        <f xml:space="preserve"> D34</f>
        <v>7.9372539331937721</v>
      </c>
    </row>
    <row r="35" spans="4:55">
      <c r="D35">
        <f xml:space="preserve"> SQRT((Simple.MaxX - 0)^2 - 1^2)</f>
        <v>9.9498743710661994</v>
      </c>
      <c r="F35">
        <f xml:space="preserve"> D35</f>
        <v>9.9498743710661994</v>
      </c>
    </row>
    <row r="36" spans="4:55">
      <c r="D36">
        <f xml:space="preserve"> MROUND(AVERAGE(D34:D35), 0.2)</f>
        <v>9</v>
      </c>
    </row>
    <row r="37" spans="4:55">
      <c r="F37">
        <f xml:space="preserve"> SQRT((Simple.MaxX - 2)^2 - 3^2)</f>
        <v>7.416198487095663</v>
      </c>
      <c r="BB37">
        <f xml:space="preserve"> 2 * BB38 - BB39 - 1</f>
        <v>66</v>
      </c>
      <c r="BC37">
        <f xml:space="preserve"> ($BB37 - $BB38) / $BB37</f>
        <v>0.22727272727272727</v>
      </c>
    </row>
    <row r="38" spans="4:55">
      <c r="F38">
        <f xml:space="preserve"> SQRT((Simple.MaxX - 0)^2 - 3^2)</f>
        <v>9.5393920141694561</v>
      </c>
      <c r="BB38">
        <f xml:space="preserve"> 2 * BB39 - BB40 - 1</f>
        <v>51</v>
      </c>
      <c r="BC38">
        <f xml:space="preserve"> ($BB38 - $BB39) / $BB37</f>
        <v>0.24242424242424243</v>
      </c>
    </row>
    <row r="39" spans="4:55">
      <c r="F39">
        <f xml:space="preserve"> MROUND(AVERAGE(MAX(F$34, F$37), MIN(F$35, F$38)), 1)</f>
        <v>9</v>
      </c>
      <c r="BB39">
        <f xml:space="preserve"> 2 * BB40 - BB41 - 1</f>
        <v>35</v>
      </c>
      <c r="BC39">
        <f xml:space="preserve"> ($BB39 - $BB40) / $BB37</f>
        <v>0.25757575757575757</v>
      </c>
    </row>
    <row r="40" spans="4:55">
      <c r="AX40" s="5"/>
      <c r="BB40">
        <v>18</v>
      </c>
      <c r="BC40">
        <f xml:space="preserve"> ($BB40 - $BB41) / $BB37</f>
        <v>0.27272727272727271</v>
      </c>
    </row>
    <row r="41" spans="4:55">
      <c r="AX41" s="5"/>
    </row>
    <row r="43" spans="4:55">
      <c r="BB43">
        <f xml:space="preserve"> 2 * BB44 - BB45 - 1</f>
        <v>90</v>
      </c>
      <c r="BC43">
        <f xml:space="preserve"> ($BB43 - $BB44) / $BB43</f>
        <v>0.23333333333333334</v>
      </c>
    </row>
    <row r="44" spans="4:55">
      <c r="BB44">
        <f xml:space="preserve"> 2 * BB45 - BB46 - 1</f>
        <v>69</v>
      </c>
      <c r="BC44">
        <f xml:space="preserve"> ($BB44 - $BB45) / $BB43</f>
        <v>0.24444444444444444</v>
      </c>
    </row>
    <row r="45" spans="4:55">
      <c r="BB45">
        <f xml:space="preserve"> 2 * BB46 - BB47 - 1</f>
        <v>47</v>
      </c>
      <c r="BC45">
        <f xml:space="preserve"> ($BB45 - $BB46) / $BB43</f>
        <v>0.25555555555555554</v>
      </c>
    </row>
    <row r="46" spans="4:55">
      <c r="BB46">
        <v>24</v>
      </c>
      <c r="BC46">
        <f xml:space="preserve"> ($BB46 - $BB47) / $BB43</f>
        <v>0.26666666666666666</v>
      </c>
    </row>
    <row r="48" spans="4:55">
      <c r="AX48" s="5"/>
    </row>
    <row r="49" spans="50:50">
      <c r="AX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topLeftCell="A2" workbookViewId="0">
      <selection activeCell="B2" sqref="B2"/>
    </sheetView>
  </sheetViews>
  <sheetFormatPr baseColWidth="10" defaultRowHeight="16"/>
  <sheetData>
    <row r="2" spans="2:19" ht="17" thickBot="1">
      <c r="F2" t="s">
        <v>1681</v>
      </c>
      <c r="G2" t="s">
        <v>1682</v>
      </c>
      <c r="I2" t="s">
        <v>327</v>
      </c>
      <c r="P2" t="s">
        <v>1683</v>
      </c>
      <c r="Q2" t="s">
        <v>1684</v>
      </c>
      <c r="S2" t="s">
        <v>624</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623</v>
      </c>
      <c r="C5" s="3" t="s">
        <v>622</v>
      </c>
      <c r="F5" s="3" t="s">
        <v>328</v>
      </c>
      <c r="G5" s="3" t="s">
        <v>329</v>
      </c>
      <c r="I5" s="3" t="s">
        <v>1763</v>
      </c>
      <c r="P5" s="3" t="s">
        <v>478</v>
      </c>
      <c r="Q5" s="3" t="s">
        <v>479</v>
      </c>
      <c r="S5" s="3" t="s">
        <v>1764</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486</v>
      </c>
      <c r="S22">
        <f xml:space="preserve"> ROUND( MIN(JOD.RawX), JOD.DecimalPlaces)</f>
        <v>-0.97492999999999996</v>
      </c>
    </row>
    <row r="23" spans="2:19">
      <c r="H23" s="4" t="s">
        <v>337</v>
      </c>
      <c r="I23">
        <f xml:space="preserve"> ROUND(MAX(AUD.RawX), AUD.DecimalPlaces)</f>
        <v>0.97492999999999996</v>
      </c>
      <c r="R23" s="4" t="s">
        <v>487</v>
      </c>
      <c r="S23">
        <f xml:space="preserve"> ROUND(MAX(JOD.RawX), JOD.DecimalPlaces)</f>
        <v>0.97492999999999996</v>
      </c>
    </row>
    <row r="24" spans="2:19">
      <c r="H24" s="4" t="s">
        <v>338</v>
      </c>
      <c r="I24">
        <f xml:space="preserve"> ROUND( MIN(AUD.RawY), AUD.DecimalPlaces)</f>
        <v>-1</v>
      </c>
      <c r="R24" s="4" t="s">
        <v>488</v>
      </c>
      <c r="S24">
        <f xml:space="preserve"> ROUND( MIN(JOD.RawY), JOD.DecimalPlaces)</f>
        <v>-1</v>
      </c>
    </row>
    <row r="25" spans="2:19">
      <c r="H25" s="4" t="s">
        <v>339</v>
      </c>
      <c r="I25">
        <f xml:space="preserve"> ROUND(MAX(AUD.RawY), AUD.DecimalPlaces)</f>
        <v>0.90097000000000005</v>
      </c>
      <c r="R25" s="4" t="s">
        <v>489</v>
      </c>
      <c r="S25">
        <f xml:space="preserve"> ROUND(MAX(JOD.RawY), JOD.DecimalPlaces)</f>
        <v>0.90097000000000005</v>
      </c>
    </row>
    <row r="27" spans="2:19">
      <c r="H27" s="4" t="s">
        <v>330</v>
      </c>
      <c r="I27" s="26">
        <v>1.75</v>
      </c>
      <c r="R27" s="4" t="s">
        <v>480</v>
      </c>
      <c r="S27" s="26">
        <f xml:space="preserve"> AUD.AreaMultiplier</f>
        <v>1.75</v>
      </c>
    </row>
    <row r="28" spans="2:19">
      <c r="H28" s="4" t="s">
        <v>331</v>
      </c>
      <c r="I28">
        <f xml:space="preserve">  MAX(AUD.MaxY, - AUD.MinY)   /   MAX(AUD.MaxX, - AUD.MinX)</f>
        <v>1.0257146666940191</v>
      </c>
      <c r="R28" s="4" t="s">
        <v>481</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482</v>
      </c>
      <c r="S29">
        <f xml:space="preserve"> VALUE(TEXT(SQRT(JOD.AreaMultiplier * BasicBBoxArea * JOD.Aspect), SVG.NumberFormatHeight))</f>
        <v>20.100000000000001</v>
      </c>
    </row>
    <row r="30" spans="2:19">
      <c r="H30" s="4" t="s">
        <v>333</v>
      </c>
      <c r="I30">
        <f xml:space="preserve"> AUD.Height / AUD.Aspect</f>
        <v>19.596093</v>
      </c>
      <c r="R30" s="4" t="s">
        <v>483</v>
      </c>
      <c r="S30" cm="1">
        <f t="array" ref="S30" xml:space="preserve"> JOD.Height / JOD.Aspect</f>
        <v>19.596093</v>
      </c>
    </row>
    <row r="32" spans="2:19">
      <c r="H32" s="4" t="s">
        <v>334</v>
      </c>
      <c r="I32" t="s">
        <v>1070</v>
      </c>
      <c r="R32" s="4" t="s">
        <v>484</v>
      </c>
      <c r="S32" t="s">
        <v>754</v>
      </c>
    </row>
    <row r="33" spans="7:19">
      <c r="H33" s="4" t="s">
        <v>335</v>
      </c>
      <c r="I33" t="s">
        <v>731</v>
      </c>
      <c r="R33" s="4" t="s">
        <v>485</v>
      </c>
      <c r="S33" t="s">
        <v>2087</v>
      </c>
    </row>
    <row r="35" spans="7:19">
      <c r="I35" cm="1">
        <f t="array" ref="I35" xml:space="preserve"> SVG_length(AUD.svg)</f>
        <v>445</v>
      </c>
      <c r="S35" cm="1">
        <f t="array" ref="S35" xml:space="preserve"> SVG_length(JOD.svg)</f>
        <v>439</v>
      </c>
    </row>
    <row r="37" spans="7:19" ht="17" thickBot="1">
      <c r="I37" s="3" t="s">
        <v>340</v>
      </c>
      <c r="S37" s="3" t="s">
        <v>490</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topLeftCell="A2" workbookViewId="0">
      <selection activeCell="B2" sqref="B2"/>
    </sheetView>
  </sheetViews>
  <sheetFormatPr baseColWidth="10" defaultRowHeight="16"/>
  <sheetData>
    <row r="2" spans="2:16" ht="17" thickBot="1">
      <c r="B2" s="3" t="s">
        <v>1460</v>
      </c>
      <c r="F2" s="3" t="s">
        <v>119</v>
      </c>
    </row>
    <row r="3" spans="2:16">
      <c r="B3">
        <v>5</v>
      </c>
      <c r="C3" s="5" t="s">
        <v>1473</v>
      </c>
      <c r="F3">
        <f xml:space="preserve"> DecimalPlaces - INT(LOG(MIN(  MAX(GBP.RawX) - MIN(GBP.RawX),  MAX(GBP.RawY) - MIN(GBP.RawY)  )/2, 10) + 0.2)</f>
        <v>4</v>
      </c>
    </row>
    <row r="5" spans="2:16" ht="17" thickBot="1">
      <c r="B5" s="3" t="s">
        <v>1461</v>
      </c>
      <c r="C5" s="3" t="s">
        <v>5</v>
      </c>
      <c r="D5" s="3" t="s">
        <v>6</v>
      </c>
      <c r="F5" s="3" t="s">
        <v>22</v>
      </c>
      <c r="K5" s="3" t="s">
        <v>1462</v>
      </c>
      <c r="L5" s="3" t="s">
        <v>1463</v>
      </c>
      <c r="M5" s="3" t="s">
        <v>1464</v>
      </c>
      <c r="N5" s="3" t="s">
        <v>1465</v>
      </c>
      <c r="O5" s="3" t="s">
        <v>1466</v>
      </c>
      <c r="P5" s="3" t="s">
        <v>1467</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1468</v>
      </c>
      <c r="I19">
        <f xml:space="preserve"> GBP.ArmHalfWidthOuter / -2.5</f>
        <v>-2</v>
      </c>
    </row>
    <row r="20" spans="2:16">
      <c r="B20" t="s">
        <v>23</v>
      </c>
      <c r="C20">
        <v>0</v>
      </c>
      <c r="D20" cm="1">
        <f t="array" ref="D20" xml:space="preserve"> GBP.ArmHalfWidthOuter * Sqrt5 / 2</f>
        <v>5.5901699437494745</v>
      </c>
      <c r="F20" t="str">
        <v>L0 5.5902</v>
      </c>
      <c r="H20" s="4" t="s">
        <v>1469</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2251</v>
      </c>
      <c r="K41" t="s">
        <v>0</v>
      </c>
      <c r="L41" t="s">
        <v>2254</v>
      </c>
      <c r="M41" t="s">
        <v>2255</v>
      </c>
      <c r="N41" t="s">
        <v>2256</v>
      </c>
      <c r="O41" t="s">
        <v>2257</v>
      </c>
      <c r="P41" t="s">
        <v>2258</v>
      </c>
    </row>
    <row r="42" spans="2:16">
      <c r="E42" s="4" t="s">
        <v>19</v>
      </c>
      <c r="F42">
        <f xml:space="preserve"> ROUND(MAX(GBP.RawX), GBP.DecimalPlaces)</f>
        <v>30</v>
      </c>
    </row>
    <row r="43" spans="2:16">
      <c r="E43" s="4" t="s">
        <v>20</v>
      </c>
      <c r="F43">
        <f xml:space="preserve"> ROUND( MIN(GBP.RawY), GBP.DecimalPlaces)</f>
        <v>-15</v>
      </c>
      <c r="J43" s="4" t="s">
        <v>1470</v>
      </c>
      <c r="K43" t="s">
        <v>1472</v>
      </c>
      <c r="L43" t="s">
        <v>1472</v>
      </c>
      <c r="M43" t="s">
        <v>720</v>
      </c>
      <c r="N43" t="s">
        <v>728</v>
      </c>
      <c r="O43" t="s">
        <v>2252</v>
      </c>
      <c r="P43" t="s">
        <v>728</v>
      </c>
    </row>
    <row r="44" spans="2:16">
      <c r="E44" s="4" t="s">
        <v>21</v>
      </c>
      <c r="F44">
        <f xml:space="preserve"> ROUND(MAX(GBP.RawY), GBP.DecimalPlaces)</f>
        <v>15</v>
      </c>
      <c r="J44" s="4" t="s">
        <v>1471</v>
      </c>
      <c r="K44" t="s">
        <v>728</v>
      </c>
      <c r="L44" t="s">
        <v>2087</v>
      </c>
      <c r="M44" t="s">
        <v>1778</v>
      </c>
      <c r="N44" t="s">
        <v>2087</v>
      </c>
      <c r="O44" t="s">
        <v>728</v>
      </c>
      <c r="P44" t="s">
        <v>2252</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topLeftCell="A2" workbookViewId="0">
      <selection activeCell="B2" sqref="B2"/>
    </sheetView>
  </sheetViews>
  <sheetFormatPr baseColWidth="10" defaultRowHeight="16"/>
  <sheetData>
    <row r="2" spans="2:16" ht="17" thickBot="1">
      <c r="C2" s="3" t="s">
        <v>1780</v>
      </c>
      <c r="D2" s="3" t="s">
        <v>1779</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1751</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738</v>
      </c>
    </row>
    <row r="47" spans="2:16">
      <c r="E47" s="4" t="s">
        <v>78</v>
      </c>
      <c r="F47" t="s">
        <v>2087</v>
      </c>
    </row>
    <row r="50" spans="4:7" ht="17" thickBot="1">
      <c r="F50" s="3" t="s">
        <v>92</v>
      </c>
      <c r="G50" s="3" t="s">
        <v>2279</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topLeftCell="A2" workbookViewId="0">
      <selection activeCell="B2" sqref="B2"/>
    </sheetView>
  </sheetViews>
  <sheetFormatPr baseColWidth="10" defaultRowHeight="16"/>
  <sheetData>
    <row r="2" spans="2:5" ht="17" thickBot="1">
      <c r="B2" s="3" t="s">
        <v>1781</v>
      </c>
      <c r="C2" s="3" t="s">
        <v>1782</v>
      </c>
      <c r="D2" s="3" t="s">
        <v>1687</v>
      </c>
      <c r="E2" s="3" t="s">
        <v>189</v>
      </c>
    </row>
    <row r="3" spans="2:5">
      <c r="B3" t="b">
        <v>0</v>
      </c>
      <c r="C3" t="b">
        <v>1</v>
      </c>
      <c r="D3">
        <v>1</v>
      </c>
      <c r="E3">
        <f xml:space="preserve"> DecimalPlaces - INT(LOG(HKD.Size, 10) + 0.2)</f>
        <v>5</v>
      </c>
    </row>
    <row r="5" spans="2:5" ht="17" thickBot="1">
      <c r="B5" s="3" t="s">
        <v>190</v>
      </c>
      <c r="C5" s="3" t="s">
        <v>191</v>
      </c>
      <c r="E5" s="3" t="s">
        <v>1750</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738</v>
      </c>
    </row>
    <row r="25" spans="4:5">
      <c r="D25" s="4" t="s">
        <v>202</v>
      </c>
      <c r="E25" s="5" t="s">
        <v>2087</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757</v>
      </c>
    </row>
    <row r="16" spans="5:6">
      <c r="E16" s="4" t="s">
        <v>218</v>
      </c>
      <c r="F16" s="5" t="s">
        <v>758</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topLeftCell="A2" workbookViewId="0">
      <selection activeCell="B2" sqref="B2"/>
    </sheetView>
  </sheetViews>
  <sheetFormatPr baseColWidth="10" defaultRowHeight="16"/>
  <sheetData>
    <row r="2" spans="2:8" ht="17" thickBot="1">
      <c r="C2" s="3" t="s">
        <v>940</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937</v>
      </c>
      <c r="H46" t="s">
        <v>938</v>
      </c>
    </row>
    <row r="47" spans="2:8">
      <c r="G47" s="4" t="s">
        <v>936</v>
      </c>
      <c r="H47" t="s">
        <v>939</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topLeftCell="A2" workbookViewId="0">
      <selection activeCell="B2" sqref="B2"/>
    </sheetView>
  </sheetViews>
  <sheetFormatPr baseColWidth="10" defaultRowHeight="16"/>
  <sheetData>
    <row r="2" spans="2:5" ht="17" thickBot="1">
      <c r="B2" t="s">
        <v>1578</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1749</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1064</v>
      </c>
    </row>
    <row r="51" spans="4:5">
      <c r="D51" s="4" t="s">
        <v>1579</v>
      </c>
      <c r="E51" s="5" t="s">
        <v>759</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1708</v>
      </c>
      <c r="H15">
        <f xml:space="preserve"> 17/48</f>
        <v>0.35416666666666669</v>
      </c>
    </row>
    <row r="16" spans="5:8">
      <c r="G16" s="4" t="s">
        <v>1709</v>
      </c>
      <c r="H16">
        <v>8.1500000000000003E-2</v>
      </c>
    </row>
    <row r="17" spans="2:8">
      <c r="G17" s="4" t="s">
        <v>297</v>
      </c>
      <c r="H17" s="5" t="s">
        <v>762</v>
      </c>
    </row>
    <row r="18" spans="2:8">
      <c r="G18" s="4" t="s">
        <v>298</v>
      </c>
      <c r="H18" s="5" t="s">
        <v>2087</v>
      </c>
    </row>
    <row r="20" spans="2:8" ht="17" thickBot="1">
      <c r="B20" s="3" t="s">
        <v>295</v>
      </c>
      <c r="C20" s="3" t="s">
        <v>300</v>
      </c>
      <c r="D20" s="3" t="s">
        <v>301</v>
      </c>
      <c r="E20" s="3" t="s">
        <v>1765</v>
      </c>
      <c r="F20" s="3" t="s">
        <v>1766</v>
      </c>
      <c r="H20" s="35" t="s">
        <v>1511</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topLeftCell="A2"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760</v>
      </c>
    </row>
    <row r="6" spans="6:9">
      <c r="H6" s="4" t="s">
        <v>274</v>
      </c>
      <c r="I6" s="21" t="s">
        <v>761</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2259</v>
      </c>
    </row>
    <row r="26" spans="2:9">
      <c r="I26" s="21" t="s">
        <v>2260</v>
      </c>
    </row>
    <row r="27" spans="2:9">
      <c r="I27" s="21" t="s">
        <v>2261</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1748</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763</v>
      </c>
    </row>
    <row r="57" spans="3:6">
      <c r="E57" s="4" t="s">
        <v>324</v>
      </c>
      <c r="F57" s="5" t="s">
        <v>2087</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1747</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1508</v>
      </c>
    </row>
    <row r="43" spans="3:6">
      <c r="E43" s="4" t="s">
        <v>391</v>
      </c>
      <c r="F43" s="5" t="s">
        <v>764</v>
      </c>
    </row>
    <row r="44" spans="3:6">
      <c r="E44" s="4" t="s">
        <v>389</v>
      </c>
      <c r="F44" s="5" t="s">
        <v>765</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topLeftCell="A2" workbookViewId="0">
      <selection activeCell="B2" sqref="B2"/>
    </sheetView>
  </sheetViews>
  <sheetFormatPr baseColWidth="10" defaultRowHeight="16"/>
  <sheetData>
    <row r="2" spans="2:6" ht="17" thickBot="1">
      <c r="B2" s="3" t="s">
        <v>2073</v>
      </c>
      <c r="C2" s="3" t="s">
        <v>2074</v>
      </c>
      <c r="F2" t="s">
        <v>395</v>
      </c>
    </row>
    <row r="3" spans="2:6">
      <c r="B3">
        <v>7</v>
      </c>
      <c r="C3">
        <f xml:space="preserve"> MKD.Big - 2 * MKD.Big / (MKD.Big + 1)</f>
        <v>5.25</v>
      </c>
      <c r="F3" s="34">
        <f xml:space="preserve"> DecimalPlaces - INT(LOG(MIN(  MAX( MKD.RawX) - MIN( MKD.RawX),  MAX( MKD.RawY) - MIN( MKD.RawY)  )/2, 10) + 0.2)</f>
        <v>4</v>
      </c>
    </row>
    <row r="5" spans="2:6" ht="17" thickBot="1">
      <c r="B5" s="3" t="s">
        <v>2069</v>
      </c>
      <c r="C5" s="3" t="s">
        <v>2070</v>
      </c>
      <c r="D5" s="3" t="s">
        <v>2071</v>
      </c>
      <c r="F5" s="3" t="s">
        <v>2072</v>
      </c>
    </row>
    <row r="6" spans="2:6">
      <c r="B6" t="s">
        <v>1022</v>
      </c>
      <c r="C6">
        <f xml:space="preserve"> MKD.Big</f>
        <v>7</v>
      </c>
      <c r="D6">
        <f xml:space="preserve"> MKD.Little</f>
        <v>5.25</v>
      </c>
      <c r="F6" t="str" cm="1">
        <f t="array" ref="F6:F25" xml:space="preserve"> svgpath($C6:$C25, $D6:$D25,  MKD.DecimalPlaces)</f>
        <v>M7 5.25</v>
      </c>
    </row>
    <row r="7" spans="2:6">
      <c r="B7" t="s">
        <v>1022</v>
      </c>
      <c r="C7">
        <f xml:space="preserve"> MKD.Little</f>
        <v>5.25</v>
      </c>
      <c r="D7">
        <f xml:space="preserve"> MKD.Big</f>
        <v>7</v>
      </c>
      <c r="F7" t="str">
        <v>L5.25 7</v>
      </c>
    </row>
    <row r="8" spans="2:6">
      <c r="B8" t="s">
        <v>1022</v>
      </c>
      <c r="C8">
        <v>1</v>
      </c>
      <c r="D8">
        <f xml:space="preserve"> MKD.Big</f>
        <v>7</v>
      </c>
      <c r="F8" t="str">
        <v>H1</v>
      </c>
    </row>
    <row r="9" spans="2:6">
      <c r="B9" t="s">
        <v>1022</v>
      </c>
      <c r="C9">
        <v>0</v>
      </c>
      <c r="D9">
        <f xml:space="preserve"> MKD.Big - 1</f>
        <v>6</v>
      </c>
      <c r="F9" t="str">
        <v>L0 6</v>
      </c>
    </row>
    <row r="10" spans="2:6">
      <c r="B10" t="s">
        <v>1022</v>
      </c>
      <c r="C10">
        <v>-1</v>
      </c>
      <c r="D10">
        <f xml:space="preserve"> MKD.Big</f>
        <v>7</v>
      </c>
      <c r="F10" t="str">
        <v>L-1 7</v>
      </c>
    </row>
    <row r="11" spans="2:6">
      <c r="B11" t="s">
        <v>1022</v>
      </c>
      <c r="C11">
        <f xml:space="preserve"> - MKD.Little</f>
        <v>-5.25</v>
      </c>
      <c r="D11">
        <f xml:space="preserve"> MKD.Big</f>
        <v>7</v>
      </c>
      <c r="F11" t="str">
        <v>H-5.25</v>
      </c>
    </row>
    <row r="12" spans="2:6">
      <c r="B12" t="s">
        <v>1022</v>
      </c>
      <c r="C12">
        <f xml:space="preserve"> - MKD.Big</f>
        <v>-7</v>
      </c>
      <c r="D12">
        <f xml:space="preserve"> MKD.Little</f>
        <v>5.25</v>
      </c>
      <c r="F12" t="str">
        <v>L-7 5.25</v>
      </c>
    </row>
    <row r="13" spans="2:6">
      <c r="B13" t="s">
        <v>1022</v>
      </c>
      <c r="C13">
        <f xml:space="preserve"> - MKD.Big</f>
        <v>-7</v>
      </c>
      <c r="D13">
        <v>1</v>
      </c>
      <c r="F13" t="str">
        <v>V1</v>
      </c>
    </row>
    <row r="14" spans="2:6">
      <c r="B14" t="s">
        <v>1022</v>
      </c>
      <c r="C14">
        <f xml:space="preserve"> 1 - MKD.Big</f>
        <v>-6</v>
      </c>
      <c r="D14">
        <v>0</v>
      </c>
      <c r="F14" t="str">
        <v>L-6 0</v>
      </c>
    </row>
    <row r="15" spans="2:6">
      <c r="B15" t="s">
        <v>1022</v>
      </c>
      <c r="C15">
        <f xml:space="preserve"> - MKD.Big</f>
        <v>-7</v>
      </c>
      <c r="D15">
        <v>-1</v>
      </c>
      <c r="F15" t="str">
        <v>L-7 -1</v>
      </c>
    </row>
    <row r="16" spans="2:6">
      <c r="B16" t="s">
        <v>1022</v>
      </c>
      <c r="C16">
        <f xml:space="preserve"> - MKD.Big</f>
        <v>-7</v>
      </c>
      <c r="D16">
        <f xml:space="preserve"> - MKD.Little</f>
        <v>-5.25</v>
      </c>
      <c r="F16" t="str">
        <v>V-5.25</v>
      </c>
    </row>
    <row r="17" spans="2:10">
      <c r="B17" t="s">
        <v>1022</v>
      </c>
      <c r="C17">
        <f xml:space="preserve"> - MKD.Little</f>
        <v>-5.25</v>
      </c>
      <c r="D17">
        <f xml:space="preserve"> - MKD.Big</f>
        <v>-7</v>
      </c>
      <c r="F17" t="str">
        <v>L-5.25 -7</v>
      </c>
    </row>
    <row r="18" spans="2:10">
      <c r="B18" t="s">
        <v>1022</v>
      </c>
      <c r="C18">
        <v>-1</v>
      </c>
      <c r="D18">
        <f xml:space="preserve"> - MKD.Big</f>
        <v>-7</v>
      </c>
      <c r="F18" t="str">
        <v>H-1</v>
      </c>
    </row>
    <row r="19" spans="2:10">
      <c r="B19" t="s">
        <v>1022</v>
      </c>
      <c r="C19">
        <v>0</v>
      </c>
      <c r="D19">
        <f xml:space="preserve"> 1 - MKD.Big</f>
        <v>-6</v>
      </c>
      <c r="F19" t="str">
        <v>l1 1</v>
      </c>
    </row>
    <row r="20" spans="2:10">
      <c r="B20" t="s">
        <v>1022</v>
      </c>
      <c r="C20">
        <v>1</v>
      </c>
      <c r="D20">
        <f xml:space="preserve"> - MKD.Big</f>
        <v>-7</v>
      </c>
      <c r="F20" t="str">
        <v>L1 -7</v>
      </c>
    </row>
    <row r="21" spans="2:10">
      <c r="B21" t="s">
        <v>1022</v>
      </c>
      <c r="C21">
        <f xml:space="preserve"> MKD.Little</f>
        <v>5.25</v>
      </c>
      <c r="D21">
        <f xml:space="preserve"> - MKD.Big</f>
        <v>-7</v>
      </c>
      <c r="F21" t="str">
        <v>H5.25</v>
      </c>
    </row>
    <row r="22" spans="2:10">
      <c r="B22" t="s">
        <v>1022</v>
      </c>
      <c r="C22">
        <f xml:space="preserve"> MKD.Big</f>
        <v>7</v>
      </c>
      <c r="D22">
        <f xml:space="preserve"> - MKD.Little</f>
        <v>-5.25</v>
      </c>
      <c r="F22" t="str">
        <v>L7 -5.25</v>
      </c>
    </row>
    <row r="23" spans="2:10">
      <c r="B23" t="s">
        <v>1022</v>
      </c>
      <c r="C23">
        <f xml:space="preserve"> MKD.Big</f>
        <v>7</v>
      </c>
      <c r="D23">
        <v>-1</v>
      </c>
      <c r="F23" t="str">
        <v>V-1</v>
      </c>
    </row>
    <row r="24" spans="2:10">
      <c r="B24" t="s">
        <v>1022</v>
      </c>
      <c r="C24">
        <f xml:space="preserve"> MKD.Big - 1</f>
        <v>6</v>
      </c>
      <c r="D24">
        <v>0</v>
      </c>
      <c r="F24" t="str">
        <v>L6 0</v>
      </c>
    </row>
    <row r="25" spans="2:10">
      <c r="B25" t="s">
        <v>1022</v>
      </c>
      <c r="C25">
        <f xml:space="preserve"> MKD.Big</f>
        <v>7</v>
      </c>
      <c r="D25">
        <v>1</v>
      </c>
      <c r="F25" t="str">
        <v>L7 1Z</v>
      </c>
      <c r="J25" t="s">
        <v>2078</v>
      </c>
    </row>
    <row r="26" spans="2:10">
      <c r="J26" t="s">
        <v>2079</v>
      </c>
    </row>
    <row r="27" spans="2:10">
      <c r="B27" t="s">
        <v>1026</v>
      </c>
      <c r="C27">
        <v>1</v>
      </c>
      <c r="D27">
        <f xml:space="preserve"> MKD.Big</f>
        <v>7</v>
      </c>
      <c r="F27" t="str" cm="1">
        <f t="array" ref="F27:F30" xml:space="preserve"> svgpath($C27:$C30, $D27:$D30,  MKD.DecimalPlaces)</f>
        <v>M1 7</v>
      </c>
    </row>
    <row r="28" spans="2:10">
      <c r="B28" t="s">
        <v>1026</v>
      </c>
      <c r="C28">
        <v>-1</v>
      </c>
      <c r="D28">
        <f xml:space="preserve"> MKD.Big</f>
        <v>7</v>
      </c>
      <c r="F28" t="str">
        <v>H-1</v>
      </c>
      <c r="J28" t="s">
        <v>2080</v>
      </c>
    </row>
    <row r="29" spans="2:10">
      <c r="B29" t="s">
        <v>1026</v>
      </c>
      <c r="C29">
        <v>1</v>
      </c>
      <c r="D29">
        <f xml:space="preserve"> - MKD.Big</f>
        <v>-7</v>
      </c>
      <c r="F29" t="str">
        <v>L1 -7</v>
      </c>
      <c r="J29" t="s">
        <v>2081</v>
      </c>
    </row>
    <row r="30" spans="2:10">
      <c r="B30" t="s">
        <v>1026</v>
      </c>
      <c r="C30">
        <v>-1</v>
      </c>
      <c r="D30">
        <f xml:space="preserve"> - MKD.Big</f>
        <v>-7</v>
      </c>
      <c r="F30" t="str">
        <v>H-1Z</v>
      </c>
      <c r="J30" t="s">
        <v>2082</v>
      </c>
    </row>
    <row r="32" spans="2:10">
      <c r="B32" t="s">
        <v>1026</v>
      </c>
      <c r="C32">
        <f xml:space="preserve"> D27</f>
        <v>7</v>
      </c>
      <c r="D32">
        <f xml:space="preserve"> C27</f>
        <v>1</v>
      </c>
      <c r="F32" t="str" cm="1">
        <f t="array" ref="F32:F35" xml:space="preserve"> svgpath($C32:$C35, $D32:$D35,  MKD.DecimalPlaces)</f>
        <v>M7 1</v>
      </c>
    </row>
    <row r="33" spans="2:6">
      <c r="B33" t="s">
        <v>1026</v>
      </c>
      <c r="C33">
        <f t="shared" ref="C33:C35" si="0" xml:space="preserve"> D28</f>
        <v>7</v>
      </c>
      <c r="D33">
        <f t="shared" ref="D33:D35" si="1" xml:space="preserve"> C28</f>
        <v>-1</v>
      </c>
      <c r="F33" t="str">
        <v>V-1</v>
      </c>
    </row>
    <row r="34" spans="2:6">
      <c r="B34" t="s">
        <v>1026</v>
      </c>
      <c r="C34">
        <f t="shared" si="0"/>
        <v>-7</v>
      </c>
      <c r="D34">
        <f t="shared" si="1"/>
        <v>1</v>
      </c>
      <c r="F34" t="str">
        <v>L-7 1</v>
      </c>
    </row>
    <row r="35" spans="2:6">
      <c r="B35" t="s">
        <v>1026</v>
      </c>
      <c r="C35">
        <f t="shared" si="0"/>
        <v>-7</v>
      </c>
      <c r="D35">
        <f t="shared" si="1"/>
        <v>-1</v>
      </c>
      <c r="F35" t="str">
        <v>V-1Z</v>
      </c>
    </row>
    <row r="37" spans="2:6">
      <c r="B37" t="s">
        <v>1026</v>
      </c>
      <c r="C37">
        <f xml:space="preserve"> MKD.Little</f>
        <v>5.25</v>
      </c>
      <c r="D37">
        <f xml:space="preserve"> MKD.Big</f>
        <v>7</v>
      </c>
      <c r="F37" t="str" cm="1">
        <f t="array" ref="F37:F42" xml:space="preserve"> svgpath($C37:$C42, $D37:$D42,  MKD.DecimalPlaces)</f>
        <v>M5.25 7</v>
      </c>
    </row>
    <row r="38" spans="2:6">
      <c r="B38" t="s">
        <v>1026</v>
      </c>
      <c r="C38">
        <f xml:space="preserve"> MKD.Big</f>
        <v>7</v>
      </c>
      <c r="D38">
        <f xml:space="preserve"> MKD.Big</f>
        <v>7</v>
      </c>
      <c r="F38" t="str">
        <v>H7</v>
      </c>
    </row>
    <row r="39" spans="2:6">
      <c r="B39" t="s">
        <v>1026</v>
      </c>
      <c r="C39">
        <f xml:space="preserve"> MKD.Big</f>
        <v>7</v>
      </c>
      <c r="D39">
        <f xml:space="preserve"> MKD.Little</f>
        <v>5.25</v>
      </c>
      <c r="F39" t="str">
        <v>V5.25</v>
      </c>
    </row>
    <row r="40" spans="2:6">
      <c r="B40" t="s">
        <v>1026</v>
      </c>
      <c r="C40">
        <f xml:space="preserve"> - MKD.Big</f>
        <v>-7</v>
      </c>
      <c r="D40">
        <f xml:space="preserve"> - MKD.Little</f>
        <v>-5.25</v>
      </c>
      <c r="F40" t="str">
        <v>L-7 -5.25</v>
      </c>
    </row>
    <row r="41" spans="2:6">
      <c r="B41" t="s">
        <v>1026</v>
      </c>
      <c r="C41">
        <f xml:space="preserve"> - MKD.Big</f>
        <v>-7</v>
      </c>
      <c r="D41">
        <f xml:space="preserve"> - MKD.Big</f>
        <v>-7</v>
      </c>
      <c r="F41" t="str">
        <v>V-7</v>
      </c>
    </row>
    <row r="42" spans="2:6">
      <c r="B42" t="s">
        <v>1026</v>
      </c>
      <c r="C42">
        <f xml:space="preserve"> - MKD.Little</f>
        <v>-5.25</v>
      </c>
      <c r="D42">
        <f xml:space="preserve"> - MKD.Big</f>
        <v>-7</v>
      </c>
      <c r="F42" t="str">
        <v>h1.75Z</v>
      </c>
    </row>
    <row r="44" spans="2:6">
      <c r="B44" t="s">
        <v>1026</v>
      </c>
      <c r="C44">
        <f xml:space="preserve"> - C37</f>
        <v>-5.25</v>
      </c>
      <c r="D44">
        <f xml:space="preserve"> D37</f>
        <v>7</v>
      </c>
      <c r="F44" t="str" cm="1">
        <f t="array" ref="F44:F49" xml:space="preserve"> svgpath($C44:$C49, $D44:$D49,  MKD.DecimalPlaces)</f>
        <v>M-5.25 7</v>
      </c>
    </row>
    <row r="45" spans="2:6">
      <c r="B45" t="s">
        <v>1026</v>
      </c>
      <c r="C45">
        <f t="shared" ref="C45:C49" si="2" xml:space="preserve"> - C38</f>
        <v>-7</v>
      </c>
      <c r="D45">
        <f t="shared" ref="D45:D49" si="3" xml:space="preserve"> D38</f>
        <v>7</v>
      </c>
      <c r="F45" t="str">
        <v>H-7</v>
      </c>
    </row>
    <row r="46" spans="2:6">
      <c r="B46" t="s">
        <v>1026</v>
      </c>
      <c r="C46">
        <f t="shared" si="2"/>
        <v>-7</v>
      </c>
      <c r="D46">
        <f t="shared" si="3"/>
        <v>5.25</v>
      </c>
      <c r="F46" t="str">
        <v>V5.25</v>
      </c>
    </row>
    <row r="47" spans="2:6">
      <c r="B47" t="s">
        <v>1026</v>
      </c>
      <c r="C47">
        <f t="shared" si="2"/>
        <v>7</v>
      </c>
      <c r="D47">
        <f t="shared" si="3"/>
        <v>-5.25</v>
      </c>
      <c r="F47" t="str">
        <v>L7 -5.25</v>
      </c>
    </row>
    <row r="48" spans="2:6">
      <c r="B48" t="s">
        <v>1026</v>
      </c>
      <c r="C48">
        <f t="shared" si="2"/>
        <v>7</v>
      </c>
      <c r="D48">
        <f t="shared" si="3"/>
        <v>-7</v>
      </c>
      <c r="F48" t="str">
        <v>V-7</v>
      </c>
    </row>
    <row r="49" spans="2:6">
      <c r="B49" t="s">
        <v>1026</v>
      </c>
      <c r="C49">
        <f t="shared" si="2"/>
        <v>5.25</v>
      </c>
      <c r="D49">
        <f t="shared" si="3"/>
        <v>-7</v>
      </c>
      <c r="F49" t="str">
        <v>H5.25Z</v>
      </c>
    </row>
    <row r="52" spans="2:6">
      <c r="E52" s="4" t="s">
        <v>400</v>
      </c>
      <c r="F52">
        <f xml:space="preserve"> ROUND( MIN(MKD.RawX), MKD.DecimalPlaces)</f>
        <v>-7</v>
      </c>
    </row>
    <row r="53" spans="2:6">
      <c r="E53" s="4" t="s">
        <v>401</v>
      </c>
      <c r="F53">
        <f xml:space="preserve"> ROUND(MAX(MKD.RawX), MKD.DecimalPlaces)</f>
        <v>7</v>
      </c>
    </row>
    <row r="54" spans="2:6">
      <c r="E54" s="4" t="s">
        <v>402</v>
      </c>
      <c r="F54">
        <f xml:space="preserve"> ROUND( MIN(MKD.RawY), MKD.DecimalPlaces)</f>
        <v>-7</v>
      </c>
    </row>
    <row r="55" spans="2:6">
      <c r="E55" s="4" t="s">
        <v>403</v>
      </c>
      <c r="F55">
        <f xml:space="preserve"> ROUND(MAX(MKD.RawY), MKD.DecimalPlaces)</f>
        <v>7</v>
      </c>
    </row>
    <row r="57" spans="2:6">
      <c r="E57" s="4" t="s">
        <v>1023</v>
      </c>
      <c r="F57" s="5" t="s">
        <v>766</v>
      </c>
    </row>
    <row r="58" spans="2:6">
      <c r="E58" s="4" t="s">
        <v>1024</v>
      </c>
      <c r="F58" s="5" t="s">
        <v>767</v>
      </c>
    </row>
    <row r="60" spans="2:6">
      <c r="E60" s="4" t="s">
        <v>396</v>
      </c>
      <c r="F60">
        <f xml:space="preserve"> MODE(Squares.AreaMultiplier)</f>
        <v>0.85</v>
      </c>
    </row>
    <row r="61" spans="2:6">
      <c r="E61" s="4" t="s">
        <v>397</v>
      </c>
      <c r="F61">
        <f xml:space="preserve">  MAX(MKD.MaxY, - MKD.MinY)   /   MAX(MKD.MaxX, - MKD.MinX)</f>
        <v>1</v>
      </c>
    </row>
    <row r="62" spans="2:6">
      <c r="E62" s="4" t="s">
        <v>398</v>
      </c>
      <c r="F62">
        <f xml:space="preserve"> VALUE(TEXT(SQRT( MKD.AreaMultiplier * BasicBBoxArea *  MKD.Aspect), SVG.NumberFormatHeight))</f>
        <v>13.8</v>
      </c>
    </row>
    <row r="63" spans="2:6">
      <c r="E63" s="4" t="s">
        <v>399</v>
      </c>
      <c r="F63">
        <f xml:space="preserve">  MKD.Height /  MKD.Aspect</f>
        <v>13.8</v>
      </c>
    </row>
    <row r="65" spans="4:6">
      <c r="F65">
        <f xml:space="preserve"> MKD.MaxX*2/7</f>
        <v>2</v>
      </c>
    </row>
    <row r="66" spans="4:6">
      <c r="F66">
        <f xml:space="preserve"> F65 * AVERAGE(1, 1.25)</f>
        <v>2.25</v>
      </c>
    </row>
    <row r="67" spans="4:6">
      <c r="E67" s="4" t="s">
        <v>1025</v>
      </c>
      <c r="F67">
        <f xml:space="preserve"> ROUND(AVERAGE(F$65:F$66), MKD.DecimalPlaces - 4)</f>
        <v>2</v>
      </c>
    </row>
    <row r="69" spans="4:6" ht="17" thickBot="1">
      <c r="F69" s="3" t="s">
        <v>404</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2075</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topLeftCell="A2" workbookViewId="0">
      <selection activeCell="B2" sqref="B2"/>
    </sheetView>
  </sheetViews>
  <sheetFormatPr baseColWidth="10" defaultRowHeight="16"/>
  <sheetData>
    <row r="2" spans="2:6" ht="17" thickBot="1">
      <c r="C2" s="3" t="s">
        <v>2339</v>
      </c>
      <c r="D2" s="3" t="s">
        <v>2340</v>
      </c>
      <c r="F2" t="s">
        <v>2341</v>
      </c>
    </row>
    <row r="3" spans="2:6">
      <c r="C3">
        <f>AZN.SizeOuter / 2</f>
        <v>27</v>
      </c>
      <c r="D3" s="64">
        <v>54</v>
      </c>
      <c r="F3" s="34" cm="1">
        <f t="array" ref="F3" xml:space="preserve"> DecimalPlaces - INT(LOG(MIN(  AZN.MaxX - AZN.MinX,  AZN.MaxY - AZN.MinY  )/2, 10) + 0.2)</f>
        <v>4</v>
      </c>
    </row>
    <row r="5" spans="2:6" ht="17" thickBot="1">
      <c r="B5" s="3" t="s">
        <v>2356</v>
      </c>
      <c r="C5" s="3" t="s">
        <v>2342</v>
      </c>
      <c r="D5" s="3" t="s">
        <v>2343</v>
      </c>
      <c r="F5" s="3" t="s">
        <v>2344</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2345</v>
      </c>
      <c r="F23" s="64">
        <v>60</v>
      </c>
    </row>
    <row r="24" spans="2:6">
      <c r="E24" s="4" t="s">
        <v>2346</v>
      </c>
      <c r="F24">
        <f xml:space="preserve"> AZN.MaxX</f>
        <v>60</v>
      </c>
    </row>
    <row r="25" spans="2:6">
      <c r="E25" s="4" t="s">
        <v>2347</v>
      </c>
      <c r="F25">
        <f xml:space="preserve"> - AZN.MaxX</f>
        <v>-60</v>
      </c>
    </row>
    <row r="26" spans="2:6">
      <c r="E26" s="4" t="s">
        <v>2348</v>
      </c>
      <c r="F26">
        <f xml:space="preserve"> - AZN.MaxY</f>
        <v>-60</v>
      </c>
    </row>
    <row r="28" spans="2:6">
      <c r="E28" s="4" t="s">
        <v>2401</v>
      </c>
      <c r="F28" s="5" t="s">
        <v>2402</v>
      </c>
    </row>
    <row r="29" spans="2:6">
      <c r="E29" s="4" t="s">
        <v>2349</v>
      </c>
      <c r="F29" s="5" t="s">
        <v>717</v>
      </c>
    </row>
    <row r="30" spans="2:6">
      <c r="E30" s="4" t="s">
        <v>2350</v>
      </c>
      <c r="F30" s="5" t="s">
        <v>2087</v>
      </c>
    </row>
    <row r="32" spans="2:6">
      <c r="E32" s="4" t="s">
        <v>2351</v>
      </c>
      <c r="F32">
        <f xml:space="preserve"> MODE(Circles.AreaMultiplier)</f>
        <v>1</v>
      </c>
    </row>
    <row r="33" spans="4:6">
      <c r="E33" s="4" t="s">
        <v>2352</v>
      </c>
      <c r="F33" cm="1">
        <f t="array" ref="F33" xml:space="preserve">  MAX(AZN.MaxY, - AZN.MinY)   /   MAX(AZN.MaxX, - AZN.MinX)</f>
        <v>1</v>
      </c>
    </row>
    <row r="34" spans="4:6">
      <c r="E34" s="4" t="s">
        <v>2353</v>
      </c>
      <c r="F34" cm="1">
        <f t="array" ref="F34" xml:space="preserve"> VALUE(TEXT(SQRT( AZN.AreaMultiplier * BasicBBoxArea *  AZN.Aspect), SVG.NumberFormatHeight))</f>
        <v>15</v>
      </c>
    </row>
    <row r="35" spans="4:6">
      <c r="E35" s="4" t="s">
        <v>2354</v>
      </c>
      <c r="F35" cm="1">
        <f t="array" ref="F35" xml:space="preserve">  AZN.Height /  AZN.Aspect</f>
        <v>15</v>
      </c>
    </row>
    <row r="38" spans="4:6" ht="17" thickBot="1">
      <c r="F38" s="3" t="s">
        <v>2355</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topLeftCell="A2" workbookViewId="0">
      <selection activeCell="B2" sqref="B2"/>
    </sheetView>
  </sheetViews>
  <sheetFormatPr baseColWidth="10" defaultRowHeight="16"/>
  <sheetData>
    <row r="2" spans="2:5" ht="17" thickBot="1">
      <c r="B2" s="3" t="s">
        <v>2318</v>
      </c>
      <c r="C2" s="3" t="s">
        <v>2334</v>
      </c>
      <c r="E2" t="s">
        <v>2319</v>
      </c>
    </row>
    <row r="3" spans="2:5">
      <c r="B3">
        <v>1</v>
      </c>
      <c r="C3">
        <f xml:space="preserve"> AMD.SizeInner * SQRT(2)</f>
        <v>1.4142135623730951</v>
      </c>
      <c r="E3" s="34">
        <f xml:space="preserve"> DecimalPlaces - INT(LOG(MIN(  AMD.MaxX - AMD.MinX,  AMD.MaxY - AMD.MinY  )/2, 10) + 0.2)</f>
        <v>5</v>
      </c>
    </row>
    <row r="5" spans="2:5" ht="17" thickBot="1">
      <c r="B5" s="3" t="s">
        <v>2320</v>
      </c>
      <c r="C5" s="3" t="s">
        <v>2321</v>
      </c>
      <c r="E5" s="3" t="s">
        <v>2322</v>
      </c>
    </row>
    <row r="6" spans="2:5">
      <c r="E6" t="s">
        <v>2181</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2182</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559</v>
      </c>
    </row>
    <row r="28" spans="2:6">
      <c r="D28" s="4" t="s">
        <v>2323</v>
      </c>
      <c r="E28">
        <f xml:space="preserve"> _xlfn.MAXIFS(AMD.RawX,   AMD.RawX,"&gt;0")</f>
        <v>1.4142135623730951</v>
      </c>
    </row>
    <row r="29" spans="2:6">
      <c r="D29" s="4" t="s">
        <v>2324</v>
      </c>
      <c r="E29">
        <f xml:space="preserve"> _xlfn.MAXIFS(AMD.RawY,   AMD.RawY,"&gt;0")</f>
        <v>1.4142135623730951</v>
      </c>
    </row>
    <row r="30" spans="2:6">
      <c r="D30" s="4" t="s">
        <v>2325</v>
      </c>
      <c r="E30">
        <f xml:space="preserve">  _xlfn.MINIFS(AMD.RawX,   AMD.RawX,"&lt;0")</f>
        <v>-1.4142135623730951</v>
      </c>
    </row>
    <row r="31" spans="2:6">
      <c r="D31" s="4" t="s">
        <v>2326</v>
      </c>
      <c r="E31">
        <f xml:space="preserve">  _xlfn.MINIFS(AMD.RawY,   AMD.RawY,"&lt;0")</f>
        <v>-1.4142135623730951</v>
      </c>
    </row>
    <row r="33" spans="2:6">
      <c r="D33" s="4" t="s">
        <v>2327</v>
      </c>
      <c r="E33" s="5" t="s">
        <v>2336</v>
      </c>
    </row>
    <row r="34" spans="2:6">
      <c r="D34" s="4" t="s">
        <v>2328</v>
      </c>
      <c r="E34" s="5" t="s">
        <v>781</v>
      </c>
    </row>
    <row r="35" spans="2:6">
      <c r="D35" s="4" t="s">
        <v>2335</v>
      </c>
      <c r="E35" s="5" t="s">
        <v>2337</v>
      </c>
    </row>
    <row r="37" spans="2:6">
      <c r="B37">
        <f xml:space="preserve"> 19999899241 / 50097997976</f>
        <v>0.39921553852473651</v>
      </c>
      <c r="D37" s="4" t="s">
        <v>2329</v>
      </c>
      <c r="E37">
        <f xml:space="preserve"> CHOOSE(1,   19999899241 / 50097997976,   (8 + SQRT(2)*3) * 3 / 92)   *   MODE(Circles.AreaMultiplier) * PI()</f>
        <v>1.2541726030282052</v>
      </c>
      <c r="F37" s="5" t="s">
        <v>2338</v>
      </c>
    </row>
    <row r="38" spans="2:6">
      <c r="B38">
        <f xml:space="preserve"> (8 + SQRT(2)*3) * 3 / 92</f>
        <v>0.39921654414519414</v>
      </c>
      <c r="D38" s="4" t="s">
        <v>2330</v>
      </c>
      <c r="E38" cm="1">
        <f t="array" ref="E38" xml:space="preserve">  MAX(AMD.MaxY, - AMD.MinY)   /   MAX(AMD.MaxX, - AMD.MinX)</f>
        <v>1</v>
      </c>
    </row>
    <row r="39" spans="2:6">
      <c r="B39">
        <f xml:space="preserve"> LN(B37/B38)</f>
        <v>-2.5189881004052337E-6</v>
      </c>
      <c r="D39" s="4" t="s">
        <v>2331</v>
      </c>
      <c r="E39" cm="1">
        <f t="array" ref="E39" xml:space="preserve"> VALUE(TEXT(SQRT( AMD.AreaMultiplier * BasicBBoxArea *  AMD.Aspect), SVG.NumberFormatHeight))</f>
        <v>16.8</v>
      </c>
    </row>
    <row r="40" spans="2:6">
      <c r="D40" s="4" t="s">
        <v>2332</v>
      </c>
      <c r="E40" cm="1">
        <f t="array" ref="E40" xml:space="preserve">  AMD.Height /  AMD.Aspect</f>
        <v>16.8</v>
      </c>
    </row>
    <row r="43" spans="2:6" ht="17" thickBot="1">
      <c r="E43" s="3" t="s">
        <v>2333</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topLeftCell="A2" workbookViewId="0">
      <selection activeCell="B2" sqref="B2"/>
    </sheetView>
  </sheetViews>
  <sheetFormatPr baseColWidth="10" defaultRowHeight="16"/>
  <sheetData>
    <row r="2" spans="2:6" ht="17" thickBot="1">
      <c r="C2" s="3" t="s">
        <v>2358</v>
      </c>
      <c r="D2" s="3" t="s">
        <v>2359</v>
      </c>
      <c r="F2" t="s">
        <v>2360</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2375</v>
      </c>
      <c r="C5" s="3" t="s">
        <v>2361</v>
      </c>
      <c r="D5" s="3" t="s">
        <v>2362</v>
      </c>
      <c r="F5" s="3" t="s">
        <v>2363</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2364</v>
      </c>
      <c r="F24">
        <f xml:space="preserve"> TMT.SizeOuter</f>
        <v>3.4142135623730949</v>
      </c>
    </row>
    <row r="25" spans="2:6">
      <c r="E25" s="4" t="s">
        <v>2365</v>
      </c>
      <c r="F25">
        <f xml:space="preserve"> TMT.SizeOuter</f>
        <v>3.4142135623730949</v>
      </c>
    </row>
    <row r="26" spans="2:6">
      <c r="E26" s="4" t="s">
        <v>2366</v>
      </c>
      <c r="F26">
        <f xml:space="preserve"> - TMT.MaxX</f>
        <v>-3.4142135623730949</v>
      </c>
    </row>
    <row r="27" spans="2:6">
      <c r="E27" s="4" t="s">
        <v>2367</v>
      </c>
      <c r="F27">
        <f xml:space="preserve"> - TMT.MaxY</f>
        <v>-3.4142135623730949</v>
      </c>
    </row>
    <row r="29" spans="2:6">
      <c r="E29" s="4" t="s">
        <v>2368</v>
      </c>
      <c r="F29" s="5" t="s">
        <v>1778</v>
      </c>
    </row>
    <row r="30" spans="2:6">
      <c r="E30" s="4" t="s">
        <v>2369</v>
      </c>
      <c r="F30" s="5" t="s">
        <v>2376</v>
      </c>
    </row>
    <row r="32" spans="2:6">
      <c r="E32" s="4" t="s">
        <v>2370</v>
      </c>
      <c r="F32">
        <f xml:space="preserve"> PI() / (16 * (1 - SqrtHalf) / 2)</f>
        <v>1.3407585306672443</v>
      </c>
    </row>
    <row r="33" spans="4:6">
      <c r="E33" s="4" t="s">
        <v>2371</v>
      </c>
      <c r="F33" cm="1">
        <f t="array" ref="F33" xml:space="preserve">  MAX(TMT.MaxY, - TMT.MinY)   /   MAX(TMT.MaxX, - TMT.MinX)</f>
        <v>1</v>
      </c>
    </row>
    <row r="34" spans="4:6">
      <c r="E34" s="4" t="s">
        <v>2372</v>
      </c>
      <c r="F34" cm="1">
        <f t="array" ref="F34" xml:space="preserve"> VALUE(TEXT(SQRT( TMT.AreaMultiplier * BasicBBoxArea *  TMT.Aspect), SVG.NumberFormatHeight))</f>
        <v>17.399999999999999</v>
      </c>
    </row>
    <row r="35" spans="4:6">
      <c r="E35" s="4" t="s">
        <v>2373</v>
      </c>
      <c r="F35" cm="1">
        <f t="array" ref="F35" xml:space="preserve">  TMT.Height /  TMT.Aspect</f>
        <v>17.399999999999999</v>
      </c>
    </row>
    <row r="38" spans="4:6" ht="17" thickBot="1">
      <c r="F38" s="3" t="s">
        <v>2374</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2439</v>
      </c>
      <c r="F2">
        <v>750</v>
      </c>
      <c r="H2" cm="1">
        <f t="array" ref="H2" xml:space="preserve"> GCD(IF(NPR.RawX &lt;= 0, NPR.MaxX, NPR.RawX))</f>
        <v>15</v>
      </c>
    </row>
    <row r="3" spans="2:8">
      <c r="E3" s="4" t="s">
        <v>2440</v>
      </c>
      <c r="F3">
        <f xml:space="preserve"> NPR.HalfWidth * 8 / 15</f>
        <v>400</v>
      </c>
      <c r="H3" cm="1">
        <f t="array" ref="H3" xml:space="preserve"> GCD(IF(NPR.RawY &lt;= 0, NPR.MaxY, NPR.RawY))</f>
        <v>8</v>
      </c>
    </row>
    <row r="4" spans="2:8">
      <c r="E4" s="4" t="s">
        <v>2441</v>
      </c>
      <c r="F4">
        <v>60</v>
      </c>
    </row>
    <row r="6" spans="2:8">
      <c r="E6" s="4" t="s">
        <v>2423</v>
      </c>
      <c r="F6">
        <f xml:space="preserve"> DecimalPlaces - INT(LOG(MIN(NPR.HalfWidth, NPR.HalfHeight), 10) + 0.2)</f>
        <v>3</v>
      </c>
    </row>
    <row r="8" spans="2:8" ht="17" thickBot="1">
      <c r="B8" s="3" t="s">
        <v>2437</v>
      </c>
      <c r="C8" s="3" t="s">
        <v>2424</v>
      </c>
      <c r="D8" s="3" t="s">
        <v>2425</v>
      </c>
      <c r="F8" s="3" t="s">
        <v>2426</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2429</v>
      </c>
      <c r="F22" cm="1">
        <f t="array" ref="F22" xml:space="preserve"> ROUND( MIN(NPR.RawX), NPR.DecimalPlaces)</f>
        <v>-750</v>
      </c>
    </row>
    <row r="23" spans="2:6">
      <c r="E23" s="4" t="s">
        <v>2427</v>
      </c>
      <c r="F23" cm="1">
        <f t="array" ref="F23" xml:space="preserve"> ROUND(MAX(NPR.RawX), NPR.DecimalPlaces)</f>
        <v>750</v>
      </c>
    </row>
    <row r="24" spans="2:6">
      <c r="E24" s="4" t="s">
        <v>2430</v>
      </c>
      <c r="F24" cm="1">
        <f t="array" ref="F24" xml:space="preserve"> ROUND( MIN(NPR.RawY), NPR.DecimalPlaces)</f>
        <v>-400</v>
      </c>
    </row>
    <row r="25" spans="2:6">
      <c r="E25" s="4" t="s">
        <v>2428</v>
      </c>
      <c r="F25" cm="1">
        <f t="array" ref="F25" xml:space="preserve"> ROUND(MAX(NPR.RawY), NPR.DecimalPlaces)</f>
        <v>400</v>
      </c>
    </row>
    <row r="27" spans="2:6">
      <c r="E27" s="4" t="s">
        <v>2438</v>
      </c>
      <c r="F27" s="5" t="s">
        <v>2421</v>
      </c>
    </row>
    <row r="28" spans="2:6">
      <c r="E28" s="4" t="s">
        <v>2431</v>
      </c>
      <c r="F28" s="5" t="s">
        <v>2087</v>
      </c>
    </row>
    <row r="30" spans="2:6">
      <c r="E30" s="4" t="s">
        <v>2432</v>
      </c>
      <c r="F30">
        <f xml:space="preserve"> INDEX(Simple.AreaMultiplier, MATCH("LU", Simple.ID, 0))</f>
        <v>1.3812499999999999</v>
      </c>
    </row>
    <row r="31" spans="2:6">
      <c r="E31" s="4" t="s">
        <v>2433</v>
      </c>
      <c r="F31" cm="1">
        <f t="array" ref="F31" xml:space="preserve">  MAX(NPR.MaxY, - NPR.MinY)   /   MAX(NPR.MaxX, - NPR.MinX)</f>
        <v>0.53333333333333333</v>
      </c>
    </row>
    <row r="32" spans="2:6">
      <c r="E32" s="4" t="s">
        <v>2434</v>
      </c>
      <c r="F32" cm="1">
        <f t="array" ref="F32" xml:space="preserve"> VALUE(TEXT(SQRT( NPR.AreaMultiplier * BasicBBoxArea *  NPR.Aspect), SVG.NumberFormatHeight))</f>
        <v>12.9</v>
      </c>
    </row>
    <row r="33" spans="4:6">
      <c r="E33" s="4" t="s">
        <v>2435</v>
      </c>
      <c r="F33" cm="1">
        <f t="array" ref="F33" xml:space="preserve">  NPR.Height /  NPR.Aspect</f>
        <v>24.1875</v>
      </c>
    </row>
    <row r="36" spans="4:6" ht="17" thickBot="1">
      <c r="F36" s="3" t="s">
        <v>2436</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914</v>
      </c>
      <c r="F2" s="3" t="s">
        <v>912</v>
      </c>
      <c r="G2" s="3" t="s">
        <v>913</v>
      </c>
      <c r="H2" s="3" t="s">
        <v>915</v>
      </c>
      <c r="I2" s="3" t="s">
        <v>916</v>
      </c>
      <c r="K2" s="3" t="s">
        <v>918</v>
      </c>
      <c r="L2" s="3" t="s">
        <v>919</v>
      </c>
      <c r="N2" s="35" t="s">
        <v>1512</v>
      </c>
      <c r="O2" s="35" t="s">
        <v>917</v>
      </c>
    </row>
    <row r="3" spans="2:15">
      <c r="B3" s="4" t="s">
        <v>904</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906</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903</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2262</v>
      </c>
    </row>
    <row r="7" spans="2:15">
      <c r="B7" s="4" t="s">
        <v>905</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907</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2263</v>
      </c>
    </row>
    <row r="11" spans="2:15">
      <c r="B11" s="4" t="s">
        <v>908</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909</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2264</v>
      </c>
    </row>
    <row r="13" spans="2:15">
      <c r="B13" s="4"/>
    </row>
    <row r="14" spans="2:15">
      <c r="B14" s="4" t="s">
        <v>910</v>
      </c>
      <c r="C14">
        <f xml:space="preserve"> VALUE(TEXT(SQRT(GEL.AreaMultiplier* BasicBBoxArea * GEL.Aspect), SVG.NumberFormatHeight))</f>
        <v>18.8</v>
      </c>
      <c r="O14" s="5" t="s">
        <v>15</v>
      </c>
    </row>
    <row r="15" spans="2:15">
      <c r="B15" s="4" t="s">
        <v>911</v>
      </c>
      <c r="C15" cm="1">
        <f t="array" ref="C15" xml:space="preserve"> GEL.Height / GEL.Aspect</f>
        <v>18.8</v>
      </c>
      <c r="O15"/>
    </row>
    <row r="16" spans="2:15">
      <c r="O16"/>
    </row>
    <row r="17" spans="2:15">
      <c r="B17" s="4" t="s">
        <v>1513</v>
      </c>
      <c r="C17" t="s">
        <v>738</v>
      </c>
      <c r="O17"/>
    </row>
    <row r="18" spans="2:15">
      <c r="B18" s="4" t="s">
        <v>1514</v>
      </c>
      <c r="C18" t="s">
        <v>2087</v>
      </c>
      <c r="O18"/>
    </row>
    <row r="19" spans="2:15">
      <c r="O19"/>
    </row>
    <row r="20" spans="2:15">
      <c r="C20">
        <f xml:space="preserve"> 2 * GEL.MaxX / (GEL.MaxX - 20)</f>
        <v>88.981078620567899</v>
      </c>
      <c r="D20" s="5" t="s">
        <v>921</v>
      </c>
      <c r="O20"/>
    </row>
    <row r="21" spans="2:15">
      <c r="B21" s="4" t="s">
        <v>920</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topLeftCell="B1"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2058</v>
      </c>
      <c r="C2" s="3" t="s">
        <v>2060</v>
      </c>
      <c r="D2" s="3" t="s">
        <v>2061</v>
      </c>
      <c r="I2" s="3" t="s">
        <v>2047</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1515</v>
      </c>
      <c r="C5" s="3" t="s">
        <v>2048</v>
      </c>
      <c r="D5" s="3" t="s">
        <v>2057</v>
      </c>
      <c r="E5" s="3" t="s">
        <v>2049</v>
      </c>
      <c r="F5" s="3" t="s">
        <v>2050</v>
      </c>
      <c r="G5" s="3" t="s">
        <v>2065</v>
      </c>
      <c r="H5" s="3" t="s">
        <v>2066</v>
      </c>
      <c r="I5" s="3" t="s">
        <v>2067</v>
      </c>
      <c r="K5" s="3" t="s">
        <v>2051</v>
      </c>
    </row>
    <row r="7" spans="2:11">
      <c r="B7" t="s">
        <v>2059</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2059</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2059</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2084</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2084</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2084</v>
      </c>
      <c r="C20">
        <v>54</v>
      </c>
      <c r="D20" s="28"/>
      <c r="E20" s="28"/>
      <c r="F20" s="28"/>
      <c r="G20" s="28"/>
      <c r="H20" s="28">
        <f xml:space="preserve"> H19</f>
        <v>0.30976000000000004</v>
      </c>
      <c r="I20" s="28">
        <f xml:space="preserve"> I21</f>
        <v>0.30902000000000002</v>
      </c>
    </row>
    <row r="21" spans="2:9">
      <c r="B21" t="s">
        <v>2084</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2084</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2084</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2084</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2084</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2084</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2084</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2084</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2084</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2084</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2084</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2084</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1020</v>
      </c>
      <c r="K35" s="28" t="s">
        <v>2083</v>
      </c>
    </row>
    <row r="36" spans="2:11">
      <c r="B36" t="s">
        <v>1020</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1020</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1020</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1020</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1020</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1020</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1020</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1020</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1020</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1020</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2129</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2129</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2129</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2129</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2129</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876</v>
      </c>
      <c r="K70" s="28">
        <f xml:space="preserve"> ROUND(MAX(RUB.X), RUB.DecimalPlaces)</f>
        <v>0.95106000000000002</v>
      </c>
    </row>
    <row r="71" spans="10:13">
      <c r="J71" s="4" t="s">
        <v>878</v>
      </c>
      <c r="K71" s="28">
        <f xml:space="preserve"> ROUND(MAX(RUB.Y), RUB.DecimalPlaces)</f>
        <v>1</v>
      </c>
    </row>
    <row r="72" spans="10:13">
      <c r="J72" s="4" t="s">
        <v>875</v>
      </c>
      <c r="K72" s="28">
        <f xml:space="preserve"> ROUND( MIN(RUB.X), RUB.DecimalPlaces)</f>
        <v>-0.95106000000000002</v>
      </c>
    </row>
    <row r="73" spans="10:13">
      <c r="J73" s="4" t="s">
        <v>877</v>
      </c>
      <c r="K73" s="28">
        <f xml:space="preserve"> ROUND( MIN(RUB.Y), RUB.DecimalPlaces)</f>
        <v>-0.80901999999999996</v>
      </c>
    </row>
    <row r="75" spans="10:13">
      <c r="J75" s="4" t="s">
        <v>2062</v>
      </c>
      <c r="K75" s="5" t="s">
        <v>2064</v>
      </c>
      <c r="M75" t="str">
        <f xml:space="preserve"> DEC2HEX(INT(HEX2DEC("D4")/2),2)  &amp;  DEC2HEX(INT(HEX2DEC("AF")/2),2)  &amp;  DEC2HEX(INT(HEX2DEC("37")/2),2)</f>
        <v>6A571B</v>
      </c>
    </row>
    <row r="76" spans="10:13">
      <c r="J76" s="4" t="s">
        <v>2063</v>
      </c>
      <c r="K76" s="5" t="s">
        <v>2076</v>
      </c>
    </row>
    <row r="78" spans="10:13">
      <c r="J78" s="4" t="s">
        <v>2052</v>
      </c>
      <c r="K78" s="26">
        <v>1.55</v>
      </c>
    </row>
    <row r="79" spans="10:13">
      <c r="J79" s="4" t="s">
        <v>2053</v>
      </c>
      <c r="K79" cm="1">
        <f t="array" ref="K79" xml:space="preserve">  MAX(RUB.MaxY, - RUB.MinY)   /   MAX(RUB.MaxX, - RUB.MinX)</f>
        <v>1.0514583727630222</v>
      </c>
    </row>
    <row r="80" spans="10:13">
      <c r="J80" s="4" t="s">
        <v>2054</v>
      </c>
      <c r="K80" cm="1">
        <f t="array" ref="K80" xml:space="preserve"> VALUE(TEXT(SQRT( RUB.AreaMultiplier * BasicBBoxArea *  RUB.Aspect), SVG.NumberFormatHeight))</f>
        <v>19.100000000000001</v>
      </c>
    </row>
    <row r="81" spans="8:11">
      <c r="J81" s="4" t="s">
        <v>2055</v>
      </c>
      <c r="K81" cm="1">
        <f t="array" ref="K81" xml:space="preserve">  RUB.Height /  RUB.Aspect</f>
        <v>18.165246000000003</v>
      </c>
    </row>
    <row r="83" spans="8:11" ht="17" thickBot="1">
      <c r="K83" s="3" t="s">
        <v>2056</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topLeftCell="A2" workbookViewId="0">
      <selection activeCell="B2" sqref="B2"/>
    </sheetView>
  </sheetViews>
  <sheetFormatPr baseColWidth="10" defaultRowHeight="16"/>
  <sheetData>
    <row r="2" spans="2:16" ht="17" thickBot="1">
      <c r="C2" s="2" t="s">
        <v>434</v>
      </c>
      <c r="D2" s="2" t="s">
        <v>435</v>
      </c>
      <c r="F2" s="3" t="s">
        <v>436</v>
      </c>
    </row>
    <row r="3" spans="2:16">
      <c r="C3" t="b">
        <v>0</v>
      </c>
      <c r="D3" t="b">
        <v>1</v>
      </c>
      <c r="F3">
        <f xml:space="preserve"> DecimalPlaces - INT(LOG(MIN(  MAX(AED.RawX) - MIN(AED.RawX),  MAX(AED.RawY) - MIN(AED.RawY)  )/2, 10) + 0.2)</f>
        <v>3</v>
      </c>
    </row>
    <row r="5" spans="2:16" ht="17" thickBot="1">
      <c r="B5" s="3" t="s">
        <v>437</v>
      </c>
      <c r="C5" s="3" t="s">
        <v>438</v>
      </c>
      <c r="D5" s="3" t="s">
        <v>439</v>
      </c>
      <c r="F5" s="3" t="s">
        <v>1756</v>
      </c>
      <c r="K5" s="3" t="s">
        <v>440</v>
      </c>
      <c r="L5" s="3" t="s">
        <v>441</v>
      </c>
      <c r="M5" s="3" t="s">
        <v>442</v>
      </c>
      <c r="N5" s="3" t="s">
        <v>443</v>
      </c>
      <c r="O5" s="3" t="s">
        <v>444</v>
      </c>
      <c r="P5" s="3" t="s">
        <v>445</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446</v>
      </c>
      <c r="I19">
        <v>16</v>
      </c>
    </row>
    <row r="20" spans="2:16">
      <c r="H20" s="4" t="s">
        <v>447</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454</v>
      </c>
      <c r="F36">
        <f xml:space="preserve"> ROUND( MIN(AED.RawX), AED.DecimalPlaces)</f>
        <v>-126.44</v>
      </c>
    </row>
    <row r="37" spans="2:16">
      <c r="E37" s="4" t="s">
        <v>455</v>
      </c>
      <c r="F37">
        <f xml:space="preserve"> ROUND(MAX(AED.RawX), AED.DecimalPlaces)</f>
        <v>126.44</v>
      </c>
    </row>
    <row r="38" spans="2:16">
      <c r="E38" s="4" t="s">
        <v>456</v>
      </c>
      <c r="F38">
        <f xml:space="preserve"> ROUND( MIN(AED.RawY), AED.DecimalPlaces)</f>
        <v>-84.516999999999996</v>
      </c>
    </row>
    <row r="39" spans="2:16">
      <c r="E39" s="4" t="s">
        <v>457</v>
      </c>
      <c r="F39">
        <f xml:space="preserve"> ROUND(MAX(AED.RawY), AED.DecimalPlaces)</f>
        <v>146</v>
      </c>
    </row>
    <row r="41" spans="2:16">
      <c r="E41" s="4" t="s">
        <v>448</v>
      </c>
      <c r="F41" s="26">
        <f xml:space="preserve"> ZAR.AreaMultiplier</f>
        <v>2</v>
      </c>
    </row>
    <row r="42" spans="2:16">
      <c r="E42" s="4" t="s">
        <v>449</v>
      </c>
      <c r="F42">
        <f xml:space="preserve">  MAX(AED.MaxY, - AED.MinY)   /   MAX(AED.MaxX, - AED.MinX)</f>
        <v>1.1546978804175894</v>
      </c>
    </row>
    <row r="43" spans="2:16">
      <c r="E43" s="4" t="s">
        <v>450</v>
      </c>
      <c r="F43">
        <f xml:space="preserve"> VALUE(TEXT(SQRT(AED.AreaMultiplier* BasicBBoxArea * AED.Aspect), SVG.NumberFormatHeight))</f>
        <v>22.8</v>
      </c>
    </row>
    <row r="44" spans="2:16">
      <c r="E44" s="4" t="s">
        <v>451</v>
      </c>
      <c r="F44" cm="1">
        <f t="array" ref="F44" xml:space="preserve"> AED.Height / AED.Aspect</f>
        <v>19.745424657534247</v>
      </c>
    </row>
    <row r="46" spans="2:16">
      <c r="E46" s="4" t="s">
        <v>452</v>
      </c>
      <c r="F46" t="s">
        <v>769</v>
      </c>
    </row>
    <row r="47" spans="2:16">
      <c r="E47" s="4" t="s">
        <v>453</v>
      </c>
      <c r="F47" t="s">
        <v>770</v>
      </c>
    </row>
    <row r="49" spans="3:6" ht="17" thickBot="1">
      <c r="F49" s="3" t="s">
        <v>458</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topLeftCell="A2" workbookViewId="0">
      <selection activeCell="B2" sqref="B2"/>
    </sheetView>
  </sheetViews>
  <sheetFormatPr baseColWidth="10" defaultRowHeight="16"/>
  <sheetData>
    <row r="2" spans="2:5" ht="17" thickBot="1">
      <c r="B2" t="s">
        <v>1976</v>
      </c>
      <c r="C2" s="3" t="s">
        <v>1977</v>
      </c>
      <c r="E2" t="s">
        <v>1961</v>
      </c>
    </row>
    <row r="3" spans="2:5">
      <c r="B3" s="34">
        <v>5</v>
      </c>
      <c r="C3">
        <v>1</v>
      </c>
      <c r="E3" s="34">
        <f xml:space="preserve"> DecimalPlaces - INT(LOG(MIN(  MAX( OMR.RawX) - MIN( OMR.RawX),  MAX( OMR.RawY) - MIN( OMR.RawY)  )/2, 10) + 0.2)</f>
        <v>5</v>
      </c>
    </row>
    <row r="5" spans="2:5" ht="17" thickBot="1">
      <c r="B5" s="3" t="s">
        <v>1962</v>
      </c>
      <c r="C5" s="3" t="s">
        <v>1963</v>
      </c>
      <c r="E5" s="3" t="s">
        <v>1964</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1966</v>
      </c>
      <c r="E20">
        <f xml:space="preserve"> 1 + OMR.SizeInner</f>
        <v>6</v>
      </c>
    </row>
    <row r="21" spans="2:5">
      <c r="D21" s="4" t="s">
        <v>1968</v>
      </c>
      <c r="E21">
        <f xml:space="preserve"> OMR.MaxX</f>
        <v>6</v>
      </c>
    </row>
    <row r="22" spans="2:5">
      <c r="D22" s="4" t="s">
        <v>1965</v>
      </c>
      <c r="E22">
        <f xml:space="preserve"> - OMR.MaxX</f>
        <v>-6</v>
      </c>
    </row>
    <row r="23" spans="2:5">
      <c r="D23" s="4" t="s">
        <v>1967</v>
      </c>
      <c r="E23">
        <f xml:space="preserve"> - OMR.MaxY</f>
        <v>-6</v>
      </c>
    </row>
    <row r="25" spans="2:5">
      <c r="D25" s="4" t="s">
        <v>1969</v>
      </c>
      <c r="E25" s="5" t="s">
        <v>728</v>
      </c>
    </row>
    <row r="26" spans="2:5">
      <c r="D26" s="4" t="s">
        <v>1970</v>
      </c>
      <c r="E26" s="5" t="s">
        <v>1960</v>
      </c>
    </row>
    <row r="28" spans="2:5">
      <c r="D28" s="4" t="s">
        <v>1971</v>
      </c>
      <c r="E28">
        <f xml:space="preserve"> MODE(Squares.AreaMultiplier)</f>
        <v>0.85</v>
      </c>
    </row>
    <row r="29" spans="2:5">
      <c r="D29" s="4" t="s">
        <v>1972</v>
      </c>
      <c r="E29" cm="1">
        <f t="array" ref="E29" xml:space="preserve">  MAX(OMR.MaxY, - OMR.MinY)   /   MAX(OMR.MaxX, - OMR.MinX)</f>
        <v>1</v>
      </c>
    </row>
    <row r="30" spans="2:5">
      <c r="D30" s="4" t="s">
        <v>1973</v>
      </c>
      <c r="E30" cm="1">
        <f t="array" ref="E30" xml:space="preserve"> VALUE(TEXT(SQRT( OMR.AreaMultiplier * BasicBBoxArea *  OMR.Aspect), SVG.NumberFormatHeight))</f>
        <v>13.8</v>
      </c>
    </row>
    <row r="31" spans="2:5">
      <c r="D31" s="4" t="s">
        <v>1974</v>
      </c>
      <c r="E31" cm="1">
        <f t="array" ref="E31" xml:space="preserve">  OMR.Height /  OMR.Aspect</f>
        <v>13.8</v>
      </c>
    </row>
    <row r="34" spans="3:5" ht="17" thickBot="1">
      <c r="E34" s="3" t="s">
        <v>1975</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topLeftCell="A2" workbookViewId="0">
      <selection activeCell="B2" sqref="B2"/>
    </sheetView>
  </sheetViews>
  <sheetFormatPr baseColWidth="10" defaultRowHeight="16"/>
  <sheetData>
    <row r="2" spans="2:6" ht="17" thickBot="1">
      <c r="F2" s="3" t="s">
        <v>460</v>
      </c>
    </row>
    <row r="3" spans="2:6">
      <c r="F3">
        <f xml:space="preserve"> DecimalPlaces - INT(LOG(MIN(  MAX(QAR.RawX) - MIN(QAR.RawX),  MAX(QAR.RawY) - MIN(QAR.RawY)  )/2, 10) + 0.2)</f>
        <v>3</v>
      </c>
    </row>
    <row r="5" spans="2:6" ht="17" thickBot="1">
      <c r="C5" s="3" t="s">
        <v>477</v>
      </c>
    </row>
    <row r="6" spans="2:6">
      <c r="C6" cm="1">
        <f t="array" ref="C6" xml:space="preserve"> SQRT(1417) * 45 / 88 / GoldenRatio</f>
        <v>11.896716885504146</v>
      </c>
    </row>
    <row r="8" spans="2:6" ht="17" thickBot="1">
      <c r="B8" s="3" t="s">
        <v>461</v>
      </c>
      <c r="C8" s="3" t="s">
        <v>462</v>
      </c>
      <c r="D8" s="3" t="s">
        <v>463</v>
      </c>
      <c r="F8" s="3" t="s">
        <v>1746</v>
      </c>
    </row>
    <row r="9" spans="2:6">
      <c r="B9" s="34" t="s">
        <v>476</v>
      </c>
      <c r="C9" s="1">
        <v>121</v>
      </c>
      <c r="D9" s="1">
        <f xml:space="preserve"> _xlfn.SINGLE(QAR.RawX)</f>
        <v>121</v>
      </c>
    </row>
    <row r="10" spans="2:6">
      <c r="B10" t="s">
        <v>476</v>
      </c>
      <c r="C10" s="1">
        <f xml:space="preserve"> - C9</f>
        <v>-121</v>
      </c>
      <c r="D10" s="1">
        <f xml:space="preserve"> D9</f>
        <v>121</v>
      </c>
    </row>
    <row r="11" spans="2:6">
      <c r="B11" t="s">
        <v>476</v>
      </c>
      <c r="C11" s="1">
        <f xml:space="preserve"> C10</f>
        <v>-121</v>
      </c>
      <c r="D11" s="1">
        <f xml:space="preserve"> - D10</f>
        <v>-121</v>
      </c>
    </row>
    <row r="12" spans="2:6">
      <c r="B12" t="s">
        <v>476</v>
      </c>
      <c r="C12" s="1">
        <f xml:space="preserve"> - C11</f>
        <v>121</v>
      </c>
      <c r="D12" s="1">
        <f xml:space="preserve"> D11</f>
        <v>-121</v>
      </c>
    </row>
    <row r="13" spans="2:6">
      <c r="B13" t="s">
        <v>476</v>
      </c>
      <c r="C13" s="1">
        <f xml:space="preserve"> C12</f>
        <v>121</v>
      </c>
      <c r="D13" s="1">
        <f xml:space="preserve"> - D12</f>
        <v>121</v>
      </c>
    </row>
    <row r="14" spans="2:6">
      <c r="C14" s="1"/>
      <c r="D14" s="1"/>
    </row>
    <row r="15" spans="2:6">
      <c r="B15" t="s">
        <v>1745</v>
      </c>
      <c r="C15" s="54">
        <v>-99</v>
      </c>
      <c r="D15" s="1">
        <v>-99</v>
      </c>
      <c r="F15" t="str">
        <f t="array" ref="F15:F26" xml:space="preserve"> svgpath($C15:$C26, $D15:$D26, QAR.DecimalPlaces)</f>
        <v>M-99 -99</v>
      </c>
    </row>
    <row r="16" spans="2:6">
      <c r="B16" t="s">
        <v>1745</v>
      </c>
      <c r="C16">
        <v>-72</v>
      </c>
      <c r="D16" s="1">
        <f xml:space="preserve"> D15</f>
        <v>-99</v>
      </c>
      <c r="F16" t="str">
        <v>h27</v>
      </c>
    </row>
    <row r="17" spans="2:6">
      <c r="B17" t="s">
        <v>1745</v>
      </c>
      <c r="C17">
        <f xml:space="preserve"> -72 - C16</f>
        <v>0</v>
      </c>
      <c r="D17">
        <f xml:space="preserve"> 22 + D16</f>
        <v>-77</v>
      </c>
      <c r="F17" t="str">
        <v>L0 -77</v>
      </c>
    </row>
    <row r="18" spans="2:6">
      <c r="B18" t="s">
        <v>1745</v>
      </c>
      <c r="C18">
        <f t="shared" ref="C18:C25" si="0" xml:space="preserve"> -72 - C17</f>
        <v>-72</v>
      </c>
      <c r="D18">
        <f t="shared" ref="D18:D25" si="1" xml:space="preserve"> 22 + D17</f>
        <v>-55</v>
      </c>
      <c r="F18" t="str">
        <v>l-72 22</v>
      </c>
    </row>
    <row r="19" spans="2:6">
      <c r="B19" t="s">
        <v>1745</v>
      </c>
      <c r="C19">
        <f t="shared" si="0"/>
        <v>0</v>
      </c>
      <c r="D19">
        <f t="shared" si="1"/>
        <v>-33</v>
      </c>
      <c r="F19" t="str">
        <v>L0 -33</v>
      </c>
    </row>
    <row r="20" spans="2:6">
      <c r="B20" t="s">
        <v>1745</v>
      </c>
      <c r="C20">
        <f t="shared" si="0"/>
        <v>-72</v>
      </c>
      <c r="D20">
        <f t="shared" si="1"/>
        <v>-11</v>
      </c>
      <c r="F20" t="str">
        <v>l-72 22</v>
      </c>
    </row>
    <row r="21" spans="2:6">
      <c r="B21" t="s">
        <v>1745</v>
      </c>
      <c r="C21">
        <f t="shared" si="0"/>
        <v>0</v>
      </c>
      <c r="D21">
        <f t="shared" si="1"/>
        <v>11</v>
      </c>
      <c r="F21" t="str">
        <v>L0 11</v>
      </c>
    </row>
    <row r="22" spans="2:6">
      <c r="B22" t="s">
        <v>1745</v>
      </c>
      <c r="C22">
        <f t="shared" si="0"/>
        <v>-72</v>
      </c>
      <c r="D22">
        <f t="shared" si="1"/>
        <v>33</v>
      </c>
      <c r="F22" t="str">
        <v>L-72 33</v>
      </c>
    </row>
    <row r="23" spans="2:6">
      <c r="B23" t="s">
        <v>1745</v>
      </c>
      <c r="C23">
        <f t="shared" si="0"/>
        <v>0</v>
      </c>
      <c r="D23">
        <f t="shared" si="1"/>
        <v>55</v>
      </c>
      <c r="F23" t="str">
        <v>L0 55</v>
      </c>
    </row>
    <row r="24" spans="2:6">
      <c r="B24" t="s">
        <v>1745</v>
      </c>
      <c r="C24">
        <f t="shared" si="0"/>
        <v>-72</v>
      </c>
      <c r="D24">
        <f t="shared" si="1"/>
        <v>77</v>
      </c>
      <c r="F24" t="str">
        <v>L-72 77</v>
      </c>
    </row>
    <row r="25" spans="2:6">
      <c r="B25" t="s">
        <v>1745</v>
      </c>
      <c r="C25">
        <f t="shared" si="0"/>
        <v>0</v>
      </c>
      <c r="D25">
        <f t="shared" si="1"/>
        <v>99</v>
      </c>
      <c r="F25" t="str">
        <v>L0 99</v>
      </c>
    </row>
    <row r="26" spans="2:6">
      <c r="B26" t="s">
        <v>1745</v>
      </c>
      <c r="C26">
        <f xml:space="preserve"> C15</f>
        <v>-99</v>
      </c>
      <c r="D26">
        <f xml:space="preserve"> D25</f>
        <v>99</v>
      </c>
      <c r="F26" t="str">
        <v>H-99Z</v>
      </c>
    </row>
    <row r="28" spans="2:6">
      <c r="B28" t="s">
        <v>1745</v>
      </c>
      <c r="C28" s="54">
        <f xml:space="preserve"> - C15</f>
        <v>99</v>
      </c>
      <c r="D28">
        <f xml:space="preserve"> D15</f>
        <v>-99</v>
      </c>
      <c r="F28" t="str">
        <f t="array" ref="F28:F39" xml:space="preserve"> svgpath($C28:$C39, $D28:$D39, QAR.DecimalPlaces)</f>
        <v>M99 -99</v>
      </c>
    </row>
    <row r="29" spans="2:6">
      <c r="B29" t="s">
        <v>1745</v>
      </c>
      <c r="C29" s="1">
        <f xml:space="preserve"> 72 + C16</f>
        <v>0</v>
      </c>
      <c r="D29">
        <f t="shared" ref="D29:D39" si="2" xml:space="preserve"> D16</f>
        <v>-99</v>
      </c>
      <c r="F29" t="str">
        <v>H0</v>
      </c>
    </row>
    <row r="30" spans="2:6">
      <c r="B30" t="s">
        <v>1745</v>
      </c>
      <c r="C30" s="1">
        <f t="shared" ref="C30:C38" si="3" xml:space="preserve"> 72 + C17</f>
        <v>72</v>
      </c>
      <c r="D30">
        <f t="shared" si="2"/>
        <v>-77</v>
      </c>
      <c r="F30" t="str">
        <v>l72 22</v>
      </c>
    </row>
    <row r="31" spans="2:6">
      <c r="B31" t="s">
        <v>1745</v>
      </c>
      <c r="C31" s="1">
        <f t="shared" si="3"/>
        <v>0</v>
      </c>
      <c r="D31">
        <f t="shared" si="2"/>
        <v>-55</v>
      </c>
      <c r="F31" t="str">
        <v>L0 -55</v>
      </c>
    </row>
    <row r="32" spans="2:6">
      <c r="B32" t="s">
        <v>1745</v>
      </c>
      <c r="C32" s="1">
        <f t="shared" si="3"/>
        <v>72</v>
      </c>
      <c r="D32">
        <f t="shared" si="2"/>
        <v>-33</v>
      </c>
      <c r="F32" t="str">
        <v>l72 22</v>
      </c>
    </row>
    <row r="33" spans="2:6">
      <c r="B33" t="s">
        <v>1745</v>
      </c>
      <c r="C33" s="1">
        <f t="shared" si="3"/>
        <v>0</v>
      </c>
      <c r="D33">
        <f t="shared" si="2"/>
        <v>-11</v>
      </c>
      <c r="F33" t="str">
        <v>L0 -11</v>
      </c>
    </row>
    <row r="34" spans="2:6">
      <c r="B34" t="s">
        <v>1745</v>
      </c>
      <c r="C34" s="1">
        <f t="shared" si="3"/>
        <v>72</v>
      </c>
      <c r="D34">
        <f t="shared" si="2"/>
        <v>11</v>
      </c>
      <c r="F34" t="str">
        <v>L72 11</v>
      </c>
    </row>
    <row r="35" spans="2:6">
      <c r="B35" t="s">
        <v>1745</v>
      </c>
      <c r="C35" s="1">
        <f t="shared" si="3"/>
        <v>0</v>
      </c>
      <c r="D35">
        <f t="shared" si="2"/>
        <v>33</v>
      </c>
      <c r="F35" t="str">
        <v>L0 33</v>
      </c>
    </row>
    <row r="36" spans="2:6">
      <c r="B36" t="s">
        <v>1745</v>
      </c>
      <c r="C36" s="1">
        <f t="shared" si="3"/>
        <v>72</v>
      </c>
      <c r="D36">
        <f t="shared" si="2"/>
        <v>55</v>
      </c>
      <c r="F36" t="str">
        <v>L72 55</v>
      </c>
    </row>
    <row r="37" spans="2:6">
      <c r="B37" t="s">
        <v>1745</v>
      </c>
      <c r="C37" s="1">
        <f t="shared" si="3"/>
        <v>0</v>
      </c>
      <c r="D37">
        <f t="shared" si="2"/>
        <v>77</v>
      </c>
      <c r="F37" t="str">
        <v>L0 77</v>
      </c>
    </row>
    <row r="38" spans="2:6">
      <c r="B38" t="s">
        <v>1745</v>
      </c>
      <c r="C38" s="1">
        <f t="shared" si="3"/>
        <v>72</v>
      </c>
      <c r="D38">
        <f t="shared" si="2"/>
        <v>99</v>
      </c>
      <c r="F38" t="str">
        <v>L72 99</v>
      </c>
    </row>
    <row r="39" spans="2:6">
      <c r="B39" t="s">
        <v>1745</v>
      </c>
      <c r="C39" s="54">
        <f xml:space="preserve"> - C26</f>
        <v>99</v>
      </c>
      <c r="D39">
        <f t="shared" si="2"/>
        <v>99</v>
      </c>
      <c r="F39" t="str">
        <v>H99Z</v>
      </c>
    </row>
    <row r="42" spans="2:6">
      <c r="E42" s="4" t="s">
        <v>468</v>
      </c>
      <c r="F42">
        <f xml:space="preserve"> ROUND( MIN(QAR.RawX), QAR.DecimalPlaces)</f>
        <v>-121</v>
      </c>
    </row>
    <row r="43" spans="2:6">
      <c r="E43" s="4" t="s">
        <v>469</v>
      </c>
      <c r="F43">
        <f xml:space="preserve"> ROUND(MAX(QAR.RawX), QAR.DecimalPlaces)</f>
        <v>121</v>
      </c>
    </row>
    <row r="44" spans="2:6">
      <c r="E44" s="4" t="s">
        <v>470</v>
      </c>
      <c r="F44">
        <f xml:space="preserve"> ROUND( MIN(QAR.RawY), QAR.DecimalPlaces)</f>
        <v>-121</v>
      </c>
    </row>
    <row r="45" spans="2:6">
      <c r="E45" s="4" t="s">
        <v>471</v>
      </c>
      <c r="F45">
        <f xml:space="preserve"> ROUND(MAX(QAR.RawY), QAR.DecimalPlaces)</f>
        <v>121</v>
      </c>
    </row>
    <row r="47" spans="2:6">
      <c r="E47" s="4" t="s">
        <v>464</v>
      </c>
      <c r="F47" s="26">
        <v>0.8</v>
      </c>
    </row>
    <row r="48" spans="2:6">
      <c r="E48" s="4" t="s">
        <v>465</v>
      </c>
      <c r="F48">
        <f xml:space="preserve">  MAX(QAR.MaxY, - QAR.MinY)   /   MAX(QAR.MaxX, - QAR.MinX)</f>
        <v>1</v>
      </c>
    </row>
    <row r="49" spans="5:6">
      <c r="E49" s="4" t="s">
        <v>466</v>
      </c>
      <c r="F49">
        <f xml:space="preserve"> VALUE(TEXT(SQRT(QAR.AreaMultiplier * BasicBBoxArea * QAR.Aspect), SVG.NumberFormatHeight))</f>
        <v>13.4</v>
      </c>
    </row>
    <row r="50" spans="5:6">
      <c r="E50" s="4" t="s">
        <v>467</v>
      </c>
      <c r="F50" cm="1">
        <f t="array" ref="F50" xml:space="preserve"> QAR.Height / QAR.Aspect</f>
        <v>13.4</v>
      </c>
    </row>
    <row r="51" spans="5:6">
      <c r="E51" s="4"/>
      <c r="F51" s="5"/>
    </row>
    <row r="52" spans="5:6">
      <c r="E52" s="4" t="s">
        <v>474</v>
      </c>
      <c r="F52" s="5" t="s">
        <v>771</v>
      </c>
    </row>
    <row r="53" spans="5:6">
      <c r="E53" s="4" t="s">
        <v>475</v>
      </c>
      <c r="F53" s="5" t="s">
        <v>2087</v>
      </c>
    </row>
    <row r="55" spans="5:6" ht="17" thickBot="1">
      <c r="F55" s="3" t="s">
        <v>472</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topLeftCell="A2" workbookViewId="0">
      <selection activeCell="B2" sqref="B2"/>
    </sheetView>
  </sheetViews>
  <sheetFormatPr baseColWidth="10" defaultRowHeight="16"/>
  <sheetData>
    <row r="2" spans="2:6" ht="17" thickBot="1">
      <c r="F2" s="3" t="s">
        <v>2383</v>
      </c>
    </row>
    <row r="3" spans="2:6">
      <c r="F3">
        <f xml:space="preserve"> DecimalPlaces - INT(LOG(MIN(  MAX(BHD.RawX) - MIN(BHD.RawX),  MAX(BHD.RawY) - MIN(BHD.RawY)  )/2, 10) + 0.2)</f>
        <v>4</v>
      </c>
    </row>
    <row r="5" spans="2:6" ht="17" thickBot="1">
      <c r="C5" s="3" t="s">
        <v>2384</v>
      </c>
    </row>
    <row r="6" spans="2:6">
      <c r="C6" cm="1">
        <f t="array" ref="C6" xml:space="preserve"> SQRT(1417) * 45 / 88 / GoldenRatio</f>
        <v>11.896716885504146</v>
      </c>
    </row>
    <row r="8" spans="2:6" ht="17" thickBot="1">
      <c r="B8" s="3" t="s">
        <v>2385</v>
      </c>
      <c r="C8" s="3" t="s">
        <v>2386</v>
      </c>
      <c r="D8" s="3" t="s">
        <v>2387</v>
      </c>
      <c r="F8" s="3" t="s">
        <v>2388</v>
      </c>
    </row>
    <row r="9" spans="2:6">
      <c r="B9" s="34" t="s">
        <v>476</v>
      </c>
      <c r="C9" s="1">
        <v>61</v>
      </c>
      <c r="D9" s="1">
        <v>48</v>
      </c>
    </row>
    <row r="10" spans="2:6">
      <c r="B10" t="s">
        <v>476</v>
      </c>
      <c r="C10" s="1">
        <f xml:space="preserve"> - C9</f>
        <v>-61</v>
      </c>
      <c r="D10" s="1">
        <f xml:space="preserve"> D9</f>
        <v>48</v>
      </c>
    </row>
    <row r="11" spans="2:6">
      <c r="B11" t="s">
        <v>476</v>
      </c>
      <c r="C11" s="1">
        <f xml:space="preserve"> C10</f>
        <v>-61</v>
      </c>
      <c r="D11" s="1">
        <f xml:space="preserve"> - D10</f>
        <v>-48</v>
      </c>
    </row>
    <row r="12" spans="2:6">
      <c r="B12" t="s">
        <v>476</v>
      </c>
      <c r="C12" s="1">
        <f xml:space="preserve"> - C11</f>
        <v>61</v>
      </c>
      <c r="D12" s="1">
        <f xml:space="preserve"> D11</f>
        <v>-48</v>
      </c>
    </row>
    <row r="13" spans="2:6">
      <c r="B13" t="s">
        <v>476</v>
      </c>
      <c r="C13" s="1">
        <f xml:space="preserve"> C12</f>
        <v>61</v>
      </c>
      <c r="D13" s="1">
        <f xml:space="preserve"> - D12</f>
        <v>48</v>
      </c>
    </row>
    <row r="14" spans="2:6">
      <c r="C14" s="1"/>
      <c r="D14" s="1"/>
    </row>
    <row r="15" spans="2:6">
      <c r="B15" t="s">
        <v>1745</v>
      </c>
      <c r="C15" s="54">
        <v>-48</v>
      </c>
      <c r="D15" s="1">
        <v>35</v>
      </c>
      <c r="F15" t="str" cm="1">
        <f t="array" ref="F15:F22" xml:space="preserve"> svgpath($C15:$C22, $D15:$D22, BHD.DecimalPlaces)</f>
        <v>M-48 35</v>
      </c>
    </row>
    <row r="16" spans="2:6">
      <c r="B16" t="s">
        <v>1745</v>
      </c>
      <c r="C16">
        <v>-35</v>
      </c>
      <c r="D16" s="1">
        <f xml:space="preserve"> D15</f>
        <v>35</v>
      </c>
      <c r="F16" t="str">
        <v>h13</v>
      </c>
    </row>
    <row r="17" spans="2:6">
      <c r="B17" t="s">
        <v>1745</v>
      </c>
      <c r="C17">
        <v>0</v>
      </c>
      <c r="D17">
        <f xml:space="preserve"> D16 - 14</f>
        <v>21</v>
      </c>
      <c r="F17" t="str">
        <v>L0 21</v>
      </c>
    </row>
    <row r="18" spans="2:6">
      <c r="B18" t="s">
        <v>1745</v>
      </c>
      <c r="C18">
        <f xml:space="preserve"> C16</f>
        <v>-35</v>
      </c>
      <c r="D18">
        <f t="shared" ref="D18:D21" si="0" xml:space="preserve"> D17 - 14</f>
        <v>7</v>
      </c>
      <c r="F18" t="str">
        <v>L-35 7</v>
      </c>
    </row>
    <row r="19" spans="2:6">
      <c r="B19" t="s">
        <v>1745</v>
      </c>
      <c r="C19">
        <f t="shared" ref="C19:C21" si="1" xml:space="preserve"> C17</f>
        <v>0</v>
      </c>
      <c r="D19">
        <f t="shared" si="0"/>
        <v>-7</v>
      </c>
      <c r="F19" t="str">
        <v>L0 -7</v>
      </c>
    </row>
    <row r="20" spans="2:6">
      <c r="B20" t="s">
        <v>1745</v>
      </c>
      <c r="C20">
        <f t="shared" si="1"/>
        <v>-35</v>
      </c>
      <c r="D20">
        <f t="shared" si="0"/>
        <v>-21</v>
      </c>
      <c r="F20" t="str">
        <v>L-35 -21</v>
      </c>
    </row>
    <row r="21" spans="2:6">
      <c r="B21" t="s">
        <v>1745</v>
      </c>
      <c r="C21">
        <f t="shared" si="1"/>
        <v>0</v>
      </c>
      <c r="D21">
        <f t="shared" si="0"/>
        <v>-35</v>
      </c>
      <c r="F21" t="str">
        <v>L0 -35</v>
      </c>
    </row>
    <row r="22" spans="2:6">
      <c r="B22" t="s">
        <v>1745</v>
      </c>
      <c r="C22" s="54">
        <f xml:space="preserve"> C15</f>
        <v>-48</v>
      </c>
      <c r="D22">
        <f xml:space="preserve"> D21</f>
        <v>-35</v>
      </c>
      <c r="F22" t="str">
        <v>H-48Z</v>
      </c>
    </row>
    <row r="24" spans="2:6">
      <c r="B24" t="s">
        <v>1745</v>
      </c>
      <c r="C24" s="1">
        <f t="shared" ref="C24:D31" si="2" xml:space="preserve"> - C15</f>
        <v>48</v>
      </c>
      <c r="D24" s="1">
        <f t="shared" si="2"/>
        <v>-35</v>
      </c>
      <c r="F24" t="str" cm="1">
        <f t="array" ref="F24:F31" xml:space="preserve"> svgpath($C24:$C31, $D24:$D31, BHD.DecimalPlaces)</f>
        <v>M48 -35</v>
      </c>
    </row>
    <row r="25" spans="2:6">
      <c r="B25" t="s">
        <v>1745</v>
      </c>
      <c r="C25" s="1">
        <f t="shared" si="2"/>
        <v>35</v>
      </c>
      <c r="D25" s="1">
        <f t="shared" si="2"/>
        <v>-35</v>
      </c>
      <c r="F25" t="str">
        <v>H35</v>
      </c>
    </row>
    <row r="26" spans="2:6">
      <c r="B26" t="s">
        <v>1745</v>
      </c>
      <c r="C26" s="1">
        <f t="shared" si="2"/>
        <v>0</v>
      </c>
      <c r="D26" s="1">
        <f t="shared" si="2"/>
        <v>-21</v>
      </c>
      <c r="F26" t="str">
        <v>L0 -21</v>
      </c>
    </row>
    <row r="27" spans="2:6">
      <c r="B27" t="s">
        <v>1745</v>
      </c>
      <c r="C27" s="1">
        <f t="shared" si="2"/>
        <v>35</v>
      </c>
      <c r="D27" s="1">
        <f t="shared" si="2"/>
        <v>-7</v>
      </c>
      <c r="F27" t="str">
        <v>L35 -7</v>
      </c>
    </row>
    <row r="28" spans="2:6">
      <c r="B28" t="s">
        <v>1745</v>
      </c>
      <c r="C28" s="1">
        <f t="shared" si="2"/>
        <v>0</v>
      </c>
      <c r="D28" s="1">
        <f t="shared" si="2"/>
        <v>7</v>
      </c>
      <c r="F28" t="str">
        <v>L0 7</v>
      </c>
    </row>
    <row r="29" spans="2:6">
      <c r="B29" t="s">
        <v>1745</v>
      </c>
      <c r="C29" s="1">
        <f t="shared" si="2"/>
        <v>35</v>
      </c>
      <c r="D29" s="1">
        <f t="shared" si="2"/>
        <v>21</v>
      </c>
      <c r="F29" t="str">
        <v>L35 21</v>
      </c>
    </row>
    <row r="30" spans="2:6">
      <c r="B30" t="s">
        <v>1745</v>
      </c>
      <c r="C30" s="1">
        <f t="shared" si="2"/>
        <v>0</v>
      </c>
      <c r="D30" s="1">
        <f t="shared" si="2"/>
        <v>35</v>
      </c>
      <c r="F30" t="str">
        <v>L0 35</v>
      </c>
    </row>
    <row r="31" spans="2:6">
      <c r="B31" t="s">
        <v>1745</v>
      </c>
      <c r="C31" s="1">
        <f t="shared" si="2"/>
        <v>48</v>
      </c>
      <c r="D31" s="1">
        <f t="shared" si="2"/>
        <v>35</v>
      </c>
      <c r="F31" t="str">
        <v>H48Z</v>
      </c>
    </row>
    <row r="34" spans="4:6">
      <c r="E34" s="4" t="s">
        <v>2389</v>
      </c>
      <c r="F34" cm="1">
        <f t="array" ref="F34" xml:space="preserve"> ROUND( MIN(BHD.RawX), BHD.DecimalPlaces)</f>
        <v>-61</v>
      </c>
    </row>
    <row r="35" spans="4:6">
      <c r="E35" s="4" t="s">
        <v>2390</v>
      </c>
      <c r="F35" cm="1">
        <f t="array" ref="F35" xml:space="preserve"> ROUND(MAX(BHD.RawX), BHD.DecimalPlaces)</f>
        <v>61</v>
      </c>
    </row>
    <row r="36" spans="4:6">
      <c r="E36" s="4" t="s">
        <v>2391</v>
      </c>
      <c r="F36" cm="1">
        <f t="array" ref="F36" xml:space="preserve"> ROUND( MIN(BHD.RawY), BHD.DecimalPlaces)</f>
        <v>-48</v>
      </c>
    </row>
    <row r="37" spans="4:6">
      <c r="E37" s="4" t="s">
        <v>2392</v>
      </c>
      <c r="F37" cm="1">
        <f t="array" ref="F37" xml:space="preserve"> ROUND(MAX(BHD.RawY), BHD.DecimalPlaces)</f>
        <v>48</v>
      </c>
    </row>
    <row r="39" spans="4:6">
      <c r="E39" s="4" t="s">
        <v>2393</v>
      </c>
      <c r="F39" s="26">
        <v>0.8</v>
      </c>
    </row>
    <row r="40" spans="4:6">
      <c r="E40" s="4" t="s">
        <v>2394</v>
      </c>
      <c r="F40" cm="1">
        <f t="array" ref="F40" xml:space="preserve">  MAX(BHD.MaxY, - BHD.MinY)   /   MAX(BHD.MaxX, - BHD.MinX)</f>
        <v>0.78688524590163933</v>
      </c>
    </row>
    <row r="41" spans="4:6">
      <c r="E41" s="4" t="s">
        <v>2395</v>
      </c>
      <c r="F41" cm="1">
        <f t="array" ref="F41" xml:space="preserve"> VALUE(TEXT(SQRT(BHD.AreaMultiplier * BasicBBoxArea * BHD.Aspect), SVG.NumberFormatHeight))</f>
        <v>11.9</v>
      </c>
    </row>
    <row r="42" spans="4:6">
      <c r="E42" s="4" t="s">
        <v>2396</v>
      </c>
      <c r="F42" cm="1">
        <f t="array" ref="F42" xml:space="preserve"> BHD.Height / BHD.Aspect</f>
        <v>15.122916666666667</v>
      </c>
    </row>
    <row r="43" spans="4:6">
      <c r="E43" s="4"/>
      <c r="F43" s="5"/>
    </row>
    <row r="44" spans="4:6">
      <c r="E44" s="4" t="s">
        <v>2397</v>
      </c>
      <c r="F44" s="5" t="s">
        <v>2400</v>
      </c>
    </row>
    <row r="45" spans="4:6">
      <c r="E45" s="4" t="s">
        <v>2398</v>
      </c>
      <c r="F45" s="5" t="s">
        <v>2087</v>
      </c>
    </row>
    <row r="47" spans="4:6" ht="17" thickBot="1">
      <c r="F47" s="3" t="s">
        <v>2399</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topLeftCell="A2" workbookViewId="0">
      <selection activeCell="B2" sqref="B2"/>
    </sheetView>
  </sheetViews>
  <sheetFormatPr baseColWidth="10" defaultRowHeight="16"/>
  <sheetData>
    <row r="2" spans="2:18" ht="17" thickBot="1">
      <c r="B2" s="3" t="s">
        <v>1661</v>
      </c>
      <c r="D2" s="3" t="s">
        <v>1651</v>
      </c>
      <c r="F2" s="3" t="s">
        <v>1640</v>
      </c>
      <c r="H2" s="3" t="s">
        <v>1668</v>
      </c>
    </row>
    <row r="3" spans="2:18">
      <c r="B3">
        <v>3</v>
      </c>
      <c r="D3">
        <v>6</v>
      </c>
      <c r="F3">
        <f xml:space="preserve"> DecimalPlaces - INT(LOG(3 * KWD.Multiplier, 10) + 0.2)</f>
        <v>4</v>
      </c>
      <c r="H3">
        <f xml:space="preserve"> KWD.Multiplier * (Sqrt13 + 2) / 9</f>
        <v>1.8685170918213301</v>
      </c>
    </row>
    <row r="5" spans="2:18" ht="17" thickBot="1">
      <c r="B5" s="3" t="s">
        <v>1641</v>
      </c>
      <c r="C5" s="3" t="s">
        <v>1642</v>
      </c>
      <c r="D5" s="3" t="s">
        <v>1643</v>
      </c>
      <c r="F5" s="3" t="s">
        <v>1744</v>
      </c>
      <c r="H5" s="3" t="s">
        <v>1650</v>
      </c>
      <c r="M5" s="3" t="s">
        <v>1644</v>
      </c>
      <c r="N5" s="3" t="s">
        <v>1645</v>
      </c>
      <c r="O5" s="3" t="s">
        <v>1646</v>
      </c>
      <c r="P5" s="3" t="s">
        <v>1647</v>
      </c>
      <c r="Q5" s="3" t="s">
        <v>1648</v>
      </c>
      <c r="R5" s="3" t="s">
        <v>1649</v>
      </c>
    </row>
    <row r="6" spans="2:18">
      <c r="B6" t="s">
        <v>1567</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1569</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1574</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1568</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1652</v>
      </c>
      <c r="F34">
        <f xml:space="preserve"> ROUND( MIN(KWD.RawX), KWD.DecimalPlaces)</f>
        <v>-9</v>
      </c>
    </row>
    <row r="35" spans="5:6">
      <c r="E35" s="4" t="s">
        <v>1653</v>
      </c>
      <c r="F35">
        <f xml:space="preserve"> ROUND(MAX(KWD.RawX), KWD.DecimalPlaces)</f>
        <v>9</v>
      </c>
    </row>
    <row r="36" spans="5:6">
      <c r="E36" s="4" t="s">
        <v>1654</v>
      </c>
      <c r="F36">
        <f xml:space="preserve"> ROUND( MIN(KWD.RawY), KWD.DecimalPlaces)</f>
        <v>-9</v>
      </c>
    </row>
    <row r="37" spans="5:6">
      <c r="E37" s="4" t="s">
        <v>1655</v>
      </c>
      <c r="F37">
        <f xml:space="preserve"> ROUND(MAX(KWD.RawY), KWD.DecimalPlaces)</f>
        <v>9</v>
      </c>
    </row>
    <row r="39" spans="5:6">
      <c r="E39" s="4" t="s">
        <v>1656</v>
      </c>
      <c r="F39" s="26">
        <f xml:space="preserve"> FR.AreaMultiplier</f>
        <v>1.0625</v>
      </c>
    </row>
    <row r="40" spans="5:6">
      <c r="E40" s="4" t="s">
        <v>1657</v>
      </c>
      <c r="F40" cm="1">
        <f t="array" ref="F40" xml:space="preserve">  MAX(KWD.MaxY, - KWD.MinY)   /   MAX(KWD.MaxX, - KWD.MinX)</f>
        <v>1</v>
      </c>
    </row>
    <row r="41" spans="5:6">
      <c r="E41" s="4" t="s">
        <v>1658</v>
      </c>
      <c r="F41" cm="1">
        <f t="array" ref="F41" xml:space="preserve"> VALUE(TEXT(SQRT(KWD.AreaMultiplier* BasicBBoxArea * KWD.Aspect), SVG.NumberFormatHeight))</f>
        <v>15.5</v>
      </c>
    </row>
    <row r="42" spans="5:6">
      <c r="E42" s="4" t="s">
        <v>1659</v>
      </c>
      <c r="F42" cm="1">
        <f t="array" ref="F42" xml:space="preserve"> KWD.Height / KWD.Aspect</f>
        <v>15.5</v>
      </c>
    </row>
    <row r="44" spans="5:6">
      <c r="E44" s="4" t="s">
        <v>1662</v>
      </c>
      <c r="F44" t="s">
        <v>726</v>
      </c>
    </row>
    <row r="45" spans="5:6">
      <c r="E45" s="4" t="s">
        <v>1663</v>
      </c>
      <c r="F45" t="s">
        <v>754</v>
      </c>
    </row>
    <row r="46" spans="5:6">
      <c r="E46" s="4" t="s">
        <v>1664</v>
      </c>
      <c r="F46" t="s">
        <v>2087</v>
      </c>
    </row>
    <row r="47" spans="5:6">
      <c r="E47" s="4" t="s">
        <v>1665</v>
      </c>
      <c r="F47" t="s">
        <v>1667</v>
      </c>
    </row>
    <row r="49" spans="4:6" ht="17" thickBot="1">
      <c r="F49" s="3" t="s">
        <v>1660</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topLeftCell="A2" workbookViewId="0">
      <selection activeCell="B2" sqref="B2"/>
    </sheetView>
  </sheetViews>
  <sheetFormatPr baseColWidth="10" defaultRowHeight="16"/>
  <sheetData>
    <row r="2" spans="2:6" ht="17" thickBot="1">
      <c r="B2" s="3" t="s">
        <v>2029</v>
      </c>
      <c r="C2" s="3" t="s">
        <v>2030</v>
      </c>
    </row>
    <row r="3" spans="2:6">
      <c r="B3">
        <v>6</v>
      </c>
      <c r="C3">
        <v>16</v>
      </c>
    </row>
    <row r="5" spans="2:6" ht="17" thickBot="1">
      <c r="B5" s="3" t="s">
        <v>2027</v>
      </c>
      <c r="C5" s="3" t="s">
        <v>2028</v>
      </c>
      <c r="E5" s="3" t="s">
        <v>2006</v>
      </c>
      <c r="F5" s="35" t="s">
        <v>2007</v>
      </c>
    </row>
    <row r="6" spans="2:6">
      <c r="E6" t="s">
        <v>23</v>
      </c>
      <c r="F6" s="5" t="s">
        <v>2031</v>
      </c>
    </row>
    <row r="7" spans="2:6">
      <c r="E7" t="s">
        <v>23</v>
      </c>
      <c r="F7" s="5" t="s">
        <v>2019</v>
      </c>
    </row>
    <row r="8" spans="2:6">
      <c r="E8" t="s">
        <v>23</v>
      </c>
      <c r="F8" s="5" t="s">
        <v>2020</v>
      </c>
    </row>
    <row r="9" spans="2:6">
      <c r="F9" s="5"/>
    </row>
    <row r="10" spans="2:6">
      <c r="F10" s="5"/>
    </row>
    <row r="11" spans="2:6">
      <c r="E11" t="s">
        <v>23</v>
      </c>
      <c r="F11" s="5" t="s">
        <v>2021</v>
      </c>
    </row>
    <row r="12" spans="2:6">
      <c r="E12" t="s">
        <v>23</v>
      </c>
      <c r="F12" s="5" t="s">
        <v>2022</v>
      </c>
    </row>
    <row r="13" spans="2:6">
      <c r="E13" t="s">
        <v>23</v>
      </c>
      <c r="F13" s="5" t="s">
        <v>2023</v>
      </c>
    </row>
    <row r="14" spans="2:6">
      <c r="F14" s="5"/>
    </row>
    <row r="15" spans="2:6">
      <c r="F15" s="5"/>
    </row>
    <row r="16" spans="2:6">
      <c r="E16" t="s">
        <v>23</v>
      </c>
      <c r="F16" s="5" t="s">
        <v>559</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2008</v>
      </c>
      <c r="F30">
        <v>20</v>
      </c>
    </row>
    <row r="31" spans="2:6">
      <c r="E31" s="4" t="s">
        <v>2009</v>
      </c>
      <c r="F31">
        <v>30</v>
      </c>
    </row>
    <row r="32" spans="2:6">
      <c r="E32" s="4" t="s">
        <v>2010</v>
      </c>
      <c r="F32">
        <f xml:space="preserve"> - F30</f>
        <v>-20</v>
      </c>
    </row>
    <row r="33" spans="4:6">
      <c r="E33" s="4" t="s">
        <v>2011</v>
      </c>
      <c r="F33">
        <f xml:space="preserve"> - F31</f>
        <v>-30</v>
      </c>
    </row>
    <row r="35" spans="4:6">
      <c r="E35" s="4" t="s">
        <v>2012</v>
      </c>
      <c r="F35" s="5" t="s">
        <v>2024</v>
      </c>
    </row>
    <row r="36" spans="4:6">
      <c r="E36" s="4" t="s">
        <v>2013</v>
      </c>
      <c r="F36" s="5" t="s">
        <v>726</v>
      </c>
    </row>
    <row r="38" spans="4:6">
      <c r="E38" s="4" t="s">
        <v>2014</v>
      </c>
      <c r="F38">
        <f xml:space="preserve"> 17 / 16</f>
        <v>1.0625</v>
      </c>
    </row>
    <row r="39" spans="4:6">
      <c r="E39" s="4" t="s">
        <v>2015</v>
      </c>
      <c r="F39" cm="1">
        <f t="array" ref="F39" xml:space="preserve">  MAX(YER.MaxY, - YER.MinY)   /   MAX(YER.MaxX, - YER.MinX)</f>
        <v>1.5</v>
      </c>
    </row>
    <row r="40" spans="4:6">
      <c r="E40" s="4" t="s">
        <v>2016</v>
      </c>
      <c r="F40" cm="1">
        <f t="array" ref="F40" xml:space="preserve"> VALUE(TEXT(SQRT( YER.AreaMultiplier * BasicBBoxArea *  YER.Aspect), SVG.NumberFormatHeight))</f>
        <v>18.899999999999999</v>
      </c>
    </row>
    <row r="41" spans="4:6">
      <c r="E41" s="4" t="s">
        <v>2017</v>
      </c>
      <c r="F41" cm="1">
        <f t="array" ref="F41" xml:space="preserve">  YER.Height /  YER.Aspect</f>
        <v>12.6</v>
      </c>
    </row>
    <row r="44" spans="4:6" ht="17" thickBot="1">
      <c r="F44" s="3" t="s">
        <v>2018</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topLeftCell="A2" workbookViewId="0">
      <selection activeCell="B2" sqref="B2"/>
    </sheetView>
  </sheetViews>
  <sheetFormatPr baseColWidth="10" defaultRowHeight="16"/>
  <sheetData>
    <row r="2" spans="2:6" ht="17" thickBot="1">
      <c r="B2" s="3" t="s">
        <v>1788</v>
      </c>
      <c r="F2" s="3" t="s">
        <v>1789</v>
      </c>
    </row>
    <row r="3" spans="2:6">
      <c r="B3">
        <v>5.77</v>
      </c>
      <c r="F3">
        <f xml:space="preserve"> DecimalPlaces - INT(LOG(EGP.Multiplier, 10) + 0.2)</f>
        <v>5</v>
      </c>
    </row>
    <row r="5" spans="2:6" ht="17" thickBot="1">
      <c r="B5" s="3" t="s">
        <v>1790</v>
      </c>
      <c r="C5" s="3" t="s">
        <v>1791</v>
      </c>
      <c r="D5" s="3" t="s">
        <v>1792</v>
      </c>
      <c r="F5" s="3" t="s">
        <v>1793</v>
      </c>
    </row>
    <row r="6" spans="2:6">
      <c r="B6" t="s">
        <v>1805</v>
      </c>
      <c r="C6">
        <f xml:space="preserve"> EGP.Multiplier</f>
        <v>5.77</v>
      </c>
      <c r="D6">
        <f xml:space="preserve"> EGP.Multiplier</f>
        <v>5.77</v>
      </c>
      <c r="F6" s="42" t="str">
        <f t="array" ref="F6:F9" xml:space="preserve">  svgpath($C6:$C9, $D6:$D9, EGP.DecimalPlaces)</f>
        <v>M5.77 5.77</v>
      </c>
    </row>
    <row r="7" spans="2:6">
      <c r="B7" t="s">
        <v>1805</v>
      </c>
      <c r="C7">
        <f xml:space="preserve"> - EGP.Multiplier</f>
        <v>-5.77</v>
      </c>
      <c r="D7">
        <f xml:space="preserve"> EGP.Multiplier</f>
        <v>5.77</v>
      </c>
      <c r="F7" t="str">
        <v>H-5.77</v>
      </c>
    </row>
    <row r="8" spans="2:6">
      <c r="B8" t="s">
        <v>1805</v>
      </c>
      <c r="C8">
        <f xml:space="preserve"> - EGP.Multiplier</f>
        <v>-5.77</v>
      </c>
      <c r="D8">
        <f xml:space="preserve"> - EGP.Multiplier</f>
        <v>-5.77</v>
      </c>
      <c r="F8" t="str">
        <v>V-5.77</v>
      </c>
    </row>
    <row r="9" spans="2:6">
      <c r="B9" t="s">
        <v>1805</v>
      </c>
      <c r="C9">
        <f xml:space="preserve"> EGP.Multiplier</f>
        <v>5.77</v>
      </c>
      <c r="D9">
        <f xml:space="preserve"> - EGP.Multiplier</f>
        <v>-5.77</v>
      </c>
      <c r="F9" t="str">
        <v>H5.77Z</v>
      </c>
    </row>
    <row r="11" spans="2:6">
      <c r="B11" t="s">
        <v>1806</v>
      </c>
      <c r="C11">
        <f xml:space="preserve"> EGP.Multiplier * Sqrt2 / 10</f>
        <v>0.81600122548927578</v>
      </c>
      <c r="D11">
        <v>0</v>
      </c>
      <c r="F11" s="42" t="str">
        <f t="array" ref="F11:F13" xml:space="preserve">  svgpath($C11:$C13, $D11:$D13, EGP.DecimalPlaces)</f>
        <v>M.816 0</v>
      </c>
    </row>
    <row r="12" spans="2:6">
      <c r="B12" t="s">
        <v>1806</v>
      </c>
      <c r="C12">
        <f xml:space="preserve"> EGP.Multiplier * 4 / 5</f>
        <v>4.6159999999999997</v>
      </c>
      <c r="D12">
        <f xml:space="preserve"> EGP.Multiplier * (4 / 5  -  Sqrt2 / 10)</f>
        <v>3.7999987745107244</v>
      </c>
      <c r="F12" t="str">
        <v>l3.8 3.8</v>
      </c>
    </row>
    <row r="13" spans="2:6">
      <c r="B13" t="s">
        <v>1806</v>
      </c>
      <c r="C13">
        <f xml:space="preserve"> EGP.Multiplier * 4 / 5</f>
        <v>4.6159999999999997</v>
      </c>
      <c r="D13">
        <f xml:space="preserve"> EGP.Multiplier * (Sqrt2 / 10  -  4 / 5)</f>
        <v>-3.7999987745107244</v>
      </c>
      <c r="F13" t="str">
        <v>V-3.8Z</v>
      </c>
    </row>
    <row r="15" spans="2:6">
      <c r="B15" t="s">
        <v>1806</v>
      </c>
      <c r="C15">
        <f xml:space="preserve"> D11</f>
        <v>0</v>
      </c>
      <c r="D15">
        <f xml:space="preserve"> C11</f>
        <v>0.81600122548927578</v>
      </c>
      <c r="F15" s="42" t="str">
        <f t="array" ref="F15:F17" xml:space="preserve">  svgpath($C15:$C17, $D15:$D17, EGP.DecimalPlaces)</f>
        <v>M0 .816</v>
      </c>
    </row>
    <row r="16" spans="2:6">
      <c r="B16" t="s">
        <v>1806</v>
      </c>
      <c r="C16">
        <f t="shared" ref="C16:C17" si="0" xml:space="preserve"> D12</f>
        <v>3.7999987745107244</v>
      </c>
      <c r="D16">
        <f t="shared" ref="D16:D17" si="1" xml:space="preserve"> C12</f>
        <v>4.6159999999999997</v>
      </c>
      <c r="F16" t="str">
        <v>l3.8 3.8</v>
      </c>
    </row>
    <row r="17" spans="2:6">
      <c r="B17" t="s">
        <v>1806</v>
      </c>
      <c r="C17">
        <f t="shared" si="0"/>
        <v>-3.7999987745107244</v>
      </c>
      <c r="D17">
        <f t="shared" si="1"/>
        <v>4.6159999999999997</v>
      </c>
      <c r="F17" t="str">
        <v>H-3.8Z</v>
      </c>
    </row>
    <row r="18" spans="2:6">
      <c r="F18" s="42"/>
    </row>
    <row r="19" spans="2:6">
      <c r="B19" t="s">
        <v>1806</v>
      </c>
      <c r="C19">
        <f xml:space="preserve"> - C11</f>
        <v>-0.81600122548927578</v>
      </c>
      <c r="D19">
        <f xml:space="preserve"> - D11</f>
        <v>0</v>
      </c>
      <c r="F19" s="42" t="str">
        <f t="array" ref="F19:F21" xml:space="preserve">  svgpath($C19:$C21, $D19:$D21, EGP.DecimalPlaces)</f>
        <v>M-.816 0</v>
      </c>
    </row>
    <row r="20" spans="2:6">
      <c r="B20" t="s">
        <v>1806</v>
      </c>
      <c r="C20">
        <f t="shared" ref="C20:D21" si="2" xml:space="preserve"> - C12</f>
        <v>-4.6159999999999997</v>
      </c>
      <c r="D20">
        <f t="shared" si="2"/>
        <v>-3.7999987745107244</v>
      </c>
      <c r="F20" t="str">
        <v>l-3.8 -3.8</v>
      </c>
    </row>
    <row r="21" spans="2:6">
      <c r="B21" t="s">
        <v>1806</v>
      </c>
      <c r="C21">
        <f t="shared" si="2"/>
        <v>-4.6159999999999997</v>
      </c>
      <c r="D21">
        <f t="shared" si="2"/>
        <v>3.7999987745107244</v>
      </c>
      <c r="F21" t="str">
        <v>V3.8Z</v>
      </c>
    </row>
    <row r="23" spans="2:6">
      <c r="B23" t="s">
        <v>1806</v>
      </c>
      <c r="C23">
        <f xml:space="preserve"> - C15</f>
        <v>0</v>
      </c>
      <c r="D23">
        <f xml:space="preserve"> - D15</f>
        <v>-0.81600122548927578</v>
      </c>
      <c r="F23" s="42" t="str">
        <f t="array" ref="F23:F25" xml:space="preserve">  svgpath($C23:$C25, $D23:$D25, EGP.DecimalPlaces)</f>
        <v>M0 -.816</v>
      </c>
    </row>
    <row r="24" spans="2:6">
      <c r="B24" t="s">
        <v>1806</v>
      </c>
      <c r="C24">
        <f t="shared" ref="C24:D24" si="3" xml:space="preserve"> - C16</f>
        <v>-3.7999987745107244</v>
      </c>
      <c r="D24">
        <f t="shared" si="3"/>
        <v>-4.6159999999999997</v>
      </c>
      <c r="F24" t="str">
        <v>l-3.8 -3.8</v>
      </c>
    </row>
    <row r="25" spans="2:6">
      <c r="B25" t="s">
        <v>1806</v>
      </c>
      <c r="C25">
        <f t="shared" ref="C25:D25" si="4" xml:space="preserve"> - C17</f>
        <v>3.7999987745107244</v>
      </c>
      <c r="D25">
        <f t="shared" si="4"/>
        <v>-4.6159999999999997</v>
      </c>
      <c r="F25" t="str">
        <v>H3.8Z</v>
      </c>
    </row>
    <row r="28" spans="2:6">
      <c r="E28" s="4" t="s">
        <v>1794</v>
      </c>
      <c r="F28" cm="1">
        <f t="array" ref="F28" xml:space="preserve"> ROUND( MIN(EGP.RawX), EGP.DecimalPlaces)</f>
        <v>-5.77</v>
      </c>
    </row>
    <row r="29" spans="2:6">
      <c r="E29" s="4" t="s">
        <v>1795</v>
      </c>
      <c r="F29" cm="1">
        <f t="array" ref="F29" xml:space="preserve"> ROUND(MAX(EGP.RawX), EGP.DecimalPlaces)</f>
        <v>5.77</v>
      </c>
    </row>
    <row r="30" spans="2:6">
      <c r="E30" s="4" t="s">
        <v>1796</v>
      </c>
      <c r="F30" cm="1">
        <f t="array" ref="F30" xml:space="preserve"> ROUND( MIN(EGP.RawY), EGP.DecimalPlaces)</f>
        <v>-5.77</v>
      </c>
    </row>
    <row r="31" spans="2:6">
      <c r="E31" s="4" t="s">
        <v>1797</v>
      </c>
      <c r="F31" cm="1">
        <f t="array" ref="F31" xml:space="preserve"> ROUND(MAX(EGP.RawY), EGP.DecimalPlaces)</f>
        <v>5.77</v>
      </c>
    </row>
    <row r="33" spans="4:6">
      <c r="E33" s="4" t="s">
        <v>1798</v>
      </c>
      <c r="F33" s="26">
        <f xml:space="preserve"> MODE(Squares.AreaMultiplier)</f>
        <v>0.85</v>
      </c>
    </row>
    <row r="34" spans="4:6">
      <c r="E34" s="4" t="s">
        <v>1799</v>
      </c>
      <c r="F34" cm="1">
        <f t="array" ref="F34" xml:space="preserve">  MAX(EGP.MaxY, - EGP.MinY)   /   MAX(EGP.MaxX, - EGP.MinX)</f>
        <v>1</v>
      </c>
    </row>
    <row r="35" spans="4:6">
      <c r="E35" s="4" t="s">
        <v>1800</v>
      </c>
      <c r="F35" cm="1">
        <f t="array" ref="F35" xml:space="preserve"> VALUE(TEXT(SQRT(EGP.AreaMultiplier* BasicBBoxArea * EGP.Aspect), SVG.NumberFormatHeight))</f>
        <v>13.8</v>
      </c>
    </row>
    <row r="36" spans="4:6">
      <c r="E36" s="4" t="s">
        <v>1801</v>
      </c>
      <c r="F36" cm="1">
        <f t="array" ref="F36" xml:space="preserve"> EGP.Height / EGP.Aspect</f>
        <v>13.8</v>
      </c>
    </row>
    <row r="38" spans="4:6">
      <c r="E38" s="4" t="s">
        <v>1802</v>
      </c>
      <c r="F38" t="s">
        <v>726</v>
      </c>
    </row>
    <row r="39" spans="4:6">
      <c r="E39" s="4" t="s">
        <v>1803</v>
      </c>
      <c r="F39" t="s">
        <v>2087</v>
      </c>
    </row>
    <row r="41" spans="4:6" ht="17" thickBot="1">
      <c r="F41" s="3" t="s">
        <v>1804</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topLeftCell="A2" workbookViewId="0">
      <selection activeCell="B2" sqref="B2"/>
    </sheetView>
  </sheetViews>
  <sheetFormatPr baseColWidth="10" defaultRowHeight="16"/>
  <cols>
    <col min="15" max="15" width="10.83203125" style="21"/>
  </cols>
  <sheetData>
    <row r="2" spans="2:15" ht="17" thickBot="1">
      <c r="E2" s="3" t="s">
        <v>1458</v>
      </c>
      <c r="F2" s="3" t="s">
        <v>880</v>
      </c>
      <c r="G2" s="3" t="s">
        <v>881</v>
      </c>
      <c r="H2" s="3" t="s">
        <v>882</v>
      </c>
      <c r="I2" s="3" t="s">
        <v>883</v>
      </c>
      <c r="J2" s="3" t="s">
        <v>884</v>
      </c>
      <c r="K2" s="3" t="s">
        <v>885</v>
      </c>
      <c r="L2" s="3" t="s">
        <v>886</v>
      </c>
      <c r="M2" s="3" t="s">
        <v>887</v>
      </c>
      <c r="O2" s="36" t="s">
        <v>1459</v>
      </c>
    </row>
    <row r="3" spans="2:15">
      <c r="B3" s="4" t="s">
        <v>890</v>
      </c>
      <c r="C3">
        <f xml:space="preserve"> MAX(IQD.X0, IQD.X1, IQD.X2, IQD.X3)</f>
        <v>72</v>
      </c>
    </row>
    <row r="4" spans="2:15">
      <c r="B4" s="4" t="s">
        <v>892</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889</v>
      </c>
      <c r="C5">
        <f xml:space="preserve">  MIN(IQD.X0, IQD.X1, IQD.X2, IQD.X3)</f>
        <v>-72</v>
      </c>
    </row>
    <row r="6" spans="2:15">
      <c r="B6" s="4" t="s">
        <v>891</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893</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894</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895</v>
      </c>
      <c r="C11">
        <f xml:space="preserve">  MAX(IQD.MaxY, - IQD.MinY)   /   MAX(IQD.MaxX, - IQD.MinX)</f>
        <v>1</v>
      </c>
    </row>
    <row r="12" spans="2:15">
      <c r="B12" s="4" t="s">
        <v>896</v>
      </c>
      <c r="C12">
        <f xml:space="preserve"> VALUE(TEXT(SQRT(IQD.AreaMultiplier* BasicBBoxArea * IQD.Aspect), SVG.NumberFormatHeight))</f>
        <v>15.9</v>
      </c>
    </row>
    <row r="13" spans="2:15">
      <c r="B13" s="4" t="s">
        <v>897</v>
      </c>
      <c r="C13" cm="1">
        <f t="array" ref="C13" xml:space="preserve"> IQD.Height / IQD.Aspect</f>
        <v>15.9</v>
      </c>
    </row>
    <row r="15" spans="2:15">
      <c r="B15" s="4" t="s">
        <v>898</v>
      </c>
      <c r="C15" t="s">
        <v>902</v>
      </c>
    </row>
    <row r="16" spans="2:15">
      <c r="B16" s="4" t="s">
        <v>899</v>
      </c>
      <c r="C16" t="s">
        <v>901</v>
      </c>
    </row>
    <row r="20" spans="15:15">
      <c r="O20" s="21" cm="1">
        <f t="array" ref="O20" xml:space="preserve"> SVG_length(IQD.svg)</f>
        <v>631</v>
      </c>
    </row>
    <row r="22" spans="15:15" ht="17" thickBot="1">
      <c r="O22" s="36" t="s">
        <v>888</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2265</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topLeftCell="A2" workbookViewId="0">
      <selection activeCell="B2" sqref="B2"/>
    </sheetView>
  </sheetViews>
  <sheetFormatPr baseColWidth="10" defaultRowHeight="16"/>
  <sheetData>
    <row r="2" spans="2:6" ht="17" thickBot="1">
      <c r="C2" s="2" t="s">
        <v>493</v>
      </c>
      <c r="D2" s="2" t="s">
        <v>494</v>
      </c>
      <c r="F2" s="3" t="s">
        <v>495</v>
      </c>
    </row>
    <row r="3" spans="2:6">
      <c r="C3" t="b">
        <v>0</v>
      </c>
      <c r="D3" t="b">
        <f xml:space="preserve"> ILS.ReflectX</f>
        <v>0</v>
      </c>
      <c r="F3">
        <f xml:space="preserve"> DecimalPlaces - INT(LOG(MIN(  MAX(ILS.RawX) - MIN(ILS.RawX),  MAX(ILS.RawY) - MIN(ILS.RawY)  )/2, 10) + 0.2)</f>
        <v>4</v>
      </c>
    </row>
    <row r="5" spans="2:6" ht="17" thickBot="1">
      <c r="B5" s="3" t="s">
        <v>496</v>
      </c>
      <c r="C5" s="3" t="s">
        <v>497</v>
      </c>
      <c r="D5" s="3" t="s">
        <v>498</v>
      </c>
      <c r="F5" s="3" t="s">
        <v>1757</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505</v>
      </c>
      <c r="F51">
        <f xml:space="preserve"> ROUND( MIN(ILS.RawX), ILS.DecimalPlaces)</f>
        <v>-9</v>
      </c>
    </row>
    <row r="52" spans="5:6">
      <c r="E52" s="4" t="s">
        <v>506</v>
      </c>
      <c r="F52">
        <f xml:space="preserve"> ROUND(MAX(ILS.RawX), ILS.DecimalPlaces)</f>
        <v>9</v>
      </c>
    </row>
    <row r="53" spans="5:6">
      <c r="E53" s="4" t="s">
        <v>507</v>
      </c>
      <c r="F53">
        <f xml:space="preserve"> ROUND( MIN(ILS.RawY), ILS.DecimalPlaces)</f>
        <v>-10.392300000000001</v>
      </c>
    </row>
    <row r="54" spans="5:6">
      <c r="E54" s="4" t="s">
        <v>508</v>
      </c>
      <c r="F54">
        <f xml:space="preserve"> ROUND(MAX(ILS.RawY), ILS.DecimalPlaces)</f>
        <v>10.392300000000001</v>
      </c>
    </row>
    <row r="56" spans="5:6">
      <c r="E56" s="4" t="s">
        <v>499</v>
      </c>
      <c r="F56" s="26">
        <v>1.25</v>
      </c>
    </row>
    <row r="57" spans="5:6">
      <c r="E57" s="4" t="s">
        <v>500</v>
      </c>
      <c r="F57">
        <f xml:space="preserve">  MAX(ILS.MaxY, - ILS.MinY)   /   MAX(ILS.MaxX, - ILS.MinX)</f>
        <v>1.1547000000000001</v>
      </c>
    </row>
    <row r="58" spans="5:6">
      <c r="E58" s="4" t="s">
        <v>501</v>
      </c>
      <c r="F58">
        <f xml:space="preserve"> VALUE(TEXT(SQRT(ILS.AreaMultiplier * BasicBBoxArea * ILS.Aspect), SVG.NumberFormatHeight))</f>
        <v>18</v>
      </c>
    </row>
    <row r="59" spans="5:6">
      <c r="E59" s="4" t="s">
        <v>502</v>
      </c>
      <c r="F59" cm="1">
        <f t="array" ref="F59" xml:space="preserve"> ILS.Height / ILS.Aspect</f>
        <v>15.58846453624318</v>
      </c>
    </row>
    <row r="60" spans="5:6">
      <c r="E60" s="4"/>
      <c r="F60" s="5"/>
    </row>
    <row r="61" spans="5:6">
      <c r="E61" s="4" t="s">
        <v>503</v>
      </c>
      <c r="F61" s="5" t="s">
        <v>772</v>
      </c>
    </row>
    <row r="62" spans="5:6">
      <c r="E62" s="4" t="s">
        <v>504</v>
      </c>
      <c r="F62" s="5" t="s">
        <v>2087</v>
      </c>
    </row>
    <row r="64" spans="5:6" ht="17" thickBot="1">
      <c r="F64" s="3" t="s">
        <v>509</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topLeftCell="A2" workbookViewId="0">
      <selection activeCell="B2" sqref="B2"/>
    </sheetView>
  </sheetViews>
  <sheetFormatPr baseColWidth="10" defaultRowHeight="16"/>
  <sheetData>
    <row r="2" spans="2:16" ht="17" thickBot="1">
      <c r="C2" s="2" t="s">
        <v>408</v>
      </c>
      <c r="D2" s="2" t="s">
        <v>409</v>
      </c>
      <c r="F2" s="3" t="s">
        <v>410</v>
      </c>
    </row>
    <row r="3" spans="2:16">
      <c r="C3" t="b">
        <v>0</v>
      </c>
      <c r="D3" t="b">
        <v>0</v>
      </c>
      <c r="F3">
        <f xml:space="preserve"> DecimalPlaces - INT(LOG(MIN(  MAX(ZAR.RawX) - MIN(ZAR.RawX),  MAX(ZAR.RawY) - MIN(ZAR.RawY)  )/2, 10) + 0.2)</f>
        <v>5</v>
      </c>
    </row>
    <row r="5" spans="2:16" ht="17" thickBot="1">
      <c r="B5" s="3" t="s">
        <v>411</v>
      </c>
      <c r="C5" s="3" t="s">
        <v>412</v>
      </c>
      <c r="D5" s="3" t="s">
        <v>413</v>
      </c>
      <c r="F5" s="3" t="s">
        <v>1743</v>
      </c>
      <c r="K5" s="3" t="s">
        <v>416</v>
      </c>
      <c r="L5" s="3" t="s">
        <v>417</v>
      </c>
      <c r="M5" s="3" t="s">
        <v>418</v>
      </c>
      <c r="N5" s="3" t="s">
        <v>419</v>
      </c>
      <c r="O5" s="3" t="s">
        <v>420</v>
      </c>
      <c r="P5" s="3" t="s">
        <v>421</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414</v>
      </c>
      <c r="I19">
        <v>0.12</v>
      </c>
    </row>
    <row r="20" spans="2:16">
      <c r="H20" s="4" t="s">
        <v>415</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428</v>
      </c>
      <c r="F36">
        <f xml:space="preserve"> ROUND( MIN(ZAR.RawX), ZAR.DecimalPlaces)</f>
        <v>-0.59150999999999998</v>
      </c>
    </row>
    <row r="37" spans="2:16">
      <c r="E37" s="4" t="s">
        <v>429</v>
      </c>
      <c r="F37">
        <f xml:space="preserve"> ROUND(MAX(ZAR.RawX), ZAR.DecimalPlaces)</f>
        <v>1</v>
      </c>
    </row>
    <row r="38" spans="2:16">
      <c r="E38" s="4" t="s">
        <v>430</v>
      </c>
      <c r="F38">
        <f xml:space="preserve"> ROUND( MIN(ZAR.RawY), ZAR.DecimalPlaces)</f>
        <v>-0.86602999999999997</v>
      </c>
    </row>
    <row r="39" spans="2:16">
      <c r="E39" s="4" t="s">
        <v>431</v>
      </c>
      <c r="F39">
        <f xml:space="preserve"> ROUND(MAX(ZAR.RawY), ZAR.DecimalPlaces)</f>
        <v>0.86602999999999997</v>
      </c>
    </row>
    <row r="41" spans="2:16">
      <c r="E41" s="4" t="s">
        <v>422</v>
      </c>
      <c r="F41" s="26">
        <v>2</v>
      </c>
    </row>
    <row r="42" spans="2:16">
      <c r="E42" s="4" t="s">
        <v>423</v>
      </c>
      <c r="F42">
        <f xml:space="preserve">  MAX(ZAR.MaxY, - ZAR.MinY)   /   MAX(ZAR.MaxX, - ZAR.MinX)</f>
        <v>0.86602999999999997</v>
      </c>
    </row>
    <row r="43" spans="2:16">
      <c r="E43" s="4" t="s">
        <v>424</v>
      </c>
      <c r="F43">
        <f xml:space="preserve"> VALUE(TEXT(SQRT(ZAR.AreaMultiplier* BasicBBoxArea * ZAR.Aspect), SVG.NumberFormatHeight))</f>
        <v>19.7</v>
      </c>
    </row>
    <row r="44" spans="2:16">
      <c r="E44" s="4" t="s">
        <v>425</v>
      </c>
      <c r="F44" cm="1">
        <f t="array" ref="F44" xml:space="preserve"> ZAR.Height / ZAR.Aspect</f>
        <v>22.747479879449905</v>
      </c>
    </row>
    <row r="46" spans="2:16">
      <c r="E46" s="4" t="s">
        <v>426</v>
      </c>
      <c r="F46" t="s">
        <v>768</v>
      </c>
    </row>
    <row r="47" spans="2:16">
      <c r="E47" s="4" t="s">
        <v>427</v>
      </c>
      <c r="F47" t="s">
        <v>793</v>
      </c>
    </row>
    <row r="49" spans="3:6" ht="17" thickBot="1">
      <c r="F49" s="3" t="s">
        <v>432</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topLeftCell="A2" workbookViewId="0">
      <selection activeCell="B2" sqref="B2"/>
    </sheetView>
  </sheetViews>
  <sheetFormatPr baseColWidth="10" defaultRowHeight="16"/>
  <sheetData>
    <row r="2" spans="2:6" ht="17" thickBot="1">
      <c r="F2" s="3" t="s">
        <v>1988</v>
      </c>
    </row>
    <row r="3" spans="2:6">
      <c r="F3">
        <f xml:space="preserve"> DecimalPlaces - INT(LOG(MAX(SDG.RawX, SDG.RawY), 10) + 0.2)</f>
        <v>5</v>
      </c>
    </row>
    <row r="5" spans="2:6" ht="17" thickBot="1">
      <c r="B5" s="3" t="s">
        <v>1989</v>
      </c>
      <c r="C5" s="3" t="s">
        <v>1990</v>
      </c>
      <c r="D5" s="3" t="s">
        <v>1991</v>
      </c>
      <c r="F5" s="3" t="s">
        <v>1992</v>
      </c>
    </row>
    <row r="6" spans="2:6">
      <c r="B6" t="s">
        <v>1805</v>
      </c>
      <c r="C6">
        <v>5</v>
      </c>
      <c r="D6">
        <f xml:space="preserve"> $C$6</f>
        <v>5</v>
      </c>
      <c r="F6" s="42"/>
    </row>
    <row r="7" spans="2:6">
      <c r="B7" t="s">
        <v>1805</v>
      </c>
      <c r="C7">
        <f xml:space="preserve"> C6</f>
        <v>5</v>
      </c>
      <c r="D7">
        <f xml:space="preserve"> - D6</f>
        <v>-5</v>
      </c>
    </row>
    <row r="8" spans="2:6">
      <c r="B8" t="s">
        <v>1805</v>
      </c>
      <c r="C8">
        <f xml:space="preserve"> - C7</f>
        <v>-5</v>
      </c>
      <c r="D8">
        <f xml:space="preserve"> D7</f>
        <v>-5</v>
      </c>
    </row>
    <row r="9" spans="2:6">
      <c r="B9" t="s">
        <v>1805</v>
      </c>
      <c r="C9">
        <f xml:space="preserve"> C8</f>
        <v>-5</v>
      </c>
      <c r="D9">
        <f xml:space="preserve"> - D8</f>
        <v>5</v>
      </c>
    </row>
    <row r="11" spans="2:6">
      <c r="B11" t="s">
        <v>2004</v>
      </c>
      <c r="C11">
        <f xml:space="preserve"> $C$6 - 1</f>
        <v>4</v>
      </c>
      <c r="D11">
        <f xml:space="preserve"> $C$6 - 2</f>
        <v>3</v>
      </c>
      <c r="F11" s="42" t="str">
        <f t="array" ref="F11:F14" xml:space="preserve">  svgpath($C11:$C14, $D11:$D14, SDG.DecimalPlaces, 1, -1)</f>
        <v>M4 -3</v>
      </c>
    </row>
    <row r="12" spans="2:6">
      <c r="B12" t="s">
        <v>2004</v>
      </c>
      <c r="C12">
        <f xml:space="preserve"> $C$6 - 1</f>
        <v>4</v>
      </c>
      <c r="D12">
        <f xml:space="preserve"> D11 - 2</f>
        <v>1</v>
      </c>
      <c r="F12" t="str">
        <v>v2</v>
      </c>
    </row>
    <row r="13" spans="2:6">
      <c r="B13" t="s">
        <v>2004</v>
      </c>
      <c r="C13">
        <f xml:space="preserve"> - $D12</f>
        <v>-1</v>
      </c>
      <c r="D13">
        <f xml:space="preserve"> - $C11</f>
        <v>-4</v>
      </c>
      <c r="F13" t="str">
        <v>L-1 4</v>
      </c>
    </row>
    <row r="14" spans="2:6">
      <c r="B14" t="s">
        <v>2004</v>
      </c>
      <c r="C14">
        <f xml:space="preserve"> - D11</f>
        <v>-3</v>
      </c>
      <c r="D14">
        <f xml:space="preserve"> - C11</f>
        <v>-4</v>
      </c>
      <c r="F14" t="str">
        <v>H-3Z</v>
      </c>
    </row>
    <row r="15" spans="2:6">
      <c r="F15" s="42"/>
    </row>
    <row r="16" spans="2:6">
      <c r="B16" t="s">
        <v>2004</v>
      </c>
      <c r="C16">
        <f xml:space="preserve"> $C$6 - 1</f>
        <v>4</v>
      </c>
      <c r="D16">
        <f xml:space="preserve"> D12 - 2</f>
        <v>-1</v>
      </c>
      <c r="F16" s="42" t="str">
        <f t="array" ref="F16:F19" xml:space="preserve">  svgpath($C16:$C19, $D16:$D19, SDG.DecimalPlaces, 1, -1)</f>
        <v>M4 1</v>
      </c>
    </row>
    <row r="17" spans="2:6">
      <c r="B17" t="s">
        <v>2004</v>
      </c>
      <c r="C17">
        <f xml:space="preserve"> $C$6 - 1</f>
        <v>4</v>
      </c>
      <c r="D17">
        <f xml:space="preserve"> D16 - 2</f>
        <v>-3</v>
      </c>
      <c r="F17" t="str">
        <v>V3</v>
      </c>
    </row>
    <row r="18" spans="2:6">
      <c r="B18" t="s">
        <v>2004</v>
      </c>
      <c r="C18">
        <f xml:space="preserve"> - $D17</f>
        <v>3</v>
      </c>
      <c r="D18">
        <f xml:space="preserve"> - $C16</f>
        <v>-4</v>
      </c>
      <c r="F18" t="str">
        <v>L3 4</v>
      </c>
    </row>
    <row r="19" spans="2:6">
      <c r="B19" t="s">
        <v>2004</v>
      </c>
      <c r="C19">
        <f xml:space="preserve"> - D16</f>
        <v>1</v>
      </c>
      <c r="D19">
        <f xml:space="preserve"> - C16</f>
        <v>-4</v>
      </c>
      <c r="F19" t="str">
        <v>H1Z</v>
      </c>
    </row>
    <row r="21" spans="2:6">
      <c r="B21" t="s">
        <v>2004</v>
      </c>
      <c r="C21">
        <f t="shared" ref="C21:D24" si="0" xml:space="preserve"> - C11</f>
        <v>-4</v>
      </c>
      <c r="D21">
        <f t="shared" si="0"/>
        <v>-3</v>
      </c>
      <c r="F21" s="42" t="str">
        <f t="array" ref="F21:F24" xml:space="preserve">  svgpath($C21:$C24, $D21:$D24, SDG.DecimalPlaces, 1, -1)</f>
        <v>M-4 3</v>
      </c>
    </row>
    <row r="22" spans="2:6">
      <c r="B22" t="s">
        <v>2004</v>
      </c>
      <c r="C22">
        <f t="shared" si="0"/>
        <v>-4</v>
      </c>
      <c r="D22">
        <f t="shared" si="0"/>
        <v>-1</v>
      </c>
      <c r="F22" t="str">
        <v>V1</v>
      </c>
    </row>
    <row r="23" spans="2:6">
      <c r="B23" t="s">
        <v>2004</v>
      </c>
      <c r="C23">
        <f t="shared" si="0"/>
        <v>1</v>
      </c>
      <c r="D23">
        <f t="shared" si="0"/>
        <v>4</v>
      </c>
      <c r="F23" t="str">
        <v>L1 -4</v>
      </c>
    </row>
    <row r="24" spans="2:6">
      <c r="B24" t="s">
        <v>2004</v>
      </c>
      <c r="C24">
        <f t="shared" si="0"/>
        <v>3</v>
      </c>
      <c r="D24">
        <f t="shared" si="0"/>
        <v>4</v>
      </c>
      <c r="F24" t="str">
        <v>H3Z</v>
      </c>
    </row>
    <row r="26" spans="2:6">
      <c r="B26" t="s">
        <v>2004</v>
      </c>
      <c r="C26">
        <f t="shared" ref="C26:D29" si="1" xml:space="preserve"> - C16</f>
        <v>-4</v>
      </c>
      <c r="D26">
        <f t="shared" si="1"/>
        <v>1</v>
      </c>
      <c r="F26" s="42" t="str">
        <f t="array" ref="F26:F29" xml:space="preserve">  svgpath($C26:$C29, $D26:$D29, SDG.DecimalPlaces, 1, -1)</f>
        <v>M-4 -1</v>
      </c>
    </row>
    <row r="27" spans="2:6">
      <c r="B27" t="s">
        <v>2004</v>
      </c>
      <c r="C27">
        <f t="shared" si="1"/>
        <v>-4</v>
      </c>
      <c r="D27">
        <f t="shared" si="1"/>
        <v>3</v>
      </c>
      <c r="F27" t="str">
        <v>V-3</v>
      </c>
    </row>
    <row r="28" spans="2:6">
      <c r="B28" t="s">
        <v>2004</v>
      </c>
      <c r="C28">
        <f t="shared" si="1"/>
        <v>-3</v>
      </c>
      <c r="D28">
        <f t="shared" si="1"/>
        <v>4</v>
      </c>
      <c r="F28" t="str">
        <v>l1 -1</v>
      </c>
    </row>
    <row r="29" spans="2:6">
      <c r="B29" t="s">
        <v>2004</v>
      </c>
      <c r="C29">
        <f t="shared" si="1"/>
        <v>-1</v>
      </c>
      <c r="D29">
        <f t="shared" si="1"/>
        <v>4</v>
      </c>
      <c r="F29" t="str">
        <v>h2Z</v>
      </c>
    </row>
    <row r="32" spans="2:6">
      <c r="E32" s="4" t="s">
        <v>1993</v>
      </c>
      <c r="F32" cm="1">
        <f t="array" ref="F32" xml:space="preserve"> ROUND( MIN(SDG.RawX), SDG.DecimalPlaces)</f>
        <v>-5</v>
      </c>
    </row>
    <row r="33" spans="4:6">
      <c r="E33" s="4" t="s">
        <v>1994</v>
      </c>
      <c r="F33" cm="1">
        <f t="array" ref="F33" xml:space="preserve"> ROUND(MAX(SDG.RawX), SDG.DecimalPlaces)</f>
        <v>5</v>
      </c>
    </row>
    <row r="34" spans="4:6">
      <c r="E34" s="4" t="s">
        <v>1995</v>
      </c>
      <c r="F34" cm="1">
        <f t="array" ref="F34" xml:space="preserve"> ROUND( MIN(SDG.RawY), SDG.DecimalPlaces)</f>
        <v>-5</v>
      </c>
    </row>
    <row r="35" spans="4:6">
      <c r="E35" s="4" t="s">
        <v>1996</v>
      </c>
      <c r="F35" cm="1">
        <f t="array" ref="F35" xml:space="preserve"> ROUND(MAX(SDG.RawY), SDG.DecimalPlaces)</f>
        <v>5</v>
      </c>
    </row>
    <row r="37" spans="4:6">
      <c r="E37" s="4" t="s">
        <v>1997</v>
      </c>
      <c r="F37" s="26">
        <f xml:space="preserve"> MODE(Squares.AreaMultiplier)</f>
        <v>0.85</v>
      </c>
    </row>
    <row r="38" spans="4:6">
      <c r="E38" s="4" t="s">
        <v>1998</v>
      </c>
      <c r="F38" cm="1">
        <f t="array" ref="F38" xml:space="preserve">  MAX(SDG.MaxY, - SDG.MinY)   /   MAX(SDG.MaxX, - SDG.MinX)</f>
        <v>1</v>
      </c>
    </row>
    <row r="39" spans="4:6">
      <c r="E39" s="4" t="s">
        <v>1999</v>
      </c>
      <c r="F39" cm="1">
        <f t="array" ref="F39" xml:space="preserve"> VALUE(TEXT(SQRT(SDG.AreaMultiplier* BasicBBoxArea * SDG.Aspect), SVG.NumberFormatHeight))</f>
        <v>13.8</v>
      </c>
    </row>
    <row r="40" spans="4:6">
      <c r="E40" s="4" t="s">
        <v>2000</v>
      </c>
      <c r="F40" cm="1">
        <f t="array" ref="F40" xml:space="preserve"> SDG.Height / SDG.Aspect</f>
        <v>13.8</v>
      </c>
    </row>
    <row r="42" spans="4:6">
      <c r="E42" s="4" t="s">
        <v>2001</v>
      </c>
      <c r="F42" t="s">
        <v>726</v>
      </c>
    </row>
    <row r="43" spans="4:6">
      <c r="E43" s="4" t="s">
        <v>2002</v>
      </c>
      <c r="F43" t="s">
        <v>2087</v>
      </c>
    </row>
    <row r="45" spans="4:6" ht="17" thickBot="1">
      <c r="F45" s="3" t="s">
        <v>2003</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topLeftCell="A2" workbookViewId="0">
      <selection activeCell="B2" sqref="B2"/>
    </sheetView>
  </sheetViews>
  <sheetFormatPr baseColWidth="10" defaultRowHeight="16"/>
  <sheetData>
    <row r="2" spans="2:6" ht="17" thickBot="1">
      <c r="D2" s="3" t="s">
        <v>1686</v>
      </c>
      <c r="F2" s="3" t="s">
        <v>511</v>
      </c>
    </row>
    <row r="3" spans="2:6">
      <c r="D3">
        <v>4</v>
      </c>
      <c r="F3">
        <f xml:space="preserve"> DecimalPlaces - INT(LOG(MXN.Multiplier, 10) + 0.2)</f>
        <v>5</v>
      </c>
    </row>
    <row r="5" spans="2:6" ht="17" thickBot="1">
      <c r="B5" s="3" t="s">
        <v>512</v>
      </c>
      <c r="C5" s="3" t="s">
        <v>513</v>
      </c>
      <c r="D5" s="3" t="s">
        <v>514</v>
      </c>
      <c r="F5" s="3" t="s">
        <v>1758</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521</v>
      </c>
      <c r="F24">
        <f xml:space="preserve"> ROUND( MIN(MXN.RawX), MXN.DecimalPlaces)</f>
        <v>-1</v>
      </c>
    </row>
    <row r="25" spans="2:7">
      <c r="E25" s="4" t="s">
        <v>522</v>
      </c>
      <c r="F25">
        <f xml:space="preserve"> ROUND(MAX(MXN.RawX), MXN.DecimalPlaces)</f>
        <v>1</v>
      </c>
    </row>
    <row r="26" spans="2:7">
      <c r="E26" s="4" t="s">
        <v>523</v>
      </c>
      <c r="F26">
        <f xml:space="preserve"> ROUND( MIN(MXN.RawY), MXN.DecimalPlaces)</f>
        <v>-1</v>
      </c>
    </row>
    <row r="27" spans="2:7">
      <c r="E27" s="4" t="s">
        <v>524</v>
      </c>
      <c r="F27">
        <f xml:space="preserve"> ROUND(MAX(MXN.RawY), MXN.DecimalPlaces)</f>
        <v>1</v>
      </c>
    </row>
    <row r="29" spans="2:7">
      <c r="E29" s="4" t="s">
        <v>515</v>
      </c>
      <c r="F29" s="26">
        <v>1.375</v>
      </c>
    </row>
    <row r="30" spans="2:7">
      <c r="E30" s="4" t="s">
        <v>516</v>
      </c>
      <c r="F30">
        <f xml:space="preserve">  MAX(MXN.MaxY, - MXN.MinY)   /   MAX(MXN.MaxX, - MXN.MinX)</f>
        <v>1</v>
      </c>
    </row>
    <row r="31" spans="2:7">
      <c r="E31" s="4" t="s">
        <v>517</v>
      </c>
      <c r="F31">
        <f xml:space="preserve"> VALUE(TEXT(SQRT(MXN.AreaMultiplier * BasicBBoxArea * MXN.Aspect), SVG.NumberFormatHeight))</f>
        <v>17.600000000000001</v>
      </c>
      <c r="G31" s="5"/>
    </row>
    <row r="32" spans="2:7">
      <c r="E32" s="4" t="s">
        <v>518</v>
      </c>
      <c r="F32" cm="1">
        <f t="array" ref="F32" xml:space="preserve"> MXN.Height / MXN.Aspect</f>
        <v>17.600000000000001</v>
      </c>
    </row>
    <row r="33" spans="3:6">
      <c r="E33" s="4"/>
      <c r="F33" s="5"/>
    </row>
    <row r="34" spans="3:6">
      <c r="E34" s="4" t="s">
        <v>519</v>
      </c>
      <c r="F34" s="5" t="s">
        <v>775</v>
      </c>
    </row>
    <row r="35" spans="3:6">
      <c r="E35" s="4" t="s">
        <v>527</v>
      </c>
      <c r="F35" s="5" t="s">
        <v>2087</v>
      </c>
    </row>
    <row r="36" spans="3:6">
      <c r="E36" s="4" t="s">
        <v>520</v>
      </c>
      <c r="F36" s="5" t="s">
        <v>728</v>
      </c>
    </row>
    <row r="38" spans="3:6" ht="17" thickBot="1">
      <c r="F38" s="3" t="s">
        <v>525</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529</v>
      </c>
      <c r="C2" s="3" t="s">
        <v>530</v>
      </c>
      <c r="D2" s="3" t="s">
        <v>531</v>
      </c>
      <c r="F2" s="3" t="s">
        <v>532</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1066</v>
      </c>
      <c r="C32" s="1">
        <v>13</v>
      </c>
      <c r="D32" s="1">
        <v>13</v>
      </c>
    </row>
    <row r="33" spans="2:7">
      <c r="B33" t="s">
        <v>1066</v>
      </c>
      <c r="C33" s="1">
        <v>-13</v>
      </c>
      <c r="D33" s="1">
        <v>13</v>
      </c>
    </row>
    <row r="34" spans="2:7">
      <c r="B34" t="s">
        <v>1066</v>
      </c>
      <c r="C34" s="1">
        <v>-13</v>
      </c>
      <c r="D34" s="1">
        <v>-13</v>
      </c>
    </row>
    <row r="35" spans="2:7">
      <c r="B35" t="s">
        <v>1066</v>
      </c>
      <c r="C35" s="1">
        <v>13</v>
      </c>
      <c r="D35" s="1">
        <v>-13</v>
      </c>
    </row>
    <row r="38" spans="2:7">
      <c r="E38" s="4" t="s">
        <v>539</v>
      </c>
      <c r="F38">
        <f xml:space="preserve"> MIN(UYU.RawX)</f>
        <v>-34</v>
      </c>
    </row>
    <row r="39" spans="2:7">
      <c r="E39" s="4" t="s">
        <v>540</v>
      </c>
      <c r="F39">
        <f xml:space="preserve"> MAX(UYU.RawX)</f>
        <v>34</v>
      </c>
    </row>
    <row r="40" spans="2:7">
      <c r="E40" s="4" t="s">
        <v>541</v>
      </c>
      <c r="F40">
        <f xml:space="preserve"> MIN(UYU.RawY)</f>
        <v>-34</v>
      </c>
    </row>
    <row r="41" spans="2:7">
      <c r="E41" s="4" t="s">
        <v>542</v>
      </c>
      <c r="F41">
        <f xml:space="preserve"> MAX(UYU.RawY)</f>
        <v>34</v>
      </c>
    </row>
    <row r="43" spans="2:7">
      <c r="E43" s="4" t="s">
        <v>533</v>
      </c>
      <c r="F43" s="26">
        <v>1</v>
      </c>
    </row>
    <row r="44" spans="2:7">
      <c r="E44" s="4" t="s">
        <v>534</v>
      </c>
      <c r="F44">
        <f xml:space="preserve">  MAX(UYU.MaxY, - UYU.MinY)   /   MAX(UYU.MaxX, - UYU.MinX)</f>
        <v>1</v>
      </c>
      <c r="G44" s="5"/>
    </row>
    <row r="45" spans="2:7">
      <c r="E45" s="4" t="s">
        <v>535</v>
      </c>
      <c r="F45">
        <f xml:space="preserve"> VALUE(TEXT(SQRT(UYU.AreaMultiplier * BasicBBoxArea * UYU.Aspect), SVG.NumberFormatHeight))</f>
        <v>15</v>
      </c>
    </row>
    <row r="46" spans="2:7">
      <c r="E46" s="4" t="s">
        <v>536</v>
      </c>
      <c r="F46" cm="1">
        <f t="array" ref="F46" xml:space="preserve"> UYU.Height / UYU.Aspect</f>
        <v>15</v>
      </c>
    </row>
    <row r="47" spans="2:7">
      <c r="E47" s="4"/>
      <c r="F47" s="5"/>
    </row>
    <row r="48" spans="2:7">
      <c r="E48" s="4" t="s">
        <v>537</v>
      </c>
      <c r="F48" s="5" t="s">
        <v>1065</v>
      </c>
    </row>
    <row r="49" spans="3:6">
      <c r="E49" s="4" t="s">
        <v>538</v>
      </c>
      <c r="F49" s="5" t="s">
        <v>2087</v>
      </c>
    </row>
    <row r="51" spans="3:6" ht="17" thickBot="1">
      <c r="F51" s="3" t="s">
        <v>543</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1019</v>
      </c>
      <c r="C2" s="3" t="s">
        <v>545</v>
      </c>
      <c r="D2" s="3" t="s">
        <v>546</v>
      </c>
      <c r="F2" s="3" t="s">
        <v>547</v>
      </c>
    </row>
    <row r="3" spans="2:6">
      <c r="B3" t="s">
        <v>1021</v>
      </c>
      <c r="C3">
        <v>4</v>
      </c>
      <c r="D3">
        <v>0</v>
      </c>
      <c r="F3" t="str">
        <f t="array" ref="F3:F22" xml:space="preserve"> svgpath($C3:$C22, $D3:$D22, 5)</f>
        <v>M4 0</v>
      </c>
    </row>
    <row r="4" spans="2:6">
      <c r="B4" t="s">
        <v>1021</v>
      </c>
      <c r="C4">
        <v>5</v>
      </c>
      <c r="D4">
        <v>1</v>
      </c>
      <c r="F4" t="str">
        <v>L5 1</v>
      </c>
    </row>
    <row r="5" spans="2:6">
      <c r="B5" t="s">
        <v>1021</v>
      </c>
      <c r="C5">
        <v>5</v>
      </c>
      <c r="D5">
        <v>3</v>
      </c>
      <c r="F5" t="str">
        <v>V3</v>
      </c>
    </row>
    <row r="6" spans="2:6">
      <c r="B6" t="s">
        <v>1021</v>
      </c>
      <c r="C6">
        <v>3</v>
      </c>
      <c r="D6">
        <v>5</v>
      </c>
      <c r="F6" t="str">
        <v>L3 5</v>
      </c>
    </row>
    <row r="7" spans="2:6">
      <c r="B7" t="s">
        <v>1021</v>
      </c>
      <c r="C7">
        <v>1</v>
      </c>
      <c r="D7">
        <v>5</v>
      </c>
      <c r="F7" t="str">
        <v>H1</v>
      </c>
    </row>
    <row r="8" spans="2:6">
      <c r="B8" t="s">
        <v>1021</v>
      </c>
      <c r="C8">
        <v>0</v>
      </c>
      <c r="D8">
        <v>4</v>
      </c>
      <c r="F8" t="str">
        <v>L0 4</v>
      </c>
    </row>
    <row r="9" spans="2:6">
      <c r="B9" t="s">
        <v>1021</v>
      </c>
      <c r="C9">
        <v>-1</v>
      </c>
      <c r="D9">
        <v>5</v>
      </c>
      <c r="F9" t="str">
        <v>L-1 5</v>
      </c>
    </row>
    <row r="10" spans="2:6">
      <c r="B10" t="s">
        <v>1021</v>
      </c>
      <c r="C10">
        <v>-3</v>
      </c>
      <c r="D10">
        <v>5</v>
      </c>
      <c r="F10" t="str">
        <v>H-3</v>
      </c>
    </row>
    <row r="11" spans="2:6">
      <c r="B11" t="s">
        <v>1021</v>
      </c>
      <c r="C11">
        <v>-5</v>
      </c>
      <c r="D11">
        <v>3</v>
      </c>
      <c r="F11" t="str">
        <v>L-5 3</v>
      </c>
    </row>
    <row r="12" spans="2:6">
      <c r="B12" t="s">
        <v>1021</v>
      </c>
      <c r="C12">
        <v>-5</v>
      </c>
      <c r="D12">
        <v>1</v>
      </c>
      <c r="F12" t="str">
        <v>V1</v>
      </c>
    </row>
    <row r="13" spans="2:6">
      <c r="B13" t="s">
        <v>1021</v>
      </c>
      <c r="C13">
        <f xml:space="preserve"> - C3</f>
        <v>-4</v>
      </c>
      <c r="D13">
        <f xml:space="preserve"> - D3</f>
        <v>0</v>
      </c>
      <c r="F13" t="str">
        <v>L-4 0</v>
      </c>
    </row>
    <row r="14" spans="2:6">
      <c r="B14" t="s">
        <v>1021</v>
      </c>
      <c r="C14">
        <f t="shared" ref="C14:D22" si="0" xml:space="preserve"> - C4</f>
        <v>-5</v>
      </c>
      <c r="D14">
        <f t="shared" si="0"/>
        <v>-1</v>
      </c>
      <c r="F14" t="str">
        <v>L-5 -1</v>
      </c>
    </row>
    <row r="15" spans="2:6">
      <c r="B15" t="s">
        <v>1021</v>
      </c>
      <c r="C15">
        <f t="shared" si="0"/>
        <v>-5</v>
      </c>
      <c r="D15">
        <f t="shared" si="0"/>
        <v>-3</v>
      </c>
      <c r="F15" t="str">
        <v>V-3</v>
      </c>
    </row>
    <row r="16" spans="2:6">
      <c r="B16" t="s">
        <v>1021</v>
      </c>
      <c r="C16">
        <f t="shared" si="0"/>
        <v>-3</v>
      </c>
      <c r="D16">
        <f t="shared" si="0"/>
        <v>-5</v>
      </c>
      <c r="F16" t="str">
        <v>l2 -2</v>
      </c>
    </row>
    <row r="17" spans="2:6">
      <c r="B17" t="s">
        <v>1021</v>
      </c>
      <c r="C17">
        <f t="shared" si="0"/>
        <v>-1</v>
      </c>
      <c r="D17">
        <f t="shared" si="0"/>
        <v>-5</v>
      </c>
      <c r="F17" t="str">
        <v>h2</v>
      </c>
    </row>
    <row r="18" spans="2:6">
      <c r="B18" t="s">
        <v>1021</v>
      </c>
      <c r="C18">
        <f t="shared" si="0"/>
        <v>0</v>
      </c>
      <c r="D18">
        <f t="shared" si="0"/>
        <v>-4</v>
      </c>
      <c r="F18" t="str">
        <v>l1 1</v>
      </c>
    </row>
    <row r="19" spans="2:6">
      <c r="B19" t="s">
        <v>1021</v>
      </c>
      <c r="C19">
        <f t="shared" si="0"/>
        <v>1</v>
      </c>
      <c r="D19">
        <f t="shared" si="0"/>
        <v>-5</v>
      </c>
      <c r="F19" t="str">
        <v>L1 -5</v>
      </c>
    </row>
    <row r="20" spans="2:6">
      <c r="B20" t="s">
        <v>1021</v>
      </c>
      <c r="C20">
        <f t="shared" si="0"/>
        <v>3</v>
      </c>
      <c r="D20">
        <f t="shared" si="0"/>
        <v>-5</v>
      </c>
      <c r="F20" t="str">
        <v>H3</v>
      </c>
    </row>
    <row r="21" spans="2:6">
      <c r="B21" t="s">
        <v>1021</v>
      </c>
      <c r="C21">
        <f t="shared" si="0"/>
        <v>5</v>
      </c>
      <c r="D21">
        <f t="shared" si="0"/>
        <v>-3</v>
      </c>
      <c r="F21" t="str">
        <v>l2 2</v>
      </c>
    </row>
    <row r="22" spans="2:6">
      <c r="B22" t="s">
        <v>1021</v>
      </c>
      <c r="C22">
        <f t="shared" si="0"/>
        <v>5</v>
      </c>
      <c r="D22">
        <f t="shared" si="0"/>
        <v>-1</v>
      </c>
      <c r="F22" t="str">
        <v>v2Z</v>
      </c>
    </row>
    <row r="24" spans="2:6">
      <c r="B24" t="s">
        <v>1020</v>
      </c>
      <c r="C24" s="1">
        <v>5</v>
      </c>
      <c r="D24" s="1">
        <v>5</v>
      </c>
      <c r="F24" t="str">
        <f t="array" ref="F24:F35" xml:space="preserve"> svgpath($C24:$C35, $D24:$D35, 5)</f>
        <v>M5 5</v>
      </c>
    </row>
    <row r="25" spans="2:6">
      <c r="B25" t="s">
        <v>1020</v>
      </c>
      <c r="C25" s="1">
        <v>5</v>
      </c>
      <c r="D25" s="1">
        <v>3</v>
      </c>
      <c r="F25" t="str">
        <v>V3</v>
      </c>
    </row>
    <row r="26" spans="2:6">
      <c r="B26" t="s">
        <v>1020</v>
      </c>
      <c r="C26" s="1">
        <v>-5</v>
      </c>
      <c r="D26" s="1">
        <v>3</v>
      </c>
      <c r="F26" t="str">
        <v>H-5</v>
      </c>
    </row>
    <row r="27" spans="2:6">
      <c r="B27" t="s">
        <v>1020</v>
      </c>
      <c r="C27" s="1">
        <v>-5</v>
      </c>
      <c r="D27" s="1">
        <v>5</v>
      </c>
      <c r="F27" t="str">
        <v>V5</v>
      </c>
    </row>
    <row r="28" spans="2:6">
      <c r="B28" t="s">
        <v>1020</v>
      </c>
      <c r="C28" s="1">
        <v>-3</v>
      </c>
      <c r="D28" s="1">
        <v>5</v>
      </c>
      <c r="F28" t="str">
        <v>h2</v>
      </c>
    </row>
    <row r="29" spans="2:6">
      <c r="B29" t="s">
        <v>1020</v>
      </c>
      <c r="C29" s="1">
        <v>-3</v>
      </c>
      <c r="D29" s="1">
        <v>-5</v>
      </c>
      <c r="F29" t="str">
        <v>V-5</v>
      </c>
    </row>
    <row r="30" spans="2:6">
      <c r="B30" t="s">
        <v>1020</v>
      </c>
      <c r="C30" s="1">
        <v>-5</v>
      </c>
      <c r="D30" s="1">
        <v>-5</v>
      </c>
      <c r="F30" t="str">
        <v>H-5</v>
      </c>
    </row>
    <row r="31" spans="2:6">
      <c r="B31" t="s">
        <v>1020</v>
      </c>
      <c r="C31">
        <v>-5</v>
      </c>
      <c r="D31" s="1">
        <v>-3</v>
      </c>
      <c r="F31" t="str">
        <v>v2</v>
      </c>
    </row>
    <row r="32" spans="2:6">
      <c r="B32" t="s">
        <v>1020</v>
      </c>
      <c r="C32">
        <v>5</v>
      </c>
      <c r="D32">
        <v>-3</v>
      </c>
      <c r="F32" t="str">
        <v>H5</v>
      </c>
    </row>
    <row r="33" spans="2:6">
      <c r="B33" t="s">
        <v>1020</v>
      </c>
      <c r="C33">
        <v>5</v>
      </c>
      <c r="D33">
        <v>-5</v>
      </c>
      <c r="F33" t="str">
        <v>V-5</v>
      </c>
    </row>
    <row r="34" spans="2:6">
      <c r="B34" t="s">
        <v>1020</v>
      </c>
      <c r="C34">
        <v>3</v>
      </c>
      <c r="D34">
        <v>-5</v>
      </c>
      <c r="F34" t="str">
        <v>H3</v>
      </c>
    </row>
    <row r="35" spans="2:6">
      <c r="B35" t="s">
        <v>1020</v>
      </c>
      <c r="C35">
        <v>3</v>
      </c>
      <c r="D35">
        <v>5</v>
      </c>
      <c r="F35" t="str">
        <v>V5Z</v>
      </c>
    </row>
    <row r="37" spans="2:6">
      <c r="B37" t="s">
        <v>1020</v>
      </c>
      <c r="C37">
        <v>5</v>
      </c>
      <c r="D37">
        <v>1</v>
      </c>
      <c r="F37" t="str">
        <f t="array" ref="F37:F40" xml:space="preserve"> svgpath($C37:$C40, $D37:$D40, 5)</f>
        <v>M5 1</v>
      </c>
    </row>
    <row r="38" spans="2:6">
      <c r="B38" t="s">
        <v>1020</v>
      </c>
      <c r="C38">
        <v>5</v>
      </c>
      <c r="D38">
        <v>-1</v>
      </c>
      <c r="F38" t="str">
        <v>V-1</v>
      </c>
    </row>
    <row r="39" spans="2:6">
      <c r="B39" t="s">
        <v>1020</v>
      </c>
      <c r="C39">
        <v>-5</v>
      </c>
      <c r="D39">
        <v>-1</v>
      </c>
      <c r="F39" t="str">
        <v>H-5</v>
      </c>
    </row>
    <row r="40" spans="2:6">
      <c r="B40" t="s">
        <v>1020</v>
      </c>
      <c r="C40">
        <v>-5</v>
      </c>
      <c r="D40">
        <v>1</v>
      </c>
      <c r="F40" t="str">
        <v>V1Z</v>
      </c>
    </row>
    <row r="42" spans="2:6">
      <c r="B42" t="s">
        <v>1020</v>
      </c>
      <c r="C42">
        <v>-1</v>
      </c>
      <c r="D42">
        <v>5</v>
      </c>
      <c r="F42" t="str">
        <f t="array" ref="F42:F45" xml:space="preserve"> svgpath($C42:$C45, $D42:$D45, 5)</f>
        <v>M-1 5</v>
      </c>
    </row>
    <row r="43" spans="2:6">
      <c r="B43" t="s">
        <v>1020</v>
      </c>
      <c r="C43">
        <v>1</v>
      </c>
      <c r="D43">
        <v>5</v>
      </c>
      <c r="F43" t="str">
        <v>H1</v>
      </c>
    </row>
    <row r="44" spans="2:6">
      <c r="B44" t="s">
        <v>1020</v>
      </c>
      <c r="C44">
        <v>1</v>
      </c>
      <c r="D44">
        <v>-5</v>
      </c>
      <c r="F44" t="str">
        <v>V-5</v>
      </c>
    </row>
    <row r="45" spans="2:6">
      <c r="B45" t="s">
        <v>1020</v>
      </c>
      <c r="C45">
        <v>-1</v>
      </c>
      <c r="D45">
        <v>-5</v>
      </c>
      <c r="F45" t="str">
        <v>H-1Z</v>
      </c>
    </row>
    <row r="48" spans="2:6">
      <c r="E48" s="4" t="s">
        <v>554</v>
      </c>
      <c r="F48">
        <f xml:space="preserve"> MIN(BOB.RawX)</f>
        <v>-5</v>
      </c>
    </row>
    <row r="49" spans="3:7">
      <c r="E49" s="4" t="s">
        <v>555</v>
      </c>
      <c r="F49">
        <f xml:space="preserve"> MAX(BOB.RawX)</f>
        <v>5</v>
      </c>
    </row>
    <row r="50" spans="3:7">
      <c r="E50" s="4" t="s">
        <v>556</v>
      </c>
      <c r="F50">
        <f xml:space="preserve"> MIN(BOB.RawY)</f>
        <v>-5</v>
      </c>
    </row>
    <row r="51" spans="3:7">
      <c r="E51" s="4" t="s">
        <v>557</v>
      </c>
      <c r="F51">
        <f xml:space="preserve"> MAX(BOB.RawY)</f>
        <v>5</v>
      </c>
    </row>
    <row r="53" spans="3:7">
      <c r="E53" s="4" t="s">
        <v>548</v>
      </c>
      <c r="F53" s="26">
        <f xml:space="preserve"> MODE(Squares.AreaMultiplier)</f>
        <v>0.85</v>
      </c>
    </row>
    <row r="54" spans="3:7">
      <c r="E54" s="4" t="s">
        <v>549</v>
      </c>
      <c r="F54">
        <f xml:space="preserve">  MAX(BOB.MaxY, - BOB.MinY)   /   MAX(BOB.MaxX, - BOB.MinX)</f>
        <v>1</v>
      </c>
      <c r="G54" s="5"/>
    </row>
    <row r="55" spans="3:7">
      <c r="E55" s="4" t="s">
        <v>550</v>
      </c>
      <c r="F55">
        <f xml:space="preserve"> VALUE(TEXT(SQRT(BOB.AreaMultiplier * BasicBBoxArea * BOB.Aspect), SVG.NumberFormatHeight))</f>
        <v>13.8</v>
      </c>
    </row>
    <row r="56" spans="3:7">
      <c r="E56" s="4" t="s">
        <v>551</v>
      </c>
      <c r="F56" cm="1">
        <f t="array" ref="F56" xml:space="preserve"> BOB.Height / BOB.Aspect</f>
        <v>13.8</v>
      </c>
    </row>
    <row r="57" spans="3:7">
      <c r="E57" s="4"/>
      <c r="F57" s="5"/>
    </row>
    <row r="58" spans="3:7">
      <c r="E58" s="4" t="s">
        <v>552</v>
      </c>
      <c r="F58" s="5" t="str">
        <f>"fill='#FFF'"</f>
        <v>fill='#FFF'</v>
      </c>
    </row>
    <row r="59" spans="3:7">
      <c r="E59" s="4" t="s">
        <v>553</v>
      </c>
      <c r="F59" s="5" t="s">
        <v>726</v>
      </c>
    </row>
    <row r="61" spans="3:7" ht="17" thickBot="1">
      <c r="F61" s="3" t="s">
        <v>558</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topLeftCell="A2" workbookViewId="0">
      <selection activeCell="B2" sqref="B2"/>
    </sheetView>
  </sheetViews>
  <sheetFormatPr baseColWidth="10" defaultRowHeight="16"/>
  <sheetData>
    <row r="2" spans="2:6">
      <c r="E2" s="4" t="s">
        <v>582</v>
      </c>
      <c r="F2">
        <f xml:space="preserve"> DecimalPlaces - INT(LOG(MIN(  MAX(FR.RawX) - MIN(FR.RawX),  MAX(FR.RawY) - MIN(FR.RawY)  )/2, 10) + 0.2)</f>
        <v>5</v>
      </c>
    </row>
    <row r="4" spans="2:6" ht="17" thickBot="1">
      <c r="B4" s="3" t="s">
        <v>583</v>
      </c>
      <c r="C4" s="3" t="s">
        <v>584</v>
      </c>
      <c r="D4" s="3" t="s">
        <v>585</v>
      </c>
      <c r="F4" s="3" t="s">
        <v>1742</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593</v>
      </c>
      <c r="F13">
        <f xml:space="preserve"> ROUND( MIN(FR.RawX), FR.DecimalPlaces)</f>
        <v>-3.4641000000000002</v>
      </c>
    </row>
    <row r="14" spans="2:6">
      <c r="E14" s="4" t="s">
        <v>594</v>
      </c>
      <c r="F14">
        <f xml:space="preserve"> ROUND(MAX(FR.RawX), FR.DecimalPlaces)</f>
        <v>3.4641000000000002</v>
      </c>
    </row>
    <row r="15" spans="2:6">
      <c r="E15" s="4" t="s">
        <v>595</v>
      </c>
      <c r="F15">
        <f xml:space="preserve"> ROUND( MIN(FR.RawY), FR.DecimalPlaces)</f>
        <v>-4</v>
      </c>
    </row>
    <row r="16" spans="2:6">
      <c r="E16" s="4" t="s">
        <v>596</v>
      </c>
      <c r="F16">
        <f xml:space="preserve"> ROUND(MAX(FR.RawY), FR.DecimalPlaces)</f>
        <v>4</v>
      </c>
    </row>
    <row r="18" spans="2:8">
      <c r="E18" s="4" t="s">
        <v>586</v>
      </c>
      <c r="F18" s="26">
        <f xml:space="preserve"> 17 / 16</f>
        <v>1.0625</v>
      </c>
    </row>
    <row r="19" spans="2:8">
      <c r="E19" s="4" t="s">
        <v>587</v>
      </c>
      <c r="F19">
        <f xml:space="preserve">  MAX(FR.MaxY, - FR.MinY)   /   MAX(FR.MaxX, - FR.MinX)</f>
        <v>1.154701076758754</v>
      </c>
    </row>
    <row r="20" spans="2:8">
      <c r="E20" s="4" t="s">
        <v>588</v>
      </c>
      <c r="F20">
        <f xml:space="preserve"> VALUE(TEXT(SQRT(FR.AreaMultiplier * BasicBBoxArea * FR.Aspect), SVG.NumberFormatHeight))</f>
        <v>16.600000000000001</v>
      </c>
    </row>
    <row r="21" spans="2:8">
      <c r="E21" s="4" t="s">
        <v>589</v>
      </c>
      <c r="F21" cm="1">
        <f t="array" ref="F21" xml:space="preserve"> FR.Height / FR.Aspect</f>
        <v>14.376015000000002</v>
      </c>
    </row>
    <row r="23" spans="2:8">
      <c r="E23" s="4" t="s">
        <v>590</v>
      </c>
      <c r="F23" t="s">
        <v>776</v>
      </c>
    </row>
    <row r="24" spans="2:8">
      <c r="E24" s="4" t="s">
        <v>591</v>
      </c>
      <c r="F24" t="s">
        <v>2087</v>
      </c>
    </row>
    <row r="25" spans="2:8">
      <c r="E25" s="4" t="s">
        <v>592</v>
      </c>
      <c r="F25" t="s">
        <v>777</v>
      </c>
    </row>
    <row r="27" spans="2:8" ht="17" thickBot="1">
      <c r="F27" s="3" t="s">
        <v>597</v>
      </c>
      <c r="H27" s="3" t="s">
        <v>2269</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topLeftCell="A2" workbookViewId="0">
      <selection activeCell="B2" sqref="B2"/>
    </sheetView>
  </sheetViews>
  <sheetFormatPr baseColWidth="10" defaultRowHeight="16"/>
  <sheetData>
    <row r="2" spans="2:16" ht="17" thickBot="1">
      <c r="C2" s="2" t="s">
        <v>1715</v>
      </c>
      <c r="D2" s="2" t="s">
        <v>1716</v>
      </c>
      <c r="F2" s="3" t="s">
        <v>1717</v>
      </c>
    </row>
    <row r="3" spans="2:16">
      <c r="C3" t="b">
        <v>1</v>
      </c>
      <c r="D3" t="b" cm="1">
        <f t="array" ref="D3" xml:space="preserve"> NL.ReflectX</f>
        <v>1</v>
      </c>
      <c r="F3">
        <f xml:space="preserve"> DecimalPlaces - INT(LOG(MIN(  MAX(NL.RawX) - MIN(NL.RawX),  MAX(NL.RawY) - MIN(NL.RawY)  )/2, 10) + 0.2)</f>
        <v>4</v>
      </c>
    </row>
    <row r="5" spans="2:16" ht="17" thickBot="1">
      <c r="B5" s="3" t="s">
        <v>1718</v>
      </c>
      <c r="C5" s="3" t="s">
        <v>1719</v>
      </c>
      <c r="D5" s="3" t="s">
        <v>1720</v>
      </c>
      <c r="F5" s="3" t="s">
        <v>1741</v>
      </c>
      <c r="K5" s="3" t="s">
        <v>1721</v>
      </c>
      <c r="L5" s="3" t="s">
        <v>1722</v>
      </c>
      <c r="M5" s="3" t="s">
        <v>1723</v>
      </c>
      <c r="N5" s="3" t="s">
        <v>1724</v>
      </c>
      <c r="O5" s="3" t="s">
        <v>1725</v>
      </c>
      <c r="P5" s="3" t="s">
        <v>1726</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1727</v>
      </c>
      <c r="I23">
        <v>-1</v>
      </c>
    </row>
    <row r="24" spans="2:16">
      <c r="H24" s="4" t="s">
        <v>1728</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1729</v>
      </c>
      <c r="F43">
        <f xml:space="preserve"> ROUND( MIN(NL.RawX), NL.DecimalPlaces)</f>
        <v>-10</v>
      </c>
    </row>
    <row r="44" spans="2:16">
      <c r="E44" s="4" t="s">
        <v>1730</v>
      </c>
      <c r="F44">
        <f xml:space="preserve"> ROUND(MAX(NL.RawX), NL.DecimalPlaces)</f>
        <v>10</v>
      </c>
    </row>
    <row r="45" spans="2:16">
      <c r="E45" s="4" t="s">
        <v>1731</v>
      </c>
      <c r="F45">
        <f xml:space="preserve"> ROUND( MIN(NL.RawY), NL.DecimalPlaces)</f>
        <v>-7</v>
      </c>
    </row>
    <row r="46" spans="2:16">
      <c r="E46" s="4" t="s">
        <v>1732</v>
      </c>
      <c r="F46">
        <f xml:space="preserve"> ROUND(MAX(NL.RawY), NL.DecimalPlaces)</f>
        <v>7</v>
      </c>
    </row>
    <row r="48" spans="2:16">
      <c r="E48" s="4" t="s">
        <v>1733</v>
      </c>
      <c r="F48" s="26">
        <v>0.875</v>
      </c>
    </row>
    <row r="49" spans="4:7">
      <c r="E49" s="4" t="s">
        <v>1734</v>
      </c>
      <c r="F49" cm="1">
        <f t="array" ref="F49" xml:space="preserve">  MAX(NL.MaxY, - NL.MinY)   /   MAX(NL.MaxX, - NL.MinX)</f>
        <v>0.7</v>
      </c>
    </row>
    <row r="50" spans="4:7">
      <c r="E50" s="4" t="s">
        <v>1735</v>
      </c>
      <c r="F50" cm="1">
        <f t="array" ref="F50" xml:space="preserve"> VALUE(TEXT(SQRT(NL.AreaMultiplier* BasicBBoxArea * NL.Aspect), SVG.NumberFormatHeight))</f>
        <v>11.7</v>
      </c>
    </row>
    <row r="51" spans="4:7">
      <c r="E51" s="4" t="s">
        <v>1736</v>
      </c>
      <c r="F51" cm="1">
        <f t="array" ref="F51" xml:space="preserve"> NL.Height / NL.Aspect</f>
        <v>16.714285714285715</v>
      </c>
    </row>
    <row r="53" spans="4:7">
      <c r="E53" s="4" t="s">
        <v>1737</v>
      </c>
      <c r="F53" t="s">
        <v>721</v>
      </c>
    </row>
    <row r="54" spans="4:7">
      <c r="E54" s="4" t="s">
        <v>1738</v>
      </c>
      <c r="F54" t="s">
        <v>1740</v>
      </c>
    </row>
    <row r="55" spans="4:7">
      <c r="E55" s="4" t="s">
        <v>2283</v>
      </c>
      <c r="F55" t="s">
        <v>2285</v>
      </c>
    </row>
    <row r="57" spans="4:7" ht="17" thickBot="1">
      <c r="F57" s="3" t="s">
        <v>1739</v>
      </c>
      <c r="G57" s="3" t="s">
        <v>2284</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topLeftCell="A2" workbookViewId="0">
      <selection activeCell="B2" sqref="B2"/>
    </sheetView>
  </sheetViews>
  <sheetFormatPr baseColWidth="10" defaultRowHeight="16"/>
  <cols>
    <col min="6" max="6" width="10.83203125" style="21"/>
  </cols>
  <sheetData>
    <row r="2" spans="2:6">
      <c r="B2" s="4" t="s">
        <v>649</v>
      </c>
      <c r="C2" cm="1">
        <f t="array" ref="C2" xml:space="preserve"> DecimalPlaces - INT(LOG(MIN(  2*BE.RadiusOuter  )/2, 10) + 0.2)</f>
        <v>4</v>
      </c>
    </row>
    <row r="4" spans="2:6">
      <c r="B4" s="4" t="s">
        <v>643</v>
      </c>
      <c r="C4" cm="1">
        <f t="array" ref="C4" xml:space="preserve"> BE.RadiusOuter</f>
        <v>10</v>
      </c>
    </row>
    <row r="5" spans="2:6">
      <c r="B5" s="4" t="s">
        <v>644</v>
      </c>
      <c r="C5" cm="1">
        <f t="array" ref="C5" xml:space="preserve"> BE.MaxX</f>
        <v>10</v>
      </c>
    </row>
    <row r="6" spans="2:6">
      <c r="B6" s="4" t="s">
        <v>645</v>
      </c>
      <c r="C6" cm="1">
        <f t="array" ref="C6" xml:space="preserve"> - BE.MaxX</f>
        <v>-10</v>
      </c>
    </row>
    <row r="7" spans="2:6">
      <c r="B7" s="4" t="s">
        <v>646</v>
      </c>
      <c r="C7" cm="1">
        <f t="array" ref="C7" xml:space="preserve"> - BE.MaxY</f>
        <v>-10</v>
      </c>
    </row>
    <row r="9" spans="2:6">
      <c r="B9" s="4" t="s">
        <v>637</v>
      </c>
      <c r="C9" s="26">
        <f xml:space="preserve"> MODE(Circles.AreaMultiplier)</f>
        <v>1</v>
      </c>
      <c r="F9"/>
    </row>
    <row r="10" spans="2:6">
      <c r="B10" s="4" t="s">
        <v>638</v>
      </c>
      <c r="C10">
        <f xml:space="preserve"> MAX(BE.MaxY, - BE.MinY)   /   MAX(BE.MaxX, - BE.MinX)</f>
        <v>1</v>
      </c>
    </row>
    <row r="11" spans="2:6">
      <c r="B11" s="4" t="s">
        <v>639</v>
      </c>
      <c r="C11">
        <f xml:space="preserve"> VALUE(TEXT(SQRT(BE.AreaMultiplier * BasicBBoxArea * BE.Aspect), SVG.NumberFormatHeight))</f>
        <v>15</v>
      </c>
    </row>
    <row r="12" spans="2:6">
      <c r="B12" s="4" t="s">
        <v>640</v>
      </c>
      <c r="C12" cm="1">
        <f t="array" ref="C12" xml:space="preserve"> BE.Height / BE.Aspect</f>
        <v>15</v>
      </c>
    </row>
    <row r="14" spans="2:6">
      <c r="B14" s="4" t="s">
        <v>641</v>
      </c>
      <c r="C14" t="str">
        <f xml:space="preserve"> "='#FFCC33'"</f>
        <v>='#FFCC33'</v>
      </c>
    </row>
    <row r="15" spans="2:6">
      <c r="B15" s="4" t="s">
        <v>642</v>
      </c>
      <c r="C15" t="str">
        <f xml:space="preserve"> "='#663319'"</f>
        <v>='#663319'</v>
      </c>
    </row>
    <row r="17" spans="2:7" ht="17" thickBot="1">
      <c r="B17" s="3" t="s">
        <v>647</v>
      </c>
      <c r="C17" s="3" t="s">
        <v>648</v>
      </c>
      <c r="D17" s="3" t="s">
        <v>651</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652</v>
      </c>
      <c r="C20" s="3" t="s">
        <v>653</v>
      </c>
      <c r="D20" s="3" t="s">
        <v>654</v>
      </c>
      <c r="F20" s="36" t="s">
        <v>1506</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650</v>
      </c>
      <c r="G27" s="36" t="s">
        <v>2287</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1564</v>
      </c>
      <c r="J2" t="b">
        <v>1</v>
      </c>
    </row>
    <row r="3" spans="9:11">
      <c r="I3" s="4" t="s">
        <v>1491</v>
      </c>
      <c r="J3" s="21" t="s">
        <v>1492</v>
      </c>
      <c r="K3" s="21"/>
    </row>
    <row r="4" spans="9:11">
      <c r="I4" s="4" t="s">
        <v>1565</v>
      </c>
      <c r="J4" s="21" t="s">
        <v>1488</v>
      </c>
    </row>
    <row r="6" spans="9:11">
      <c r="I6" s="4" t="s">
        <v>1562</v>
      </c>
      <c r="J6">
        <f xml:space="preserve"> VALUE("100.6598934115317093127546795530849115415227559341255318889896735120632206040829530102514681")</f>
        <v>100.659893411531</v>
      </c>
    </row>
    <row r="7" spans="9:11">
      <c r="I7" s="4" t="s">
        <v>666</v>
      </c>
      <c r="J7">
        <f xml:space="preserve"> DecimalPlaces - INT(LOG(MIN(  2*IE.RadiusShamrock  )/2, 10) + 0.2)</f>
        <v>3</v>
      </c>
    </row>
    <row r="8" spans="9:11">
      <c r="I8" s="4" t="s">
        <v>1563</v>
      </c>
      <c r="J8">
        <f xml:space="preserve"> IF(IE.BoundingCircle, ROUND(1.083 * IE.RadiusShamrock, IE.DecimalPlaces - 2), #N/A)</f>
        <v>109</v>
      </c>
    </row>
    <row r="10" spans="9:11">
      <c r="I10" s="4" t="s">
        <v>662</v>
      </c>
      <c r="J10" cm="1">
        <f t="array" ref="J10" xml:space="preserve"> IF(IE.BoundingCircle, IE.Radius, CEILING( ( (16315 + 2128*Sqrt3)^1.5  -  458634*Sqrt3  -  2028376 ) / (17019 - 9792*Sqrt3), 10^-IE.DecimalPlaces) )</f>
        <v>109</v>
      </c>
    </row>
    <row r="11" spans="9:11">
      <c r="I11" s="4" t="s">
        <v>663</v>
      </c>
      <c r="J11">
        <f xml:space="preserve"> IF(IE.BoundingCircle, IE.Radius, CEILING(2 * (3817^1.5 - 110510) / 2601, 10^-IE.DecimalPlaces) )</f>
        <v>109</v>
      </c>
    </row>
    <row r="12" spans="9:11">
      <c r="I12" s="4" t="s">
        <v>664</v>
      </c>
      <c r="J12" cm="1">
        <f t="array" ref="J12" xml:space="preserve"> - IE.MaxX</f>
        <v>-109</v>
      </c>
    </row>
    <row r="13" spans="9:11">
      <c r="I13" s="4" t="s">
        <v>665</v>
      </c>
      <c r="J13" cm="1">
        <f t="array" ref="J13" xml:space="preserve"> - IE.MaxY</f>
        <v>-109</v>
      </c>
    </row>
    <row r="15" spans="9:11">
      <c r="I15" s="4" t="s">
        <v>1490</v>
      </c>
      <c r="J15" t="e">
        <f>IF(IE.BoundingCircle, #N/A, (19^1.5 - 28 ) * 2 / 9)</f>
        <v>#N/A</v>
      </c>
    </row>
    <row r="17" spans="2:12">
      <c r="I17" s="4" t="s">
        <v>658</v>
      </c>
      <c r="J17" s="26">
        <f xml:space="preserve"> IF(IE.BoundingCircle, MODE(Circles.AreaMultiplier), 1.5)</f>
        <v>1</v>
      </c>
    </row>
    <row r="18" spans="2:12">
      <c r="I18" s="4" t="s">
        <v>659</v>
      </c>
      <c r="J18">
        <f xml:space="preserve"> MAX(IE.MaxY, - IE.MinY)   /   MAX(IE.MaxX, - IE.MinX)</f>
        <v>1</v>
      </c>
    </row>
    <row r="19" spans="2:12">
      <c r="I19" s="4" t="s">
        <v>660</v>
      </c>
      <c r="J19">
        <f xml:space="preserve"> VALUE(TEXT(SQRT(IE.AreaMultiplier * BasicBBoxArea * IE.Aspect), SVG.NumberFormatHeight))</f>
        <v>15</v>
      </c>
    </row>
    <row r="20" spans="2:12">
      <c r="I20" s="4" t="s">
        <v>661</v>
      </c>
      <c r="J20" cm="1">
        <f t="array" ref="J20" xml:space="preserve"> IE.Height / IE.Aspect</f>
        <v>15</v>
      </c>
    </row>
    <row r="22" spans="2:12" ht="17" thickBot="1">
      <c r="B22" s="3" t="s">
        <v>1489</v>
      </c>
      <c r="C22" s="3" t="s">
        <v>668</v>
      </c>
      <c r="D22" s="3"/>
      <c r="E22" s="3" t="s">
        <v>669</v>
      </c>
      <c r="F22" s="3" t="s">
        <v>670</v>
      </c>
      <c r="G22" s="3" t="s">
        <v>671</v>
      </c>
      <c r="H22" s="3" t="s">
        <v>672</v>
      </c>
      <c r="I22" s="3" t="s">
        <v>673</v>
      </c>
      <c r="J22" s="3" t="s">
        <v>674</v>
      </c>
      <c r="L22" s="36" t="s">
        <v>1487</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559</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559</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559</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559</v>
      </c>
    </row>
    <row r="51" spans="2:13">
      <c r="L51" cm="1">
        <f t="array" ref="L51">SVG_length(IE.svg)</f>
        <v>318</v>
      </c>
    </row>
    <row r="53" spans="2:13" ht="17" thickBot="1">
      <c r="L53" s="36" t="s">
        <v>667</v>
      </c>
      <c r="M53" s="36" t="s">
        <v>2282</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topLeftCell="A2" workbookViewId="0">
      <selection activeCell="B2" sqref="B2"/>
    </sheetView>
  </sheetViews>
  <sheetFormatPr baseColWidth="10" defaultRowHeight="16"/>
  <sheetData>
    <row r="2" spans="2:5" ht="17" thickBot="1">
      <c r="E2" s="3" t="s">
        <v>2132</v>
      </c>
    </row>
    <row r="3" spans="2:5">
      <c r="E3">
        <f xml:space="preserve"> DecimalPlaces - INT(LOG(MIN(  MAX(GR.RawX) - MIN(GR.RawX),  MAX(GR.RawY) - MIN(GR.RawY)  )/2, 10) + 0.2)</f>
        <v>5</v>
      </c>
    </row>
    <row r="5" spans="2:5" ht="17" thickBot="1">
      <c r="B5" s="3" t="s">
        <v>2133</v>
      </c>
      <c r="C5" s="3" t="s">
        <v>2134</v>
      </c>
      <c r="E5" s="3" t="s">
        <v>2135</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2137</v>
      </c>
      <c r="E20">
        <f xml:space="preserve"> ROUND(MAX(GR.RawX), GR.DecimalPlaces) + 1</f>
        <v>6</v>
      </c>
    </row>
    <row r="21" spans="2:5">
      <c r="D21" s="4" t="s">
        <v>2139</v>
      </c>
      <c r="E21">
        <f xml:space="preserve"> GR.MaxX</f>
        <v>6</v>
      </c>
    </row>
    <row r="22" spans="2:5">
      <c r="D22" s="4" t="s">
        <v>2136</v>
      </c>
      <c r="E22">
        <f xml:space="preserve"> - GR.MaxX</f>
        <v>-6</v>
      </c>
    </row>
    <row r="23" spans="2:5">
      <c r="D23" s="4" t="s">
        <v>2138</v>
      </c>
      <c r="E23">
        <f xml:space="preserve"> - GR.MaxY</f>
        <v>-6</v>
      </c>
    </row>
    <row r="25" spans="2:5">
      <c r="D25" s="4" t="s">
        <v>2140</v>
      </c>
      <c r="E25" s="26">
        <f xml:space="preserve"> MODE(Squares.AreaMultiplier)</f>
        <v>0.85</v>
      </c>
    </row>
    <row r="26" spans="2:5">
      <c r="D26" s="4" t="s">
        <v>2141</v>
      </c>
      <c r="E26" cm="1">
        <f t="array" ref="E26" xml:space="preserve">  MAX(GR.MaxY, - GR.MinY)   /   MAX(GR.MaxX, - GR.MinX)</f>
        <v>1</v>
      </c>
    </row>
    <row r="27" spans="2:5">
      <c r="D27" s="4" t="s">
        <v>2142</v>
      </c>
      <c r="E27" cm="1">
        <f t="array" ref="E27" xml:space="preserve"> VALUE(TEXT(SQRT(GR.AreaMultiplier * BasicBBoxArea * GR.Aspect), SVG.NumberFormatHeight))</f>
        <v>13.8</v>
      </c>
    </row>
    <row r="28" spans="2:5">
      <c r="D28" s="4" t="s">
        <v>2143</v>
      </c>
      <c r="E28" cm="1">
        <f t="array" ref="E28" xml:space="preserve"> GR.Height / GR.Aspect</f>
        <v>13.8</v>
      </c>
    </row>
    <row r="29" spans="2:5">
      <c r="D29" s="4"/>
      <c r="E29" s="5"/>
    </row>
    <row r="30" spans="2:5">
      <c r="D30" s="4" t="s">
        <v>2144</v>
      </c>
      <c r="E30" s="5" t="s">
        <v>790</v>
      </c>
    </row>
    <row r="31" spans="2:5">
      <c r="D31" s="4" t="s">
        <v>2145</v>
      </c>
      <c r="E31" s="5" t="s">
        <v>2087</v>
      </c>
    </row>
    <row r="32" spans="2:5">
      <c r="D32" s="4" t="s">
        <v>2294</v>
      </c>
      <c r="E32" s="5" t="s">
        <v>2300</v>
      </c>
    </row>
    <row r="34" spans="5:6">
      <c r="E34" cm="1">
        <f t="array" ref="E34" xml:space="preserve"> SVG_length(GR.svg)</f>
        <v>225</v>
      </c>
    </row>
    <row r="36" spans="5:6" ht="17" thickBot="1">
      <c r="E36" s="3" t="s">
        <v>2146</v>
      </c>
      <c r="F36" s="3" t="s">
        <v>2295</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topLeftCell="A2" workbookViewId="0">
      <selection activeCell="B2" sqref="B2"/>
    </sheetView>
  </sheetViews>
  <sheetFormatPr baseColWidth="10" defaultRowHeight="16"/>
  <sheetData>
    <row r="2" spans="2:6" ht="17" thickBot="1">
      <c r="B2" s="2" t="s">
        <v>616</v>
      </c>
      <c r="C2" s="2" t="s">
        <v>615</v>
      </c>
      <c r="F2" s="3" t="s">
        <v>599</v>
      </c>
    </row>
    <row r="3" spans="2:6">
      <c r="B3">
        <v>8</v>
      </c>
      <c r="C3">
        <f xml:space="preserve"> SI.OuterRadius / 2</f>
        <v>4</v>
      </c>
      <c r="F3">
        <f xml:space="preserve"> DecimalPlaces - INT(LOG(MIN(  MAX(SI.RawX) - MIN(SI.RawX),  MAX(SI.RawY) - MIN(SI.RawY)  )/2, 10) + 0.2)</f>
        <v>4</v>
      </c>
    </row>
    <row r="5" spans="2:6" ht="17" thickBot="1">
      <c r="B5" s="3" t="s">
        <v>617</v>
      </c>
      <c r="C5" s="3" t="s">
        <v>600</v>
      </c>
      <c r="D5" s="3" t="s">
        <v>601</v>
      </c>
      <c r="F5" s="3" t="s">
        <v>602</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609</v>
      </c>
      <c r="F20">
        <f xml:space="preserve"> ROUND( MIN(SI.RawX), SI.DecimalPlaces)</f>
        <v>-6.9282000000000004</v>
      </c>
    </row>
    <row r="21" spans="2:6">
      <c r="E21" s="4" t="s">
        <v>610</v>
      </c>
      <c r="F21">
        <f xml:space="preserve"> ROUND(MAX(SI.RawX), SI.DecimalPlaces)</f>
        <v>6.9282000000000004</v>
      </c>
    </row>
    <row r="22" spans="2:6">
      <c r="E22" s="4" t="s">
        <v>611</v>
      </c>
      <c r="F22">
        <f xml:space="preserve"> ROUND( MIN(SI.RawY), SI.DecimalPlaces)</f>
        <v>-8</v>
      </c>
    </row>
    <row r="23" spans="2:6">
      <c r="E23" s="4" t="s">
        <v>612</v>
      </c>
      <c r="F23">
        <f xml:space="preserve"> ROUND(MAX(SI.RawY), SI.DecimalPlaces)</f>
        <v>8</v>
      </c>
    </row>
    <row r="25" spans="2:6">
      <c r="E25" s="4" t="s">
        <v>603</v>
      </c>
      <c r="F25" s="26">
        <v>1.125</v>
      </c>
    </row>
    <row r="26" spans="2:6">
      <c r="E26" s="4" t="s">
        <v>604</v>
      </c>
      <c r="F26">
        <f xml:space="preserve">  MAX(SI.MaxY, - SI.MinY)   /   MAX(SI.MaxX, - SI.MinX)</f>
        <v>1.154701076758754</v>
      </c>
    </row>
    <row r="27" spans="2:6">
      <c r="E27" s="4" t="s">
        <v>605</v>
      </c>
      <c r="F27">
        <f xml:space="preserve"> VALUE(TEXT(SQRT(SI.AreaMultiplier * BasicBBoxArea * SI.Aspect), SVG.NumberFormatHeight))</f>
        <v>17.100000000000001</v>
      </c>
    </row>
    <row r="28" spans="2:6">
      <c r="E28" s="4" t="s">
        <v>606</v>
      </c>
      <c r="F28" cm="1">
        <f t="array" ref="F28" xml:space="preserve"> SI.Height / SI.Aspect</f>
        <v>14.809027500000003</v>
      </c>
    </row>
    <row r="29" spans="2:6">
      <c r="E29" s="4"/>
      <c r="F29" s="5"/>
    </row>
    <row r="30" spans="2:6">
      <c r="E30" s="4" t="s">
        <v>607</v>
      </c>
      <c r="F30" s="5" t="s">
        <v>773</v>
      </c>
    </row>
    <row r="31" spans="2:6">
      <c r="E31" s="4" t="s">
        <v>608</v>
      </c>
      <c r="F31" s="5" t="s">
        <v>774</v>
      </c>
    </row>
    <row r="33" spans="6:7">
      <c r="F33" cm="1">
        <f t="array" ref="F33" xml:space="preserve"> SVG_length(SI.svg)</f>
        <v>353</v>
      </c>
    </row>
    <row r="35" spans="6:7" ht="17" thickBot="1">
      <c r="F35" s="3" t="s">
        <v>613</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619</v>
      </c>
      <c r="G45" s="5" t="s">
        <v>620</v>
      </c>
    </row>
    <row r="46" spans="6:7">
      <c r="F46" t="s">
        <v>618</v>
      </c>
      <c r="G46" s="5" t="s">
        <v>621</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1498</v>
      </c>
      <c r="I2" s="5" t="s">
        <v>1501</v>
      </c>
    </row>
    <row r="3" spans="2:11">
      <c r="H3" s="4" t="s">
        <v>1499</v>
      </c>
      <c r="I3" s="5" t="s">
        <v>1496</v>
      </c>
    </row>
    <row r="5" spans="2:11">
      <c r="H5" s="4" t="s">
        <v>1537</v>
      </c>
      <c r="I5">
        <f xml:space="preserve"> 39*4*10</f>
        <v>1560</v>
      </c>
    </row>
    <row r="6" spans="2:11">
      <c r="H6" s="4" t="s">
        <v>681</v>
      </c>
      <c r="I6">
        <f xml:space="preserve"> DecimalPlaces - INT(LOG(CY.Rescale) + 0.2)</f>
        <v>2</v>
      </c>
    </row>
    <row r="7" spans="2:11">
      <c r="B7" s="4" t="s">
        <v>695</v>
      </c>
      <c r="C7">
        <f xml:space="preserve"> MATCH(MAX(CY.Y1), CY.Y1, 0)</f>
        <v>10</v>
      </c>
      <c r="H7" s="4" t="s">
        <v>1500</v>
      </c>
      <c r="I7">
        <f xml:space="preserve"> CY.Y_Max / 4</f>
        <v>161.77081323372275</v>
      </c>
      <c r="J7" s="5"/>
      <c r="K7" s="5"/>
    </row>
    <row r="8" spans="2:11">
      <c r="B8" s="4" t="s">
        <v>697</v>
      </c>
      <c r="C8" cm="1">
        <f t="array" ref="C8" xml:space="preserve"> INDEX(CY.Y3, CY.Points_RowNum - 1)</f>
        <v>600</v>
      </c>
      <c r="H8" s="4" t="s">
        <v>682</v>
      </c>
      <c r="I8">
        <f xml:space="preserve"> CEILING(MAX($D$26:$D$31, $F$26:$F$31, $H$26:$H$31) + CY.RectExtra, 10^(2-CY.DecimalPlaces))</f>
        <v>882</v>
      </c>
    </row>
    <row r="9" spans="2:11">
      <c r="B9" s="4" t="s">
        <v>698</v>
      </c>
      <c r="C9" cm="1">
        <f t="array" ref="C9" xml:space="preserve"> 3 * INDEX(CY.Y1, CY.Points_RowNum) - 3 * INDEX(CY.Y3, CY.Points_RowNum - 1)</f>
        <v>495</v>
      </c>
      <c r="H9" s="4" t="s">
        <v>683</v>
      </c>
      <c r="I9">
        <f xml:space="preserve"> CEILING( ABS(CY.Y_Max) + CY.RectExtra, 10^(2-CY.DecimalPlaces))</f>
        <v>809</v>
      </c>
    </row>
    <row r="10" spans="2:11">
      <c r="B10" s="4" t="s">
        <v>699</v>
      </c>
      <c r="C10" cm="1">
        <f t="array" ref="C10" xml:space="preserve"> 3 * INDEX(CY.Y2, CY.Points_RowNum)  -  6 * INDEX(CY.Y1, CY.Points_RowNum) + 3 * INDEX(CY.Y3, CY.Points_RowNum - 1)</f>
        <v>-1350</v>
      </c>
      <c r="H10" s="4" t="s">
        <v>684</v>
      </c>
      <c r="I10" cm="1">
        <f t="array" ref="I10" xml:space="preserve"> - CY.MaxX</f>
        <v>-882</v>
      </c>
    </row>
    <row r="11" spans="2:11">
      <c r="B11" s="4" t="s">
        <v>700</v>
      </c>
      <c r="C11" cm="1">
        <f t="array" ref="C11" xml:space="preserve"> INDEX(CY.Y3, CY.Points_RowNum)  -  3 * INDEX(CY.Y2, CY.Points_RowNum)  + 3 * INDEX(CY.Y1, CY.Points_RowNum) - INDEX(CY.Y3, CY.Points_RowNum - 1)</f>
        <v>255</v>
      </c>
      <c r="H11" s="4" t="s">
        <v>685</v>
      </c>
      <c r="I11" cm="1">
        <f t="array" ref="I11" xml:space="preserve"> - CY.MaxY</f>
        <v>-809</v>
      </c>
    </row>
    <row r="12" spans="2:11">
      <c r="B12" s="4" t="s">
        <v>696</v>
      </c>
      <c r="C12">
        <f xml:space="preserve"> (-2*CY.Y_Coeff2 - SQRT( (2*CY.Y_Coeff2)^2 - 4*CY.Y_Coeff1*3*CY.Y_Coeff3) ) / (2*3*CY.Y_Coeff3)</f>
        <v>0.19399647966838945</v>
      </c>
    </row>
    <row r="13" spans="2:11">
      <c r="B13" s="4" t="s">
        <v>701</v>
      </c>
      <c r="C13">
        <f xml:space="preserve"> ((CY.Y_Coeff3*CY.t_Turn + CY.Y_Coeff2)*CY.t_Turn + CY.Y_Coeff1)*CY.t_Turn + CY.Y_Coeff0</f>
        <v>647.08325293489099</v>
      </c>
      <c r="H13" s="4" t="s">
        <v>677</v>
      </c>
      <c r="I13" s="26">
        <f xml:space="preserve"> MODE(Squares.AreaMultiplier)</f>
        <v>0.85</v>
      </c>
    </row>
    <row r="14" spans="2:11">
      <c r="H14" s="4" t="s">
        <v>678</v>
      </c>
      <c r="I14">
        <f xml:space="preserve"> MAX(CY.MaxY, -CY.MinY) / MAX(CY.MaxX, -CY.MinX)</f>
        <v>0.91723356009070289</v>
      </c>
    </row>
    <row r="15" spans="2:11">
      <c r="H15" s="4" t="s">
        <v>679</v>
      </c>
      <c r="I15">
        <f xml:space="preserve"> VALUE(TEXT(SQRT(CY.AreaMultiplier * BasicBBoxArea * CY.Aspect), SVG.NumberFormatHeight))</f>
        <v>13.2</v>
      </c>
    </row>
    <row r="16" spans="2:11">
      <c r="H16" s="4" t="s">
        <v>680</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686</v>
      </c>
      <c r="C21" s="3" t="s">
        <v>1536</v>
      </c>
      <c r="D21" s="3" t="s">
        <v>687</v>
      </c>
      <c r="E21" s="3" t="s">
        <v>688</v>
      </c>
      <c r="F21" s="3" t="s">
        <v>689</v>
      </c>
      <c r="G21" s="3" t="s">
        <v>690</v>
      </c>
      <c r="H21" s="3" t="s">
        <v>691</v>
      </c>
      <c r="I21" s="3" t="s">
        <v>692</v>
      </c>
      <c r="K21" s="36" t="s">
        <v>1497</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559</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559</v>
      </c>
    </row>
    <row r="35" spans="11:11" ht="17" thickBot="1">
      <c r="K35" s="36" t="s">
        <v>693</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702</v>
      </c>
      <c r="E2">
        <f xml:space="preserve"> DecimalPlaces - INT(LOG(MIN(  MAX(MT.RawX) - MIN(MT.RawX),  MAX(MT.RawY) - MIN(MT.RawY)  )/2, 10) + 0.2)</f>
        <v>5</v>
      </c>
    </row>
    <row r="4" spans="2:5" ht="17" thickBot="1">
      <c r="B4" s="3" t="s">
        <v>703</v>
      </c>
      <c r="C4" s="3" t="s">
        <v>704</v>
      </c>
      <c r="E4" s="3" t="s">
        <v>1759</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709</v>
      </c>
      <c r="E21">
        <f xml:space="preserve"> ROUND( MIN(MT.RawX), MT.DecimalPlaces)</f>
        <v>-1</v>
      </c>
    </row>
    <row r="22" spans="2:5">
      <c r="D22" s="4" t="s">
        <v>710</v>
      </c>
      <c r="E22">
        <f xml:space="preserve"> ROUND(MAX(MT.RawX), MT.DecimalPlaces)</f>
        <v>1</v>
      </c>
    </row>
    <row r="23" spans="2:5">
      <c r="D23" s="4" t="s">
        <v>711</v>
      </c>
      <c r="E23">
        <f xml:space="preserve"> ROUND( MIN(MT.RawY), MT.DecimalPlaces)</f>
        <v>-1</v>
      </c>
    </row>
    <row r="24" spans="2:5">
      <c r="D24" s="4" t="s">
        <v>712</v>
      </c>
      <c r="E24">
        <f xml:space="preserve"> ROUND(MAX(MT.RawY), MT.DecimalPlaces)</f>
        <v>1</v>
      </c>
    </row>
    <row r="26" spans="2:5">
      <c r="D26" s="4" t="s">
        <v>705</v>
      </c>
      <c r="E26" s="26">
        <f xml:space="preserve"> MODE(Squares.AreaMultiplier)</f>
        <v>0.85</v>
      </c>
    </row>
    <row r="27" spans="2:5">
      <c r="D27" s="4" t="s">
        <v>706</v>
      </c>
      <c r="E27">
        <f xml:space="preserve"> MAX(MT.MaxY, - MT.MinY) / MAX(MT.MaxX, - MT.MinX)</f>
        <v>1</v>
      </c>
    </row>
    <row r="28" spans="2:5">
      <c r="D28" s="4" t="s">
        <v>707</v>
      </c>
      <c r="E28">
        <f xml:space="preserve"> VALUE(TEXT(SQRT(MT.AreaMultiplier * BasicBBoxArea * MT.Aspect), SVG.NumberFormatHeight))</f>
        <v>13.8</v>
      </c>
    </row>
    <row r="29" spans="2:5">
      <c r="D29" s="4" t="s">
        <v>708</v>
      </c>
      <c r="E29" cm="1">
        <f t="array" ref="E29" xml:space="preserve"> MT.Height / MT.Aspect</f>
        <v>13.8</v>
      </c>
    </row>
    <row r="31" spans="2:5">
      <c r="D31" s="4" t="s">
        <v>1493</v>
      </c>
      <c r="E31" s="5" t="s">
        <v>1495</v>
      </c>
    </row>
    <row r="32" spans="2:5">
      <c r="D32" s="4" t="s">
        <v>1494</v>
      </c>
      <c r="E32" s="5" t="s">
        <v>2087</v>
      </c>
    </row>
    <row r="34" spans="3:5" ht="17" thickBot="1">
      <c r="E34" s="3" t="s">
        <v>713</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topLeftCell="A2" workbookViewId="0">
      <selection activeCell="B2" sqref="B2"/>
    </sheetView>
  </sheetViews>
  <sheetFormatPr baseColWidth="10" defaultRowHeight="16"/>
  <sheetData>
    <row r="5" spans="2:8" ht="17" thickBot="1">
      <c r="G5" s="3" t="s">
        <v>1510</v>
      </c>
      <c r="H5" s="3" t="s">
        <v>1509</v>
      </c>
    </row>
    <row r="6" spans="2:8">
      <c r="B6" s="4" t="s">
        <v>957</v>
      </c>
      <c r="C6">
        <v>8</v>
      </c>
      <c r="G6" t="s">
        <v>23</v>
      </c>
      <c r="H6" s="5" t="str">
        <f xml:space="preserve"> "M 0 " &amp; _EBRD.yIntersection</f>
        <v>M 0 10.3923</v>
      </c>
    </row>
    <row r="7" spans="2:8">
      <c r="B7" s="4" t="s">
        <v>958</v>
      </c>
      <c r="C7">
        <v>12</v>
      </c>
      <c r="G7" t="s">
        <v>23</v>
      </c>
      <c r="H7" s="5" t="str">
        <f xml:space="preserve"> "A " &amp; _EBRD.OvalHalfWidth &amp; " " &amp; _EBRD.OvalHalfHeight &amp; " 0 1 0 0 " &amp; (- _EBRD.yIntersection)</f>
        <v>A 8 12 0 1 0 0 -10.3923</v>
      </c>
    </row>
    <row r="8" spans="2:8">
      <c r="B8" s="4" t="s">
        <v>959</v>
      </c>
      <c r="C8">
        <v>4</v>
      </c>
      <c r="G8" t="s">
        <v>23</v>
      </c>
      <c r="H8" s="5" t="str">
        <f xml:space="preserve"> "A " &amp; _EBRD.OvalHalfWidth &amp; " " &amp; _EBRD.OvalHalfHeight &amp; " 0 1 0 0 " &amp; (_EBRD.yIntersection)</f>
        <v>A 8 12 0 1 0 0 10.3923</v>
      </c>
    </row>
    <row r="9" spans="2:8">
      <c r="G9" t="s">
        <v>23</v>
      </c>
      <c r="H9" s="5" t="s">
        <v>559</v>
      </c>
    </row>
    <row r="10" spans="2:8">
      <c r="B10" s="4" t="s">
        <v>961</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960</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559</v>
      </c>
    </row>
    <row r="15" spans="2:8">
      <c r="B15" s="4" t="s">
        <v>967</v>
      </c>
      <c r="C15">
        <f xml:space="preserve"> _EBRD.OvalHalfSeparation + _EBRD.OvalHalfWidth</f>
        <v>12</v>
      </c>
    </row>
    <row r="16" spans="2:8">
      <c r="B16" s="4" t="s">
        <v>969</v>
      </c>
      <c r="C16">
        <f xml:space="preserve"> _EBRD.OvalHalfHeight</f>
        <v>12</v>
      </c>
    </row>
    <row r="17" spans="2:3">
      <c r="B17" s="4" t="s">
        <v>966</v>
      </c>
      <c r="C17">
        <f xml:space="preserve"> - _EBRD.MaxX</f>
        <v>-12</v>
      </c>
    </row>
    <row r="18" spans="2:3">
      <c r="B18" s="4" t="s">
        <v>968</v>
      </c>
      <c r="C18">
        <f xml:space="preserve"> - _EBRD.MaxY</f>
        <v>-12</v>
      </c>
    </row>
    <row r="20" spans="2:3">
      <c r="B20" s="4" t="s">
        <v>962</v>
      </c>
      <c r="C20" s="26">
        <f xml:space="preserve"> MODE(Circles.AreaMultiplier)</f>
        <v>1</v>
      </c>
    </row>
    <row r="21" spans="2:3">
      <c r="B21" s="4" t="s">
        <v>963</v>
      </c>
      <c r="C21">
        <f xml:space="preserve"> MAX( _EBRD.MaxY, -  _EBRD.MinY) / MAX( _EBRD.MaxX, -  _EBRD.MinX)</f>
        <v>1</v>
      </c>
    </row>
    <row r="22" spans="2:3">
      <c r="B22" s="4" t="s">
        <v>964</v>
      </c>
      <c r="C22">
        <f xml:space="preserve"> VALUE(TEXT(SQRT(_EBRD.AreaMultiplier * BasicBBoxArea * _EBRD.Aspect), SVG.NumberFormatHeight))</f>
        <v>15</v>
      </c>
    </row>
    <row r="23" spans="2:3">
      <c r="B23" s="4" t="s">
        <v>965</v>
      </c>
      <c r="C23" cm="1">
        <f t="array" ref="C23" xml:space="preserve"> _EBRD.Height / _EBRD.Aspect</f>
        <v>15</v>
      </c>
    </row>
    <row r="25" spans="2:3">
      <c r="B25" s="4" t="s">
        <v>972</v>
      </c>
      <c r="C25" s="5" t="s">
        <v>1502</v>
      </c>
    </row>
    <row r="26" spans="2:3">
      <c r="B26" s="4" t="s">
        <v>973</v>
      </c>
      <c r="C26" s="5" t="s">
        <v>2087</v>
      </c>
    </row>
    <row r="29" spans="2:3" ht="17" thickBot="1">
      <c r="C29" s="3" t="s">
        <v>970</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topLeftCell="A2" workbookViewId="0">
      <selection activeCell="B2" sqref="B2"/>
    </sheetView>
  </sheetViews>
  <sheetFormatPr baseColWidth="10" defaultRowHeight="16"/>
  <sheetData>
    <row r="2" spans="2:16" ht="17" thickBot="1">
      <c r="F2" s="3" t="s">
        <v>993</v>
      </c>
    </row>
    <row r="3" spans="2:16">
      <c r="F3">
        <f xml:space="preserve"> DecimalPlaces - INT(LOG(MIN(  MAX(_NIB.RawX) - MIN(_NIB.RawX),  MAX(_NIB.RawY) - MIN(_NIB.RawY)  )/2, 10) + 0.2)</f>
        <v>4</v>
      </c>
    </row>
    <row r="5" spans="2:16" ht="17" thickBot="1">
      <c r="B5" s="3" t="s">
        <v>994</v>
      </c>
      <c r="C5" s="3" t="s">
        <v>995</v>
      </c>
      <c r="D5" s="3" t="s">
        <v>996</v>
      </c>
      <c r="F5" s="3" t="s">
        <v>1760</v>
      </c>
      <c r="K5" s="3" t="s">
        <v>1006</v>
      </c>
      <c r="L5" s="3" t="s">
        <v>1007</v>
      </c>
      <c r="M5" s="3" t="s">
        <v>1008</v>
      </c>
      <c r="N5" s="3" t="s">
        <v>1009</v>
      </c>
      <c r="O5" s="3" t="s">
        <v>1010</v>
      </c>
      <c r="P5" s="3" t="s">
        <v>1011</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1012</v>
      </c>
      <c r="I17">
        <v>1</v>
      </c>
    </row>
    <row r="18" spans="2:16">
      <c r="H18" s="4" t="s">
        <v>1013</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1001</v>
      </c>
      <c r="F32">
        <f xml:space="preserve"> ROUND( MIN(_NIB.RawX), _NIB.DecimalPlaces)</f>
        <v>-9</v>
      </c>
    </row>
    <row r="33" spans="4:6">
      <c r="E33" s="4" t="s">
        <v>1002</v>
      </c>
      <c r="F33">
        <f xml:space="preserve"> ROUND(MAX(_NIB.RawX), _NIB.DecimalPlaces)</f>
        <v>9</v>
      </c>
    </row>
    <row r="34" spans="4:6">
      <c r="E34" s="4" t="s">
        <v>1003</v>
      </c>
      <c r="F34">
        <f xml:space="preserve"> ROUND( MIN(_NIB.RawY), _NIB.DecimalPlaces)</f>
        <v>-9</v>
      </c>
    </row>
    <row r="35" spans="4:6">
      <c r="E35" s="4" t="s">
        <v>1004</v>
      </c>
      <c r="F35">
        <f xml:space="preserve"> ROUND(MAX(_NIB.RawY), _NIB.DecimalPlaces)</f>
        <v>9</v>
      </c>
    </row>
    <row r="37" spans="4:6">
      <c r="E37" s="4" t="s">
        <v>997</v>
      </c>
      <c r="F37" s="26">
        <f xml:space="preserve"> MODE(Squares.AreaMultiplier)</f>
        <v>0.85</v>
      </c>
    </row>
    <row r="38" spans="4:6">
      <c r="E38" s="4" t="s">
        <v>998</v>
      </c>
      <c r="F38">
        <f xml:space="preserve"> MAX( _NIB.MaxY, -  _NIB.MinY) / MAX( _NIB.MaxX, -  _NIB.MinX)</f>
        <v>1</v>
      </c>
    </row>
    <row r="39" spans="4:6">
      <c r="E39" s="4" t="s">
        <v>999</v>
      </c>
      <c r="F39">
        <f xml:space="preserve"> VALUE(TEXT(SQRT(_NIB.AreaMultiplier* BasicBBoxArea * _NIB.Aspect), SVG.NumberFormatHeight))</f>
        <v>13.8</v>
      </c>
    </row>
    <row r="40" spans="4:6">
      <c r="E40" s="4" t="s">
        <v>1000</v>
      </c>
      <c r="F40" cm="1">
        <f t="array" ref="F40" xml:space="preserve"> _NIB.Height / _NIB.Aspect</f>
        <v>13.8</v>
      </c>
    </row>
    <row r="42" spans="4:6">
      <c r="E42" s="4" t="s">
        <v>1014</v>
      </c>
      <c r="F42" t="s">
        <v>1016</v>
      </c>
    </row>
    <row r="43" spans="4:6">
      <c r="E43" s="4" t="s">
        <v>1015</v>
      </c>
      <c r="F43" t="s">
        <v>1017</v>
      </c>
    </row>
    <row r="45" spans="4:6" ht="17" thickBot="1">
      <c r="F45" s="3" t="s">
        <v>1005</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1693</v>
      </c>
      <c r="C2">
        <v>6</v>
      </c>
    </row>
    <row r="3" spans="2:3">
      <c r="B3" s="4" t="s">
        <v>1694</v>
      </c>
      <c r="C3">
        <f xml:space="preserve"> _AIIB.RadiusOuter - 1</f>
        <v>5</v>
      </c>
    </row>
    <row r="5" spans="2:3">
      <c r="B5" s="4" t="s">
        <v>974</v>
      </c>
      <c r="C5">
        <f xml:space="preserve"> DecimalPlaces - INT(LOG(_AIIB.RadiusOuter, 10) + 0.2)</f>
        <v>5</v>
      </c>
    </row>
    <row r="7" spans="2:3">
      <c r="B7" s="4" t="s">
        <v>987</v>
      </c>
      <c r="C7">
        <v>1</v>
      </c>
    </row>
    <row r="8" spans="2:3">
      <c r="B8" s="4" t="s">
        <v>988</v>
      </c>
      <c r="C8">
        <f xml:space="preserve"> _AIIB.X1 + _AIIB.RadiusOuter - _AIIB.RadiusInner</f>
        <v>2</v>
      </c>
    </row>
    <row r="9" spans="2:3">
      <c r="B9" s="4" t="s">
        <v>989</v>
      </c>
      <c r="C9">
        <f xml:space="preserve"> ROUND(SQRT( AVERAGE(_AIIB.RadiusOuter, _AIIB.RadiusInner)^2 - _AIIB.X1^2 ), _AIIB.DecimalPlaces - 4)</f>
        <v>5.4</v>
      </c>
    </row>
    <row r="10" spans="2:3">
      <c r="B10" s="4" t="s">
        <v>990</v>
      </c>
      <c r="C10">
        <f xml:space="preserve"> ROUND(SQRT( AVERAGE(_AIIB.RadiusOuter, _AIIB.RadiusInner)^2 - _AIIB.X2^2 ), _AIIB.DecimalPlaces - 4)</f>
        <v>5.0999999999999996</v>
      </c>
    </row>
    <row r="12" spans="2:3">
      <c r="B12" s="4" t="s">
        <v>981</v>
      </c>
      <c r="C12">
        <f xml:space="preserve"> _AIIB.RadiusOuter</f>
        <v>6</v>
      </c>
    </row>
    <row r="13" spans="2:3">
      <c r="B13" s="4" t="s">
        <v>982</v>
      </c>
      <c r="C13">
        <f xml:space="preserve"> _AIIB.MaxX</f>
        <v>6</v>
      </c>
    </row>
    <row r="14" spans="2:3">
      <c r="B14" s="4" t="s">
        <v>983</v>
      </c>
      <c r="C14" cm="1">
        <f t="array" ref="C14" xml:space="preserve"> - _AIIB.MaxX</f>
        <v>-6</v>
      </c>
    </row>
    <row r="15" spans="2:3">
      <c r="B15" s="4" t="s">
        <v>984</v>
      </c>
      <c r="C15" cm="1">
        <f t="array" ref="C15" xml:space="preserve"> - _AIIB.MaxY</f>
        <v>-6</v>
      </c>
    </row>
    <row r="17" spans="2:3">
      <c r="B17" s="4" t="s">
        <v>975</v>
      </c>
      <c r="C17" s="26">
        <f xml:space="preserve"> MODE(Circles.AreaMultiplier)</f>
        <v>1</v>
      </c>
    </row>
    <row r="18" spans="2:3">
      <c r="B18" s="4" t="s">
        <v>976</v>
      </c>
      <c r="C18">
        <f xml:space="preserve"> MAX( _AIIB.MaxY, -  _AIIB.MinY) / MAX( _AIIB.MaxX, -  _AIIB.MinX)</f>
        <v>1</v>
      </c>
    </row>
    <row r="19" spans="2:3">
      <c r="B19" s="4" t="s">
        <v>977</v>
      </c>
      <c r="C19">
        <f xml:space="preserve"> VALUE(TEXT(SQRT(_AIIB.AreaMultiplier * BasicBBoxArea * _AIIB.Aspect), SVG.NumberFormatHeight))</f>
        <v>15</v>
      </c>
    </row>
    <row r="20" spans="2:3">
      <c r="B20" s="4" t="s">
        <v>978</v>
      </c>
      <c r="C20" cm="1">
        <f t="array" ref="C20" xml:space="preserve"> _AIIB.Height / _AIIB.Aspect</f>
        <v>15</v>
      </c>
    </row>
    <row r="22" spans="2:3">
      <c r="B22" s="4" t="s">
        <v>979</v>
      </c>
      <c r="C22" s="5" t="s">
        <v>986</v>
      </c>
    </row>
    <row r="23" spans="2:3">
      <c r="B23" s="4" t="s">
        <v>980</v>
      </c>
      <c r="C23" s="5" t="s">
        <v>2087</v>
      </c>
    </row>
    <row r="25" spans="2:3" ht="17" thickBot="1">
      <c r="C25" s="3" t="s">
        <v>985</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topLeftCell="A2" workbookViewId="0">
      <selection activeCell="B2" sqref="B2"/>
    </sheetView>
  </sheetViews>
  <sheetFormatPr baseColWidth="10" defaultRowHeight="16"/>
  <sheetData>
    <row r="2" spans="2:5" ht="17" thickBot="1">
      <c r="B2" t="s">
        <v>1674</v>
      </c>
      <c r="E2" t="s">
        <v>941</v>
      </c>
    </row>
    <row r="3" spans="2:5">
      <c r="B3" s="34">
        <v>6</v>
      </c>
      <c r="E3" s="34">
        <f xml:space="preserve"> DecimalPlaces - INT(LOG(MIN(  MAX(_IsDB.RawX) - MIN(_IsDB.RawX),  MAX(_IsDB.RawY) - MIN(_IsDB.RawY)  )/2, 10) + 0.2)</f>
        <v>5</v>
      </c>
    </row>
    <row r="5" spans="2:5" ht="17" thickBot="1">
      <c r="B5" s="3" t="s">
        <v>942</v>
      </c>
      <c r="C5" s="3" t="s">
        <v>943</v>
      </c>
      <c r="E5" s="3" t="s">
        <v>1761</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950</v>
      </c>
      <c r="E14">
        <f xml:space="preserve"> ROUND( MIN(_IsDB.RawX), _IsDB.DecimalPlaces)</f>
        <v>-6.9282000000000004</v>
      </c>
    </row>
    <row r="15" spans="2:5">
      <c r="D15" s="4" t="s">
        <v>951</v>
      </c>
      <c r="E15">
        <f xml:space="preserve"> ROUND(MAX(_IsDB.RawX), _IsDB.DecimalPlaces)</f>
        <v>6.9282000000000004</v>
      </c>
    </row>
    <row r="16" spans="2:5">
      <c r="D16" s="4" t="s">
        <v>952</v>
      </c>
      <c r="E16">
        <f xml:space="preserve"> ROUND( MIN(_IsDB.RawY), _IsDB.DecimalPlaces)</f>
        <v>-6</v>
      </c>
    </row>
    <row r="17" spans="3:5">
      <c r="D17" s="4" t="s">
        <v>953</v>
      </c>
      <c r="E17">
        <f xml:space="preserve"> ROUND(MAX(_IsDB.RawY), _IsDB.DecimalPlaces)</f>
        <v>6</v>
      </c>
    </row>
    <row r="19" spans="3:5">
      <c r="D19" s="4" t="s">
        <v>944</v>
      </c>
      <c r="E19" s="26">
        <f xml:space="preserve"> FR.AreaMultiplier</f>
        <v>1.0625</v>
      </c>
    </row>
    <row r="20" spans="3:5">
      <c r="D20" s="4" t="s">
        <v>945</v>
      </c>
      <c r="E20">
        <f xml:space="preserve"> MAX( _IsDB.MaxY, -  _IsDB.MinY) / MAX( _IsDB.MaxX, -  _IsDB.MinX)</f>
        <v>0.86602580756906555</v>
      </c>
    </row>
    <row r="21" spans="3:5">
      <c r="D21" s="4" t="s">
        <v>946</v>
      </c>
      <c r="E21">
        <f xml:space="preserve"> VALUE(TEXT(SQRT(_IsDB.AreaMultiplier * BasicBBoxArea * _IsDB.Aspect), SVG.NumberFormatHeight))</f>
        <v>14.4</v>
      </c>
    </row>
    <row r="22" spans="3:5">
      <c r="D22" s="4" t="s">
        <v>947</v>
      </c>
      <c r="E22" cm="1">
        <f t="array" ref="E22" xml:space="preserve"> _IsDB.Height / _IsDB.Aspect</f>
        <v>16.627680000000002</v>
      </c>
    </row>
    <row r="24" spans="3:5">
      <c r="D24" s="4" t="s">
        <v>948</v>
      </c>
      <c r="E24" t="s">
        <v>737</v>
      </c>
    </row>
    <row r="25" spans="3:5">
      <c r="D25" s="4" t="s">
        <v>949</v>
      </c>
      <c r="E25" t="s">
        <v>2087</v>
      </c>
    </row>
    <row r="27" spans="3:5">
      <c r="D27" s="4" t="s">
        <v>956</v>
      </c>
      <c r="E27" cm="1">
        <f t="array" ref="E27" xml:space="preserve"> ROUND( MAX(_IsDB.MaxX,_IsDB.MaxY) * (Sqrt3 / 2) * (2/3), _IsDB.DecimalPlaces )</f>
        <v>4</v>
      </c>
    </row>
    <row r="30" spans="3:5" ht="17" thickBot="1">
      <c r="E30" s="3" t="s">
        <v>954</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1029</v>
      </c>
      <c r="G2" s="3" t="s">
        <v>1047</v>
      </c>
      <c r="H2" s="3" t="s">
        <v>1031</v>
      </c>
      <c r="I2" s="3" t="s">
        <v>1030</v>
      </c>
      <c r="K2" s="3" t="s">
        <v>1027</v>
      </c>
      <c r="L2" s="3" t="s">
        <v>1028</v>
      </c>
      <c r="M2" s="3" t="s">
        <v>1033</v>
      </c>
      <c r="O2" s="35" t="s">
        <v>1042</v>
      </c>
    </row>
    <row r="3" spans="2:15">
      <c r="B3" s="4" t="s">
        <v>1048</v>
      </c>
      <c r="C3">
        <v>90</v>
      </c>
    </row>
    <row r="4" spans="2:15">
      <c r="B4" s="4" t="s">
        <v>1044</v>
      </c>
      <c r="C4">
        <f xml:space="preserve"> _NDB.RadiusMaster * 8/3</f>
        <v>240</v>
      </c>
      <c r="F4" t="s">
        <v>1045</v>
      </c>
      <c r="K4">
        <f xml:space="preserve"> _NDB.TriangleEdge / 2 -_NDB.Radius</f>
        <v>30</v>
      </c>
      <c r="L4" cm="1">
        <f t="array" ref="L4" xml:space="preserve"> - _NDB.TriangleEdge * Sqrt3 / 6</f>
        <v>-69.282032302755084</v>
      </c>
      <c r="M4">
        <f xml:space="preserve"> _NDB.RadiusMaster</f>
        <v>90</v>
      </c>
    </row>
    <row r="5" spans="2:15">
      <c r="B5" s="4" t="s">
        <v>1057</v>
      </c>
      <c r="C5">
        <f xml:space="preserve"> _NDB.TriangleEdge^2 / _NDB.RadiusMaster / 8  -  _NDB.RadiusMaster / 2</f>
        <v>35</v>
      </c>
      <c r="F5" t="s">
        <v>1045</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1058</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1032</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1054</v>
      </c>
      <c r="C14" s="5" t="s">
        <v>1051</v>
      </c>
    </row>
    <row r="15" spans="2:15">
      <c r="B15" s="4" t="s">
        <v>1055</v>
      </c>
      <c r="C15" s="5" t="s">
        <v>1052</v>
      </c>
    </row>
    <row r="16" spans="2:15">
      <c r="F16" t="s">
        <v>1056</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1038</v>
      </c>
      <c r="C17">
        <f xml:space="preserve"> CEILING( _xlfn.MAXIFS(_NDB.RawX,   _NDB.Part,"Outer"), 10^-_NDB.DecimalPlaces )</f>
        <v>70.203000000000003</v>
      </c>
      <c r="F17" t="s">
        <v>1056</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1039</v>
      </c>
      <c r="C18">
        <f xml:space="preserve"> CEILING(_xlfn.MAXIFS(_NDB.RawY,   _NDB.Part,"Outer"), 10^-_NDB.DecimalPlaces)</f>
        <v>74.686000000000007</v>
      </c>
    </row>
    <row r="19" spans="2:17">
      <c r="B19" s="4" t="s">
        <v>1040</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1041</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1034</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1035</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1036</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1037</v>
      </c>
      <c r="C25">
        <f xml:space="preserve"> _NDB.Height / _NDB.Aspect</f>
        <v>16.8</v>
      </c>
    </row>
    <row r="28" spans="2:17">
      <c r="C28" cm="1">
        <f t="array" ref="C28" xml:space="preserve"> SVG_length(_NDB.svg)</f>
        <v>574</v>
      </c>
      <c r="F28" t="s">
        <v>1046</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1046</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1053</v>
      </c>
      <c r="G38" t="e">
        <f xml:space="preserve"> NA()</f>
        <v>#N/A</v>
      </c>
      <c r="H38" t="e">
        <f t="shared" si="5"/>
        <v>#N/A</v>
      </c>
      <c r="I38" t="e">
        <f t="shared" si="6"/>
        <v>#N/A</v>
      </c>
      <c r="M38" s="42" t="e">
        <f xml:space="preserve"> NA()</f>
        <v>#N/A</v>
      </c>
    </row>
    <row r="41" spans="6:15" ht="17" thickBot="1">
      <c r="O41" s="35" t="s">
        <v>1049</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topLeftCell="A2" workbookViewId="0">
      <selection activeCell="B2" sqref="B2"/>
    </sheetView>
  </sheetViews>
  <sheetFormatPr baseColWidth="10" defaultRowHeight="16"/>
  <sheetData>
    <row r="2" spans="3:36" ht="17" thickBot="1">
      <c r="C2" s="3" t="s">
        <v>2179</v>
      </c>
      <c r="D2" s="3" t="s">
        <v>2180</v>
      </c>
      <c r="E2" s="3" t="s">
        <v>2211</v>
      </c>
      <c r="I2" t="s">
        <v>2163</v>
      </c>
    </row>
    <row r="3" spans="3:36">
      <c r="C3">
        <v>60</v>
      </c>
      <c r="D3">
        <f xml:space="preserve"> FLOOR(_IADB.RadiusI * 6/5, 1)</f>
        <v>72</v>
      </c>
      <c r="E3">
        <f xml:space="preserve"> _IADB.RadiusI * -0.073722838915784</f>
        <v>-4.4233703349470401</v>
      </c>
      <c r="I3" s="34">
        <f xml:space="preserve"> DecimalPlaces - INT(LOG(_IADB.RadiusO, 10) + 0.2)</f>
        <v>3</v>
      </c>
      <c r="T3" s="4" t="s">
        <v>2186</v>
      </c>
      <c r="U3">
        <f t="array" ref="U3:V5" xml:space="preserve"> $D$22:$E$24</f>
        <v>34.778228978880634</v>
      </c>
      <c r="V3">
        <v>17.493275692479227</v>
      </c>
      <c r="Z3" s="4" t="s">
        <v>2196</v>
      </c>
      <c r="AA3" cm="1">
        <f t="array" ref="AA3:AB6" xml:space="preserve"> D25:E28</f>
        <v>17.693481339788161</v>
      </c>
      <c r="AB3">
        <v>0</v>
      </c>
    </row>
    <row r="4" spans="3:36">
      <c r="T4" s="4" t="s">
        <v>2187</v>
      </c>
      <c r="U4">
        <v>43.759270416190446</v>
      </c>
      <c r="V4">
        <v>6.5164472691005715</v>
      </c>
      <c r="Z4" s="4" t="s">
        <v>2197</v>
      </c>
      <c r="AA4">
        <v>0</v>
      </c>
      <c r="AB4">
        <v>-4.4233703349470401</v>
      </c>
    </row>
    <row r="5" spans="3:36">
      <c r="T5" s="4" t="s">
        <v>2188</v>
      </c>
      <c r="U5">
        <v>30.000000000000004</v>
      </c>
      <c r="V5">
        <v>3.0766296650529608</v>
      </c>
      <c r="Z5" s="4" t="s">
        <v>2198</v>
      </c>
      <c r="AA5">
        <v>0</v>
      </c>
      <c r="AB5">
        <v>-4.4233703349470401</v>
      </c>
    </row>
    <row r="6" spans="3:36">
      <c r="E6">
        <v>-6.1629474202226898E-2</v>
      </c>
      <c r="F6">
        <v>5.0115259951281468</v>
      </c>
      <c r="Z6" s="4" t="s">
        <v>2207</v>
      </c>
      <c r="AA6">
        <v>0</v>
      </c>
      <c r="AB6">
        <v>-22.700000000000003</v>
      </c>
    </row>
    <row r="7" spans="3:36">
      <c r="E7">
        <v>-7.4999999999999997E-2</v>
      </c>
      <c r="F7">
        <v>6.1043176067272302</v>
      </c>
    </row>
    <row r="8" spans="3:36">
      <c r="E8">
        <f xml:space="preserve"> ( (F7-6)*E6 + (6-F6)*E7 ) / (F7 - F6)</f>
        <v>-7.3723653039514642E-2</v>
      </c>
      <c r="F8">
        <v>6.0000523400182324</v>
      </c>
      <c r="T8" s="4" t="s">
        <v>2189</v>
      </c>
      <c r="U8" cm="1">
        <f t="array" ref="U8:V8" xml:space="preserve"> _IADB.Quartic_Z0</f>
        <v>34.778228978880634</v>
      </c>
      <c r="V8">
        <v>17.493275692479227</v>
      </c>
      <c r="Z8" s="4" t="s">
        <v>2199</v>
      </c>
      <c r="AA8" cm="1">
        <f t="array" ref="AA8:AB8" xml:space="preserve"> _IADB.Cubic_Z0</f>
        <v>17.693481339788161</v>
      </c>
      <c r="AB8">
        <v>0</v>
      </c>
    </row>
    <row r="9" spans="3:36">
      <c r="E9">
        <f xml:space="preserve"> ( (F8-6)*E7 + (6-F7)*E8 ) / (F8 - F7)</f>
        <v>-7.3723012327364834E-2</v>
      </c>
      <c r="F9">
        <v>6.0000111486410219</v>
      </c>
      <c r="T9" s="4" t="s">
        <v>2190</v>
      </c>
      <c r="U9" cm="1">
        <f t="array" ref="U9:V9" xml:space="preserve"> 2 * (_IADB.Quartic_Z1 - _IADB.Quartic_Z0)</f>
        <v>17.962082874619625</v>
      </c>
      <c r="V9">
        <v>-21.953656846757312</v>
      </c>
      <c r="Z9" s="4" t="s">
        <v>2200</v>
      </c>
      <c r="AA9" cm="1">
        <f t="array" ref="AA9:AB9" xml:space="preserve"> 3 * (_IADB.Cubic_Z1 - _IADB.Cubic_Z0)</f>
        <v>-53.080444019364478</v>
      </c>
      <c r="AB9">
        <v>-13.270111004841119</v>
      </c>
    </row>
    <row r="10" spans="3:36">
      <c r="E10">
        <f xml:space="preserve"> ( (F9-6)*E8 + (6-F8)*E9 ) / (F9 - F8)</f>
        <v>-7.3722838915591796E-2</v>
      </c>
      <c r="F10">
        <v>5.999999999987641</v>
      </c>
      <c r="T10" s="4" t="s">
        <v>2191</v>
      </c>
      <c r="U10" cm="1">
        <f t="array" ref="U10:V10" xml:space="preserve"> _IADB.Quartic_Z2 + _IADB.Quartic_Z0 - 2*_IADB.Quartic_Z1</f>
        <v>-22.740311853500259</v>
      </c>
      <c r="V10">
        <v>7.5370108193310426</v>
      </c>
      <c r="Z10" s="4" t="s">
        <v>2201</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2208</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2217</v>
      </c>
      <c r="Z13" s="3" t="s">
        <v>2218</v>
      </c>
      <c r="AA13" s="3" t="s">
        <v>2219</v>
      </c>
      <c r="AB13" s="3" t="s">
        <v>2220</v>
      </c>
      <c r="AC13" s="3" t="s">
        <v>2221</v>
      </c>
      <c r="AG13" s="3" t="s">
        <v>2224</v>
      </c>
      <c r="AJ13" s="3" t="s">
        <v>2223</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2178</v>
      </c>
      <c r="D20" s="3" t="s">
        <v>2164</v>
      </c>
      <c r="E20" s="3" t="s">
        <v>2165</v>
      </c>
      <c r="F20" s="3" t="s">
        <v>2185</v>
      </c>
      <c r="I20" s="3" t="s">
        <v>2166</v>
      </c>
      <c r="S20" s="3" t="s">
        <v>2195</v>
      </c>
      <c r="T20" s="3" t="s">
        <v>2194</v>
      </c>
      <c r="U20" s="3" t="s">
        <v>2192</v>
      </c>
      <c r="V20" s="3" t="s">
        <v>2193</v>
      </c>
      <c r="Y20" s="3" t="s">
        <v>2202</v>
      </c>
      <c r="Z20" s="3" t="s">
        <v>2203</v>
      </c>
      <c r="AA20" s="3" t="s">
        <v>2204</v>
      </c>
      <c r="AB20" s="3" t="s">
        <v>2205</v>
      </c>
      <c r="AC20" s="3" t="s">
        <v>2206</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2181</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2182</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2183</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2184</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2222</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2183</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2182</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2184</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2222</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2168</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2170</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2167</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2169</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2171</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2172</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2173</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2174</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2175</v>
      </c>
      <c r="I49" s="5" t="s">
        <v>991</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2176</v>
      </c>
      <c r="I50" s="5" t="s">
        <v>2087</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2210</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2177</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2209</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2212</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2213</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2214</v>
      </c>
      <c r="I57" s="5" t="s">
        <v>15</v>
      </c>
    </row>
    <row r="58" spans="3:29">
      <c r="C58" t="s">
        <v>2214</v>
      </c>
    </row>
    <row r="59" spans="3:29">
      <c r="C59" t="s">
        <v>2215</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2216</v>
      </c>
      <c r="E65">
        <f xml:space="preserve"> ($E23 - $E21) / ($D23 - $D21)</f>
        <v>0.14891581160113579</v>
      </c>
    </row>
    <row r="66" spans="3:5">
      <c r="C66" t="s">
        <v>2216</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topLeftCell="A2" workbookViewId="0">
      <selection activeCell="B2" sqref="B2"/>
    </sheetView>
  </sheetViews>
  <sheetFormatPr baseColWidth="10" defaultRowHeight="16"/>
  <cols>
    <col min="16" max="16" width="10.83203125" style="5"/>
  </cols>
  <sheetData>
    <row r="2" spans="2:16" ht="17" thickBot="1">
      <c r="F2" s="3" t="s">
        <v>1518</v>
      </c>
      <c r="G2" s="3" t="s">
        <v>1519</v>
      </c>
      <c r="H2" s="3" t="s">
        <v>1520</v>
      </c>
      <c r="I2" s="3" t="s">
        <v>1521</v>
      </c>
      <c r="J2" s="3" t="s">
        <v>1522</v>
      </c>
      <c r="K2" s="3" t="s">
        <v>1523</v>
      </c>
      <c r="L2" s="3" t="s">
        <v>1524</v>
      </c>
      <c r="M2" s="3" t="s">
        <v>1525</v>
      </c>
      <c r="O2" s="3" t="s">
        <v>1531</v>
      </c>
      <c r="P2" s="35" t="s">
        <v>1517</v>
      </c>
    </row>
    <row r="3" spans="2:16">
      <c r="B3" s="4" t="s">
        <v>1526</v>
      </c>
      <c r="C3">
        <v>400</v>
      </c>
    </row>
    <row r="4" spans="2:16">
      <c r="B4" s="4" t="s">
        <v>1527</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1532</v>
      </c>
      <c r="P4" s="5" t="str">
        <f xml:space="preserve"> _xlfn.TEXTJOIN(" ",TRUE, "M", _xlfn.SINGLE(_IBRD.X1), _xlfn.SINGLE(_IBRD.Y1), " A ", _xlfn.SINGLE(_IBRD.Radius), _xlfn.SINGLE(_IBRD.Radius), 0, 0, 0, _xlfn.SINGLE(_IBRD.X2), _xlfn.SINGLE(_IBRD.Y2))</f>
        <v>M 309.027 219.416  A  530 530 0 0 0 -309.027 219.416</v>
      </c>
    </row>
    <row r="5" spans="2:16">
      <c r="B5" s="4" t="s">
        <v>1528</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1532</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1529</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1532</v>
      </c>
      <c r="P7" s="5" t="str">
        <f xml:space="preserve"> _xlfn.TEXTJOIN(" ",TRUE, "M", _xlfn.SINGLE(_IBRD.X1), _xlfn.SINGLE(_IBRD.Y1), " A ", _xlfn.SINGLE(_IBRD.Radius), _xlfn.SINGLE(_IBRD.Radius), 0, 0, 1, _xlfn.SINGLE(_IBRD.X2), _xlfn.SINGLE(_IBRD.Y2))</f>
        <v>M 309.027 -219.416  A  530 530 0 0 1 -309.027 -219.416</v>
      </c>
    </row>
    <row r="8" spans="2:16">
      <c r="B8" s="4" t="s">
        <v>922</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1532</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923</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1533</v>
      </c>
      <c r="P10" s="5" t="str">
        <f xml:space="preserve"> _xlfn.TEXTJOIN(" ",TRUE, "M", _xlfn.SINGLE(_IBRD.X1), _xlfn.SINGLE(_IBRD.Y1), " A ", _xlfn.SINGLE(_IBRD.Radius), _xlfn.SINGLE(_IBRD.Radius), 0, 0, 1, _xlfn.SINGLE(_IBRD.X2), _xlfn.SINGLE(_IBRD.Y2))</f>
        <v>M -57.805 374.566  A  518 518 0 0 1 -57.805 -374.566</v>
      </c>
    </row>
    <row r="11" spans="2:16">
      <c r="B11" s="4" t="s">
        <v>924</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1533</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925</v>
      </c>
      <c r="C12" s="28">
        <f xml:space="preserve"> VALUE(TEXT(SQRT(_IBRD.AreaMultiplier* BasicBBoxArea * _IBRD.Aspect), SVG.NumberFormatHeight))</f>
        <v>15</v>
      </c>
    </row>
    <row r="13" spans="2:16">
      <c r="B13" s="4" t="s">
        <v>926</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1533</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1533</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928</v>
      </c>
      <c r="C16">
        <v>42</v>
      </c>
      <c r="P16" s="41"/>
    </row>
    <row r="17" spans="2:16" ht="17" thickBot="1">
      <c r="B17" s="4" t="s">
        <v>927</v>
      </c>
      <c r="C17">
        <f xml:space="preserve"> CEILING(400 - _IBRD.LineThickness / 2, 1)</f>
        <v>379</v>
      </c>
      <c r="M17" s="3" t="s">
        <v>1516</v>
      </c>
      <c r="P17" s="35" t="s">
        <v>1530</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topLeftCell="A2" workbookViewId="0">
      <selection activeCell="B2" sqref="B2"/>
    </sheetView>
  </sheetViews>
  <sheetFormatPr baseColWidth="10" defaultRowHeight="16"/>
  <sheetData>
    <row r="2" spans="2:7" ht="17" thickBot="1">
      <c r="C2" t="s">
        <v>2238</v>
      </c>
      <c r="D2" t="s">
        <v>2239</v>
      </c>
      <c r="E2" t="s">
        <v>2240</v>
      </c>
      <c r="G2" t="s">
        <v>2225</v>
      </c>
    </row>
    <row r="3" spans="2:7">
      <c r="C3" s="34">
        <v>8</v>
      </c>
      <c r="D3" s="34">
        <v>7</v>
      </c>
      <c r="E3" s="34">
        <v>2.5</v>
      </c>
      <c r="G3" s="34">
        <f xml:space="preserve"> DecimalPlaces - INT(LOG(_CoEDB.Radius_1, 10) + 0.2)</f>
        <v>4</v>
      </c>
    </row>
    <row r="5" spans="2:7" ht="17" thickBot="1">
      <c r="B5" s="3" t="s">
        <v>2241</v>
      </c>
      <c r="C5" s="3" t="s">
        <v>2242</v>
      </c>
      <c r="D5" s="3" t="s">
        <v>2226</v>
      </c>
      <c r="E5" s="3" t="s">
        <v>2227</v>
      </c>
      <c r="G5" s="3" t="s">
        <v>2228</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0.85505035831417175</v>
      </c>
      <c r="E6" cm="1">
        <f t="array" ref="E6:E23" xml:space="preserve"> IF(MOD(_CoEDB.RowNum,2)=1, _CoEDB.Radius_3, _CoEDB.Radius_2) * COS(_CoEDB.Angle)</f>
        <v>2.3492315519647713</v>
      </c>
      <c r="G6" t="str">
        <f t="array" ref="G6:G23" xml:space="preserve"> svgpath(_CoEDB.RawX, _CoEDB.RawY, _CoEDB.DecimalPlaces, 1, -1)</f>
        <v>M.8551 -2.3492</v>
      </c>
    </row>
    <row r="7" spans="2:7">
      <c r="B7" cm="1">
        <f t="array" ref="B7" xml:space="preserve"> 1 + ROW() - _xlfn.SINGLE(ROW(_CoEDB.RowNum))</f>
        <v>2</v>
      </c>
      <c r="C7">
        <v>0.69813170079773179</v>
      </c>
      <c r="D7">
        <v>4.4995132678057743</v>
      </c>
      <c r="E7">
        <v>5.3623111018328462</v>
      </c>
      <c r="G7" t="str">
        <v>L4.4995 -5.3623</v>
      </c>
    </row>
    <row r="8" spans="2:7">
      <c r="B8" cm="1">
        <f t="array" ref="B8" xml:space="preserve"> 1 + ROW() - _xlfn.SINGLE(ROW(_CoEDB.RowNum))</f>
        <v>3</v>
      </c>
      <c r="C8">
        <v>1.0471975511965976</v>
      </c>
      <c r="D8">
        <v>2.1650635094610964</v>
      </c>
      <c r="E8">
        <v>1.2500000000000002</v>
      </c>
      <c r="G8" t="str">
        <v>L2.1651 -1.25</v>
      </c>
    </row>
    <row r="9" spans="2:7">
      <c r="B9" cm="1">
        <f t="array" ref="B9" xml:space="preserve"> 1 + ROW() - _xlfn.SINGLE(ROW(_CoEDB.RowNum))</f>
        <v>4</v>
      </c>
      <c r="C9">
        <v>1.3962634015954636</v>
      </c>
      <c r="D9">
        <v>6.893654271085456</v>
      </c>
      <c r="E9">
        <v>1.2155372436685128</v>
      </c>
      <c r="G9" t="str">
        <v>l4.7286 .0345</v>
      </c>
    </row>
    <row r="10" spans="2:7">
      <c r="B10" cm="1">
        <f t="array" ref="B10" xml:space="preserve"> 1 + ROW() - _xlfn.SINGLE(ROW(_CoEDB.RowNum))</f>
        <v>5</v>
      </c>
      <c r="C10">
        <v>1.7453292519943295</v>
      </c>
      <c r="D10">
        <v>2.4620193825305199</v>
      </c>
      <c r="E10">
        <v>-0.43412044416732576</v>
      </c>
      <c r="G10" t="str">
        <v>L2.462 .4341</v>
      </c>
    </row>
    <row r="11" spans="2:7">
      <c r="B11" cm="1">
        <f t="array" ref="B11" xml:space="preserve"> 1 + ROW() - _xlfn.SINGLE(ROW(_CoEDB.RowNum))</f>
        <v>6</v>
      </c>
      <c r="C11">
        <v>2.0943951023931953</v>
      </c>
      <c r="D11">
        <v>6.0621778264910713</v>
      </c>
      <c r="E11">
        <v>-3.4999999999999982</v>
      </c>
      <c r="G11" t="str">
        <v>L6.0622 3.5</v>
      </c>
    </row>
    <row r="12" spans="2:7">
      <c r="B12" cm="1">
        <f t="array" ref="B12" xml:space="preserve"> 1 + ROW() - _xlfn.SINGLE(ROW(_CoEDB.RowNum))</f>
        <v>7</v>
      </c>
      <c r="C12">
        <v>2.4434609527920612</v>
      </c>
      <c r="D12">
        <v>1.6069690242163488</v>
      </c>
      <c r="E12">
        <v>-1.9151111077974448</v>
      </c>
      <c r="G12" t="str">
        <v>L1.607 1.9151</v>
      </c>
    </row>
    <row r="13" spans="2:7">
      <c r="B13" cm="1">
        <f t="array" ref="B13" xml:space="preserve"> 1 + ROW() - _xlfn.SINGLE(ROW(_CoEDB.RowNum))</f>
        <v>8</v>
      </c>
      <c r="C13">
        <v>2.7925268031909272</v>
      </c>
      <c r="D13">
        <v>2.3941410032796822</v>
      </c>
      <c r="E13">
        <v>-6.5778483455013586</v>
      </c>
      <c r="G13" t="str">
        <v>l.7871 4.6627</v>
      </c>
    </row>
    <row r="14" spans="2:7">
      <c r="B14" cm="1">
        <f t="array" ref="B14" xml:space="preserve"> 1 + ROW() - _xlfn.SINGLE(ROW(_CoEDB.RowNum))</f>
        <v>9</v>
      </c>
      <c r="C14">
        <v>3.1415926535897931</v>
      </c>
      <c r="D14">
        <v>3.06287113727155E-16</v>
      </c>
      <c r="E14">
        <v>-2.5</v>
      </c>
      <c r="G14" t="str">
        <v>L0 2.5</v>
      </c>
    </row>
    <row r="15" spans="2:7">
      <c r="B15" cm="1">
        <f t="array" ref="B15" xml:space="preserve"> 1 + ROW() - _xlfn.SINGLE(ROW(_CoEDB.RowNum))</f>
        <v>10</v>
      </c>
      <c r="C15">
        <v>3.4906585039886591</v>
      </c>
      <c r="D15">
        <v>-2.3941410032796808</v>
      </c>
      <c r="E15">
        <v>-6.5778483455013586</v>
      </c>
      <c r="G15" t="str">
        <v>L-2.3941 6.5778</v>
      </c>
    </row>
    <row r="16" spans="2:7">
      <c r="B16" cm="1">
        <f t="array" ref="B16" xml:space="preserve"> 1 + ROW() - _xlfn.SINGLE(ROW(_CoEDB.RowNum))</f>
        <v>11</v>
      </c>
      <c r="C16">
        <v>3.8397243543875246</v>
      </c>
      <c r="D16">
        <v>-1.6069690242163472</v>
      </c>
      <c r="E16">
        <v>-1.9151111077974459</v>
      </c>
      <c r="G16" t="str">
        <v>L-1.607 1.9151</v>
      </c>
    </row>
    <row r="17" spans="2:7">
      <c r="B17" cm="1">
        <f t="array" ref="B17" xml:space="preserve"> 1 + ROW() - _xlfn.SINGLE(ROW(_CoEDB.RowNum))</f>
        <v>12</v>
      </c>
      <c r="C17">
        <v>4.1887902047863905</v>
      </c>
      <c r="D17">
        <v>-6.0621778264910686</v>
      </c>
      <c r="E17">
        <v>-3.5000000000000031</v>
      </c>
      <c r="G17" t="str">
        <v>L-6.0622 3.5</v>
      </c>
    </row>
    <row r="18" spans="2:7">
      <c r="B18" cm="1">
        <f t="array" ref="B18" xml:space="preserve"> 1 + ROW() - _xlfn.SINGLE(ROW(_CoEDB.RowNum))</f>
        <v>13</v>
      </c>
      <c r="C18">
        <v>4.5378560551852569</v>
      </c>
      <c r="D18">
        <v>-2.4620193825305199</v>
      </c>
      <c r="E18">
        <v>-0.43412044416732581</v>
      </c>
      <c r="G18" t="str">
        <v>L-2.462 .4341</v>
      </c>
    </row>
    <row r="19" spans="2:7">
      <c r="B19" cm="1">
        <f t="array" ref="B19" xml:space="preserve"> 1 + ROW() - _xlfn.SINGLE(ROW(_CoEDB.RowNum))</f>
        <v>14</v>
      </c>
      <c r="C19">
        <v>4.8869219055841224</v>
      </c>
      <c r="D19">
        <v>-6.8936542710854569</v>
      </c>
      <c r="E19">
        <v>1.2155372436685097</v>
      </c>
      <c r="G19" t="str">
        <v>L-6.8937 -1.2155</v>
      </c>
    </row>
    <row r="20" spans="2:7">
      <c r="B20" cm="1">
        <f t="array" ref="B20" xml:space="preserve"> 1 + ROW() - _xlfn.SINGLE(ROW(_CoEDB.RowNum))</f>
        <v>15</v>
      </c>
      <c r="C20">
        <v>5.2359877559829879</v>
      </c>
      <c r="D20">
        <v>-2.1650635094610977</v>
      </c>
      <c r="E20">
        <v>1.2499999999999982</v>
      </c>
      <c r="G20" t="str">
        <v>L-2.1651 -1.25</v>
      </c>
    </row>
    <row r="21" spans="2:7">
      <c r="B21" cm="1">
        <f t="array" ref="B21" xml:space="preserve"> 1 + ROW() - _xlfn.SINGLE(ROW(_CoEDB.RowNum))</f>
        <v>16</v>
      </c>
      <c r="C21">
        <v>5.5850536063818543</v>
      </c>
      <c r="D21">
        <v>-4.499513267805777</v>
      </c>
      <c r="E21">
        <v>5.3623111018328444</v>
      </c>
      <c r="G21" t="str">
        <v>L-4.4995 -5.3623</v>
      </c>
    </row>
    <row r="22" spans="2:7">
      <c r="B22" cm="1">
        <f t="array" ref="B22" xml:space="preserve"> 1 + ROW() - _xlfn.SINGLE(ROW(_CoEDB.RowNum))</f>
        <v>17</v>
      </c>
      <c r="C22">
        <v>5.9341194567807207</v>
      </c>
      <c r="D22">
        <v>-0.85505035831417153</v>
      </c>
      <c r="E22">
        <v>2.3492315519647713</v>
      </c>
      <c r="G22" t="str">
        <v>l3.6444 3.0131</v>
      </c>
    </row>
    <row r="23" spans="2:7">
      <c r="B23" cm="1">
        <f t="array" ref="B23" xml:space="preserve"> 1 + ROW() - _xlfn.SINGLE(ROW(_CoEDB.RowNum))</f>
        <v>18</v>
      </c>
      <c r="C23">
        <v>6.2831853071795862</v>
      </c>
      <c r="D23">
        <v>-1.715207836872068E-15</v>
      </c>
      <c r="E23">
        <v>7</v>
      </c>
      <c r="G23" t="str">
        <v>L0 -7Z</v>
      </c>
    </row>
    <row r="26" spans="2:7">
      <c r="F26" s="4" t="s">
        <v>2230</v>
      </c>
      <c r="G26">
        <f xml:space="preserve"> _CoEDB.Radius_1</f>
        <v>8</v>
      </c>
    </row>
    <row r="27" spans="2:7">
      <c r="F27" s="4" t="s">
        <v>2232</v>
      </c>
      <c r="G27">
        <f xml:space="preserve"> _CoEDB.MaxX</f>
        <v>8</v>
      </c>
    </row>
    <row r="28" spans="2:7">
      <c r="F28" s="4" t="s">
        <v>2229</v>
      </c>
      <c r="G28">
        <f xml:space="preserve"> - G26</f>
        <v>-8</v>
      </c>
    </row>
    <row r="29" spans="2:7">
      <c r="F29" s="4" t="s">
        <v>2231</v>
      </c>
      <c r="G29">
        <f xml:space="preserve"> - G27</f>
        <v>-8</v>
      </c>
    </row>
    <row r="31" spans="2:7">
      <c r="F31" s="4" t="s">
        <v>2233</v>
      </c>
      <c r="G31" s="26">
        <f xml:space="preserve"> MODE(Circles.AreaMultiplier)</f>
        <v>1</v>
      </c>
    </row>
    <row r="32" spans="2:7">
      <c r="F32" s="4" t="s">
        <v>2234</v>
      </c>
      <c r="G32" cm="1">
        <f t="array" ref="G32" xml:space="preserve">  MAX(_CoEDB.MaxY, - _CoEDB.MinY)   /   MAX(_CoEDB.MaxX, - _CoEDB.MinX)</f>
        <v>1</v>
      </c>
    </row>
    <row r="33" spans="5:7">
      <c r="F33" s="4" t="s">
        <v>2235</v>
      </c>
      <c r="G33" cm="1">
        <f t="array" ref="G33" xml:space="preserve"> VALUE(TEXT(SQRT(_CoEDB.AreaMultiplier * BasicBBoxArea * _CoEDB.Aspect), SVG.NumberFormatHeight))</f>
        <v>15</v>
      </c>
    </row>
    <row r="34" spans="5:7">
      <c r="F34" s="4" t="s">
        <v>2236</v>
      </c>
      <c r="G34" cm="1">
        <f t="array" ref="G34" xml:space="preserve"> _CoEDB.Height / _CoEDB.Aspect</f>
        <v>15</v>
      </c>
    </row>
    <row r="36" spans="5:7">
      <c r="F36" s="4" t="s">
        <v>2243</v>
      </c>
      <c r="G36" s="5" t="s">
        <v>2245</v>
      </c>
    </row>
    <row r="37" spans="5:7">
      <c r="F37" s="4" t="s">
        <v>2244</v>
      </c>
      <c r="G37" s="5" t="s">
        <v>2087</v>
      </c>
    </row>
    <row r="39" spans="5:7" ht="17" thickBot="1">
      <c r="G39" s="3" t="s">
        <v>2237</v>
      </c>
    </row>
    <row r="40" spans="5:7">
      <c r="E40" cm="1">
        <f t="array" ref="E40" xml:space="preserve"> SVG_length(_CoEDB.svg)</f>
        <v>451</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viewBox='-12 -12 24 24'  id='%thisID%' xmlns='http://www.w3.org/2000/svg'&gt;</v>
      </c>
    </row>
    <row r="41" spans="5:7">
      <c r="G41" s="5" t="str">
        <f xml:space="preserve"> "&lt;circle " &amp; _CoEDB.SVG_painting_1 &amp; " r='" &amp; _CoEDB.Radius_1 &amp; "'/&gt;"</f>
        <v>&lt;circle fill='#092251' r='8'/&gt;</v>
      </c>
    </row>
    <row r="42" spans="5:7">
      <c r="G42" s="5" t="str">
        <f xml:space="preserve"> "&lt;circle " &amp; _CoEDB.SVG_painting_2 &amp; " r='" &amp; _CoEDB.Radius_2&amp; "'/&gt;"</f>
        <v>&lt;circle fill='#FFF' r='7'/&gt;</v>
      </c>
    </row>
    <row r="43" spans="5:7">
      <c r="G43" s="5" t="str">
        <f xml:space="preserve"> "&lt;path " &amp; IF(LEN(_CoEDB.SVG_painting_1)&gt;0, TRIM(_CoEDB.SVG_painting_1)&amp;" ", "") &amp; "d='" &amp; _xlfn.TEXTJOIN(" ", TRUE, _CoEDB.svgWorking) &amp; "'/&gt;"</f>
        <v>&lt;path fill='#092251' d='M.8551 -2.3492 L4.4995 -5.3623 L2.1651 -1.25 l4.7286 .0345 L2.462 .4341 L6.0622 3.5 L1.607 1.9151 l.7871 4.6627 L0 2.5 L-2.3941 6.5778 L-1.607 1.9151 L-6.0622 3.5 L-2.462 .4341 L-6.8937 -1.2155 L-2.1651 -1.25 L-4.4995 -5.3623 l3.6444 3.0131 L0 -7Z'/&gt;</v>
      </c>
    </row>
    <row r="44" spans="5:7">
      <c r="G44" s="5" t="str">
        <f xml:space="preserve"> "&lt;circle " &amp; _CoEDB.SVG_painting_2 &amp; " r='" &amp; _CoEDB.Radius_3&amp; "'/&gt;"</f>
        <v>&lt;circle fill='#FFF' r='2.5'/&gt;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topLeftCell="A2" workbookViewId="0">
      <selection activeCell="B2" sqref="B2"/>
    </sheetView>
  </sheetViews>
  <sheetFormatPr baseColWidth="10" defaultRowHeight="16"/>
  <sheetData>
    <row r="2" spans="2:6" ht="17" thickBot="1">
      <c r="B2" s="3" t="s">
        <v>1700</v>
      </c>
      <c r="F2" t="s">
        <v>829</v>
      </c>
    </row>
    <row r="3" spans="2:6">
      <c r="B3" s="49">
        <v>2</v>
      </c>
      <c r="F3" s="34">
        <f xml:space="preserve"> DecimalPlaces - INT(LOG(MIN(  MAX(XDR.RawX) - MIN(XDR.RawX),  MAX(XDR.RawY) - MIN(XDR.RawY)  )/2, 10) + 0.2)</f>
        <v>4</v>
      </c>
    </row>
    <row r="5" spans="2:6" ht="17" thickBot="1">
      <c r="B5" s="3" t="s">
        <v>830</v>
      </c>
      <c r="C5" s="3" t="s">
        <v>831</v>
      </c>
      <c r="D5" s="3" t="s">
        <v>832</v>
      </c>
      <c r="F5" s="3" t="s">
        <v>1701</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839</v>
      </c>
      <c r="F34">
        <f xml:space="preserve"> MIN(XDR.RawX)</f>
        <v>-12</v>
      </c>
    </row>
    <row r="35" spans="4:6">
      <c r="E35" s="4" t="s">
        <v>840</v>
      </c>
      <c r="F35">
        <f xml:space="preserve"> MAX(XDR.RawX)</f>
        <v>12</v>
      </c>
    </row>
    <row r="36" spans="4:6">
      <c r="E36" s="4" t="s">
        <v>841</v>
      </c>
      <c r="F36">
        <f xml:space="preserve"> MIN(XDR.RawY)</f>
        <v>-14</v>
      </c>
    </row>
    <row r="37" spans="4:6">
      <c r="E37" s="4" t="s">
        <v>842</v>
      </c>
      <c r="F37">
        <f xml:space="preserve"> MAX(XDR.RawY)</f>
        <v>14</v>
      </c>
    </row>
    <row r="39" spans="4:6">
      <c r="E39" s="4" t="s">
        <v>833</v>
      </c>
      <c r="F39" s="26">
        <v>0.875</v>
      </c>
    </row>
    <row r="40" spans="4:6">
      <c r="E40" s="4" t="s">
        <v>834</v>
      </c>
      <c r="F40">
        <f xml:space="preserve">  MAX(XDR.MaxY, - XDR.MinY)   /   MAX(XDR.MaxX, - XDR.MinX)</f>
        <v>1.1666666666666667</v>
      </c>
    </row>
    <row r="41" spans="4:6">
      <c r="E41" s="4" t="s">
        <v>835</v>
      </c>
      <c r="F41">
        <f xml:space="preserve"> VALUE(TEXT(SQRT(XDR.AreaMultiplier * BasicBBoxArea * XDR.Aspect), SVG.NumberFormatHeight))</f>
        <v>15.2</v>
      </c>
    </row>
    <row r="42" spans="4:6">
      <c r="E42" s="4" t="s">
        <v>836</v>
      </c>
      <c r="F42" cm="1">
        <f t="array" ref="F42" xml:space="preserve"> XDR.Height / XDR.Aspect</f>
        <v>13.028571428571427</v>
      </c>
    </row>
    <row r="44" spans="4:6">
      <c r="E44" s="4" t="s">
        <v>837</v>
      </c>
      <c r="F44" t="s">
        <v>1702</v>
      </c>
    </row>
    <row r="45" spans="4:6">
      <c r="E45" s="4" t="s">
        <v>838</v>
      </c>
      <c r="F45" t="s">
        <v>2088</v>
      </c>
    </row>
    <row r="47" spans="4:6" ht="17" thickBot="1">
      <c r="F47" s="3" t="s">
        <v>843</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topLeftCell="A2" workbookViewId="0">
      <selection activeCell="B2" sqref="B2"/>
    </sheetView>
  </sheetViews>
  <sheetFormatPr baseColWidth="10" defaultRowHeight="16"/>
  <sheetData>
    <row r="2" spans="2:16" ht="17" thickBot="1">
      <c r="B2" s="3" t="s">
        <v>822</v>
      </c>
      <c r="C2" s="3" t="s">
        <v>844</v>
      </c>
      <c r="D2" s="3" t="s">
        <v>823</v>
      </c>
      <c r="F2" s="3" t="s">
        <v>799</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800</v>
      </c>
      <c r="C5" s="3" t="s">
        <v>801</v>
      </c>
      <c r="D5" s="3" t="s">
        <v>802</v>
      </c>
      <c r="F5" s="3" t="s">
        <v>1762</v>
      </c>
      <c r="K5" s="3" t="s">
        <v>803</v>
      </c>
      <c r="L5" s="3" t="s">
        <v>804</v>
      </c>
      <c r="M5" s="3" t="s">
        <v>805</v>
      </c>
      <c r="N5" s="3" t="s">
        <v>806</v>
      </c>
      <c r="O5" s="3" t="s">
        <v>807</v>
      </c>
      <c r="P5" s="3" t="s">
        <v>808</v>
      </c>
    </row>
    <row r="6" spans="2:16">
      <c r="B6" t="s">
        <v>825</v>
      </c>
      <c r="C6">
        <v>41</v>
      </c>
      <c r="D6">
        <v>0</v>
      </c>
      <c r="F6" t="str">
        <f t="shared" ref="F6:F9" si="0" xml:space="preserve"> ROUND(XAU.RawX, XAU.DecimalPlaces) &amp; " " &amp; ROUND(XAU.RawY, XAU.DecimalPlaces)</f>
        <v>41 0</v>
      </c>
    </row>
    <row r="7" spans="2:16">
      <c r="B7" t="s">
        <v>825</v>
      </c>
      <c r="C7">
        <f xml:space="preserve"> - C6</f>
        <v>-41</v>
      </c>
      <c r="D7">
        <f xml:space="preserve"> D6</f>
        <v>0</v>
      </c>
      <c r="F7" t="str">
        <f t="shared" si="0"/>
        <v>-41 0</v>
      </c>
    </row>
    <row r="8" spans="2:16">
      <c r="B8" t="s">
        <v>825</v>
      </c>
      <c r="C8">
        <v>-56</v>
      </c>
      <c r="D8">
        <v>56</v>
      </c>
      <c r="F8" t="str">
        <f t="shared" si="0"/>
        <v>-56 56</v>
      </c>
    </row>
    <row r="9" spans="2:16">
      <c r="B9" t="s">
        <v>825</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809</v>
      </c>
      <c r="I17">
        <f xml:space="preserve"> ROUND( -$D$8 / 8, 0 )</f>
        <v>-7</v>
      </c>
    </row>
    <row r="18" spans="2:16">
      <c r="H18" s="4" t="s">
        <v>810</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824</v>
      </c>
      <c r="E31" s="4" t="s">
        <v>817</v>
      </c>
      <c r="F31">
        <f xml:space="preserve"> ROUND( MIN(XAU.RawX), XAU.DecimalPlaces)</f>
        <v>-56</v>
      </c>
    </row>
    <row r="32" spans="2:16">
      <c r="B32" t="s">
        <v>826</v>
      </c>
      <c r="E32" s="4" t="s">
        <v>818</v>
      </c>
      <c r="F32">
        <f xml:space="preserve"> ROUND(MAX(XAU.RawX), XAU.DecimalPlaces)</f>
        <v>56</v>
      </c>
    </row>
    <row r="33" spans="2:6">
      <c r="B33" t="s">
        <v>845</v>
      </c>
      <c r="E33" s="4" t="s">
        <v>819</v>
      </c>
      <c r="F33">
        <f xml:space="preserve"> ROUND( MIN(XAU.RawY), XAU.DecimalPlaces)</f>
        <v>-56</v>
      </c>
    </row>
    <row r="34" spans="2:6">
      <c r="E34" s="4" t="s">
        <v>820</v>
      </c>
      <c r="F34">
        <f xml:space="preserve"> ROUND(MAX(XAU.RawY), XAU.DecimalPlaces)</f>
        <v>56</v>
      </c>
    </row>
    <row r="36" spans="2:6">
      <c r="E36" s="4" t="s">
        <v>811</v>
      </c>
      <c r="F36" s="26">
        <f xml:space="preserve"> MODE(Squares.AreaMultiplier)</f>
        <v>0.85</v>
      </c>
    </row>
    <row r="37" spans="2:6">
      <c r="E37" s="4" t="s">
        <v>812</v>
      </c>
      <c r="F37">
        <f xml:space="preserve">  MAX(XAU.MaxY, - XAU.MinY)   /   MAX(XAU.MaxX, - XAU.MinX)</f>
        <v>1</v>
      </c>
    </row>
    <row r="38" spans="2:6">
      <c r="E38" s="4" t="s">
        <v>813</v>
      </c>
      <c r="F38">
        <f xml:space="preserve"> VALUE(TEXT(SQRT(XAU.AreaMultiplier* BasicBBoxArea * XAU.Aspect), SVG.NumberFormatHeight))</f>
        <v>13.8</v>
      </c>
    </row>
    <row r="39" spans="2:6">
      <c r="E39" s="4" t="s">
        <v>814</v>
      </c>
      <c r="F39" cm="1">
        <f t="array" ref="F39" xml:space="preserve"> XAU.Height / XAU.Aspect</f>
        <v>13.8</v>
      </c>
    </row>
    <row r="41" spans="2:6">
      <c r="E41" s="4" t="s">
        <v>815</v>
      </c>
      <c r="F41" t="s">
        <v>828</v>
      </c>
    </row>
    <row r="42" spans="2:6">
      <c r="E42" s="4" t="s">
        <v>816</v>
      </c>
      <c r="F42" t="s">
        <v>827</v>
      </c>
    </row>
    <row r="44" spans="2:6" ht="17" thickBot="1">
      <c r="F44" s="3" t="s">
        <v>821</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topLeftCell="A2" workbookViewId="0">
      <selection activeCell="B2" sqref="B2"/>
    </sheetView>
  </sheetViews>
  <sheetFormatPr baseColWidth="10" defaultRowHeight="16"/>
  <sheetData>
    <row r="2" spans="2:16" ht="17" thickBot="1">
      <c r="B2" s="3" t="s">
        <v>846</v>
      </c>
      <c r="C2" s="3" t="s">
        <v>847</v>
      </c>
      <c r="D2" s="3" t="s">
        <v>848</v>
      </c>
      <c r="F2" s="3" t="s">
        <v>849</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850</v>
      </c>
      <c r="C5" s="3" t="s">
        <v>851</v>
      </c>
      <c r="D5" s="3" t="s">
        <v>852</v>
      </c>
      <c r="F5" s="3" t="s">
        <v>853</v>
      </c>
      <c r="K5" s="3" t="s">
        <v>854</v>
      </c>
      <c r="L5" s="3" t="s">
        <v>855</v>
      </c>
      <c r="M5" s="3" t="s">
        <v>856</v>
      </c>
      <c r="N5" s="3" t="s">
        <v>857</v>
      </c>
      <c r="O5" s="3" t="s">
        <v>858</v>
      </c>
      <c r="P5" s="3" t="s">
        <v>859</v>
      </c>
    </row>
    <row r="6" spans="2:16">
      <c r="B6" t="s">
        <v>825</v>
      </c>
      <c r="C6">
        <v>173</v>
      </c>
      <c r="D6">
        <v>0</v>
      </c>
      <c r="F6" t="str" cm="1">
        <f t="array" ref="F6" xml:space="preserve"> ROUND(_xlfn.SINGLE(XAG.RawX), XAG.DecimalPlaces) &amp; " " &amp; ROUND(_xlfn.SINGLE(XAG.RawY), XAG.DecimalPlaces)</f>
        <v>173 0</v>
      </c>
    </row>
    <row r="7" spans="2:16">
      <c r="B7" t="s">
        <v>825</v>
      </c>
      <c r="C7">
        <f xml:space="preserve"> - C6</f>
        <v>-173</v>
      </c>
      <c r="D7">
        <v>0</v>
      </c>
      <c r="F7" t="str" cm="1">
        <f t="array" ref="F7" xml:space="preserve"> ROUND(_xlfn.SINGLE(XAG.RawX), XAG.DecimalPlaces) &amp; " " &amp; ROUND(_xlfn.SINGLE(XAG.RawY), XAG.DecimalPlaces)</f>
        <v>-173 0</v>
      </c>
    </row>
    <row r="8" spans="2:16">
      <c r="B8" t="s">
        <v>825</v>
      </c>
      <c r="C8">
        <v>-221</v>
      </c>
      <c r="D8">
        <v>272</v>
      </c>
      <c r="F8" t="str" cm="1">
        <f t="array" ref="F8" xml:space="preserve"> ROUND(_xlfn.SINGLE(XAG.RawX), XAG.DecimalPlaces) &amp; " " &amp; ROUND(_xlfn.SINGLE(XAG.RawY), XAG.DecimalPlaces)</f>
        <v>-221 272</v>
      </c>
    </row>
    <row r="9" spans="2:16">
      <c r="B9" t="s">
        <v>825</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860</v>
      </c>
      <c r="I17">
        <f xml:space="preserve"> ROUND( -$D$9 / 8, 0 )</f>
        <v>-34</v>
      </c>
    </row>
    <row r="18" spans="2:16">
      <c r="H18" s="4" t="s">
        <v>861</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824</v>
      </c>
      <c r="E31" s="4" t="s">
        <v>868</v>
      </c>
      <c r="F31">
        <f xml:space="preserve"> ROUND( MIN(XAG.RawX), XAG.DecimalPlaces)</f>
        <v>-221</v>
      </c>
    </row>
    <row r="32" spans="2:16">
      <c r="B32" t="s">
        <v>826</v>
      </c>
      <c r="E32" s="4" t="s">
        <v>869</v>
      </c>
      <c r="F32">
        <f xml:space="preserve"> ROUND(MAX(XAG.RawX), XAG.DecimalPlaces)</f>
        <v>221</v>
      </c>
    </row>
    <row r="33" spans="2:6">
      <c r="B33" t="s">
        <v>845</v>
      </c>
      <c r="E33" s="4" t="s">
        <v>870</v>
      </c>
      <c r="F33">
        <f xml:space="preserve"> ROUND( MIN(XAG.RawY), XAG.DecimalPlaces)</f>
        <v>-272</v>
      </c>
    </row>
    <row r="34" spans="2:6">
      <c r="E34" s="4" t="s">
        <v>871</v>
      </c>
      <c r="F34">
        <f xml:space="preserve"> ROUND(MAX(XAG.RawY), XAG.DecimalPlaces)</f>
        <v>272</v>
      </c>
    </row>
    <row r="36" spans="2:6">
      <c r="E36" s="4" t="s">
        <v>862</v>
      </c>
      <c r="F36" s="26">
        <f xml:space="preserve"> MODE(Squares.AreaMultiplier)</f>
        <v>0.85</v>
      </c>
    </row>
    <row r="37" spans="2:6">
      <c r="E37" s="4" t="s">
        <v>863</v>
      </c>
      <c r="F37">
        <f xml:space="preserve">  MAX(XAG.MaxY, - XAG.MinY)   /   MAX(XAG.MaxX, - XAG.MinX)</f>
        <v>1.2307692307692308</v>
      </c>
    </row>
    <row r="38" spans="2:6">
      <c r="E38" s="4" t="s">
        <v>864</v>
      </c>
      <c r="F38">
        <f xml:space="preserve"> VALUE(TEXT(SQRT(XAG.AreaMultiplier* BasicBBoxArea * XAG.Aspect), SVG.NumberFormatHeight))</f>
        <v>15.3</v>
      </c>
    </row>
    <row r="39" spans="2:6">
      <c r="E39" s="4" t="s">
        <v>865</v>
      </c>
      <c r="F39" cm="1">
        <f t="array" ref="F39" xml:space="preserve"> XAG.Height / XAG.Aspect</f>
        <v>12.43125</v>
      </c>
    </row>
    <row r="41" spans="2:6">
      <c r="E41" s="4" t="s">
        <v>866</v>
      </c>
      <c r="F41" t="s">
        <v>874</v>
      </c>
    </row>
    <row r="42" spans="2:6">
      <c r="E42" s="4" t="s">
        <v>867</v>
      </c>
      <c r="F42" t="s">
        <v>873</v>
      </c>
    </row>
    <row r="44" spans="2:6" ht="17" thickBot="1">
      <c r="F44" s="3" t="s">
        <v>872</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R354"/>
  <sheetViews>
    <sheetView workbookViewId="0">
      <pane ySplit="2" topLeftCell="A3" activePane="bottomLeft" state="frozenSplit"/>
      <selection pane="bottomLeft" activeCell="B2" sqref="B2"/>
    </sheetView>
  </sheetViews>
  <sheetFormatPr baseColWidth="10" defaultRowHeight="16"/>
  <sheetData>
    <row r="2" spans="2:17" ht="17" thickBot="1">
      <c r="B2" s="3" t="s">
        <v>1827</v>
      </c>
      <c r="C2" s="3" t="s">
        <v>1828</v>
      </c>
      <c r="E2" s="3" t="s">
        <v>1829</v>
      </c>
      <c r="F2" s="3" t="s">
        <v>1830</v>
      </c>
      <c r="G2" s="3" t="s">
        <v>1983</v>
      </c>
      <c r="H2" s="3" t="s">
        <v>1831</v>
      </c>
      <c r="I2" s="3" t="s">
        <v>1832</v>
      </c>
      <c r="J2" s="3" t="s">
        <v>1833</v>
      </c>
      <c r="K2" s="3" t="s">
        <v>1834</v>
      </c>
    </row>
    <row r="3" spans="2:17">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f t="shared" ref="H3:H7" si="2" xml:space="preserve"> IF(LEN(ChartLines.Hex6)=6, HEX2DEC(LEFT(ChartLines.Hex6, 2)), "·")</f>
        <v>0</v>
      </c>
      <c r="I3">
        <f t="shared" ref="I3:I7" si="3" xml:space="preserve"> IF(LEN(ChartLines.Hex6)=6, HEX2DEC(MID(ChartLines.Hex6, 3, 2)), "·")</f>
        <v>0</v>
      </c>
      <c r="J3">
        <f t="shared" ref="J3:J7" si="4" xml:space="preserve"> IF(LEN(ChartLines.Hex6)=6, HEX2DEC(RIGHT(ChartLines.Hex6, 2)), "·")</f>
        <v>0</v>
      </c>
      <c r="K3" cm="1">
        <f t="array" ref="K3" xml:space="preserve"> 1 + ROW() - _xlfn.SINGLE(ROW(ChartLines.RowNum))</f>
        <v>1</v>
      </c>
    </row>
    <row r="4" spans="2:17">
      <c r="B4" t="s">
        <v>2648</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f t="shared" si="2"/>
        <v>0</v>
      </c>
      <c r="I4">
        <f t="shared" si="3"/>
        <v>0</v>
      </c>
      <c r="J4">
        <f t="shared" si="4"/>
        <v>0</v>
      </c>
      <c r="K4" cm="1">
        <f t="array" ref="K4" xml:space="preserve"> 1 + ROW() - _xlfn.SINGLE(ROW(ChartLines.RowNum))</f>
        <v>2</v>
      </c>
    </row>
    <row r="5" spans="2:17">
      <c r="B5" t="s">
        <v>2648</v>
      </c>
      <c r="C5" t="s">
        <v>2659</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f t="shared" si="2"/>
        <v>204</v>
      </c>
      <c r="I5">
        <f t="shared" si="3"/>
        <v>51</v>
      </c>
      <c r="J5">
        <f t="shared" si="4"/>
        <v>204</v>
      </c>
      <c r="K5" cm="1">
        <f t="array" ref="K5" xml:space="preserve"> 1 + ROW() - _xlfn.SINGLE(ROW(ChartLines.RowNum))</f>
        <v>3</v>
      </c>
    </row>
    <row r="6" spans="2:17">
      <c r="B6" t="s">
        <v>2651</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f t="shared" si="2"/>
        <v>0</v>
      </c>
      <c r="I6">
        <f t="shared" si="3"/>
        <v>0</v>
      </c>
      <c r="J6">
        <f t="shared" si="4"/>
        <v>0</v>
      </c>
      <c r="K6" cm="1">
        <f t="array" ref="K6" xml:space="preserve"> 1 + ROW() - _xlfn.SINGLE(ROW(ChartLines.RowNum))</f>
        <v>4</v>
      </c>
    </row>
    <row r="7" spans="2:17">
      <c r="B7" t="s">
        <v>2651</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f t="shared" si="2"/>
        <v>0</v>
      </c>
      <c r="I7">
        <f t="shared" si="3"/>
        <v>204</v>
      </c>
      <c r="J7">
        <f t="shared" si="4"/>
        <v>255</v>
      </c>
      <c r="K7" cm="1">
        <f t="array" ref="K7" xml:space="preserve"> 1 + ROW() - _xlfn.SINGLE(ROW(ChartLines.RowNum))</f>
        <v>5</v>
      </c>
      <c r="M7" s="4" t="s">
        <v>1981</v>
      </c>
      <c r="N7" t="s">
        <v>23</v>
      </c>
      <c r="O7" t="s">
        <v>24</v>
      </c>
      <c r="P7" t="s">
        <v>1985</v>
      </c>
      <c r="Q7" t="s">
        <v>1986</v>
      </c>
    </row>
    <row r="8" spans="2:17">
      <c r="B8" t="s">
        <v>1835</v>
      </c>
      <c r="E8" t="str">
        <f t="shared" ref="E8" si="5" xml:space="preserve"> IF(AND(LEN(ChartLines.ID)&gt;0,"Unused"&lt;&gt;ChartLines.ID), COUNTIFS(ChartLines.ID,ChartLines.ID), "·")</f>
        <v>·</v>
      </c>
      <c r="F8" t="str">
        <f t="shared" ref="F8" si="6"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f t="shared" ref="H8" si="7" xml:space="preserve"> IF(LEN(ChartLines.Hex6)=6, HEX2DEC(LEFT(ChartLines.Hex6, 2)), "·")</f>
        <v>·</v>
      </c>
      <c r="I8" t="str">
        <f t="shared" ref="I8" si="8" xml:space="preserve"> IF(LEN(ChartLines.Hex6)=6, HEX2DEC(MID(ChartLines.Hex6, 3, 2)), "·")</f>
        <v>·</v>
      </c>
      <c r="J8" t="str">
        <f t="shared" ref="J8" si="9" xml:space="preserve"> IF(LEN(ChartLines.Hex6)=6, HEX2DEC(RIGHT(ChartLines.Hex6, 2)), "·")</f>
        <v>·</v>
      </c>
      <c r="K8" cm="1">
        <f t="array" ref="K8" xml:space="preserve"> 1 + ROW() - _xlfn.SINGLE(ROW(ChartLines.RowNum))</f>
        <v>6</v>
      </c>
      <c r="M8" s="4" t="s">
        <v>1982</v>
      </c>
      <c r="N8">
        <v>3.6</v>
      </c>
      <c r="O8">
        <v>1.2</v>
      </c>
      <c r="P8">
        <f xml:space="preserve"> $N8 - $O8</f>
        <v>2.4000000000000004</v>
      </c>
      <c r="Q8">
        <f xml:space="preserve"> MAX($N8:$P8)</f>
        <v>3.6</v>
      </c>
    </row>
    <row r="9" spans="2:17">
      <c r="B9" t="s">
        <v>405</v>
      </c>
      <c r="C9" t="s">
        <v>1836</v>
      </c>
      <c r="E9">
        <f t="shared" ref="E9" si="10" xml:space="preserve"> IF(AND(LEN(ChartLines.ID)&gt;0,"Unused"&lt;&gt;ChartLines.ID), COUNTIFS(ChartLines.ID,ChartLines.ID), "·")</f>
        <v>1</v>
      </c>
      <c r="F9">
        <f t="shared" ref="F9" si="11"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f t="shared" ref="H9" si="12" xml:space="preserve"> IF(LEN(ChartLines.Hex6)=6, HEX2DEC(LEFT(ChartLines.Hex6, 2)), "·")</f>
        <v>255</v>
      </c>
      <c r="I9">
        <f t="shared" ref="I9" si="13" xml:space="preserve"> IF(LEN(ChartLines.Hex6)=6, HEX2DEC(MID(ChartLines.Hex6, 3, 2)), "·")</f>
        <v>51</v>
      </c>
      <c r="J9">
        <f t="shared" ref="J9" si="14" xml:space="preserve"> IF(LEN(ChartLines.Hex6)=6, HEX2DEC(RIGHT(ChartLines.Hex6, 2)), "·")</f>
        <v>255</v>
      </c>
      <c r="K9" cm="1">
        <f t="array" ref="K9" xml:space="preserve"> 1 + ROW() - _xlfn.SINGLE(ROW(ChartLines.RowNum))</f>
        <v>7</v>
      </c>
      <c r="M9" s="4" t="s">
        <v>1987</v>
      </c>
      <c r="N9">
        <v>3</v>
      </c>
      <c r="O9">
        <v>1</v>
      </c>
      <c r="P9">
        <f xml:space="preserve"> $N9 - $O9</f>
        <v>2</v>
      </c>
      <c r="Q9">
        <f xml:space="preserve"> MAX($N9:$P9)</f>
        <v>3</v>
      </c>
    </row>
    <row r="10" spans="2:17">
      <c r="B10" t="s">
        <v>1835</v>
      </c>
      <c r="E10" t="str">
        <f t="shared" ref="E10" si="15" xml:space="preserve"> IF(AND(LEN(ChartLines.ID)&gt;0,"Unused"&lt;&gt;ChartLines.ID), COUNTIFS(ChartLines.ID,ChartLines.ID), "·")</f>
        <v>·</v>
      </c>
      <c r="F10" t="str">
        <f t="shared" ref="F10" si="16" xml:space="preserve"> IF(AND(LEN(ChartLines.ID)&gt;0,"Unused"&lt;&gt;ChartLines.ID), COUNTIFS(ChartLines.ID,ChartLines.ID,   ChartLines.RowNum,"&lt;="&amp;ChartLines.RowNum), "·")</f>
        <v>·</v>
      </c>
      <c r="G10" t="str" cm="1">
        <f t="array" ref="G10" xml:space="preserve"> _xlfn.IFS(OR(LEN(_xlfn.SINGLE(ChartLines.ID))=0,"Unused"=_xlfn.SINGLE(ChartLines.ID)), "·",   1=_xlfn.SINGLE(ChartLines.NumInstances), IF("USD"=_xlfn.SINGLE(ChartLines.ID), "SoleBig", "SoleOrdinary"),   1=_xlfn.SINGLE(ChartLines.InstanceNum), "Outer",   TRUE, "Inner")</f>
        <v>·</v>
      </c>
      <c r="H10" t="str">
        <f t="shared" ref="H10" si="17" xml:space="preserve"> IF(LEN(ChartLines.Hex6)=6, HEX2DEC(LEFT(ChartLines.Hex6, 2)), "·")</f>
        <v>·</v>
      </c>
      <c r="I10" t="str">
        <f t="shared" ref="I10" si="18" xml:space="preserve"> IF(LEN(ChartLines.Hex6)=6, HEX2DEC(MID(ChartLines.Hex6, 3, 2)), "·")</f>
        <v>·</v>
      </c>
      <c r="J10" t="str">
        <f t="shared" ref="J10" si="19" xml:space="preserve"> IF(LEN(ChartLines.Hex6)=6, HEX2DEC(RIGHT(ChartLines.Hex6, 2)), "·")</f>
        <v>·</v>
      </c>
      <c r="K10" cm="1">
        <f t="array" ref="K10" xml:space="preserve"> 1 + ROW() - _xlfn.SINGLE(ROW(ChartLines.RowNum))</f>
        <v>8</v>
      </c>
    </row>
    <row r="11" spans="2:17">
      <c r="B11" t="s">
        <v>0</v>
      </c>
      <c r="C11" t="str">
        <f xml:space="preserve"> "012169"</f>
        <v>012169</v>
      </c>
      <c r="E11">
        <f t="shared" ref="E11" si="20" xml:space="preserve"> IF(AND(LEN(ChartLines.ID)&gt;0,"Unused"&lt;&gt;ChartLines.ID), COUNTIFS(ChartLines.ID,ChartLines.ID), "·")</f>
        <v>1</v>
      </c>
      <c r="F11">
        <f t="shared" ref="F11" si="21" xml:space="preserve"> IF(AND(LEN(ChartLines.ID)&gt;0,"Unused"&lt;&gt;ChartLines.ID), COUNTIFS(ChartLines.ID,ChartLines.ID,   ChartLines.RowNum,"&lt;="&amp;ChartLines.RowNum), "·")</f>
        <v>1</v>
      </c>
      <c r="G11" t="str" cm="1">
        <f t="array" ref="G11" xml:space="preserve"> _xlfn.IFS(OR(LEN(_xlfn.SINGLE(ChartLines.ID))=0,"Unused"=_xlfn.SINGLE(ChartLines.ID)), "·",   1=_xlfn.SINGLE(ChartLines.NumInstances), IF("USD"=_xlfn.SINGLE(ChartLines.ID), "SoleBig", "SoleOrdinary"),   1=_xlfn.SINGLE(ChartLines.InstanceNum), "Outer",   TRUE, "Inner")</f>
        <v>SoleOrdinary</v>
      </c>
      <c r="H11">
        <f t="shared" ref="H11" si="22" xml:space="preserve"> IF(LEN(ChartLines.Hex6)=6, HEX2DEC(LEFT(ChartLines.Hex6, 2)), "·")</f>
        <v>1</v>
      </c>
      <c r="I11">
        <f t="shared" ref="I11" si="23" xml:space="preserve"> IF(LEN(ChartLines.Hex6)=6, HEX2DEC(MID(ChartLines.Hex6, 3, 2)), "·")</f>
        <v>33</v>
      </c>
      <c r="J11">
        <f t="shared" ref="J11" si="24" xml:space="preserve"> IF(LEN(ChartLines.Hex6)=6, HEX2DEC(RIGHT(ChartLines.Hex6, 2)), "·")</f>
        <v>105</v>
      </c>
      <c r="K11" cm="1">
        <f t="array" ref="K11" xml:space="preserve"> 1 + ROW() - _xlfn.SINGLE(ROW(ChartLines.RowNum))</f>
        <v>9</v>
      </c>
      <c r="M11" s="4" t="s">
        <v>1984</v>
      </c>
      <c r="N11">
        <f xml:space="preserve"> _xlfn.MAXIFS(ChartLines_Thicknesses.StrokeWidth,   ChartLines_Thicknesses.StrokeWidth,"&gt;0")</f>
        <v>3.6</v>
      </c>
    </row>
    <row r="12" spans="2:17">
      <c r="B12" t="s">
        <v>1835</v>
      </c>
      <c r="E12" t="str">
        <f t="shared" ref="E12:E33" si="25" xml:space="preserve"> IF(AND(LEN(ChartLines.ID)&gt;0,"Unused"&lt;&gt;ChartLines.ID), COUNTIFS(ChartLines.ID,ChartLines.ID), "·")</f>
        <v>·</v>
      </c>
      <c r="F12" t="str">
        <f t="shared" ref="F12:F33" si="26"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f t="shared" ref="H12:H33" si="27" xml:space="preserve"> IF(LEN(ChartLines.Hex6)=6, HEX2DEC(LEFT(ChartLines.Hex6, 2)), "·")</f>
        <v>·</v>
      </c>
      <c r="I12" t="str">
        <f t="shared" ref="I12:I33" si="28" xml:space="preserve"> IF(LEN(ChartLines.Hex6)=6, HEX2DEC(MID(ChartLines.Hex6, 3, 2)), "·")</f>
        <v>·</v>
      </c>
      <c r="J12" t="str">
        <f t="shared" ref="J12:J33" si="29" xml:space="preserve"> IF(LEN(ChartLines.Hex6)=6, HEX2DEC(RIGHT(ChartLines.Hex6, 2)), "·")</f>
        <v>·</v>
      </c>
      <c r="K12" cm="1">
        <f t="array" ref="K12" xml:space="preserve"> 1 + ROW() - _xlfn.SINGLE(ROW(ChartLines.RowNum))</f>
        <v>10</v>
      </c>
      <c r="M12" s="4" t="s">
        <v>1958</v>
      </c>
      <c r="N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7">
      <c r="B13" t="s">
        <v>2254</v>
      </c>
      <c r="C13" t="str">
        <f xml:space="preserve"> "012169"</f>
        <v>012169</v>
      </c>
      <c r="E13">
        <f t="shared" si="25"/>
        <v>2</v>
      </c>
      <c r="F13">
        <f t="shared" si="26"/>
        <v>1</v>
      </c>
      <c r="G13" t="str" cm="1">
        <f t="array" ref="G13" xml:space="preserve"> _xlfn.IFS(OR(LEN(_xlfn.SINGLE(ChartLines.ID))=0,"Unused"=_xlfn.SINGLE(ChartLines.ID)), "·",   1=_xlfn.SINGLE(ChartLines.NumInstances), IF("USD"=_xlfn.SINGLE(ChartLines.ID), "SoleBig", "SoleOrdinary"),   1=_xlfn.SINGLE(ChartLines.InstanceNum), "Outer",   TRUE, "Inner")</f>
        <v>Outer</v>
      </c>
      <c r="H13">
        <f t="shared" si="27"/>
        <v>1</v>
      </c>
      <c r="I13">
        <f t="shared" si="28"/>
        <v>33</v>
      </c>
      <c r="J13">
        <f t="shared" si="29"/>
        <v>105</v>
      </c>
      <c r="K13" cm="1">
        <f t="array" ref="K13" xml:space="preserve"> 1 + ROW() - _xlfn.SINGLE(ROW(ChartLines.RowNum))</f>
        <v>11</v>
      </c>
      <c r="M13" s="4" t="s">
        <v>1955</v>
      </c>
      <c r="N13" s="5" t="s">
        <v>1956</v>
      </c>
    </row>
    <row r="14" spans="2:17">
      <c r="B14" t="s">
        <v>2254</v>
      </c>
      <c r="C14" t="s">
        <v>1839</v>
      </c>
      <c r="E14">
        <f t="shared" si="25"/>
        <v>2</v>
      </c>
      <c r="F14">
        <f t="shared" si="26"/>
        <v>2</v>
      </c>
      <c r="G14" t="str" cm="1">
        <f t="array" ref="G14" xml:space="preserve"> _xlfn.IFS(OR(LEN(_xlfn.SINGLE(ChartLines.ID))=0,"Unused"=_xlfn.SINGLE(ChartLines.ID)), "·",   1=_xlfn.SINGLE(ChartLines.NumInstances), IF("USD"=_xlfn.SINGLE(ChartLines.ID), "SoleBig", "SoleOrdinary"),   1=_xlfn.SINGLE(ChartLines.InstanceNum), "Outer",   TRUE, "Inner")</f>
        <v>Inner</v>
      </c>
      <c r="H14">
        <f t="shared" si="27"/>
        <v>255</v>
      </c>
      <c r="I14">
        <f t="shared" si="28"/>
        <v>255</v>
      </c>
      <c r="J14">
        <f t="shared" si="29"/>
        <v>255</v>
      </c>
      <c r="K14" cm="1">
        <f t="array" ref="K14" xml:space="preserve"> 1 + ROW() - _xlfn.SINGLE(ROW(ChartLines.RowNum))</f>
        <v>12</v>
      </c>
      <c r="M14" s="4" t="s">
        <v>1957</v>
      </c>
      <c r="N14" s="5" t="s">
        <v>15</v>
      </c>
    </row>
    <row r="15" spans="2:17">
      <c r="B15" t="s">
        <v>2255</v>
      </c>
      <c r="C15" t="s">
        <v>1857</v>
      </c>
      <c r="E15">
        <f t="shared" si="25"/>
        <v>2</v>
      </c>
      <c r="F15">
        <f t="shared" si="26"/>
        <v>1</v>
      </c>
      <c r="G15" t="str" cm="1">
        <f t="array" ref="G15" xml:space="preserve"> _xlfn.IFS(OR(LEN(_xlfn.SINGLE(ChartLines.ID))=0,"Unused"=_xlfn.SINGLE(ChartLines.ID)), "·",   1=_xlfn.SINGLE(ChartLines.NumInstances), IF("USD"=_xlfn.SINGLE(ChartLines.ID), "SoleBig", "SoleOrdinary"),   1=_xlfn.SINGLE(ChartLines.InstanceNum), "Outer",   TRUE, "Inner")</f>
        <v>Outer</v>
      </c>
      <c r="H15">
        <f t="shared" si="27"/>
        <v>218</v>
      </c>
      <c r="I15">
        <f t="shared" si="28"/>
        <v>41</v>
      </c>
      <c r="J15">
        <f t="shared" si="29"/>
        <v>28</v>
      </c>
      <c r="K15" cm="1">
        <f t="array" ref="K15" xml:space="preserve"> 1 + ROW() - _xlfn.SINGLE(ROW(ChartLines.RowNum))</f>
        <v>13</v>
      </c>
    </row>
    <row r="16" spans="2:17">
      <c r="B16" t="s">
        <v>2255</v>
      </c>
      <c r="C16" t="s">
        <v>1940</v>
      </c>
      <c r="E16">
        <f t="shared" si="25"/>
        <v>2</v>
      </c>
      <c r="F16">
        <f t="shared" si="26"/>
        <v>2</v>
      </c>
      <c r="G16" t="str" cm="1">
        <f t="array" ref="G16" xml:space="preserve"> _xlfn.IFS(OR(LEN(_xlfn.SINGLE(ChartLines.ID))=0,"Unused"=_xlfn.SINGLE(ChartLines.ID)), "·",   1=_xlfn.SINGLE(ChartLines.NumInstances), IF("USD"=_xlfn.SINGLE(ChartLines.ID), "SoleBig", "SoleOrdinary"),   1=_xlfn.SINGLE(ChartLines.InstanceNum), "Outer",   TRUE, "Inner")</f>
        <v>Inner</v>
      </c>
      <c r="H16">
        <f t="shared" si="27"/>
        <v>255</v>
      </c>
      <c r="I16">
        <f t="shared" si="28"/>
        <v>199</v>
      </c>
      <c r="J16">
        <f t="shared" si="29"/>
        <v>44</v>
      </c>
      <c r="K16" cm="1">
        <f t="array" ref="K16" xml:space="preserve"> 1 + ROW() - _xlfn.SINGLE(ROW(ChartLines.RowNum))</f>
        <v>14</v>
      </c>
    </row>
    <row r="17" spans="2:18">
      <c r="B17" t="s">
        <v>2256</v>
      </c>
      <c r="C17" t="s">
        <v>1844</v>
      </c>
      <c r="E17">
        <f t="shared" si="25"/>
        <v>2</v>
      </c>
      <c r="F17">
        <f t="shared" si="26"/>
        <v>1</v>
      </c>
      <c r="G17" t="str" cm="1">
        <f t="array" ref="G17" xml:space="preserve"> _xlfn.IFS(OR(LEN(_xlfn.SINGLE(ChartLines.ID))=0,"Unused"=_xlfn.SINGLE(ChartLines.ID)), "·",   1=_xlfn.SINGLE(ChartLines.NumInstances), IF("USD"=_xlfn.SINGLE(ChartLines.ID), "SoleBig", "SoleOrdinary"),   1=_xlfn.SINGLE(ChartLines.InstanceNum), "Outer",   TRUE, "Inner")</f>
        <v>Outer</v>
      </c>
      <c r="H17">
        <f t="shared" si="27"/>
        <v>200</v>
      </c>
      <c r="I17">
        <f t="shared" si="28"/>
        <v>16</v>
      </c>
      <c r="J17">
        <f t="shared" si="29"/>
        <v>46</v>
      </c>
      <c r="K17" cm="1">
        <f t="array" ref="K17" xml:space="preserve"> 1 + ROW() - _xlfn.SINGLE(ROW(ChartLines.RowNum))</f>
        <v>15</v>
      </c>
    </row>
    <row r="18" spans="2:18">
      <c r="B18" t="s">
        <v>2256</v>
      </c>
      <c r="C18" t="s">
        <v>1839</v>
      </c>
      <c r="E18">
        <f t="shared" si="25"/>
        <v>2</v>
      </c>
      <c r="F18">
        <f t="shared" si="26"/>
        <v>2</v>
      </c>
      <c r="G18" t="str" cm="1">
        <f t="array" ref="G18" xml:space="preserve"> _xlfn.IFS(OR(LEN(_xlfn.SINGLE(ChartLines.ID))=0,"Unused"=_xlfn.SINGLE(ChartLines.ID)), "·",   1=_xlfn.SINGLE(ChartLines.NumInstances), IF("USD"=_xlfn.SINGLE(ChartLines.ID), "SoleBig", "SoleOrdinary"),   1=_xlfn.SINGLE(ChartLines.InstanceNum), "Outer",   TRUE, "Inner")</f>
        <v>Inner</v>
      </c>
      <c r="H18">
        <f t="shared" si="27"/>
        <v>255</v>
      </c>
      <c r="I18">
        <f t="shared" si="28"/>
        <v>255</v>
      </c>
      <c r="J18">
        <f t="shared" si="29"/>
        <v>255</v>
      </c>
      <c r="K18" cm="1">
        <f t="array" ref="K18" xml:space="preserve"> 1 + ROW() - _xlfn.SINGLE(ROW(ChartLines.RowNum))</f>
        <v>16</v>
      </c>
    </row>
    <row r="19" spans="2:18">
      <c r="B19" t="s">
        <v>2257</v>
      </c>
      <c r="C19" t="s">
        <v>2253</v>
      </c>
      <c r="E19">
        <f t="shared" si="25"/>
        <v>2</v>
      </c>
      <c r="F19">
        <f t="shared" si="26"/>
        <v>1</v>
      </c>
      <c r="G19" t="str" cm="1">
        <f t="array" ref="G19" xml:space="preserve"> _xlfn.IFS(OR(LEN(_xlfn.SINGLE(ChartLines.ID))=0,"Unused"=_xlfn.SINGLE(ChartLines.ID)), "·",   1=_xlfn.SINGLE(ChartLines.NumInstances), IF("USD"=_xlfn.SINGLE(ChartLines.ID), "SoleBig", "SoleOrdinary"),   1=_xlfn.SINGLE(ChartLines.InstanceNum), "Outer",   TRUE, "Inner")</f>
        <v>Outer</v>
      </c>
      <c r="H19">
        <f t="shared" si="27"/>
        <v>0</v>
      </c>
      <c r="I19">
        <f t="shared" si="28"/>
        <v>177</v>
      </c>
      <c r="J19">
        <f t="shared" si="29"/>
        <v>64</v>
      </c>
      <c r="K19" cm="1">
        <f t="array" ref="K19" xml:space="preserve"> 1 + ROW() - _xlfn.SINGLE(ROW(ChartLines.RowNum))</f>
        <v>17</v>
      </c>
      <c r="N19" s="66"/>
      <c r="O19" s="42"/>
      <c r="P19" s="42"/>
      <c r="Q19" s="66"/>
      <c r="R19" s="66"/>
    </row>
    <row r="20" spans="2:18">
      <c r="B20" t="s">
        <v>2257</v>
      </c>
      <c r="C20" t="s">
        <v>1844</v>
      </c>
      <c r="E20">
        <f t="shared" si="25"/>
        <v>2</v>
      </c>
      <c r="F20">
        <f t="shared" si="26"/>
        <v>2</v>
      </c>
      <c r="G20" t="str" cm="1">
        <f t="array" ref="G20" xml:space="preserve"> _xlfn.IFS(OR(LEN(_xlfn.SINGLE(ChartLines.ID))=0,"Unused"=_xlfn.SINGLE(ChartLines.ID)), "·",   1=_xlfn.SINGLE(ChartLines.NumInstances), IF("USD"=_xlfn.SINGLE(ChartLines.ID), "SoleBig", "SoleOrdinary"),   1=_xlfn.SINGLE(ChartLines.InstanceNum), "Outer",   TRUE, "Inner")</f>
        <v>Inner</v>
      </c>
      <c r="H20">
        <f t="shared" si="27"/>
        <v>200</v>
      </c>
      <c r="I20">
        <f t="shared" si="28"/>
        <v>16</v>
      </c>
      <c r="J20">
        <f t="shared" si="29"/>
        <v>46</v>
      </c>
      <c r="K20" cm="1">
        <f t="array" ref="K20" xml:space="preserve"> 1 + ROW() - _xlfn.SINGLE(ROW(ChartLines.RowNum))</f>
        <v>18</v>
      </c>
    </row>
    <row r="21" spans="2:18">
      <c r="B21" t="s">
        <v>2258</v>
      </c>
      <c r="C21" t="s">
        <v>1844</v>
      </c>
      <c r="E21">
        <f t="shared" si="25"/>
        <v>2</v>
      </c>
      <c r="F21">
        <f t="shared" si="26"/>
        <v>1</v>
      </c>
      <c r="G21" t="str" cm="1">
        <f t="array" ref="G21" xml:space="preserve"> _xlfn.IFS(OR(LEN(_xlfn.SINGLE(ChartLines.ID))=0,"Unused"=_xlfn.SINGLE(ChartLines.ID)), "·",   1=_xlfn.SINGLE(ChartLines.NumInstances), IF("USD"=_xlfn.SINGLE(ChartLines.ID), "SoleBig", "SoleOrdinary"),   1=_xlfn.SINGLE(ChartLines.InstanceNum), "Outer",   TRUE, "Inner")</f>
        <v>Outer</v>
      </c>
      <c r="H21">
        <f t="shared" si="27"/>
        <v>200</v>
      </c>
      <c r="I21">
        <f t="shared" si="28"/>
        <v>16</v>
      </c>
      <c r="J21">
        <f t="shared" si="29"/>
        <v>46</v>
      </c>
      <c r="K21" cm="1">
        <f t="array" ref="K21" xml:space="preserve"> 1 + ROW() - _xlfn.SINGLE(ROW(ChartLines.RowNum))</f>
        <v>19</v>
      </c>
    </row>
    <row r="22" spans="2:18">
      <c r="B22" t="s">
        <v>2258</v>
      </c>
      <c r="C22" t="s">
        <v>2253</v>
      </c>
      <c r="E22">
        <f t="shared" si="25"/>
        <v>2</v>
      </c>
      <c r="F22">
        <f t="shared" si="26"/>
        <v>2</v>
      </c>
      <c r="G22" t="str" cm="1">
        <f t="array" ref="G22" xml:space="preserve"> _xlfn.IFS(OR(LEN(_xlfn.SINGLE(ChartLines.ID))=0,"Unused"=_xlfn.SINGLE(ChartLines.ID)), "·",   1=_xlfn.SINGLE(ChartLines.NumInstances), IF("USD"=_xlfn.SINGLE(ChartLines.ID), "SoleBig", "SoleOrdinary"),   1=_xlfn.SINGLE(ChartLines.InstanceNum), "Outer",   TRUE, "Inner")</f>
        <v>Inner</v>
      </c>
      <c r="H22">
        <f t="shared" si="27"/>
        <v>0</v>
      </c>
      <c r="I22">
        <f t="shared" si="28"/>
        <v>177</v>
      </c>
      <c r="J22">
        <f t="shared" si="29"/>
        <v>64</v>
      </c>
      <c r="K22" cm="1">
        <f t="array" ref="K22" xml:space="preserve"> 1 + ROW() - _xlfn.SINGLE(ROW(ChartLines.RowNum))</f>
        <v>20</v>
      </c>
    </row>
    <row r="23" spans="2:18">
      <c r="B23" t="s">
        <v>7</v>
      </c>
      <c r="C23" t="s">
        <v>1837</v>
      </c>
      <c r="E23">
        <f t="shared" si="25"/>
        <v>1</v>
      </c>
      <c r="F23">
        <f t="shared" si="26"/>
        <v>1</v>
      </c>
      <c r="G23" t="str" cm="1">
        <f t="array" ref="G23" xml:space="preserve"> _xlfn.IFS(OR(LEN(_xlfn.SINGLE(ChartLines.ID))=0,"Unused"=_xlfn.SINGLE(ChartLines.ID)), "·",   1=_xlfn.SINGLE(ChartLines.NumInstances), IF("USD"=_xlfn.SINGLE(ChartLines.ID), "SoleBig", "SoleOrdinary"),   1=_xlfn.SINGLE(ChartLines.InstanceNum), "Outer",   TRUE, "Inner")</f>
        <v>SoleOrdinary</v>
      </c>
      <c r="H23">
        <f t="shared" si="27"/>
        <v>239</v>
      </c>
      <c r="I23">
        <f t="shared" si="28"/>
        <v>51</v>
      </c>
      <c r="J23">
        <f t="shared" si="29"/>
        <v>64</v>
      </c>
      <c r="K23" cm="1">
        <f t="array" ref="K23" xml:space="preserve"> 1 + ROW() - _xlfn.SINGLE(ROW(ChartLines.RowNum))</f>
        <v>21</v>
      </c>
    </row>
    <row r="24" spans="2:18">
      <c r="B24" t="s">
        <v>1835</v>
      </c>
      <c r="E24" t="str">
        <f t="shared" si="25"/>
        <v>·</v>
      </c>
      <c r="F24" t="str">
        <f t="shared" si="26"/>
        <v>·</v>
      </c>
      <c r="G24" t="str" cm="1">
        <f t="array" ref="G24" xml:space="preserve"> _xlfn.IFS(OR(LEN(_xlfn.SINGLE(ChartLines.ID))=0,"Unused"=_xlfn.SINGLE(ChartLines.ID)), "·",   1=_xlfn.SINGLE(ChartLines.NumInstances), IF("USD"=_xlfn.SINGLE(ChartLines.ID), "SoleBig", "SoleOrdinary"),   1=_xlfn.SINGLE(ChartLines.InstanceNum), "Outer",   TRUE, "Inner")</f>
        <v>·</v>
      </c>
      <c r="H24" t="str">
        <f t="shared" si="27"/>
        <v>·</v>
      </c>
      <c r="I24" t="str">
        <f t="shared" si="28"/>
        <v>·</v>
      </c>
      <c r="J24" t="str">
        <f t="shared" si="29"/>
        <v>·</v>
      </c>
      <c r="K24" cm="1">
        <f t="array" ref="K24" xml:space="preserve"> 1 + ROW() - _xlfn.SINGLE(ROW(ChartLines.RowNum))</f>
        <v>22</v>
      </c>
    </row>
    <row r="25" spans="2:18">
      <c r="B25" t="s">
        <v>1539</v>
      </c>
      <c r="C25" t="s">
        <v>1838</v>
      </c>
      <c r="E25">
        <f t="shared" si="25"/>
        <v>2</v>
      </c>
      <c r="F25">
        <f t="shared" si="26"/>
        <v>1</v>
      </c>
      <c r="G25" t="str" cm="1">
        <f t="array" ref="G25" xml:space="preserve"> _xlfn.IFS(OR(LEN(_xlfn.SINGLE(ChartLines.ID))=0,"Unused"=_xlfn.SINGLE(ChartLines.ID)), "·",   1=_xlfn.SINGLE(ChartLines.NumInstances), IF("USD"=_xlfn.SINGLE(ChartLines.ID), "SoleBig", "SoleOrdinary"),   1=_xlfn.SINGLE(ChartLines.InstanceNum), "Outer",   TRUE, "Inner")</f>
        <v>Outer</v>
      </c>
      <c r="H25">
        <f t="shared" si="27"/>
        <v>255</v>
      </c>
      <c r="I25">
        <f t="shared" si="28"/>
        <v>0</v>
      </c>
      <c r="J25">
        <f t="shared" si="29"/>
        <v>0</v>
      </c>
      <c r="K25" cm="1">
        <f t="array" ref="K25" xml:space="preserve"> 1 + ROW() - _xlfn.SINGLE(ROW(ChartLines.RowNum))</f>
        <v>23</v>
      </c>
    </row>
    <row r="26" spans="2:18">
      <c r="B26" t="s">
        <v>1539</v>
      </c>
      <c r="C26" t="s">
        <v>1839</v>
      </c>
      <c r="E26">
        <f t="shared" si="25"/>
        <v>2</v>
      </c>
      <c r="F26">
        <f t="shared" si="26"/>
        <v>2</v>
      </c>
      <c r="G26" t="str" cm="1">
        <f t="array" ref="G26" xml:space="preserve"> _xlfn.IFS(OR(LEN(_xlfn.SINGLE(ChartLines.ID))=0,"Unused"=_xlfn.SINGLE(ChartLines.ID)), "·",   1=_xlfn.SINGLE(ChartLines.NumInstances), IF("USD"=_xlfn.SINGLE(ChartLines.ID), "SoleBig", "SoleOrdinary"),   1=_xlfn.SINGLE(ChartLines.InstanceNum), "Outer",   TRUE, "Inner")</f>
        <v>Inner</v>
      </c>
      <c r="H26">
        <f t="shared" si="27"/>
        <v>255</v>
      </c>
      <c r="I26">
        <f t="shared" si="28"/>
        <v>255</v>
      </c>
      <c r="J26">
        <f t="shared" si="29"/>
        <v>255</v>
      </c>
      <c r="K26" cm="1">
        <f t="array" ref="K26" xml:space="preserve"> 1 + ROW() - _xlfn.SINGLE(ROW(ChartLines.RowNum))</f>
        <v>24</v>
      </c>
    </row>
    <row r="27" spans="2:18">
      <c r="B27" t="s">
        <v>2281</v>
      </c>
      <c r="C27" t="s">
        <v>1838</v>
      </c>
      <c r="E27">
        <f t="shared" si="25"/>
        <v>2</v>
      </c>
      <c r="F27">
        <f t="shared" si="26"/>
        <v>1</v>
      </c>
      <c r="G27" t="str" cm="1">
        <f t="array" ref="G27" xml:space="preserve"> _xlfn.IFS(OR(LEN(_xlfn.SINGLE(ChartLines.ID))=0,"Unused"=_xlfn.SINGLE(ChartLines.ID)), "·",   1=_xlfn.SINGLE(ChartLines.NumInstances), IF("USD"=_xlfn.SINGLE(ChartLines.ID), "SoleBig", "SoleOrdinary"),   1=_xlfn.SINGLE(ChartLines.InstanceNum), "Outer",   TRUE, "Inner")</f>
        <v>Outer</v>
      </c>
      <c r="H27">
        <f t="shared" si="27"/>
        <v>255</v>
      </c>
      <c r="I27">
        <f t="shared" si="28"/>
        <v>0</v>
      </c>
      <c r="J27">
        <f t="shared" si="29"/>
        <v>0</v>
      </c>
      <c r="K27" cm="1">
        <f t="array" ref="K27" xml:space="preserve"> 1 + ROW() - _xlfn.SINGLE(ROW(ChartLines.RowNum))</f>
        <v>25</v>
      </c>
    </row>
    <row r="28" spans="2:18">
      <c r="B28" t="s">
        <v>2281</v>
      </c>
      <c r="C28" t="s">
        <v>2288</v>
      </c>
      <c r="E28">
        <f t="shared" si="25"/>
        <v>2</v>
      </c>
      <c r="F28">
        <f t="shared" si="26"/>
        <v>2</v>
      </c>
      <c r="G28" t="str" cm="1">
        <f t="array" ref="G28" xml:space="preserve"> _xlfn.IFS(OR(LEN(_xlfn.SINGLE(ChartLines.ID))=0,"Unused"=_xlfn.SINGLE(ChartLines.ID)), "·",   1=_xlfn.SINGLE(ChartLines.NumInstances), IF("USD"=_xlfn.SINGLE(ChartLines.ID), "SoleBig", "SoleOrdinary"),   1=_xlfn.SINGLE(ChartLines.InstanceNum), "Outer",   TRUE, "Inner")</f>
        <v>Inner</v>
      </c>
      <c r="H28">
        <f t="shared" si="27"/>
        <v>102</v>
      </c>
      <c r="I28">
        <f t="shared" si="28"/>
        <v>204</v>
      </c>
      <c r="J28">
        <f t="shared" si="29"/>
        <v>102</v>
      </c>
      <c r="K28" cm="1">
        <f t="array" ref="K28" xml:space="preserve"> 1 + ROW() - _xlfn.SINGLE(ROW(ChartLines.RowNum))</f>
        <v>26</v>
      </c>
    </row>
    <row r="29" spans="2:18">
      <c r="B29" t="s">
        <v>1840</v>
      </c>
      <c r="C29" t="s">
        <v>1838</v>
      </c>
      <c r="E29">
        <f t="shared" si="25"/>
        <v>2</v>
      </c>
      <c r="F29">
        <f t="shared" si="26"/>
        <v>1</v>
      </c>
      <c r="G29" t="str" cm="1">
        <f t="array" ref="G29" xml:space="preserve"> _xlfn.IFS(OR(LEN(_xlfn.SINGLE(ChartLines.ID))=0,"Unused"=_xlfn.SINGLE(ChartLines.ID)), "·",   1=_xlfn.SINGLE(ChartLines.NumInstances), IF("USD"=_xlfn.SINGLE(ChartLines.ID), "SoleBig", "SoleOrdinary"),   1=_xlfn.SINGLE(ChartLines.InstanceNum), "Outer",   TRUE, "Inner")</f>
        <v>Outer</v>
      </c>
      <c r="H29">
        <f t="shared" si="27"/>
        <v>255</v>
      </c>
      <c r="I29">
        <f t="shared" si="28"/>
        <v>0</v>
      </c>
      <c r="J29">
        <f t="shared" si="29"/>
        <v>0</v>
      </c>
      <c r="K29" cm="1">
        <f t="array" ref="K29" xml:space="preserve"> 1 + ROW() - _xlfn.SINGLE(ROW(ChartLines.RowNum))</f>
        <v>27</v>
      </c>
    </row>
    <row r="30" spans="2:18">
      <c r="B30" t="s">
        <v>1840</v>
      </c>
      <c r="C30" t="str">
        <f xml:space="preserve"> "000000"</f>
        <v>000000</v>
      </c>
      <c r="E30">
        <f t="shared" si="25"/>
        <v>2</v>
      </c>
      <c r="F30">
        <f t="shared" si="26"/>
        <v>2</v>
      </c>
      <c r="G30" t="str" cm="1">
        <f t="array" ref="G30" xml:space="preserve"> _xlfn.IFS(OR(LEN(_xlfn.SINGLE(ChartLines.ID))=0,"Unused"=_xlfn.SINGLE(ChartLines.ID)), "·",   1=_xlfn.SINGLE(ChartLines.NumInstances), IF("USD"=_xlfn.SINGLE(ChartLines.ID), "SoleBig", "SoleOrdinary"),   1=_xlfn.SINGLE(ChartLines.InstanceNum), "Outer",   TRUE, "Inner")</f>
        <v>Inner</v>
      </c>
      <c r="H30">
        <f t="shared" si="27"/>
        <v>0</v>
      </c>
      <c r="I30">
        <f t="shared" si="28"/>
        <v>0</v>
      </c>
      <c r="J30">
        <f t="shared" si="29"/>
        <v>0</v>
      </c>
      <c r="K30" cm="1">
        <f t="array" ref="K30" xml:space="preserve"> 1 + ROW() - _xlfn.SINGLE(ROW(ChartLines.RowNum))</f>
        <v>28</v>
      </c>
    </row>
    <row r="31" spans="2:18">
      <c r="B31" t="s">
        <v>2299</v>
      </c>
      <c r="C31" t="s">
        <v>1838</v>
      </c>
      <c r="E31">
        <f t="shared" si="25"/>
        <v>2</v>
      </c>
      <c r="F31">
        <f t="shared" si="26"/>
        <v>1</v>
      </c>
      <c r="G31" t="str" cm="1">
        <f t="array" ref="G31" xml:space="preserve"> _xlfn.IFS(OR(LEN(_xlfn.SINGLE(ChartLines.ID))=0,"Unused"=_xlfn.SINGLE(ChartLines.ID)), "·",   1=_xlfn.SINGLE(ChartLines.NumInstances), IF("USD"=_xlfn.SINGLE(ChartLines.ID), "SoleBig", "SoleOrdinary"),   1=_xlfn.SINGLE(ChartLines.InstanceNum), "Outer",   TRUE, "Inner")</f>
        <v>Outer</v>
      </c>
      <c r="H31">
        <f t="shared" si="27"/>
        <v>255</v>
      </c>
      <c r="I31">
        <f t="shared" si="28"/>
        <v>0</v>
      </c>
      <c r="J31">
        <f t="shared" si="29"/>
        <v>0</v>
      </c>
      <c r="K31" cm="1">
        <f t="array" ref="K31" xml:space="preserve"> 1 + ROW() - _xlfn.SINGLE(ROW(ChartLines.RowNum))</f>
        <v>29</v>
      </c>
    </row>
    <row r="32" spans="2:18">
      <c r="B32" t="s">
        <v>2299</v>
      </c>
      <c r="C32" t="str">
        <f xml:space="preserve"> "666666"</f>
        <v>666666</v>
      </c>
      <c r="E32">
        <f t="shared" si="25"/>
        <v>2</v>
      </c>
      <c r="F32">
        <f t="shared" si="26"/>
        <v>2</v>
      </c>
      <c r="G32" t="str" cm="1">
        <f t="array" ref="G32" xml:space="preserve"> _xlfn.IFS(OR(LEN(_xlfn.SINGLE(ChartLines.ID))=0,"Unused"=_xlfn.SINGLE(ChartLines.ID)), "·",   1=_xlfn.SINGLE(ChartLines.NumInstances), IF("USD"=_xlfn.SINGLE(ChartLines.ID), "SoleBig", "SoleOrdinary"),   1=_xlfn.SINGLE(ChartLines.InstanceNum), "Outer",   TRUE, "Inner")</f>
        <v>Inner</v>
      </c>
      <c r="H32">
        <f t="shared" si="27"/>
        <v>102</v>
      </c>
      <c r="I32">
        <f t="shared" si="28"/>
        <v>102</v>
      </c>
      <c r="J32">
        <f t="shared" si="29"/>
        <v>102</v>
      </c>
      <c r="K32" cm="1">
        <f t="array" ref="K32" xml:space="preserve"> 1 + ROW() - _xlfn.SINGLE(ROW(ChartLines.RowNum))</f>
        <v>30</v>
      </c>
    </row>
    <row r="33" spans="2:11">
      <c r="B33" t="s">
        <v>1841</v>
      </c>
      <c r="C33" t="s">
        <v>1842</v>
      </c>
      <c r="E33">
        <f t="shared" si="25"/>
        <v>2</v>
      </c>
      <c r="F33">
        <f t="shared" si="26"/>
        <v>1</v>
      </c>
      <c r="G33" t="str" cm="1">
        <f t="array" ref="G33" xml:space="preserve"> _xlfn.IFS(OR(LEN(_xlfn.SINGLE(ChartLines.ID))=0,"Unused"=_xlfn.SINGLE(ChartLines.ID)), "·",   1=_xlfn.SINGLE(ChartLines.NumInstances), IF("USD"=_xlfn.SINGLE(ChartLines.ID), "SoleBig", "SoleOrdinary"),   1=_xlfn.SINGLE(ChartLines.InstanceNum), "Outer",   TRUE, "Inner")</f>
        <v>Outer</v>
      </c>
      <c r="H33">
        <f t="shared" si="27"/>
        <v>0</v>
      </c>
      <c r="I33">
        <f t="shared" si="28"/>
        <v>132</v>
      </c>
      <c r="J33">
        <f t="shared" si="29"/>
        <v>61</v>
      </c>
      <c r="K33" cm="1">
        <f t="array" ref="K33" xml:space="preserve"> 1 + ROW() - _xlfn.SINGLE(ROW(ChartLines.RowNum))</f>
        <v>31</v>
      </c>
    </row>
    <row r="34" spans="2:11">
      <c r="B34" t="s">
        <v>1841</v>
      </c>
      <c r="C34" t="s">
        <v>1843</v>
      </c>
      <c r="E34">
        <f t="shared" ref="E34" si="30" xml:space="preserve"> IF(AND(LEN(ChartLines.ID)&gt;0,"Unused"&lt;&gt;ChartLines.ID), COUNTIFS(ChartLines.ID,ChartLines.ID), "·")</f>
        <v>2</v>
      </c>
      <c r="F34">
        <f t="shared" ref="F34" si="31" xml:space="preserve"> IF(AND(LEN(ChartLines.ID)&gt;0,"Unused"&lt;&gt;ChartLines.ID), COUNTIFS(ChartLines.ID,ChartLines.ID,   ChartLines.RowNum,"&lt;="&amp;ChartLines.RowNum), "·")</f>
        <v>2</v>
      </c>
      <c r="G34" t="str" cm="1">
        <f t="array" ref="G34" xml:space="preserve"> _xlfn.IFS(OR(LEN(_xlfn.SINGLE(ChartLines.ID))=0,"Unused"=_xlfn.SINGLE(ChartLines.ID)), "·",   1=_xlfn.SINGLE(ChartLines.NumInstances), IF("USD"=_xlfn.SINGLE(ChartLines.ID), "SoleBig", "SoleOrdinary"),   1=_xlfn.SINGLE(ChartLines.InstanceNum), "Outer",   TRUE, "Inner")</f>
        <v>Inner</v>
      </c>
      <c r="H34">
        <f t="shared" ref="H34" si="32" xml:space="preserve"> IF(LEN(ChartLines.Hex6)=6, HEX2DEC(LEFT(ChartLines.Hex6, 2)), "·")</f>
        <v>255</v>
      </c>
      <c r="I34">
        <f t="shared" ref="I34" si="33" xml:space="preserve"> IF(LEN(ChartLines.Hex6)=6, HEX2DEC(MID(ChartLines.Hex6, 3, 2)), "·")</f>
        <v>205</v>
      </c>
      <c r="J34">
        <f t="shared" ref="J34" si="34" xml:space="preserve"> IF(LEN(ChartLines.Hex6)=6, HEX2DEC(RIGHT(ChartLines.Hex6, 2)), "·")</f>
        <v>0</v>
      </c>
      <c r="K34" cm="1">
        <f t="array" ref="K34" xml:space="preserve"> 1 + ROW() - _xlfn.SINGLE(ROW(ChartLines.RowNum))</f>
        <v>32</v>
      </c>
    </row>
    <row r="35" spans="2:11">
      <c r="B35" t="s">
        <v>122</v>
      </c>
      <c r="C35" t="str">
        <f xml:space="preserve"> "012169"</f>
        <v>012169</v>
      </c>
      <c r="E35">
        <f t="shared" ref="E35" si="35" xml:space="preserve"> IF(AND(LEN(ChartLines.ID)&gt;0,"Unused"&lt;&gt;ChartLines.ID), COUNTIFS(ChartLines.ID,ChartLines.ID), "·")</f>
        <v>2</v>
      </c>
      <c r="F35">
        <f t="shared" ref="F35" si="36" xml:space="preserve"> IF(AND(LEN(ChartLines.ID)&gt;0,"Unused"&lt;&gt;ChartLines.ID), COUNTIFS(ChartLines.ID,ChartLines.ID,   ChartLines.RowNum,"&lt;="&amp;ChartLines.RowNum), "·")</f>
        <v>1</v>
      </c>
      <c r="G35" t="str" cm="1">
        <f t="array" ref="G35" xml:space="preserve"> _xlfn.IFS(OR(LEN(_xlfn.SINGLE(ChartLines.ID))=0,"Unused"=_xlfn.SINGLE(ChartLines.ID)), "·",   1=_xlfn.SINGLE(ChartLines.NumInstances), IF("USD"=_xlfn.SINGLE(ChartLines.ID), "SoleBig", "SoleOrdinary"),   1=_xlfn.SINGLE(ChartLines.InstanceNum), "Outer",   TRUE, "Inner")</f>
        <v>Outer</v>
      </c>
      <c r="H35">
        <f t="shared" ref="H35" si="37" xml:space="preserve"> IF(LEN(ChartLines.Hex6)=6, HEX2DEC(LEFT(ChartLines.Hex6, 2)), "·")</f>
        <v>1</v>
      </c>
      <c r="I35">
        <f t="shared" ref="I35" si="38" xml:space="preserve"> IF(LEN(ChartLines.Hex6)=6, HEX2DEC(MID(ChartLines.Hex6, 3, 2)), "·")</f>
        <v>33</v>
      </c>
      <c r="J35">
        <f t="shared" ref="J35" si="39" xml:space="preserve"> IF(LEN(ChartLines.Hex6)=6, HEX2DEC(RIGHT(ChartLines.Hex6, 2)), "·")</f>
        <v>105</v>
      </c>
      <c r="K35" cm="1">
        <f t="array" ref="K35" xml:space="preserve"> 1 + ROW() - _xlfn.SINGLE(ROW(ChartLines.RowNum))</f>
        <v>33</v>
      </c>
    </row>
    <row r="36" spans="2:11">
      <c r="B36" t="s">
        <v>122</v>
      </c>
      <c r="C36" t="s">
        <v>1844</v>
      </c>
      <c r="E36">
        <f t="shared" ref="E36" si="40" xml:space="preserve"> IF(AND(LEN(ChartLines.ID)&gt;0,"Unused"&lt;&gt;ChartLines.ID), COUNTIFS(ChartLines.ID,ChartLines.ID), "·")</f>
        <v>2</v>
      </c>
      <c r="F36">
        <f t="shared" ref="F36" si="41"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f t="shared" ref="H36" si="42" xml:space="preserve"> IF(LEN(ChartLines.Hex6)=6, HEX2DEC(LEFT(ChartLines.Hex6, 2)), "·")</f>
        <v>200</v>
      </c>
      <c r="I36">
        <f t="shared" ref="I36" si="43" xml:space="preserve"> IF(LEN(ChartLines.Hex6)=6, HEX2DEC(MID(ChartLines.Hex6, 3, 2)), "·")</f>
        <v>16</v>
      </c>
      <c r="J36">
        <f t="shared" ref="J36" si="44" xml:space="preserve"> IF(LEN(ChartLines.Hex6)=6, HEX2DEC(RIGHT(ChartLines.Hex6, 2)), "·")</f>
        <v>46</v>
      </c>
      <c r="K36" cm="1">
        <f t="array" ref="K36" xml:space="preserve"> 1 + ROW() - _xlfn.SINGLE(ROW(ChartLines.RowNum))</f>
        <v>34</v>
      </c>
    </row>
    <row r="37" spans="2:11">
      <c r="B37" t="s">
        <v>126</v>
      </c>
      <c r="C37" t="str">
        <f xml:space="preserve"> "004B87"</f>
        <v>004B87</v>
      </c>
      <c r="E37">
        <f t="shared" ref="E37" si="45" xml:space="preserve"> IF(AND(LEN(ChartLines.ID)&gt;0,"Unused"&lt;&gt;ChartLines.ID), COUNTIFS(ChartLines.ID,ChartLines.ID), "·")</f>
        <v>2</v>
      </c>
      <c r="F37">
        <f t="shared" ref="F37" si="46"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f t="shared" ref="H37" si="47" xml:space="preserve"> IF(LEN(ChartLines.Hex6)=6, HEX2DEC(LEFT(ChartLines.Hex6, 2)), "·")</f>
        <v>0</v>
      </c>
      <c r="I37">
        <f t="shared" ref="I37" si="48" xml:space="preserve"> IF(LEN(ChartLines.Hex6)=6, HEX2DEC(MID(ChartLines.Hex6, 3, 2)), "·")</f>
        <v>75</v>
      </c>
      <c r="J37">
        <f t="shared" ref="J37" si="49" xml:space="preserve"> IF(LEN(ChartLines.Hex6)=6, HEX2DEC(RIGHT(ChartLines.Hex6, 2)), "·")</f>
        <v>135</v>
      </c>
      <c r="K37" cm="1">
        <f t="array" ref="K37" xml:space="preserve"> 1 + ROW() - _xlfn.SINGLE(ROW(ChartLines.RowNum))</f>
        <v>35</v>
      </c>
    </row>
    <row r="38" spans="2:11">
      <c r="B38" t="s">
        <v>126</v>
      </c>
      <c r="C38" t="s">
        <v>1845</v>
      </c>
      <c r="E38">
        <f t="shared" ref="E38" si="50" xml:space="preserve"> IF(AND(LEN(ChartLines.ID)&gt;0,"Unused"&lt;&gt;ChartLines.ID), COUNTIFS(ChartLines.ID,ChartLines.ID), "·")</f>
        <v>2</v>
      </c>
      <c r="F38">
        <f t="shared" ref="F38" si="51"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f t="shared" ref="H38" si="52" xml:space="preserve"> IF(LEN(ChartLines.Hex6)=6, HEX2DEC(LEFT(ChartLines.Hex6, 2)), "·")</f>
        <v>255</v>
      </c>
      <c r="I38">
        <f t="shared" ref="I38" si="53" xml:space="preserve"> IF(LEN(ChartLines.Hex6)=6, HEX2DEC(MID(ChartLines.Hex6, 3, 2)), "·")</f>
        <v>209</v>
      </c>
      <c r="J38">
        <f t="shared" ref="J38" si="54" xml:space="preserve"> IF(LEN(ChartLines.Hex6)=6, HEX2DEC(RIGHT(ChartLines.Hex6, 2)), "·")</f>
        <v>0</v>
      </c>
      <c r="K38" cm="1">
        <f t="array" ref="K38" xml:space="preserve"> 1 + ROW() - _xlfn.SINGLE(ROW(ChartLines.RowNum))</f>
        <v>36</v>
      </c>
    </row>
    <row r="39" spans="2:11">
      <c r="B39" t="s">
        <v>128</v>
      </c>
      <c r="C39" t="s">
        <v>1846</v>
      </c>
      <c r="E39">
        <f t="shared" ref="E39" si="55" xml:space="preserve"> IF(AND(LEN(ChartLines.ID)&gt;0,"Unused"&lt;&gt;ChartLines.ID), COUNTIFS(ChartLines.ID,ChartLines.ID), "·")</f>
        <v>2</v>
      </c>
      <c r="F39">
        <f t="shared" ref="F39" si="56"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f t="shared" ref="H39" si="57" xml:space="preserve"> IF(LEN(ChartLines.Hex6)=6, HEX2DEC(LEFT(ChartLines.Hex6, 2)), "·")</f>
        <v>186</v>
      </c>
      <c r="I39">
        <f t="shared" ref="I39" si="58" xml:space="preserve"> IF(LEN(ChartLines.Hex6)=6, HEX2DEC(MID(ChartLines.Hex6, 3, 2)), "·")</f>
        <v>12</v>
      </c>
      <c r="J39">
        <f t="shared" ref="J39" si="59" xml:space="preserve"> IF(LEN(ChartLines.Hex6)=6, HEX2DEC(RIGHT(ChartLines.Hex6, 2)), "·")</f>
        <v>47</v>
      </c>
      <c r="K39" cm="1">
        <f t="array" ref="K39" xml:space="preserve"> 1 + ROW() - _xlfn.SINGLE(ROW(ChartLines.RowNum))</f>
        <v>37</v>
      </c>
    </row>
    <row r="40" spans="2:11">
      <c r="B40" t="s">
        <v>128</v>
      </c>
      <c r="C40" t="s">
        <v>1847</v>
      </c>
      <c r="E40">
        <f t="shared" ref="E40" si="60" xml:space="preserve"> IF(AND(LEN(ChartLines.ID)&gt;0,"Unused"&lt;&gt;ChartLines.ID), COUNTIFS(ChartLines.ID,ChartLines.ID), "·")</f>
        <v>2</v>
      </c>
      <c r="F40">
        <f t="shared" ref="F40" si="6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f t="shared" ref="H40" si="62" xml:space="preserve"> IF(LEN(ChartLines.Hex6)=6, HEX2DEC(LEFT(ChartLines.Hex6, 2)), "·")</f>
        <v>0</v>
      </c>
      <c r="I40">
        <f t="shared" ref="I40" si="63" xml:space="preserve"> IF(LEN(ChartLines.Hex6)=6, HEX2DEC(MID(ChartLines.Hex6, 3, 2)), "·")</f>
        <v>32</v>
      </c>
      <c r="J40">
        <f t="shared" ref="J40" si="64" xml:space="preserve"> IF(LEN(ChartLines.Hex6)=6, HEX2DEC(RIGHT(ChartLines.Hex6, 2)), "·")</f>
        <v>91</v>
      </c>
      <c r="K40" cm="1">
        <f t="array" ref="K40" xml:space="preserve"> 1 + ROW() - _xlfn.SINGLE(ROW(ChartLines.RowNum))</f>
        <v>38</v>
      </c>
    </row>
    <row r="41" spans="2:11">
      <c r="E41" t="str">
        <f t="shared" ref="E41" si="65" xml:space="preserve"> IF(AND(LEN(ChartLines.ID)&gt;0,"Unused"&lt;&gt;ChartLines.ID), COUNTIFS(ChartLines.ID,ChartLines.ID), "·")</f>
        <v>·</v>
      </c>
      <c r="F41" t="str">
        <f t="shared" ref="F41" si="66" xml:space="preserve"> IF(AND(LEN(ChartLines.ID)&gt;0,"Unused"&lt;&gt;ChartLines.ID), COUNTIFS(ChartLines.ID,ChartLines.ID,   ChartLines.RowNum,"&lt;="&amp;ChartLines.RowNum), "·")</f>
        <v>·</v>
      </c>
      <c r="G41" t="str" cm="1">
        <f t="array" ref="G41" xml:space="preserve"> _xlfn.IFS(OR(LEN(_xlfn.SINGLE(ChartLines.ID))=0,"Unused"=_xlfn.SINGLE(ChartLines.ID)), "·",   1=_xlfn.SINGLE(ChartLines.NumInstances), IF("USD"=_xlfn.SINGLE(ChartLines.ID), "SoleBig", "SoleOrdinary"),   1=_xlfn.SINGLE(ChartLines.InstanceNum), "Outer",   TRUE, "Inner")</f>
        <v>·</v>
      </c>
      <c r="H41" t="str">
        <f t="shared" ref="H41" si="67" xml:space="preserve"> IF(LEN(ChartLines.Hex6)=6, HEX2DEC(LEFT(ChartLines.Hex6, 2)), "·")</f>
        <v>·</v>
      </c>
      <c r="I41" t="str">
        <f t="shared" ref="I41" si="68" xml:space="preserve"> IF(LEN(ChartLines.Hex6)=6, HEX2DEC(MID(ChartLines.Hex6, 3, 2)), "·")</f>
        <v>·</v>
      </c>
      <c r="J41" t="str">
        <f t="shared" ref="J41" si="69" xml:space="preserve"> IF(LEN(ChartLines.Hex6)=6, HEX2DEC(RIGHT(ChartLines.Hex6, 2)), "·")</f>
        <v>·</v>
      </c>
      <c r="K41" cm="1">
        <f t="array" ref="K41" xml:space="preserve"> 1 + ROW() - _xlfn.SINGLE(ROW(ChartLines.RowNum))</f>
        <v>39</v>
      </c>
    </row>
    <row r="42" spans="2:11">
      <c r="B42" t="s">
        <v>794</v>
      </c>
      <c r="C42" t="s">
        <v>1836</v>
      </c>
      <c r="E42">
        <f t="shared" ref="E42:E48" si="70" xml:space="preserve"> IF(AND(LEN(ChartLines.ID)&gt;0,"Unused"&lt;&gt;ChartLines.ID), COUNTIFS(ChartLines.ID,ChartLines.ID), "·")</f>
        <v>2</v>
      </c>
      <c r="F42">
        <f t="shared" ref="F42:F48" si="71" xml:space="preserve"> IF(AND(LEN(ChartLines.ID)&gt;0,"Unused"&lt;&gt;ChartLines.ID), COUNTIFS(ChartLines.ID,ChartLines.ID,   ChartLines.RowNum,"&lt;="&amp;ChartLines.RowNum), "·")</f>
        <v>1</v>
      </c>
      <c r="G42" t="str" cm="1">
        <f t="array" ref="G42" xml:space="preserve"> _xlfn.IFS(OR(LEN(_xlfn.SINGLE(ChartLines.ID))=0,"Unused"=_xlfn.SINGLE(ChartLines.ID)), "·",   1=_xlfn.SINGLE(ChartLines.NumInstances), IF("USD"=_xlfn.SINGLE(ChartLines.ID), "SoleBig", "SoleOrdinary"),   1=_xlfn.SINGLE(ChartLines.InstanceNum), "Outer",   TRUE, "Inner")</f>
        <v>Outer</v>
      </c>
      <c r="H42">
        <f t="shared" ref="H42:H48" si="72" xml:space="preserve"> IF(LEN(ChartLines.Hex6)=6, HEX2DEC(LEFT(ChartLines.Hex6, 2)), "·")</f>
        <v>255</v>
      </c>
      <c r="I42">
        <f t="shared" ref="I42:I48" si="73" xml:space="preserve"> IF(LEN(ChartLines.Hex6)=6, HEX2DEC(MID(ChartLines.Hex6, 3, 2)), "·")</f>
        <v>51</v>
      </c>
      <c r="J42">
        <f t="shared" ref="J42:J48" si="74" xml:space="preserve"> IF(LEN(ChartLines.Hex6)=6, HEX2DEC(RIGHT(ChartLines.Hex6, 2)), "·")</f>
        <v>255</v>
      </c>
      <c r="K42" cm="1">
        <f t="array" ref="K42" xml:space="preserve"> 1 + ROW() - _xlfn.SINGLE(ROW(ChartLines.RowNum))</f>
        <v>40</v>
      </c>
    </row>
    <row r="43" spans="2:11">
      <c r="B43" t="s">
        <v>794</v>
      </c>
      <c r="C43" t="s">
        <v>1839</v>
      </c>
      <c r="E43">
        <f t="shared" ref="E43:E49" si="75" xml:space="preserve"> IF(AND(LEN(ChartLines.ID)&gt;0,"Unused"&lt;&gt;ChartLines.ID), COUNTIFS(ChartLines.ID,ChartLines.ID), "·")</f>
        <v>2</v>
      </c>
      <c r="F43">
        <f t="shared" ref="F43:F49" si="76" xml:space="preserve"> IF(AND(LEN(ChartLines.ID)&gt;0,"Unused"&lt;&gt;ChartLines.ID), COUNTIFS(ChartLines.ID,ChartLines.ID,   ChartLines.RowNum,"&lt;="&amp;ChartLines.RowNum), "·")</f>
        <v>2</v>
      </c>
      <c r="G43" t="str" cm="1">
        <f t="array" ref="G43" xml:space="preserve"> _xlfn.IFS(OR(LEN(_xlfn.SINGLE(ChartLines.ID))=0,"Unused"=_xlfn.SINGLE(ChartLines.ID)), "·",   1=_xlfn.SINGLE(ChartLines.NumInstances), IF("USD"=_xlfn.SINGLE(ChartLines.ID), "SoleBig", "SoleOrdinary"),   1=_xlfn.SINGLE(ChartLines.InstanceNum), "Outer",   TRUE, "Inner")</f>
        <v>Inner</v>
      </c>
      <c r="H43">
        <f t="shared" ref="H43:H49" si="77" xml:space="preserve"> IF(LEN(ChartLines.Hex6)=6, HEX2DEC(LEFT(ChartLines.Hex6, 2)), "·")</f>
        <v>255</v>
      </c>
      <c r="I43">
        <f t="shared" ref="I43:I49" si="78" xml:space="preserve"> IF(LEN(ChartLines.Hex6)=6, HEX2DEC(MID(ChartLines.Hex6, 3, 2)), "·")</f>
        <v>255</v>
      </c>
      <c r="J43">
        <f t="shared" ref="J43:J49" si="79" xml:space="preserve"> IF(LEN(ChartLines.Hex6)=6, HEX2DEC(RIGHT(ChartLines.Hex6, 2)), "·")</f>
        <v>255</v>
      </c>
      <c r="K43" cm="1">
        <f t="array" ref="K43" xml:space="preserve"> 1 + ROW() - _xlfn.SINGLE(ROW(ChartLines.RowNum))</f>
        <v>41</v>
      </c>
    </row>
    <row r="44" spans="2:11">
      <c r="B44" t="s">
        <v>2652</v>
      </c>
      <c r="C44" t="s">
        <v>1836</v>
      </c>
      <c r="E44">
        <f t="shared" si="70"/>
        <v>2</v>
      </c>
      <c r="F44">
        <f t="shared" si="71"/>
        <v>1</v>
      </c>
      <c r="G44" t="str" cm="1">
        <f t="array" ref="G44" xml:space="preserve"> _xlfn.IFS(OR(LEN(_xlfn.SINGLE(ChartLines.ID))=0,"Unused"=_xlfn.SINGLE(ChartLines.ID)), "·",   1=_xlfn.SINGLE(ChartLines.NumInstances), IF("USD"=_xlfn.SINGLE(ChartLines.ID), "SoleBig", "SoleOrdinary"),   1=_xlfn.SINGLE(ChartLines.InstanceNum), "Outer",   TRUE, "Inner")</f>
        <v>Outer</v>
      </c>
      <c r="H44">
        <f t="shared" si="72"/>
        <v>255</v>
      </c>
      <c r="I44">
        <f t="shared" si="73"/>
        <v>51</v>
      </c>
      <c r="J44">
        <f t="shared" si="74"/>
        <v>255</v>
      </c>
      <c r="K44" cm="1">
        <f t="array" ref="K44" xml:space="preserve"> 1 + ROW() - _xlfn.SINGLE(ROW(ChartLines.RowNum))</f>
        <v>42</v>
      </c>
    </row>
    <row r="45" spans="2:11">
      <c r="B45" t="s">
        <v>2652</v>
      </c>
      <c r="C45" t="s">
        <v>2660</v>
      </c>
      <c r="E45">
        <f t="shared" si="75"/>
        <v>2</v>
      </c>
      <c r="F45">
        <f t="shared" si="76"/>
        <v>2</v>
      </c>
      <c r="G45" t="str" cm="1">
        <f t="array" ref="G45" xml:space="preserve"> _xlfn.IFS(OR(LEN(_xlfn.SINGLE(ChartLines.ID))=0,"Unused"=_xlfn.SINGLE(ChartLines.ID)), "·",   1=_xlfn.SINGLE(ChartLines.NumInstances), IF("USD"=_xlfn.SINGLE(ChartLines.ID), "SoleBig", "SoleOrdinary"),   1=_xlfn.SINGLE(ChartLines.InstanceNum), "Outer",   TRUE, "Inner")</f>
        <v>Inner</v>
      </c>
      <c r="H45">
        <f t="shared" si="77"/>
        <v>0</v>
      </c>
      <c r="I45">
        <f t="shared" si="78"/>
        <v>255</v>
      </c>
      <c r="J45">
        <f t="shared" si="79"/>
        <v>0</v>
      </c>
      <c r="K45" cm="1">
        <f t="array" ref="K45" xml:space="preserve"> 1 + ROW() - _xlfn.SINGLE(ROW(ChartLines.RowNum))</f>
        <v>43</v>
      </c>
    </row>
    <row r="46" spans="2:11">
      <c r="B46" t="s">
        <v>2653</v>
      </c>
      <c r="C46" t="s">
        <v>1836</v>
      </c>
      <c r="E46">
        <f t="shared" si="70"/>
        <v>2</v>
      </c>
      <c r="F46">
        <f t="shared" si="71"/>
        <v>1</v>
      </c>
      <c r="G46" t="str" cm="1">
        <f t="array" ref="G46" xml:space="preserve"> _xlfn.IFS(OR(LEN(_xlfn.SINGLE(ChartLines.ID))=0,"Unused"=_xlfn.SINGLE(ChartLines.ID)), "·",   1=_xlfn.SINGLE(ChartLines.NumInstances), IF("USD"=_xlfn.SINGLE(ChartLines.ID), "SoleBig", "SoleOrdinary"),   1=_xlfn.SINGLE(ChartLines.InstanceNum), "Outer",   TRUE, "Inner")</f>
        <v>Outer</v>
      </c>
      <c r="H46">
        <f t="shared" si="72"/>
        <v>255</v>
      </c>
      <c r="I46">
        <f t="shared" si="73"/>
        <v>51</v>
      </c>
      <c r="J46">
        <f t="shared" si="74"/>
        <v>255</v>
      </c>
      <c r="K46" cm="1">
        <f t="array" ref="K46" xml:space="preserve"> 1 + ROW() - _xlfn.SINGLE(ROW(ChartLines.RowNum))</f>
        <v>44</v>
      </c>
    </row>
    <row r="47" spans="2:11">
      <c r="B47" t="s">
        <v>2653</v>
      </c>
      <c r="C47" t="s">
        <v>2661</v>
      </c>
      <c r="E47">
        <f t="shared" si="75"/>
        <v>2</v>
      </c>
      <c r="F47">
        <f t="shared" si="76"/>
        <v>2</v>
      </c>
      <c r="G47" t="str" cm="1">
        <f t="array" ref="G47" xml:space="preserve"> _xlfn.IFS(OR(LEN(_xlfn.SINGLE(ChartLines.ID))=0,"Unused"=_xlfn.SINGLE(ChartLines.ID)), "·",   1=_xlfn.SINGLE(ChartLines.NumInstances), IF("USD"=_xlfn.SINGLE(ChartLines.ID), "SoleBig", "SoleOrdinary"),   1=_xlfn.SINGLE(ChartLines.InstanceNum), "Outer",   TRUE, "Inner")</f>
        <v>Inner</v>
      </c>
      <c r="H47">
        <f t="shared" si="77"/>
        <v>253</v>
      </c>
      <c r="I47">
        <f t="shared" si="78"/>
        <v>203</v>
      </c>
      <c r="J47">
        <f t="shared" si="79"/>
        <v>11</v>
      </c>
      <c r="K47" cm="1">
        <f t="array" ref="K47" xml:space="preserve"> 1 + ROW() - _xlfn.SINGLE(ROW(ChartLines.RowNum))</f>
        <v>45</v>
      </c>
    </row>
    <row r="48" spans="2:11">
      <c r="B48" t="s">
        <v>2654</v>
      </c>
      <c r="C48" t="s">
        <v>1836</v>
      </c>
      <c r="E48">
        <f t="shared" si="70"/>
        <v>2</v>
      </c>
      <c r="F48">
        <f t="shared" si="71"/>
        <v>1</v>
      </c>
      <c r="G48" t="str" cm="1">
        <f t="array" ref="G48" xml:space="preserve"> _xlfn.IFS(OR(LEN(_xlfn.SINGLE(ChartLines.ID))=0,"Unused"=_xlfn.SINGLE(ChartLines.ID)), "·",   1=_xlfn.SINGLE(ChartLines.NumInstances), IF("USD"=_xlfn.SINGLE(ChartLines.ID), "SoleBig", "SoleOrdinary"),   1=_xlfn.SINGLE(ChartLines.InstanceNum), "Outer",   TRUE, "Inner")</f>
        <v>Outer</v>
      </c>
      <c r="H48">
        <f t="shared" si="72"/>
        <v>255</v>
      </c>
      <c r="I48">
        <f t="shared" si="73"/>
        <v>51</v>
      </c>
      <c r="J48">
        <f t="shared" si="74"/>
        <v>255</v>
      </c>
      <c r="K48" cm="1">
        <f t="array" ref="K48" xml:space="preserve"> 1 + ROW() - _xlfn.SINGLE(ROW(ChartLines.RowNum))</f>
        <v>46</v>
      </c>
    </row>
    <row r="49" spans="2:11">
      <c r="B49" t="s">
        <v>2654</v>
      </c>
      <c r="C49" t="str">
        <f xml:space="preserve"> "003399"</f>
        <v>003399</v>
      </c>
      <c r="E49">
        <f t="shared" si="75"/>
        <v>2</v>
      </c>
      <c r="F49">
        <f t="shared" si="76"/>
        <v>2</v>
      </c>
      <c r="G49" t="str" cm="1">
        <f t="array" ref="G49" xml:space="preserve"> _xlfn.IFS(OR(LEN(_xlfn.SINGLE(ChartLines.ID))=0,"Unused"=_xlfn.SINGLE(ChartLines.ID)), "·",   1=_xlfn.SINGLE(ChartLines.NumInstances), IF("USD"=_xlfn.SINGLE(ChartLines.ID), "SoleBig", "SoleOrdinary"),   1=_xlfn.SINGLE(ChartLines.InstanceNum), "Outer",   TRUE, "Inner")</f>
        <v>Inner</v>
      </c>
      <c r="H49">
        <f t="shared" si="77"/>
        <v>0</v>
      </c>
      <c r="I49">
        <f t="shared" si="78"/>
        <v>51</v>
      </c>
      <c r="J49">
        <f t="shared" si="79"/>
        <v>153</v>
      </c>
      <c r="K49" cm="1">
        <f t="array" ref="K49" xml:space="preserve"> 1 + ROW() - _xlfn.SINGLE(ROW(ChartLines.RowNum))</f>
        <v>47</v>
      </c>
    </row>
    <row r="50" spans="2:11">
      <c r="B50" t="s">
        <v>796</v>
      </c>
      <c r="C50" t="str">
        <f xml:space="preserve"> "000000"</f>
        <v>000000</v>
      </c>
      <c r="E50">
        <f t="shared" ref="E50" si="80" xml:space="preserve"> IF(AND(LEN(ChartLines.ID)&gt;0,"Unused"&lt;&gt;ChartLines.ID), COUNTIFS(ChartLines.ID,ChartLines.ID), "·")</f>
        <v>2</v>
      </c>
      <c r="F50">
        <f t="shared" ref="F50" si="81" xml:space="preserve"> IF(AND(LEN(ChartLines.ID)&gt;0,"Unused"&lt;&gt;ChartLines.ID), COUNTIFS(ChartLines.ID,ChartLines.ID,   ChartLines.RowNum,"&lt;="&amp;ChartLines.RowNum), "·")</f>
        <v>1</v>
      </c>
      <c r="G50" t="str" cm="1">
        <f t="array" ref="G50" xml:space="preserve"> _xlfn.IFS(OR(LEN(_xlfn.SINGLE(ChartLines.ID))=0,"Unused"=_xlfn.SINGLE(ChartLines.ID)), "·",   1=_xlfn.SINGLE(ChartLines.NumInstances), IF("USD"=_xlfn.SINGLE(ChartLines.ID), "SoleBig", "SoleOrdinary"),   1=_xlfn.SINGLE(ChartLines.InstanceNum), "Outer",   TRUE, "Inner")</f>
        <v>Outer</v>
      </c>
      <c r="H50">
        <f t="shared" ref="H50" si="82" xml:space="preserve"> IF(LEN(ChartLines.Hex6)=6, HEX2DEC(LEFT(ChartLines.Hex6, 2)), "·")</f>
        <v>0</v>
      </c>
      <c r="I50">
        <f t="shared" ref="I50" si="83" xml:space="preserve"> IF(LEN(ChartLines.Hex6)=6, HEX2DEC(MID(ChartLines.Hex6, 3, 2)), "·")</f>
        <v>0</v>
      </c>
      <c r="J50">
        <f t="shared" ref="J50" si="84" xml:space="preserve"> IF(LEN(ChartLines.Hex6)=6, HEX2DEC(RIGHT(ChartLines.Hex6, 2)), "·")</f>
        <v>0</v>
      </c>
      <c r="K50" cm="1">
        <f t="array" ref="K50" xml:space="preserve"> 1 + ROW() - _xlfn.SINGLE(ROW(ChartLines.RowNum))</f>
        <v>48</v>
      </c>
    </row>
    <row r="51" spans="2:11">
      <c r="B51" t="s">
        <v>796</v>
      </c>
      <c r="C51" t="s">
        <v>1836</v>
      </c>
      <c r="E51">
        <f t="shared" ref="E51" si="85" xml:space="preserve"> IF(AND(LEN(ChartLines.ID)&gt;0,"Unused"&lt;&gt;ChartLines.ID), COUNTIFS(ChartLines.ID,ChartLines.ID), "·")</f>
        <v>2</v>
      </c>
      <c r="F51">
        <f t="shared" ref="F51" si="86" xml:space="preserve"> IF(AND(LEN(ChartLines.ID)&gt;0,"Unused"&lt;&gt;ChartLines.ID), COUNTIFS(ChartLines.ID,ChartLines.ID,   ChartLines.RowNum,"&lt;="&amp;ChartLines.RowNum), "·")</f>
        <v>2</v>
      </c>
      <c r="G51" t="str" cm="1">
        <f t="array" ref="G51" xml:space="preserve"> _xlfn.IFS(OR(LEN(_xlfn.SINGLE(ChartLines.ID))=0,"Unused"=_xlfn.SINGLE(ChartLines.ID)), "·",   1=_xlfn.SINGLE(ChartLines.NumInstances), IF("USD"=_xlfn.SINGLE(ChartLines.ID), "SoleBig", "SoleOrdinary"),   1=_xlfn.SINGLE(ChartLines.InstanceNum), "Outer",   TRUE, "Inner")</f>
        <v>Inner</v>
      </c>
      <c r="H51">
        <f t="shared" ref="H51" si="87" xml:space="preserve"> IF(LEN(ChartLines.Hex6)=6, HEX2DEC(LEFT(ChartLines.Hex6, 2)), "·")</f>
        <v>255</v>
      </c>
      <c r="I51">
        <f t="shared" ref="I51" si="88" xml:space="preserve"> IF(LEN(ChartLines.Hex6)=6, HEX2DEC(MID(ChartLines.Hex6, 3, 2)), "·")</f>
        <v>51</v>
      </c>
      <c r="J51">
        <f t="shared" ref="J51" si="89" xml:space="preserve"> IF(LEN(ChartLines.Hex6)=6, HEX2DEC(RIGHT(ChartLines.Hex6, 2)), "·")</f>
        <v>255</v>
      </c>
      <c r="K51" cm="1">
        <f t="array" ref="K51" xml:space="preserve"> 1 + ROW() - _xlfn.SINGLE(ROW(ChartLines.RowNum))</f>
        <v>49</v>
      </c>
    </row>
    <row r="52" spans="2:11">
      <c r="B52" t="s">
        <v>581</v>
      </c>
      <c r="C52" t="str">
        <f xml:space="preserve"> "000000"</f>
        <v>000000</v>
      </c>
      <c r="E52">
        <f t="shared" ref="E52:E54" si="90" xml:space="preserve"> IF(AND(LEN(ChartLines.ID)&gt;0,"Unused"&lt;&gt;ChartLines.ID), COUNTIFS(ChartLines.ID,ChartLines.ID), "·")</f>
        <v>2</v>
      </c>
      <c r="F52">
        <f t="shared" ref="F52:F54" si="91"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f t="shared" ref="H52:H54" si="92" xml:space="preserve"> IF(LEN(ChartLines.Hex6)=6, HEX2DEC(LEFT(ChartLines.Hex6, 2)), "·")</f>
        <v>0</v>
      </c>
      <c r="I52">
        <f t="shared" ref="I52:I54" si="93" xml:space="preserve"> IF(LEN(ChartLines.Hex6)=6, HEX2DEC(MID(ChartLines.Hex6, 3, 2)), "·")</f>
        <v>0</v>
      </c>
      <c r="J52">
        <f t="shared" ref="J52:J54" si="94" xml:space="preserve"> IF(LEN(ChartLines.Hex6)=6, HEX2DEC(RIGHT(ChartLines.Hex6, 2)), "·")</f>
        <v>0</v>
      </c>
      <c r="K52" cm="1">
        <f t="array" ref="K52" xml:space="preserve"> 1 + ROW() - _xlfn.SINGLE(ROW(ChartLines.RowNum))</f>
        <v>50</v>
      </c>
    </row>
    <row r="53" spans="2:11">
      <c r="B53" t="s">
        <v>581</v>
      </c>
      <c r="C53" t="s">
        <v>1839</v>
      </c>
      <c r="E53">
        <f t="shared" ref="E53:E55" si="95" xml:space="preserve"> IF(AND(LEN(ChartLines.ID)&gt;0,"Unused"&lt;&gt;ChartLines.ID), COUNTIFS(ChartLines.ID,ChartLines.ID), "·")</f>
        <v>2</v>
      </c>
      <c r="F53">
        <f t="shared" ref="F53:F55" si="96"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f t="shared" ref="H53:H55" si="97" xml:space="preserve"> IF(LEN(ChartLines.Hex6)=6, HEX2DEC(LEFT(ChartLines.Hex6, 2)), "·")</f>
        <v>255</v>
      </c>
      <c r="I53">
        <f t="shared" ref="I53:I55" si="98" xml:space="preserve"> IF(LEN(ChartLines.Hex6)=6, HEX2DEC(MID(ChartLines.Hex6, 3, 2)), "·")</f>
        <v>255</v>
      </c>
      <c r="J53">
        <f t="shared" ref="J53:J55" si="99" xml:space="preserve"> IF(LEN(ChartLines.Hex6)=6, HEX2DEC(RIGHT(ChartLines.Hex6, 2)), "·")</f>
        <v>255</v>
      </c>
      <c r="K53" cm="1">
        <f t="array" ref="K53" xml:space="preserve"> 1 + ROW() - _xlfn.SINGLE(ROW(ChartLines.RowNum))</f>
        <v>51</v>
      </c>
    </row>
    <row r="54" spans="2:11">
      <c r="B54" t="s">
        <v>2274</v>
      </c>
      <c r="C54" t="str">
        <f xml:space="preserve"> "000000"</f>
        <v>000000</v>
      </c>
      <c r="E54">
        <f t="shared" si="90"/>
        <v>2</v>
      </c>
      <c r="F54">
        <f t="shared" si="91"/>
        <v>1</v>
      </c>
      <c r="G54" t="str" cm="1">
        <f t="array" ref="G54" xml:space="preserve"> _xlfn.IFS(OR(LEN(_xlfn.SINGLE(ChartLines.ID))=0,"Unused"=_xlfn.SINGLE(ChartLines.ID)), "·",   1=_xlfn.SINGLE(ChartLines.NumInstances), IF("USD"=_xlfn.SINGLE(ChartLines.ID), "SoleBig", "SoleOrdinary"),   1=_xlfn.SINGLE(ChartLines.InstanceNum), "Outer",   TRUE, "Inner")</f>
        <v>Outer</v>
      </c>
      <c r="H54">
        <f t="shared" si="92"/>
        <v>0</v>
      </c>
      <c r="I54">
        <f t="shared" si="93"/>
        <v>0</v>
      </c>
      <c r="J54">
        <f t="shared" si="94"/>
        <v>0</v>
      </c>
      <c r="K54" cm="1">
        <f t="array" ref="K54" xml:space="preserve"> 1 + ROW() - _xlfn.SINGLE(ROW(ChartLines.RowNum))</f>
        <v>52</v>
      </c>
    </row>
    <row r="55" spans="2:11">
      <c r="B55" t="s">
        <v>2274</v>
      </c>
      <c r="C55" t="s">
        <v>1838</v>
      </c>
      <c r="E55">
        <f t="shared" si="95"/>
        <v>2</v>
      </c>
      <c r="F55">
        <f t="shared" si="96"/>
        <v>2</v>
      </c>
      <c r="G55" t="str" cm="1">
        <f t="array" ref="G55" xml:space="preserve"> _xlfn.IFS(OR(LEN(_xlfn.SINGLE(ChartLines.ID))=0,"Unused"=_xlfn.SINGLE(ChartLines.ID)), "·",   1=_xlfn.SINGLE(ChartLines.NumInstances), IF("USD"=_xlfn.SINGLE(ChartLines.ID), "SoleBig", "SoleOrdinary"),   1=_xlfn.SINGLE(ChartLines.InstanceNum), "Outer",   TRUE, "Inner")</f>
        <v>Inner</v>
      </c>
      <c r="H55">
        <f t="shared" si="97"/>
        <v>255</v>
      </c>
      <c r="I55">
        <f t="shared" si="98"/>
        <v>0</v>
      </c>
      <c r="J55">
        <f t="shared" si="99"/>
        <v>0</v>
      </c>
      <c r="K55" cm="1">
        <f t="array" ref="K55" xml:space="preserve"> 1 + ROW() - _xlfn.SINGLE(ROW(ChartLines.RowNum))</f>
        <v>53</v>
      </c>
    </row>
    <row r="56" spans="2:11">
      <c r="B56" t="s">
        <v>598</v>
      </c>
      <c r="C56" t="s">
        <v>1848</v>
      </c>
      <c r="E56">
        <f t="shared" ref="E56:E58" si="100" xml:space="preserve"> IF(AND(LEN(ChartLines.ID)&gt;0,"Unused"&lt;&gt;ChartLines.ID), COUNTIFS(ChartLines.ID,ChartLines.ID), "·")</f>
        <v>2</v>
      </c>
      <c r="F56">
        <f t="shared" ref="F56:F58" si="101" xml:space="preserve"> IF(AND(LEN(ChartLines.ID)&gt;0,"Unused"&lt;&gt;ChartLines.ID), COUNTIFS(ChartLines.ID,ChartLines.ID,   ChartLines.RowNum,"&lt;="&amp;ChartLines.RowNum), "·")</f>
        <v>1</v>
      </c>
      <c r="G56" t="str" cm="1">
        <f t="array" ref="G56" xml:space="preserve"> _xlfn.IFS(OR(LEN(_xlfn.SINGLE(ChartLines.ID))=0,"Unused"=_xlfn.SINGLE(ChartLines.ID)), "·",   1=_xlfn.SINGLE(ChartLines.NumInstances), IF("USD"=_xlfn.SINGLE(ChartLines.ID), "SoleBig", "SoleOrdinary"),   1=_xlfn.SINGLE(ChartLines.InstanceNum), "Outer",   TRUE, "Inner")</f>
        <v>Outer</v>
      </c>
      <c r="H56">
        <f t="shared" ref="H56:H58" si="102" xml:space="preserve"> IF(LEN(ChartLines.Hex6)=6, HEX2DEC(LEFT(ChartLines.Hex6, 2)), "·")</f>
        <v>0</v>
      </c>
      <c r="I56">
        <f t="shared" ref="I56:I58" si="103" xml:space="preserve"> IF(LEN(ChartLines.Hex6)=6, HEX2DEC(MID(ChartLines.Hex6, 3, 2)), "·")</f>
        <v>85</v>
      </c>
      <c r="J56">
        <f t="shared" ref="J56:J58" si="104" xml:space="preserve"> IF(LEN(ChartLines.Hex6)=6, HEX2DEC(RIGHT(ChartLines.Hex6, 2)), "·")</f>
        <v>164</v>
      </c>
      <c r="K56" cm="1">
        <f t="array" ref="K56" xml:space="preserve"> 1 + ROW() - _xlfn.SINGLE(ROW(ChartLines.RowNum))</f>
        <v>54</v>
      </c>
    </row>
    <row r="57" spans="2:11">
      <c r="B57" t="s">
        <v>598</v>
      </c>
      <c r="C57" t="s">
        <v>1849</v>
      </c>
      <c r="E57">
        <f t="shared" ref="E57:E59" si="105" xml:space="preserve"> IF(AND(LEN(ChartLines.ID)&gt;0,"Unused"&lt;&gt;ChartLines.ID), COUNTIFS(ChartLines.ID,ChartLines.ID), "·")</f>
        <v>2</v>
      </c>
      <c r="F57">
        <f t="shared" ref="F57:F59" si="106" xml:space="preserve"> IF(AND(LEN(ChartLines.ID)&gt;0,"Unused"&lt;&gt;ChartLines.ID), COUNTIFS(ChartLines.ID,ChartLines.ID,   ChartLines.RowNum,"&lt;="&amp;ChartLines.RowNum), "·")</f>
        <v>2</v>
      </c>
      <c r="G57" t="str" cm="1">
        <f t="array" ref="G57" xml:space="preserve"> _xlfn.IFS(OR(LEN(_xlfn.SINGLE(ChartLines.ID))=0,"Unused"=_xlfn.SINGLE(ChartLines.ID)), "·",   1=_xlfn.SINGLE(ChartLines.NumInstances), IF("USD"=_xlfn.SINGLE(ChartLines.ID), "SoleBig", "SoleOrdinary"),   1=_xlfn.SINGLE(ChartLines.InstanceNum), "Outer",   TRUE, "Inner")</f>
        <v>Inner</v>
      </c>
      <c r="H57">
        <f t="shared" ref="H57:H59" si="107" xml:space="preserve"> IF(LEN(ChartLines.Hex6)=6, HEX2DEC(LEFT(ChartLines.Hex6, 2)), "·")</f>
        <v>239</v>
      </c>
      <c r="I57">
        <f t="shared" ref="I57:I59" si="108" xml:space="preserve"> IF(LEN(ChartLines.Hex6)=6, HEX2DEC(MID(ChartLines.Hex6, 3, 2)), "·")</f>
        <v>65</v>
      </c>
      <c r="J57">
        <f t="shared" ref="J57:J59" si="109" xml:space="preserve"> IF(LEN(ChartLines.Hex6)=6, HEX2DEC(RIGHT(ChartLines.Hex6, 2)), "·")</f>
        <v>53</v>
      </c>
      <c r="K57" cm="1">
        <f t="array" ref="K57" xml:space="preserve"> 1 + ROW() - _xlfn.SINGLE(ROW(ChartLines.RowNum))</f>
        <v>55</v>
      </c>
    </row>
    <row r="58" spans="2:11">
      <c r="B58" t="s">
        <v>2276</v>
      </c>
      <c r="C58" t="s">
        <v>1848</v>
      </c>
      <c r="E58">
        <f t="shared" si="100"/>
        <v>2</v>
      </c>
      <c r="F58">
        <f t="shared" si="101"/>
        <v>1</v>
      </c>
      <c r="G58" t="str" cm="1">
        <f t="array" ref="G58" xml:space="preserve"> _xlfn.IFS(OR(LEN(_xlfn.SINGLE(ChartLines.ID))=0,"Unused"=_xlfn.SINGLE(ChartLines.ID)), "·",   1=_xlfn.SINGLE(ChartLines.NumInstances), IF("USD"=_xlfn.SINGLE(ChartLines.ID), "SoleBig", "SoleOrdinary"),   1=_xlfn.SINGLE(ChartLines.InstanceNum), "Outer",   TRUE, "Inner")</f>
        <v>Outer</v>
      </c>
      <c r="H58">
        <f t="shared" si="102"/>
        <v>0</v>
      </c>
      <c r="I58">
        <f t="shared" si="103"/>
        <v>85</v>
      </c>
      <c r="J58">
        <f t="shared" si="104"/>
        <v>164</v>
      </c>
      <c r="K58" cm="1">
        <f t="array" ref="K58" xml:space="preserve"> 1 + ROW() - _xlfn.SINGLE(ROW(ChartLines.RowNum))</f>
        <v>56</v>
      </c>
    </row>
    <row r="59" spans="2:11">
      <c r="B59" t="s">
        <v>2276</v>
      </c>
      <c r="C59" t="str">
        <f xml:space="preserve"> "000000"</f>
        <v>000000</v>
      </c>
      <c r="E59">
        <f t="shared" si="105"/>
        <v>2</v>
      </c>
      <c r="F59">
        <f t="shared" si="106"/>
        <v>2</v>
      </c>
      <c r="G59" t="str" cm="1">
        <f t="array" ref="G59" xml:space="preserve"> _xlfn.IFS(OR(LEN(_xlfn.SINGLE(ChartLines.ID))=0,"Unused"=_xlfn.SINGLE(ChartLines.ID)), "·",   1=_xlfn.SINGLE(ChartLines.NumInstances), IF("USD"=_xlfn.SINGLE(ChartLines.ID), "SoleBig", "SoleOrdinary"),   1=_xlfn.SINGLE(ChartLines.InstanceNum), "Outer",   TRUE, "Inner")</f>
        <v>Inner</v>
      </c>
      <c r="H59">
        <f t="shared" si="107"/>
        <v>0</v>
      </c>
      <c r="I59">
        <f t="shared" si="108"/>
        <v>0</v>
      </c>
      <c r="J59">
        <f t="shared" si="109"/>
        <v>0</v>
      </c>
      <c r="K59" cm="1">
        <f t="array" ref="K59" xml:space="preserve"> 1 + ROW() - _xlfn.SINGLE(ROW(ChartLines.RowNum))</f>
        <v>57</v>
      </c>
    </row>
    <row r="60" spans="2:11">
      <c r="B60" t="s">
        <v>635</v>
      </c>
      <c r="C60" t="s">
        <v>1850</v>
      </c>
      <c r="E60">
        <f t="shared" ref="E60:E62" si="110" xml:space="preserve"> IF(AND(LEN(ChartLines.ID)&gt;0,"Unused"&lt;&gt;ChartLines.ID), COUNTIFS(ChartLines.ID,ChartLines.ID), "·")</f>
        <v>2</v>
      </c>
      <c r="F60">
        <f t="shared" ref="F60:F62" si="111" xml:space="preserve"> IF(AND(LEN(ChartLines.ID)&gt;0,"Unused"&lt;&gt;ChartLines.ID), COUNTIFS(ChartLines.ID,ChartLines.ID,   ChartLines.RowNum,"&lt;="&amp;ChartLines.RowNum), "·")</f>
        <v>1</v>
      </c>
      <c r="G60" t="str" cm="1">
        <f t="array" ref="G60" xml:space="preserve"> _xlfn.IFS(OR(LEN(_xlfn.SINGLE(ChartLines.ID))=0,"Unused"=_xlfn.SINGLE(ChartLines.ID)), "·",   1=_xlfn.SINGLE(ChartLines.NumInstances), IF("USD"=_xlfn.SINGLE(ChartLines.ID), "SoleBig", "SoleOrdinary"),   1=_xlfn.SINGLE(ChartLines.InstanceNum), "Outer",   TRUE, "Inner")</f>
        <v>Outer</v>
      </c>
      <c r="H60">
        <f t="shared" ref="H60:H62" si="112" xml:space="preserve"> IF(LEN(ChartLines.Hex6)=6, HEX2DEC(LEFT(ChartLines.Hex6, 2)), "·")</f>
        <v>0</v>
      </c>
      <c r="I60">
        <f t="shared" ref="I60:I62" si="113" xml:space="preserve"> IF(LEN(ChartLines.Hex6)=6, HEX2DEC(MID(ChartLines.Hex6, 3, 2)), "·")</f>
        <v>140</v>
      </c>
      <c r="J60">
        <f t="shared" ref="J60:J62" si="114" xml:space="preserve"> IF(LEN(ChartLines.Hex6)=6, HEX2DEC(RIGHT(ChartLines.Hex6, 2)), "·")</f>
        <v>69</v>
      </c>
      <c r="K60" cm="1">
        <f t="array" ref="K60" xml:space="preserve"> 1 + ROW() - _xlfn.SINGLE(ROW(ChartLines.RowNum))</f>
        <v>58</v>
      </c>
    </row>
    <row r="61" spans="2:11">
      <c r="B61" t="s">
        <v>635</v>
      </c>
      <c r="C61" t="s">
        <v>1851</v>
      </c>
      <c r="E61">
        <f t="shared" ref="E61:E63" si="115" xml:space="preserve"> IF(AND(LEN(ChartLines.ID)&gt;0,"Unused"&lt;&gt;ChartLines.ID), COUNTIFS(ChartLines.ID,ChartLines.ID), "·")</f>
        <v>2</v>
      </c>
      <c r="F61">
        <f t="shared" ref="F61:F63" si="116" xml:space="preserve"> IF(AND(LEN(ChartLines.ID)&gt;0,"Unused"&lt;&gt;ChartLines.ID), COUNTIFS(ChartLines.ID,ChartLines.ID,   ChartLines.RowNum,"&lt;="&amp;ChartLines.RowNum), "·")</f>
        <v>2</v>
      </c>
      <c r="G61" t="str" cm="1">
        <f t="array" ref="G61" xml:space="preserve"> _xlfn.IFS(OR(LEN(_xlfn.SINGLE(ChartLines.ID))=0,"Unused"=_xlfn.SINGLE(ChartLines.ID)), "·",   1=_xlfn.SINGLE(ChartLines.NumInstances), IF("USD"=_xlfn.SINGLE(ChartLines.ID), "SoleBig", "SoleOrdinary"),   1=_xlfn.SINGLE(ChartLines.InstanceNum), "Outer",   TRUE, "Inner")</f>
        <v>Inner</v>
      </c>
      <c r="H61">
        <f t="shared" ref="H61:H63" si="117" xml:space="preserve"> IF(LEN(ChartLines.Hex6)=6, HEX2DEC(LEFT(ChartLines.Hex6, 2)), "·")</f>
        <v>205</v>
      </c>
      <c r="I61">
        <f t="shared" ref="I61:I63" si="118" xml:space="preserve"> IF(LEN(ChartLines.Hex6)=6, HEX2DEC(MID(ChartLines.Hex6, 3, 2)), "·")</f>
        <v>33</v>
      </c>
      <c r="J61">
        <f t="shared" ref="J61:J63" si="119" xml:space="preserve"> IF(LEN(ChartLines.Hex6)=6, HEX2DEC(RIGHT(ChartLines.Hex6, 2)), "·")</f>
        <v>42</v>
      </c>
      <c r="K61" cm="1">
        <f t="array" ref="K61" xml:space="preserve"> 1 + ROW() - _xlfn.SINGLE(ROW(ChartLines.RowNum))</f>
        <v>59</v>
      </c>
    </row>
    <row r="62" spans="2:11">
      <c r="B62" t="s">
        <v>2277</v>
      </c>
      <c r="C62" t="s">
        <v>1850</v>
      </c>
      <c r="E62">
        <f t="shared" si="110"/>
        <v>2</v>
      </c>
      <c r="F62">
        <f t="shared" si="111"/>
        <v>1</v>
      </c>
      <c r="G62" t="str" cm="1">
        <f t="array" ref="G62" xml:space="preserve"> _xlfn.IFS(OR(LEN(_xlfn.SINGLE(ChartLines.ID))=0,"Unused"=_xlfn.SINGLE(ChartLines.ID)), "·",   1=_xlfn.SINGLE(ChartLines.NumInstances), IF("USD"=_xlfn.SINGLE(ChartLines.ID), "SoleBig", "SoleOrdinary"),   1=_xlfn.SINGLE(ChartLines.InstanceNum), "Outer",   TRUE, "Inner")</f>
        <v>Outer</v>
      </c>
      <c r="H62">
        <f t="shared" si="112"/>
        <v>0</v>
      </c>
      <c r="I62">
        <f t="shared" si="113"/>
        <v>140</v>
      </c>
      <c r="J62">
        <f t="shared" si="114"/>
        <v>69</v>
      </c>
      <c r="K62" cm="1">
        <f t="array" ref="K62" xml:space="preserve"> 1 + ROW() - _xlfn.SINGLE(ROW(ChartLines.RowNum))</f>
        <v>60</v>
      </c>
    </row>
    <row r="63" spans="2:11">
      <c r="B63" t="s">
        <v>2277</v>
      </c>
      <c r="C63" t="str">
        <f xml:space="preserve"> "000000"</f>
        <v>000000</v>
      </c>
      <c r="E63">
        <f t="shared" si="115"/>
        <v>2</v>
      </c>
      <c r="F63">
        <f t="shared" si="116"/>
        <v>2</v>
      </c>
      <c r="G63" t="str" cm="1">
        <f t="array" ref="G63" xml:space="preserve"> _xlfn.IFS(OR(LEN(_xlfn.SINGLE(ChartLines.ID))=0,"Unused"=_xlfn.SINGLE(ChartLines.ID)), "·",   1=_xlfn.SINGLE(ChartLines.NumInstances), IF("USD"=_xlfn.SINGLE(ChartLines.ID), "SoleBig", "SoleOrdinary"),   1=_xlfn.SINGLE(ChartLines.InstanceNum), "Outer",   TRUE, "Inner")</f>
        <v>Inner</v>
      </c>
      <c r="H63">
        <f t="shared" si="117"/>
        <v>0</v>
      </c>
      <c r="I63">
        <f t="shared" si="118"/>
        <v>0</v>
      </c>
      <c r="J63">
        <f t="shared" si="119"/>
        <v>0</v>
      </c>
      <c r="K63" cm="1">
        <f t="array" ref="K63" xml:space="preserve"> 1 + ROW() - _xlfn.SINGLE(ROW(ChartLines.RowNum))</f>
        <v>61</v>
      </c>
    </row>
    <row r="64" spans="2:11">
      <c r="B64" t="s">
        <v>170</v>
      </c>
      <c r="C64" t="s">
        <v>2147</v>
      </c>
      <c r="E64">
        <f t="shared" ref="E64:E66" si="120" xml:space="preserve"> IF(AND(LEN(ChartLines.ID)&gt;0,"Unused"&lt;&gt;ChartLines.ID), COUNTIFS(ChartLines.ID,ChartLines.ID), "·")</f>
        <v>2</v>
      </c>
      <c r="F64">
        <f t="shared" ref="F64:F66" si="121" xml:space="preserve"> IF(AND(LEN(ChartLines.ID)&gt;0,"Unused"&lt;&gt;ChartLines.ID), COUNTIFS(ChartLines.ID,ChartLines.ID,   ChartLines.RowNum,"&lt;="&amp;ChartLines.RowNum), "·")</f>
        <v>1</v>
      </c>
      <c r="G64" t="str" cm="1">
        <f t="array" ref="G64" xml:space="preserve"> _xlfn.IFS(OR(LEN(_xlfn.SINGLE(ChartLines.ID))=0,"Unused"=_xlfn.SINGLE(ChartLines.ID)), "·",   1=_xlfn.SINGLE(ChartLines.NumInstances), IF("USD"=_xlfn.SINGLE(ChartLines.ID), "SoleBig", "SoleOrdinary"),   1=_xlfn.SINGLE(ChartLines.InstanceNum), "Outer",   TRUE, "Inner")</f>
        <v>Outer</v>
      </c>
      <c r="H64">
        <f t="shared" ref="H64:H66" si="122" xml:space="preserve"> IF(LEN(ChartLines.Hex6)=6, HEX2DEC(LEFT(ChartLines.Hex6, 2)), "·")</f>
        <v>173</v>
      </c>
      <c r="I64">
        <f t="shared" ref="I64:I66" si="123" xml:space="preserve"> IF(LEN(ChartLines.Hex6)=6, HEX2DEC(MID(ChartLines.Hex6, 3, 2)), "·")</f>
        <v>21</v>
      </c>
      <c r="J64">
        <f t="shared" ref="J64:J66" si="124" xml:space="preserve"> IF(LEN(ChartLines.Hex6)=6, HEX2DEC(RIGHT(ChartLines.Hex6, 2)), "·")</f>
        <v>25</v>
      </c>
      <c r="K64" cm="1">
        <f t="array" ref="K64" xml:space="preserve"> 1 + ROW() - _xlfn.SINGLE(ROW(ChartLines.RowNum))</f>
        <v>62</v>
      </c>
    </row>
    <row r="65" spans="2:11">
      <c r="B65" t="s">
        <v>170</v>
      </c>
      <c r="C65" t="s">
        <v>2148</v>
      </c>
      <c r="E65">
        <f t="shared" ref="E65:E67" si="125" xml:space="preserve"> IF(AND(LEN(ChartLines.ID)&gt;0,"Unused"&lt;&gt;ChartLines.ID), COUNTIFS(ChartLines.ID,ChartLines.ID), "·")</f>
        <v>2</v>
      </c>
      <c r="F65">
        <f t="shared" ref="F65:F67" si="126" xml:space="preserve"> IF(AND(LEN(ChartLines.ID)&gt;0,"Unused"&lt;&gt;ChartLines.ID), COUNTIFS(ChartLines.ID,ChartLines.ID,   ChartLines.RowNum,"&lt;="&amp;ChartLines.RowNum), "·")</f>
        <v>2</v>
      </c>
      <c r="G65" t="str" cm="1">
        <f t="array" ref="G65" xml:space="preserve"> _xlfn.IFS(OR(LEN(_xlfn.SINGLE(ChartLines.ID))=0,"Unused"=_xlfn.SINGLE(ChartLines.ID)), "·",   1=_xlfn.SINGLE(ChartLines.NumInstances), IF("USD"=_xlfn.SINGLE(ChartLines.ID), "SoleBig", "SoleOrdinary"),   1=_xlfn.SINGLE(ChartLines.InstanceNum), "Outer",   TRUE, "Inner")</f>
        <v>Inner</v>
      </c>
      <c r="H65">
        <f t="shared" ref="H65:H67" si="127" xml:space="preserve"> IF(LEN(ChartLines.Hex6)=6, HEX2DEC(LEFT(ChartLines.Hex6, 2)), "·")</f>
        <v>250</v>
      </c>
      <c r="I65">
        <f t="shared" ref="I65:I67" si="128" xml:space="preserve"> IF(LEN(ChartLines.Hex6)=6, HEX2DEC(MID(ChartLines.Hex6, 3, 2)), "·")</f>
        <v>189</v>
      </c>
      <c r="J65">
        <f t="shared" ref="J65:J67" si="129" xml:space="preserve"> IF(LEN(ChartLines.Hex6)=6, HEX2DEC(RIGHT(ChartLines.Hex6, 2)), "·")</f>
        <v>0</v>
      </c>
      <c r="K65" cm="1">
        <f t="array" ref="K65" xml:space="preserve"> 1 + ROW() - _xlfn.SINGLE(ROW(ChartLines.RowNum))</f>
        <v>63</v>
      </c>
    </row>
    <row r="66" spans="2:11">
      <c r="B66" t="s">
        <v>2278</v>
      </c>
      <c r="C66" t="s">
        <v>2147</v>
      </c>
      <c r="E66">
        <f t="shared" si="120"/>
        <v>2</v>
      </c>
      <c r="F66">
        <f t="shared" si="121"/>
        <v>1</v>
      </c>
      <c r="G66" t="str" cm="1">
        <f t="array" ref="G66" xml:space="preserve"> _xlfn.IFS(OR(LEN(_xlfn.SINGLE(ChartLines.ID))=0,"Unused"=_xlfn.SINGLE(ChartLines.ID)), "·",   1=_xlfn.SINGLE(ChartLines.NumInstances), IF("USD"=_xlfn.SINGLE(ChartLines.ID), "SoleBig", "SoleOrdinary"),   1=_xlfn.SINGLE(ChartLines.InstanceNum), "Outer",   TRUE, "Inner")</f>
        <v>Outer</v>
      </c>
      <c r="H66">
        <f t="shared" si="122"/>
        <v>173</v>
      </c>
      <c r="I66">
        <f t="shared" si="123"/>
        <v>21</v>
      </c>
      <c r="J66">
        <f t="shared" si="124"/>
        <v>25</v>
      </c>
      <c r="K66" cm="1">
        <f t="array" ref="K66" xml:space="preserve"> 1 + ROW() - _xlfn.SINGLE(ROW(ChartLines.RowNum))</f>
        <v>64</v>
      </c>
    </row>
    <row r="67" spans="2:11">
      <c r="B67" t="s">
        <v>2278</v>
      </c>
      <c r="C67" t="s">
        <v>2288</v>
      </c>
      <c r="E67">
        <f t="shared" si="125"/>
        <v>2</v>
      </c>
      <c r="F67">
        <f t="shared" si="126"/>
        <v>2</v>
      </c>
      <c r="G67" t="str" cm="1">
        <f t="array" ref="G67" xml:space="preserve"> _xlfn.IFS(OR(LEN(_xlfn.SINGLE(ChartLines.ID))=0,"Unused"=_xlfn.SINGLE(ChartLines.ID)), "·",   1=_xlfn.SINGLE(ChartLines.NumInstances), IF("USD"=_xlfn.SINGLE(ChartLines.ID), "SoleBig", "SoleOrdinary"),   1=_xlfn.SINGLE(ChartLines.InstanceNum), "Outer",   TRUE, "Inner")</f>
        <v>Inner</v>
      </c>
      <c r="H67">
        <f t="shared" si="127"/>
        <v>102</v>
      </c>
      <c r="I67">
        <f t="shared" si="128"/>
        <v>204</v>
      </c>
      <c r="J67">
        <f t="shared" si="129"/>
        <v>102</v>
      </c>
      <c r="K67" cm="1">
        <f t="array" ref="K67" xml:space="preserve"> 1 + ROW() - _xlfn.SINGLE(ROW(ChartLines.RowNum))</f>
        <v>65</v>
      </c>
    </row>
    <row r="68" spans="2:11">
      <c r="B68" t="s">
        <v>636</v>
      </c>
      <c r="C68" t="s">
        <v>1852</v>
      </c>
      <c r="E68">
        <f t="shared" ref="E68:E70" si="130" xml:space="preserve"> IF(AND(LEN(ChartLines.ID)&gt;0,"Unused"&lt;&gt;ChartLines.ID), COUNTIFS(ChartLines.ID,ChartLines.ID), "·")</f>
        <v>2</v>
      </c>
      <c r="F68">
        <f t="shared" ref="F68:F70" si="131" xml:space="preserve"> IF(AND(LEN(ChartLines.ID)&gt;0,"Unused"&lt;&gt;ChartLines.ID), COUNTIFS(ChartLines.ID,ChartLines.ID,   ChartLines.RowNum,"&lt;="&amp;ChartLines.RowNum), "·")</f>
        <v>1</v>
      </c>
      <c r="G68" t="str" cm="1">
        <f t="array" ref="G68" xml:space="preserve"> _xlfn.IFS(OR(LEN(_xlfn.SINGLE(ChartLines.ID))=0,"Unused"=_xlfn.SINGLE(ChartLines.ID)), "·",   1=_xlfn.SINGLE(ChartLines.NumInstances), IF("USD"=_xlfn.SINGLE(ChartLines.ID), "SoleBig", "SoleOrdinary"),   1=_xlfn.SINGLE(ChartLines.InstanceNum), "Outer",   TRUE, "Inner")</f>
        <v>Outer</v>
      </c>
      <c r="H68">
        <f t="shared" ref="H68:H70" si="132" xml:space="preserve"> IF(LEN(ChartLines.Hex6)=6, HEX2DEC(LEFT(ChartLines.Hex6, 2)), "·")</f>
        <v>0</v>
      </c>
      <c r="I68">
        <f t="shared" ref="I68:I70" si="133" xml:space="preserve"> IF(LEN(ChartLines.Hex6)=6, HEX2DEC(MID(ChartLines.Hex6, 3, 2)), "·")</f>
        <v>61</v>
      </c>
      <c r="J68">
        <f t="shared" ref="J68:J70" si="134" xml:space="preserve"> IF(LEN(ChartLines.Hex6)=6, HEX2DEC(RIGHT(ChartLines.Hex6, 2)), "·")</f>
        <v>165</v>
      </c>
      <c r="K68" cm="1">
        <f t="array" ref="K68" xml:space="preserve"> 1 + ROW() - _xlfn.SINGLE(ROW(ChartLines.RowNum))</f>
        <v>66</v>
      </c>
    </row>
    <row r="69" spans="2:11">
      <c r="B69" t="s">
        <v>636</v>
      </c>
      <c r="C69" t="s">
        <v>1853</v>
      </c>
      <c r="E69">
        <f t="shared" ref="E69:E71" si="135" xml:space="preserve"> IF(AND(LEN(ChartLines.ID)&gt;0,"Unused"&lt;&gt;ChartLines.ID), COUNTIFS(ChartLines.ID,ChartLines.ID), "·")</f>
        <v>2</v>
      </c>
      <c r="F69">
        <f t="shared" ref="F69:F71" si="136" xml:space="preserve"> IF(AND(LEN(ChartLines.ID)&gt;0,"Unused"&lt;&gt;ChartLines.ID), COUNTIFS(ChartLines.ID,ChartLines.ID,   ChartLines.RowNum,"&lt;="&amp;ChartLines.RowNum), "·")</f>
        <v>2</v>
      </c>
      <c r="G69" t="str" cm="1">
        <f t="array" ref="G69" xml:space="preserve"> _xlfn.IFS(OR(LEN(_xlfn.SINGLE(ChartLines.ID))=0,"Unused"=_xlfn.SINGLE(ChartLines.ID)), "·",   1=_xlfn.SINGLE(ChartLines.NumInstances), IF("USD"=_xlfn.SINGLE(ChartLines.ID), "SoleBig", "SoleOrdinary"),   1=_xlfn.SINGLE(ChartLines.InstanceNum), "Outer",   TRUE, "Inner")</f>
        <v>Inner</v>
      </c>
      <c r="H69">
        <f t="shared" ref="H69:H71" si="137" xml:space="preserve"> IF(LEN(ChartLines.Hex6)=6, HEX2DEC(LEFT(ChartLines.Hex6, 2)), "·")</f>
        <v>250</v>
      </c>
      <c r="I69">
        <f t="shared" ref="I69:I71" si="138" xml:space="preserve"> IF(LEN(ChartLines.Hex6)=6, HEX2DEC(MID(ChartLines.Hex6, 3, 2)), "·")</f>
        <v>155</v>
      </c>
      <c r="J69">
        <f t="shared" ref="J69:J71" si="139" xml:space="preserve"> IF(LEN(ChartLines.Hex6)=6, HEX2DEC(RIGHT(ChartLines.Hex6, 2)), "·")</f>
        <v>30</v>
      </c>
      <c r="K69" cm="1">
        <f t="array" ref="K69" xml:space="preserve"> 1 + ROW() - _xlfn.SINGLE(ROW(ChartLines.RowNum))</f>
        <v>67</v>
      </c>
    </row>
    <row r="70" spans="2:11">
      <c r="B70" t="s">
        <v>2289</v>
      </c>
      <c r="C70" t="s">
        <v>2290</v>
      </c>
      <c r="E70">
        <f t="shared" si="130"/>
        <v>2</v>
      </c>
      <c r="F70">
        <f t="shared" si="131"/>
        <v>1</v>
      </c>
      <c r="G70" t="str" cm="1">
        <f t="array" ref="G70" xml:space="preserve"> _xlfn.IFS(OR(LEN(_xlfn.SINGLE(ChartLines.ID))=0,"Unused"=_xlfn.SINGLE(ChartLines.ID)), "·",   1=_xlfn.SINGLE(ChartLines.NumInstances), IF("USD"=_xlfn.SINGLE(ChartLines.ID), "SoleBig", "SoleOrdinary"),   1=_xlfn.SINGLE(ChartLines.InstanceNum), "Outer",   TRUE, "Inner")</f>
        <v>Outer</v>
      </c>
      <c r="H70">
        <f t="shared" si="132"/>
        <v>173</v>
      </c>
      <c r="I70">
        <f t="shared" si="133"/>
        <v>29</v>
      </c>
      <c r="J70">
        <f t="shared" si="134"/>
        <v>37</v>
      </c>
      <c r="K70" cm="1">
        <f t="array" ref="K70" xml:space="preserve"> 1 + ROW() - _xlfn.SINGLE(ROW(ChartLines.RowNum))</f>
        <v>68</v>
      </c>
    </row>
    <row r="71" spans="2:11">
      <c r="B71" t="s">
        <v>2289</v>
      </c>
      <c r="C71" t="s">
        <v>1853</v>
      </c>
      <c r="E71">
        <f t="shared" si="135"/>
        <v>2</v>
      </c>
      <c r="F71">
        <f t="shared" si="136"/>
        <v>2</v>
      </c>
      <c r="G71" t="str" cm="1">
        <f t="array" ref="G71" xml:space="preserve"> _xlfn.IFS(OR(LEN(_xlfn.SINGLE(ChartLines.ID))=0,"Unused"=_xlfn.SINGLE(ChartLines.ID)), "·",   1=_xlfn.SINGLE(ChartLines.NumInstances), IF("USD"=_xlfn.SINGLE(ChartLines.ID), "SoleBig", "SoleOrdinary"),   1=_xlfn.SINGLE(ChartLines.InstanceNum), "Outer",   TRUE, "Inner")</f>
        <v>Inner</v>
      </c>
      <c r="H71">
        <f t="shared" si="137"/>
        <v>250</v>
      </c>
      <c r="I71">
        <f t="shared" si="138"/>
        <v>155</v>
      </c>
      <c r="J71">
        <f t="shared" si="139"/>
        <v>30</v>
      </c>
      <c r="K71" cm="1">
        <f t="array" ref="K71" xml:space="preserve"> 1 + ROW() - _xlfn.SINGLE(ROW(ChartLines.RowNum))</f>
        <v>69</v>
      </c>
    </row>
    <row r="72" spans="2:11">
      <c r="B72" t="s">
        <v>655</v>
      </c>
      <c r="C72">
        <v>663319</v>
      </c>
      <c r="E72">
        <f t="shared" ref="E72:E74" si="140" xml:space="preserve"> IF(AND(LEN(ChartLines.ID)&gt;0,"Unused"&lt;&gt;ChartLines.ID), COUNTIFS(ChartLines.ID,ChartLines.ID), "·")</f>
        <v>2</v>
      </c>
      <c r="F72">
        <f t="shared" ref="F72:F74" si="141" xml:space="preserve"> IF(AND(LEN(ChartLines.ID)&gt;0,"Unused"&lt;&gt;ChartLines.ID), COUNTIFS(ChartLines.ID,ChartLines.ID,   ChartLines.RowNum,"&lt;="&amp;ChartLines.RowNum), "·")</f>
        <v>1</v>
      </c>
      <c r="G72" t="str" cm="1">
        <f t="array" ref="G72" xml:space="preserve"> _xlfn.IFS(OR(LEN(_xlfn.SINGLE(ChartLines.ID))=0,"Unused"=_xlfn.SINGLE(ChartLines.ID)), "·",   1=_xlfn.SINGLE(ChartLines.NumInstances), IF("USD"=_xlfn.SINGLE(ChartLines.ID), "SoleBig", "SoleOrdinary"),   1=_xlfn.SINGLE(ChartLines.InstanceNum), "Outer",   TRUE, "Inner")</f>
        <v>Outer</v>
      </c>
      <c r="H72">
        <f t="shared" ref="H72:H74" si="142" xml:space="preserve"> IF(LEN(ChartLines.Hex6)=6, HEX2DEC(LEFT(ChartLines.Hex6, 2)), "·")</f>
        <v>102</v>
      </c>
      <c r="I72">
        <f t="shared" ref="I72:I74" si="143" xml:space="preserve"> IF(LEN(ChartLines.Hex6)=6, HEX2DEC(MID(ChartLines.Hex6, 3, 2)), "·")</f>
        <v>51</v>
      </c>
      <c r="J72">
        <f t="shared" ref="J72:J74" si="144" xml:space="preserve"> IF(LEN(ChartLines.Hex6)=6, HEX2DEC(RIGHT(ChartLines.Hex6, 2)), "·")</f>
        <v>25</v>
      </c>
      <c r="K72" cm="1">
        <f t="array" ref="K72" xml:space="preserve"> 1 + ROW() - _xlfn.SINGLE(ROW(ChartLines.RowNum))</f>
        <v>70</v>
      </c>
    </row>
    <row r="73" spans="2:11">
      <c r="B73" t="s">
        <v>655</v>
      </c>
      <c r="C73" t="s">
        <v>1854</v>
      </c>
      <c r="E73">
        <f t="shared" ref="E73:E75" si="145" xml:space="preserve"> IF(AND(LEN(ChartLines.ID)&gt;0,"Unused"&lt;&gt;ChartLines.ID), COUNTIFS(ChartLines.ID,ChartLines.ID), "·")</f>
        <v>2</v>
      </c>
      <c r="F73">
        <f t="shared" ref="F73:F75" si="146" xml:space="preserve"> IF(AND(LEN(ChartLines.ID)&gt;0,"Unused"&lt;&gt;ChartLines.ID), COUNTIFS(ChartLines.ID,ChartLines.ID,   ChartLines.RowNum,"&lt;="&amp;ChartLines.RowNum), "·")</f>
        <v>2</v>
      </c>
      <c r="G73" t="str" cm="1">
        <f t="array" ref="G73" xml:space="preserve"> _xlfn.IFS(OR(LEN(_xlfn.SINGLE(ChartLines.ID))=0,"Unused"=_xlfn.SINGLE(ChartLines.ID)), "·",   1=_xlfn.SINGLE(ChartLines.NumInstances), IF("USD"=_xlfn.SINGLE(ChartLines.ID), "SoleBig", "SoleOrdinary"),   1=_xlfn.SINGLE(ChartLines.InstanceNum), "Outer",   TRUE, "Inner")</f>
        <v>Inner</v>
      </c>
      <c r="H73">
        <f t="shared" ref="H73:H75" si="147" xml:space="preserve"> IF(LEN(ChartLines.Hex6)=6, HEX2DEC(LEFT(ChartLines.Hex6, 2)), "·")</f>
        <v>255</v>
      </c>
      <c r="I73">
        <f t="shared" ref="I73:I75" si="148" xml:space="preserve"> IF(LEN(ChartLines.Hex6)=6, HEX2DEC(MID(ChartLines.Hex6, 3, 2)), "·")</f>
        <v>204</v>
      </c>
      <c r="J73">
        <f t="shared" ref="J73:J75" si="149" xml:space="preserve"> IF(LEN(ChartLines.Hex6)=6, HEX2DEC(RIGHT(ChartLines.Hex6, 2)), "·")</f>
        <v>51</v>
      </c>
      <c r="K73" cm="1">
        <f t="array" ref="K73" xml:space="preserve"> 1 + ROW() - _xlfn.SINGLE(ROW(ChartLines.RowNum))</f>
        <v>71</v>
      </c>
    </row>
    <row r="74" spans="2:11">
      <c r="B74" t="s">
        <v>2291</v>
      </c>
      <c r="C74" t="s">
        <v>1854</v>
      </c>
      <c r="E74">
        <f t="shared" si="140"/>
        <v>2</v>
      </c>
      <c r="F74">
        <f t="shared" si="141"/>
        <v>1</v>
      </c>
      <c r="G74" t="str" cm="1">
        <f t="array" ref="G74" xml:space="preserve"> _xlfn.IFS(OR(LEN(_xlfn.SINGLE(ChartLines.ID))=0,"Unused"=_xlfn.SINGLE(ChartLines.ID)), "·",   1=_xlfn.SINGLE(ChartLines.NumInstances), IF("USD"=_xlfn.SINGLE(ChartLines.ID), "SoleBig", "SoleOrdinary"),   1=_xlfn.SINGLE(ChartLines.InstanceNum), "Outer",   TRUE, "Inner")</f>
        <v>Outer</v>
      </c>
      <c r="H74">
        <f t="shared" si="142"/>
        <v>255</v>
      </c>
      <c r="I74">
        <f t="shared" si="143"/>
        <v>204</v>
      </c>
      <c r="J74">
        <f t="shared" si="144"/>
        <v>51</v>
      </c>
      <c r="K74" cm="1">
        <f t="array" ref="K74" xml:space="preserve"> 1 + ROW() - _xlfn.SINGLE(ROW(ChartLines.RowNum))</f>
        <v>72</v>
      </c>
    </row>
    <row r="75" spans="2:11">
      <c r="B75" t="s">
        <v>2291</v>
      </c>
      <c r="C75">
        <v>663319</v>
      </c>
      <c r="E75">
        <f t="shared" si="145"/>
        <v>2</v>
      </c>
      <c r="F75">
        <f t="shared" si="146"/>
        <v>2</v>
      </c>
      <c r="G75" t="str" cm="1">
        <f t="array" ref="G75" xml:space="preserve"> _xlfn.IFS(OR(LEN(_xlfn.SINGLE(ChartLines.ID))=0,"Unused"=_xlfn.SINGLE(ChartLines.ID)), "·",   1=_xlfn.SINGLE(ChartLines.NumInstances), IF("USD"=_xlfn.SINGLE(ChartLines.ID), "SoleBig", "SoleOrdinary"),   1=_xlfn.SINGLE(ChartLines.InstanceNum), "Outer",   TRUE, "Inner")</f>
        <v>Inner</v>
      </c>
      <c r="H75">
        <f t="shared" si="147"/>
        <v>102</v>
      </c>
      <c r="I75">
        <f t="shared" si="148"/>
        <v>51</v>
      </c>
      <c r="J75">
        <f t="shared" si="149"/>
        <v>25</v>
      </c>
      <c r="K75" cm="1">
        <f t="array" ref="K75" xml:space="preserve"> 1 + ROW() - _xlfn.SINGLE(ROW(ChartLines.RowNum))</f>
        <v>73</v>
      </c>
    </row>
    <row r="76" spans="2:11">
      <c r="B76" t="s">
        <v>656</v>
      </c>
      <c r="C76" t="s">
        <v>1844</v>
      </c>
      <c r="E76">
        <f t="shared" ref="E76:E78" si="150" xml:space="preserve"> IF(AND(LEN(ChartLines.ID)&gt;0,"Unused"&lt;&gt;ChartLines.ID), COUNTIFS(ChartLines.ID,ChartLines.ID), "·")</f>
        <v>2</v>
      </c>
      <c r="F76">
        <f t="shared" ref="F76:F78" si="151" xml:space="preserve"> IF(AND(LEN(ChartLines.ID)&gt;0,"Unused"&lt;&gt;ChartLines.ID), COUNTIFS(ChartLines.ID,ChartLines.ID,   ChartLines.RowNum,"&lt;="&amp;ChartLines.RowNum), "·")</f>
        <v>1</v>
      </c>
      <c r="G76" t="str" cm="1">
        <f t="array" ref="G76" xml:space="preserve"> _xlfn.IFS(OR(LEN(_xlfn.SINGLE(ChartLines.ID))=0,"Unused"=_xlfn.SINGLE(ChartLines.ID)), "·",   1=_xlfn.SINGLE(ChartLines.NumInstances), IF("USD"=_xlfn.SINGLE(ChartLines.ID), "SoleBig", "SoleOrdinary"),   1=_xlfn.SINGLE(ChartLines.InstanceNum), "Outer",   TRUE, "Inner")</f>
        <v>Outer</v>
      </c>
      <c r="H76">
        <f t="shared" ref="H76:H78" si="152" xml:space="preserve"> IF(LEN(ChartLines.Hex6)=6, HEX2DEC(LEFT(ChartLines.Hex6, 2)), "·")</f>
        <v>200</v>
      </c>
      <c r="I76">
        <f t="shared" ref="I76:I78" si="153" xml:space="preserve"> IF(LEN(ChartLines.Hex6)=6, HEX2DEC(MID(ChartLines.Hex6, 3, 2)), "·")</f>
        <v>16</v>
      </c>
      <c r="J76">
        <f t="shared" ref="J76:J78" si="154" xml:space="preserve"> IF(LEN(ChartLines.Hex6)=6, HEX2DEC(RIGHT(ChartLines.Hex6, 2)), "·")</f>
        <v>46</v>
      </c>
      <c r="K76" cm="1">
        <f t="array" ref="K76" xml:space="preserve"> 1 + ROW() - _xlfn.SINGLE(ROW(ChartLines.RowNum))</f>
        <v>74</v>
      </c>
    </row>
    <row r="77" spans="2:11">
      <c r="B77" t="s">
        <v>656</v>
      </c>
      <c r="C77" t="s">
        <v>1839</v>
      </c>
      <c r="E77">
        <f t="shared" ref="E77:E79" si="155" xml:space="preserve"> IF(AND(LEN(ChartLines.ID)&gt;0,"Unused"&lt;&gt;ChartLines.ID), COUNTIFS(ChartLines.ID,ChartLines.ID), "·")</f>
        <v>2</v>
      </c>
      <c r="F77">
        <f t="shared" ref="F77:F79" si="156" xml:space="preserve"> IF(AND(LEN(ChartLines.ID)&gt;0,"Unused"&lt;&gt;ChartLines.ID), COUNTIFS(ChartLines.ID,ChartLines.ID,   ChartLines.RowNum,"&lt;="&amp;ChartLines.RowNum), "·")</f>
        <v>2</v>
      </c>
      <c r="G77" t="str" cm="1">
        <f t="array" ref="G77" xml:space="preserve"> _xlfn.IFS(OR(LEN(_xlfn.SINGLE(ChartLines.ID))=0,"Unused"=_xlfn.SINGLE(ChartLines.ID)), "·",   1=_xlfn.SINGLE(ChartLines.NumInstances), IF("USD"=_xlfn.SINGLE(ChartLines.ID), "SoleBig", "SoleOrdinary"),   1=_xlfn.SINGLE(ChartLines.InstanceNum), "Outer",   TRUE, "Inner")</f>
        <v>Inner</v>
      </c>
      <c r="H77">
        <f t="shared" ref="H77:H79" si="157" xml:space="preserve"> IF(LEN(ChartLines.Hex6)=6, HEX2DEC(LEFT(ChartLines.Hex6, 2)), "·")</f>
        <v>255</v>
      </c>
      <c r="I77">
        <f t="shared" ref="I77:I79" si="158" xml:space="preserve"> IF(LEN(ChartLines.Hex6)=6, HEX2DEC(MID(ChartLines.Hex6, 3, 2)), "·")</f>
        <v>255</v>
      </c>
      <c r="J77">
        <f t="shared" ref="J77:J79" si="159" xml:space="preserve"> IF(LEN(ChartLines.Hex6)=6, HEX2DEC(RIGHT(ChartLines.Hex6, 2)), "·")</f>
        <v>255</v>
      </c>
      <c r="K77" cm="1">
        <f t="array" ref="K77" xml:space="preserve"> 1 + ROW() - _xlfn.SINGLE(ROW(ChartLines.RowNum))</f>
        <v>75</v>
      </c>
    </row>
    <row r="78" spans="2:11">
      <c r="B78" t="s">
        <v>2280</v>
      </c>
      <c r="C78" t="s">
        <v>1844</v>
      </c>
      <c r="E78">
        <f t="shared" si="150"/>
        <v>2</v>
      </c>
      <c r="F78">
        <f t="shared" si="151"/>
        <v>1</v>
      </c>
      <c r="G78" t="str" cm="1">
        <f t="array" ref="G78" xml:space="preserve"> _xlfn.IFS(OR(LEN(_xlfn.SINGLE(ChartLines.ID))=0,"Unused"=_xlfn.SINGLE(ChartLines.ID)), "·",   1=_xlfn.SINGLE(ChartLines.NumInstances), IF("USD"=_xlfn.SINGLE(ChartLines.ID), "SoleBig", "SoleOrdinary"),   1=_xlfn.SINGLE(ChartLines.InstanceNum), "Outer",   TRUE, "Inner")</f>
        <v>Outer</v>
      </c>
      <c r="H78">
        <f t="shared" si="152"/>
        <v>200</v>
      </c>
      <c r="I78">
        <f t="shared" si="153"/>
        <v>16</v>
      </c>
      <c r="J78">
        <f t="shared" si="154"/>
        <v>46</v>
      </c>
      <c r="K78" cm="1">
        <f t="array" ref="K78" xml:space="preserve"> 1 + ROW() - _xlfn.SINGLE(ROW(ChartLines.RowNum))</f>
        <v>76</v>
      </c>
    </row>
    <row r="79" spans="2:11">
      <c r="B79" t="s">
        <v>2280</v>
      </c>
      <c r="C79" t="str">
        <f xml:space="preserve"> "000000"</f>
        <v>000000</v>
      </c>
      <c r="E79">
        <f t="shared" si="155"/>
        <v>2</v>
      </c>
      <c r="F79">
        <f t="shared" si="156"/>
        <v>2</v>
      </c>
      <c r="G79" t="str" cm="1">
        <f t="array" ref="G79" xml:space="preserve"> _xlfn.IFS(OR(LEN(_xlfn.SINGLE(ChartLines.ID))=0,"Unused"=_xlfn.SINGLE(ChartLines.ID)), "·",   1=_xlfn.SINGLE(ChartLines.NumInstances), IF("USD"=_xlfn.SINGLE(ChartLines.ID), "SoleBig", "SoleOrdinary"),   1=_xlfn.SINGLE(ChartLines.InstanceNum), "Outer",   TRUE, "Inner")</f>
        <v>Inner</v>
      </c>
      <c r="H79">
        <f t="shared" si="157"/>
        <v>0</v>
      </c>
      <c r="I79">
        <f t="shared" si="158"/>
        <v>0</v>
      </c>
      <c r="J79">
        <f t="shared" si="159"/>
        <v>0</v>
      </c>
      <c r="K79" cm="1">
        <f t="array" ref="K79" xml:space="preserve"> 1 + ROW() - _xlfn.SINGLE(ROW(ChartLines.RowNum))</f>
        <v>77</v>
      </c>
    </row>
    <row r="80" spans="2:11">
      <c r="B80" t="s">
        <v>657</v>
      </c>
      <c r="C80" t="s">
        <v>1855</v>
      </c>
      <c r="E80">
        <f t="shared" ref="E80:E82" si="160" xml:space="preserve"> IF(AND(LEN(ChartLines.ID)&gt;0,"Unused"&lt;&gt;ChartLines.ID), COUNTIFS(ChartLines.ID,ChartLines.ID), "·")</f>
        <v>1</v>
      </c>
      <c r="F80">
        <f t="shared" ref="F80:F82" si="161" xml:space="preserve"> IF(AND(LEN(ChartLines.ID)&gt;0,"Unused"&lt;&gt;ChartLines.ID), COUNTIFS(ChartLines.ID,ChartLines.ID,   ChartLines.RowNum,"&lt;="&amp;ChartLines.RowNum), "·")</f>
        <v>1</v>
      </c>
      <c r="G80" t="str" cm="1">
        <f t="array" ref="G80" xml:space="preserve"> _xlfn.IFS(OR(LEN(_xlfn.SINGLE(ChartLines.ID))=0,"Unused"=_xlfn.SINGLE(ChartLines.ID)), "·",   1=_xlfn.SINGLE(ChartLines.NumInstances), IF("USD"=_xlfn.SINGLE(ChartLines.ID), "SoleBig", "SoleOrdinary"),   1=_xlfn.SINGLE(ChartLines.InstanceNum), "Outer",   TRUE, "Inner")</f>
        <v>SoleOrdinary</v>
      </c>
      <c r="H80">
        <f t="shared" ref="H80:H82" si="162" xml:space="preserve"> IF(LEN(ChartLines.Hex6)=6, HEX2DEC(LEFT(ChartLines.Hex6, 2)), "·")</f>
        <v>0</v>
      </c>
      <c r="I80">
        <f t="shared" ref="I80:I82" si="163" xml:space="preserve"> IF(LEN(ChartLines.Hex6)=6, HEX2DEC(MID(ChartLines.Hex6, 3, 2)), "·")</f>
        <v>47</v>
      </c>
      <c r="J80">
        <f t="shared" ref="J80:J82" si="164" xml:space="preserve"> IF(LEN(ChartLines.Hex6)=6, HEX2DEC(RIGHT(ChartLines.Hex6, 2)), "·")</f>
        <v>108</v>
      </c>
      <c r="K80" cm="1">
        <f t="array" ref="K80" xml:space="preserve"> 1 + ROW() - _xlfn.SINGLE(ROW(ChartLines.RowNum))</f>
        <v>78</v>
      </c>
    </row>
    <row r="81" spans="2:11">
      <c r="B81" t="s">
        <v>1835</v>
      </c>
      <c r="E81" t="str">
        <f t="shared" ref="E81:E83" si="165" xml:space="preserve"> IF(AND(LEN(ChartLines.ID)&gt;0,"Unused"&lt;&gt;ChartLines.ID), COUNTIFS(ChartLines.ID,ChartLines.ID), "·")</f>
        <v>·</v>
      </c>
      <c r="F81" t="str">
        <f t="shared" ref="F81:F83" si="166" xml:space="preserve"> IF(AND(LEN(ChartLines.ID)&gt;0,"Unused"&lt;&gt;ChartLines.ID), COUNTIFS(ChartLines.ID,ChartLines.ID,   ChartLines.RowNum,"&lt;="&amp;ChartLines.RowNum), "·")</f>
        <v>·</v>
      </c>
      <c r="G81" t="str" cm="1">
        <f t="array" ref="G81" xml:space="preserve"> _xlfn.IFS(OR(LEN(_xlfn.SINGLE(ChartLines.ID))=0,"Unused"=_xlfn.SINGLE(ChartLines.ID)), "·",   1=_xlfn.SINGLE(ChartLines.NumInstances), IF("USD"=_xlfn.SINGLE(ChartLines.ID), "SoleBig", "SoleOrdinary"),   1=_xlfn.SINGLE(ChartLines.InstanceNum), "Outer",   TRUE, "Inner")</f>
        <v>·</v>
      </c>
      <c r="H81" t="str">
        <f t="shared" ref="H81:H83" si="167" xml:space="preserve"> IF(LEN(ChartLines.Hex6)=6, HEX2DEC(LEFT(ChartLines.Hex6, 2)), "·")</f>
        <v>·</v>
      </c>
      <c r="I81" t="str">
        <f t="shared" ref="I81:I83" si="168" xml:space="preserve"> IF(LEN(ChartLines.Hex6)=6, HEX2DEC(MID(ChartLines.Hex6, 3, 2)), "·")</f>
        <v>·</v>
      </c>
      <c r="J81" t="str">
        <f t="shared" ref="J81:J83" si="169" xml:space="preserve"> IF(LEN(ChartLines.Hex6)=6, HEX2DEC(RIGHT(ChartLines.Hex6, 2)), "·")</f>
        <v>·</v>
      </c>
      <c r="K81" cm="1">
        <f t="array" ref="K81" xml:space="preserve"> 1 + ROW() - _xlfn.SINGLE(ROW(ChartLines.RowNum))</f>
        <v>79</v>
      </c>
    </row>
    <row r="82" spans="2:11">
      <c r="B82" t="s">
        <v>2292</v>
      </c>
      <c r="C82" t="s">
        <v>1855</v>
      </c>
      <c r="E82">
        <f t="shared" si="160"/>
        <v>2</v>
      </c>
      <c r="F82">
        <f t="shared" si="161"/>
        <v>1</v>
      </c>
      <c r="G82" t="str" cm="1">
        <f t="array" ref="G82" xml:space="preserve"> _xlfn.IFS(OR(LEN(_xlfn.SINGLE(ChartLines.ID))=0,"Unused"=_xlfn.SINGLE(ChartLines.ID)), "·",   1=_xlfn.SINGLE(ChartLines.NumInstances), IF("USD"=_xlfn.SINGLE(ChartLines.ID), "SoleBig", "SoleOrdinary"),   1=_xlfn.SINGLE(ChartLines.InstanceNum), "Outer",   TRUE, "Inner")</f>
        <v>Outer</v>
      </c>
      <c r="H82">
        <f t="shared" si="162"/>
        <v>0</v>
      </c>
      <c r="I82">
        <f t="shared" si="163"/>
        <v>47</v>
      </c>
      <c r="J82">
        <f t="shared" si="164"/>
        <v>108</v>
      </c>
      <c r="K82" cm="1">
        <f t="array" ref="K82" xml:space="preserve"> 1 + ROW() - _xlfn.SINGLE(ROW(ChartLines.RowNum))</f>
        <v>80</v>
      </c>
    </row>
    <row r="83" spans="2:11">
      <c r="B83" t="s">
        <v>2292</v>
      </c>
      <c r="C83" t="str">
        <f xml:space="preserve"> "66CC66"</f>
        <v>66CC66</v>
      </c>
      <c r="E83">
        <f t="shared" si="165"/>
        <v>2</v>
      </c>
      <c r="F83">
        <f t="shared" si="166"/>
        <v>2</v>
      </c>
      <c r="G83" t="str" cm="1">
        <f t="array" ref="G83" xml:space="preserve"> _xlfn.IFS(OR(LEN(_xlfn.SINGLE(ChartLines.ID))=0,"Unused"=_xlfn.SINGLE(ChartLines.ID)), "·",   1=_xlfn.SINGLE(ChartLines.NumInstances), IF("USD"=_xlfn.SINGLE(ChartLines.ID), "SoleBig", "SoleOrdinary"),   1=_xlfn.SINGLE(ChartLines.InstanceNum), "Outer",   TRUE, "Inner")</f>
        <v>Inner</v>
      </c>
      <c r="H83">
        <f t="shared" si="167"/>
        <v>102</v>
      </c>
      <c r="I83">
        <f t="shared" si="168"/>
        <v>204</v>
      </c>
      <c r="J83">
        <f t="shared" si="169"/>
        <v>102</v>
      </c>
      <c r="K83" cm="1">
        <f t="array" ref="K83" xml:space="preserve"> 1 + ROW() - _xlfn.SINGLE(ROW(ChartLines.RowNum))</f>
        <v>81</v>
      </c>
    </row>
    <row r="84" spans="2:11">
      <c r="B84" t="s">
        <v>171</v>
      </c>
      <c r="C84" t="s">
        <v>1856</v>
      </c>
      <c r="E84">
        <f t="shared" ref="E84:E86" si="170" xml:space="preserve"> IF(AND(LEN(ChartLines.ID)&gt;0,"Unused"&lt;&gt;ChartLines.ID), COUNTIFS(ChartLines.ID,ChartLines.ID), "·")</f>
        <v>2</v>
      </c>
      <c r="F84">
        <f t="shared" ref="F84:F86" si="171" xml:space="preserve"> IF(AND(LEN(ChartLines.ID)&gt;0,"Unused"&lt;&gt;ChartLines.ID), COUNTIFS(ChartLines.ID,ChartLines.ID,   ChartLines.RowNum,"&lt;="&amp;ChartLines.RowNum), "·")</f>
        <v>1</v>
      </c>
      <c r="G84" t="str" cm="1">
        <f t="array" ref="G84" xml:space="preserve"> _xlfn.IFS(OR(LEN(_xlfn.SINGLE(ChartLines.ID))=0,"Unused"=_xlfn.SINGLE(ChartLines.ID)), "·",   1=_xlfn.SINGLE(ChartLines.NumInstances), IF("USD"=_xlfn.SINGLE(ChartLines.ID), "SoleBig", "SoleOrdinary"),   1=_xlfn.SINGLE(ChartLines.InstanceNum), "Outer",   TRUE, "Inner")</f>
        <v>Outer</v>
      </c>
      <c r="H84">
        <f t="shared" ref="H84:H86" si="172" xml:space="preserve"> IF(LEN(ChartLines.Hex6)=6, HEX2DEC(LEFT(ChartLines.Hex6, 2)), "·")</f>
        <v>0</v>
      </c>
      <c r="I84">
        <f t="shared" ref="I84:I86" si="173" xml:space="preserve"> IF(LEN(ChartLines.Hex6)=6, HEX2DEC(MID(ChartLines.Hex6, 3, 2)), "·")</f>
        <v>76</v>
      </c>
      <c r="J84">
        <f t="shared" ref="J84:J86" si="174" xml:space="preserve"> IF(LEN(ChartLines.Hex6)=6, HEX2DEC(RIGHT(ChartLines.Hex6, 2)), "·")</f>
        <v>152</v>
      </c>
      <c r="K84" cm="1">
        <f t="array" ref="K84" xml:space="preserve"> 1 + ROW() - _xlfn.SINGLE(ROW(ChartLines.RowNum))</f>
        <v>82</v>
      </c>
    </row>
    <row r="85" spans="2:11">
      <c r="B85" t="s">
        <v>171</v>
      </c>
      <c r="C85" t="s">
        <v>1839</v>
      </c>
      <c r="E85">
        <f t="shared" ref="E85:E87" si="175" xml:space="preserve"> IF(AND(LEN(ChartLines.ID)&gt;0,"Unused"&lt;&gt;ChartLines.ID), COUNTIFS(ChartLines.ID,ChartLines.ID), "·")</f>
        <v>2</v>
      </c>
      <c r="F85">
        <f t="shared" ref="F85:F87" si="176" xml:space="preserve"> IF(AND(LEN(ChartLines.ID)&gt;0,"Unused"&lt;&gt;ChartLines.ID), COUNTIFS(ChartLines.ID,ChartLines.ID,   ChartLines.RowNum,"&lt;="&amp;ChartLines.RowNum), "·")</f>
        <v>2</v>
      </c>
      <c r="G85" t="str" cm="1">
        <f t="array" ref="G85" xml:space="preserve"> _xlfn.IFS(OR(LEN(_xlfn.SINGLE(ChartLines.ID))=0,"Unused"=_xlfn.SINGLE(ChartLines.ID)), "·",   1=_xlfn.SINGLE(ChartLines.NumInstances), IF("USD"=_xlfn.SINGLE(ChartLines.ID), "SoleBig", "SoleOrdinary"),   1=_xlfn.SINGLE(ChartLines.InstanceNum), "Outer",   TRUE, "Inner")</f>
        <v>Inner</v>
      </c>
      <c r="H85">
        <f t="shared" ref="H85:H87" si="177" xml:space="preserve"> IF(LEN(ChartLines.Hex6)=6, HEX2DEC(LEFT(ChartLines.Hex6, 2)), "·")</f>
        <v>255</v>
      </c>
      <c r="I85">
        <f t="shared" ref="I85:I87" si="178" xml:space="preserve"> IF(LEN(ChartLines.Hex6)=6, HEX2DEC(MID(ChartLines.Hex6, 3, 2)), "·")</f>
        <v>255</v>
      </c>
      <c r="J85">
        <f t="shared" ref="J85:J87" si="179" xml:space="preserve"> IF(LEN(ChartLines.Hex6)=6, HEX2DEC(RIGHT(ChartLines.Hex6, 2)), "·")</f>
        <v>255</v>
      </c>
      <c r="K85" cm="1">
        <f t="array" ref="K85" xml:space="preserve"> 1 + ROW() - _xlfn.SINGLE(ROW(ChartLines.RowNum))</f>
        <v>83</v>
      </c>
    </row>
    <row r="86" spans="2:11">
      <c r="B86" t="s">
        <v>2296</v>
      </c>
      <c r="C86" t="s">
        <v>1856</v>
      </c>
      <c r="E86">
        <f t="shared" si="170"/>
        <v>2</v>
      </c>
      <c r="F86">
        <f t="shared" si="171"/>
        <v>1</v>
      </c>
      <c r="G86" t="str" cm="1">
        <f t="array" ref="G86" xml:space="preserve"> _xlfn.IFS(OR(LEN(_xlfn.SINGLE(ChartLines.ID))=0,"Unused"=_xlfn.SINGLE(ChartLines.ID)), "·",   1=_xlfn.SINGLE(ChartLines.NumInstances), IF("USD"=_xlfn.SINGLE(ChartLines.ID), "SoleBig", "SoleOrdinary"),   1=_xlfn.SINGLE(ChartLines.InstanceNum), "Outer",   TRUE, "Inner")</f>
        <v>Outer</v>
      </c>
      <c r="H86">
        <f t="shared" si="172"/>
        <v>0</v>
      </c>
      <c r="I86">
        <f t="shared" si="173"/>
        <v>76</v>
      </c>
      <c r="J86">
        <f t="shared" si="174"/>
        <v>152</v>
      </c>
      <c r="K86" cm="1">
        <f t="array" ref="K86" xml:space="preserve"> 1 + ROW() - _xlfn.SINGLE(ROW(ChartLines.RowNum))</f>
        <v>84</v>
      </c>
    </row>
    <row r="87" spans="2:11">
      <c r="B87" t="s">
        <v>2296</v>
      </c>
      <c r="C87" t="str">
        <f xml:space="preserve"> "00FF00"</f>
        <v>00FF00</v>
      </c>
      <c r="E87">
        <f t="shared" si="175"/>
        <v>2</v>
      </c>
      <c r="F87">
        <f t="shared" si="176"/>
        <v>2</v>
      </c>
      <c r="G87" t="str" cm="1">
        <f t="array" ref="G87" xml:space="preserve"> _xlfn.IFS(OR(LEN(_xlfn.SINGLE(ChartLines.ID))=0,"Unused"=_xlfn.SINGLE(ChartLines.ID)), "·",   1=_xlfn.SINGLE(ChartLines.NumInstances), IF("USD"=_xlfn.SINGLE(ChartLines.ID), "SoleBig", "SoleOrdinary"),   1=_xlfn.SINGLE(ChartLines.InstanceNum), "Outer",   TRUE, "Inner")</f>
        <v>Inner</v>
      </c>
      <c r="H87">
        <f t="shared" si="177"/>
        <v>0</v>
      </c>
      <c r="I87">
        <f t="shared" si="178"/>
        <v>255</v>
      </c>
      <c r="J87">
        <f t="shared" si="179"/>
        <v>0</v>
      </c>
      <c r="K87" cm="1">
        <f t="array" ref="K87" xml:space="preserve"> 1 + ROW() - _xlfn.SINGLE(ROW(ChartLines.RowNum))</f>
        <v>85</v>
      </c>
    </row>
    <row r="88" spans="2:11">
      <c r="B88" t="s">
        <v>103</v>
      </c>
      <c r="C88" t="s">
        <v>1857</v>
      </c>
      <c r="E88">
        <f t="shared" ref="E88:E90" si="180" xml:space="preserve"> IF(AND(LEN(ChartLines.ID)&gt;0,"Unused"&lt;&gt;ChartLines.ID), COUNTIFS(ChartLines.ID,ChartLines.ID), "·")</f>
        <v>1</v>
      </c>
      <c r="F88">
        <f t="shared" ref="F88:F90" si="181" xml:space="preserve"> IF(AND(LEN(ChartLines.ID)&gt;0,"Unused"&lt;&gt;ChartLines.ID), COUNTIFS(ChartLines.ID,ChartLines.ID,   ChartLines.RowNum,"&lt;="&amp;ChartLines.RowNum), "·")</f>
        <v>1</v>
      </c>
      <c r="G88" t="str" cm="1">
        <f t="array" ref="G88" xml:space="preserve"> _xlfn.IFS(OR(LEN(_xlfn.SINGLE(ChartLines.ID))=0,"Unused"=_xlfn.SINGLE(ChartLines.ID)), "·",   1=_xlfn.SINGLE(ChartLines.NumInstances), IF("USD"=_xlfn.SINGLE(ChartLines.ID), "SoleBig", "SoleOrdinary"),   1=_xlfn.SINGLE(ChartLines.InstanceNum), "Outer",   TRUE, "Inner")</f>
        <v>SoleOrdinary</v>
      </c>
      <c r="H88">
        <f t="shared" ref="H88:H90" si="182" xml:space="preserve"> IF(LEN(ChartLines.Hex6)=6, HEX2DEC(LEFT(ChartLines.Hex6, 2)), "·")</f>
        <v>218</v>
      </c>
      <c r="I88">
        <f t="shared" ref="I88:I90" si="183" xml:space="preserve"> IF(LEN(ChartLines.Hex6)=6, HEX2DEC(MID(ChartLines.Hex6, 3, 2)), "·")</f>
        <v>41</v>
      </c>
      <c r="J88">
        <f t="shared" ref="J88:J90" si="184" xml:space="preserve"> IF(LEN(ChartLines.Hex6)=6, HEX2DEC(RIGHT(ChartLines.Hex6, 2)), "·")</f>
        <v>28</v>
      </c>
      <c r="K88" cm="1">
        <f t="array" ref="K88" xml:space="preserve"> 1 + ROW() - _xlfn.SINGLE(ROW(ChartLines.RowNum))</f>
        <v>86</v>
      </c>
    </row>
    <row r="89" spans="2:11">
      <c r="B89" t="s">
        <v>1835</v>
      </c>
      <c r="E89" t="str">
        <f t="shared" ref="E89:E91" si="185" xml:space="preserve"> IF(AND(LEN(ChartLines.ID)&gt;0,"Unused"&lt;&gt;ChartLines.ID), COUNTIFS(ChartLines.ID,ChartLines.ID), "·")</f>
        <v>·</v>
      </c>
      <c r="F89" t="str">
        <f t="shared" ref="F89:F91" si="186" xml:space="preserve"> IF(AND(LEN(ChartLines.ID)&gt;0,"Unused"&lt;&gt;ChartLines.ID), COUNTIFS(ChartLines.ID,ChartLines.ID,   ChartLines.RowNum,"&lt;="&amp;ChartLines.RowNum), "·")</f>
        <v>·</v>
      </c>
      <c r="G89" t="str" cm="1">
        <f t="array" ref="G89" xml:space="preserve"> _xlfn.IFS(OR(LEN(_xlfn.SINGLE(ChartLines.ID))=0,"Unused"=_xlfn.SINGLE(ChartLines.ID)), "·",   1=_xlfn.SINGLE(ChartLines.NumInstances), IF("USD"=_xlfn.SINGLE(ChartLines.ID), "SoleBig", "SoleOrdinary"),   1=_xlfn.SINGLE(ChartLines.InstanceNum), "Outer",   TRUE, "Inner")</f>
        <v>·</v>
      </c>
      <c r="H89" t="str">
        <f t="shared" ref="H89:H91" si="187" xml:space="preserve"> IF(LEN(ChartLines.Hex6)=6, HEX2DEC(LEFT(ChartLines.Hex6, 2)), "·")</f>
        <v>·</v>
      </c>
      <c r="I89" t="str">
        <f t="shared" ref="I89:I91" si="188" xml:space="preserve"> IF(LEN(ChartLines.Hex6)=6, HEX2DEC(MID(ChartLines.Hex6, 3, 2)), "·")</f>
        <v>·</v>
      </c>
      <c r="J89" t="str">
        <f t="shared" ref="J89:J91" si="189" xml:space="preserve"> IF(LEN(ChartLines.Hex6)=6, HEX2DEC(RIGHT(ChartLines.Hex6, 2)), "·")</f>
        <v>·</v>
      </c>
      <c r="K89" cm="1">
        <f t="array" ref="K89" xml:space="preserve"> 1 + ROW() - _xlfn.SINGLE(ROW(ChartLines.RowNum))</f>
        <v>87</v>
      </c>
    </row>
    <row r="90" spans="2:11">
      <c r="B90" t="s">
        <v>2297</v>
      </c>
      <c r="C90" t="s">
        <v>1857</v>
      </c>
      <c r="E90">
        <f t="shared" si="180"/>
        <v>2</v>
      </c>
      <c r="F90">
        <f t="shared" si="181"/>
        <v>1</v>
      </c>
      <c r="G90" t="str" cm="1">
        <f t="array" ref="G90" xml:space="preserve"> _xlfn.IFS(OR(LEN(_xlfn.SINGLE(ChartLines.ID))=0,"Unused"=_xlfn.SINGLE(ChartLines.ID)), "·",   1=_xlfn.SINGLE(ChartLines.NumInstances), IF("USD"=_xlfn.SINGLE(ChartLines.ID), "SoleBig", "SoleOrdinary"),   1=_xlfn.SINGLE(ChartLines.InstanceNum), "Outer",   TRUE, "Inner")</f>
        <v>Outer</v>
      </c>
      <c r="H90">
        <f t="shared" si="182"/>
        <v>218</v>
      </c>
      <c r="I90">
        <f t="shared" si="183"/>
        <v>41</v>
      </c>
      <c r="J90">
        <f t="shared" si="184"/>
        <v>28</v>
      </c>
      <c r="K90" cm="1">
        <f t="array" ref="K90" xml:space="preserve"> 1 + ROW() - _xlfn.SINGLE(ROW(ChartLines.RowNum))</f>
        <v>88</v>
      </c>
    </row>
    <row r="91" spans="2:11">
      <c r="B91" t="s">
        <v>2297</v>
      </c>
      <c r="C91" t="str">
        <f xml:space="preserve"> "00FF00"</f>
        <v>00FF00</v>
      </c>
      <c r="E91">
        <f t="shared" si="185"/>
        <v>2</v>
      </c>
      <c r="F91">
        <f t="shared" si="186"/>
        <v>2</v>
      </c>
      <c r="G91" t="str" cm="1">
        <f t="array" ref="G91" xml:space="preserve"> _xlfn.IFS(OR(LEN(_xlfn.SINGLE(ChartLines.ID))=0,"Unused"=_xlfn.SINGLE(ChartLines.ID)), "·",   1=_xlfn.SINGLE(ChartLines.NumInstances), IF("USD"=_xlfn.SINGLE(ChartLines.ID), "SoleBig", "SoleOrdinary"),   1=_xlfn.SINGLE(ChartLines.InstanceNum), "Outer",   TRUE, "Inner")</f>
        <v>Inner</v>
      </c>
      <c r="H91">
        <f t="shared" si="187"/>
        <v>0</v>
      </c>
      <c r="I91">
        <f t="shared" si="188"/>
        <v>255</v>
      </c>
      <c r="J91">
        <f t="shared" si="189"/>
        <v>0</v>
      </c>
      <c r="K91" cm="1">
        <f t="array" ref="K91" xml:space="preserve"> 1 + ROW() - _xlfn.SINGLE(ROW(ChartLines.RowNum))</f>
        <v>89</v>
      </c>
    </row>
    <row r="92" spans="2:11">
      <c r="B92" t="s">
        <v>675</v>
      </c>
      <c r="C92" t="s">
        <v>1858</v>
      </c>
      <c r="E92">
        <f t="shared" ref="E92:E94" si="190" xml:space="preserve"> IF(AND(LEN(ChartLines.ID)&gt;0,"Unused"&lt;&gt;ChartLines.ID), COUNTIFS(ChartLines.ID,ChartLines.ID), "·")</f>
        <v>2</v>
      </c>
      <c r="F92">
        <f t="shared" ref="F92:F94" si="191" xml:space="preserve"> IF(AND(LEN(ChartLines.ID)&gt;0,"Unused"&lt;&gt;ChartLines.ID), COUNTIFS(ChartLines.ID,ChartLines.ID,   ChartLines.RowNum,"&lt;="&amp;ChartLines.RowNum), "·")</f>
        <v>1</v>
      </c>
      <c r="G92" t="str" cm="1">
        <f t="array" ref="G92" xml:space="preserve"> _xlfn.IFS(OR(LEN(_xlfn.SINGLE(ChartLines.ID))=0,"Unused"=_xlfn.SINGLE(ChartLines.ID)), "·",   1=_xlfn.SINGLE(ChartLines.NumInstances), IF("USD"=_xlfn.SINGLE(ChartLines.ID), "SoleBig", "SoleOrdinary"),   1=_xlfn.SINGLE(ChartLines.InstanceNum), "Outer",   TRUE, "Inner")</f>
        <v>Outer</v>
      </c>
      <c r="H92">
        <f t="shared" ref="H92:H94" si="192" xml:space="preserve"> IF(LEN(ChartLines.Hex6)=6, HEX2DEC(LEFT(ChartLines.Hex6, 2)), "·")</f>
        <v>255</v>
      </c>
      <c r="I92">
        <f t="shared" ref="I92:I94" si="193" xml:space="preserve"> IF(LEN(ChartLines.Hex6)=6, HEX2DEC(MID(ChartLines.Hex6, 3, 2)), "·")</f>
        <v>136</v>
      </c>
      <c r="J92">
        <f t="shared" ref="J92:J94" si="194" xml:space="preserve"> IF(LEN(ChartLines.Hex6)=6, HEX2DEC(RIGHT(ChartLines.Hex6, 2)), "·")</f>
        <v>62</v>
      </c>
      <c r="K92" cm="1">
        <f t="array" ref="K92" xml:space="preserve"> 1 + ROW() - _xlfn.SINGLE(ROW(ChartLines.RowNum))</f>
        <v>90</v>
      </c>
    </row>
    <row r="93" spans="2:11">
      <c r="B93" t="s">
        <v>675</v>
      </c>
      <c r="C93" t="s">
        <v>1859</v>
      </c>
      <c r="E93">
        <f t="shared" ref="E93:E95" si="195" xml:space="preserve"> IF(AND(LEN(ChartLines.ID)&gt;0,"Unused"&lt;&gt;ChartLines.ID), COUNTIFS(ChartLines.ID,ChartLines.ID), "·")</f>
        <v>2</v>
      </c>
      <c r="F93">
        <f t="shared" ref="F93:F95" si="196" xml:space="preserve"> IF(AND(LEN(ChartLines.ID)&gt;0,"Unused"&lt;&gt;ChartLines.ID), COUNTIFS(ChartLines.ID,ChartLines.ID,   ChartLines.RowNum,"&lt;="&amp;ChartLines.RowNum), "·")</f>
        <v>2</v>
      </c>
      <c r="G93" t="str" cm="1">
        <f t="array" ref="G93" xml:space="preserve"> _xlfn.IFS(OR(LEN(_xlfn.SINGLE(ChartLines.ID))=0,"Unused"=_xlfn.SINGLE(ChartLines.ID)), "·",   1=_xlfn.SINGLE(ChartLines.NumInstances), IF("USD"=_xlfn.SINGLE(ChartLines.ID), "SoleBig", "SoleOrdinary"),   1=_xlfn.SINGLE(ChartLines.InstanceNum), "Outer",   TRUE, "Inner")</f>
        <v>Inner</v>
      </c>
      <c r="H93">
        <f t="shared" ref="H93:H95" si="197" xml:space="preserve"> IF(LEN(ChartLines.Hex6)=6, HEX2DEC(LEFT(ChartLines.Hex6, 2)), "·")</f>
        <v>22</v>
      </c>
      <c r="I93">
        <f t="shared" ref="I93:I95" si="198" xml:space="preserve"> IF(LEN(ChartLines.Hex6)=6, HEX2DEC(MID(ChartLines.Hex6, 3, 2)), "·")</f>
        <v>155</v>
      </c>
      <c r="J93">
        <f t="shared" ref="J93:J95" si="199" xml:space="preserve"> IF(LEN(ChartLines.Hex6)=6, HEX2DEC(RIGHT(ChartLines.Hex6, 2)), "·")</f>
        <v>98</v>
      </c>
      <c r="K93" cm="1">
        <f t="array" ref="K93" xml:space="preserve"> 1 + ROW() - _xlfn.SINGLE(ROW(ChartLines.RowNum))</f>
        <v>91</v>
      </c>
    </row>
    <row r="94" spans="2:11">
      <c r="B94" t="s">
        <v>2298</v>
      </c>
      <c r="C94" t="s">
        <v>1859</v>
      </c>
      <c r="E94">
        <f t="shared" si="190"/>
        <v>2</v>
      </c>
      <c r="F94">
        <f t="shared" si="191"/>
        <v>1</v>
      </c>
      <c r="G94" t="str" cm="1">
        <f t="array" ref="G94" xml:space="preserve"> _xlfn.IFS(OR(LEN(_xlfn.SINGLE(ChartLines.ID))=0,"Unused"=_xlfn.SINGLE(ChartLines.ID)), "·",   1=_xlfn.SINGLE(ChartLines.NumInstances), IF("USD"=_xlfn.SINGLE(ChartLines.ID), "SoleBig", "SoleOrdinary"),   1=_xlfn.SINGLE(ChartLines.InstanceNum), "Outer",   TRUE, "Inner")</f>
        <v>Outer</v>
      </c>
      <c r="H94">
        <f t="shared" si="192"/>
        <v>22</v>
      </c>
      <c r="I94">
        <f t="shared" si="193"/>
        <v>155</v>
      </c>
      <c r="J94">
        <f t="shared" si="194"/>
        <v>98</v>
      </c>
      <c r="K94" cm="1">
        <f t="array" ref="K94" xml:space="preserve"> 1 + ROW() - _xlfn.SINGLE(ROW(ChartLines.RowNum))</f>
        <v>92</v>
      </c>
    </row>
    <row r="95" spans="2:11">
      <c r="B95" t="s">
        <v>2298</v>
      </c>
      <c r="C95" t="s">
        <v>1858</v>
      </c>
      <c r="E95">
        <f t="shared" si="195"/>
        <v>2</v>
      </c>
      <c r="F95">
        <f t="shared" si="196"/>
        <v>2</v>
      </c>
      <c r="G95" t="str" cm="1">
        <f t="array" ref="G95" xml:space="preserve"> _xlfn.IFS(OR(LEN(_xlfn.SINGLE(ChartLines.ID))=0,"Unused"=_xlfn.SINGLE(ChartLines.ID)), "·",   1=_xlfn.SINGLE(ChartLines.NumInstances), IF("USD"=_xlfn.SINGLE(ChartLines.ID), "SoleBig", "SoleOrdinary"),   1=_xlfn.SINGLE(ChartLines.InstanceNum), "Outer",   TRUE, "Inner")</f>
        <v>Inner</v>
      </c>
      <c r="H95">
        <f t="shared" si="197"/>
        <v>255</v>
      </c>
      <c r="I95">
        <f t="shared" si="198"/>
        <v>136</v>
      </c>
      <c r="J95">
        <f t="shared" si="199"/>
        <v>62</v>
      </c>
      <c r="K95" cm="1">
        <f t="array" ref="K95" xml:space="preserve"> 1 + ROW() - _xlfn.SINGLE(ROW(ChartLines.RowNum))</f>
        <v>93</v>
      </c>
    </row>
    <row r="96" spans="2:11">
      <c r="B96" t="s">
        <v>358</v>
      </c>
      <c r="C96" t="s">
        <v>1837</v>
      </c>
      <c r="E96">
        <f t="shared" ref="E96:E98" si="200" xml:space="preserve"> IF(AND(LEN(ChartLines.ID)&gt;0,"Unused"&lt;&gt;ChartLines.ID), COUNTIFS(ChartLines.ID,ChartLines.ID), "·")</f>
        <v>2</v>
      </c>
      <c r="F96">
        <f t="shared" ref="F96:F98" si="201" xml:space="preserve"> IF(AND(LEN(ChartLines.ID)&gt;0,"Unused"&lt;&gt;ChartLines.ID), COUNTIFS(ChartLines.ID,ChartLines.ID,   ChartLines.RowNum,"&lt;="&amp;ChartLines.RowNum), "·")</f>
        <v>1</v>
      </c>
      <c r="G96" t="str" cm="1">
        <f t="array" ref="G96" xml:space="preserve"> _xlfn.IFS(OR(LEN(_xlfn.SINGLE(ChartLines.ID))=0,"Unused"=_xlfn.SINGLE(ChartLines.ID)), "·",   1=_xlfn.SINGLE(ChartLines.NumInstances), IF("USD"=_xlfn.SINGLE(ChartLines.ID), "SoleBig", "SoleOrdinary"),   1=_xlfn.SINGLE(ChartLines.InstanceNum), "Outer",   TRUE, "Inner")</f>
        <v>Outer</v>
      </c>
      <c r="H96">
        <f t="shared" ref="H96:H98" si="202" xml:space="preserve"> IF(LEN(ChartLines.Hex6)=6, HEX2DEC(LEFT(ChartLines.Hex6, 2)), "·")</f>
        <v>239</v>
      </c>
      <c r="I96">
        <f t="shared" ref="I96:I98" si="203" xml:space="preserve"> IF(LEN(ChartLines.Hex6)=6, HEX2DEC(MID(ChartLines.Hex6, 3, 2)), "·")</f>
        <v>51</v>
      </c>
      <c r="J96">
        <f t="shared" ref="J96:J98" si="204" xml:space="preserve"> IF(LEN(ChartLines.Hex6)=6, HEX2DEC(RIGHT(ChartLines.Hex6, 2)), "·")</f>
        <v>64</v>
      </c>
      <c r="K96" cm="1">
        <f t="array" ref="K96" xml:space="preserve"> 1 + ROW() - _xlfn.SINGLE(ROW(ChartLines.RowNum))</f>
        <v>94</v>
      </c>
    </row>
    <row r="97" spans="2:11">
      <c r="B97" t="s">
        <v>358</v>
      </c>
      <c r="C97" t="s">
        <v>1860</v>
      </c>
      <c r="E97">
        <f t="shared" ref="E97:E99" si="205" xml:space="preserve"> IF(AND(LEN(ChartLines.ID)&gt;0,"Unused"&lt;&gt;ChartLines.ID), COUNTIFS(ChartLines.ID,ChartLines.ID), "·")</f>
        <v>2</v>
      </c>
      <c r="F97">
        <f t="shared" ref="F97:F99" si="206" xml:space="preserve"> IF(AND(LEN(ChartLines.ID)&gt;0,"Unused"&lt;&gt;ChartLines.ID), COUNTIFS(ChartLines.ID,ChartLines.ID,   ChartLines.RowNum,"&lt;="&amp;ChartLines.RowNum), "·")</f>
        <v>2</v>
      </c>
      <c r="G97" t="str" cm="1">
        <f t="array" ref="G97" xml:space="preserve"> _xlfn.IFS(OR(LEN(_xlfn.SINGLE(ChartLines.ID))=0,"Unused"=_xlfn.SINGLE(ChartLines.ID)), "·",   1=_xlfn.SINGLE(ChartLines.NumInstances), IF("USD"=_xlfn.SINGLE(ChartLines.ID), "SoleBig", "SoleOrdinary"),   1=_xlfn.SINGLE(ChartLines.InstanceNum), "Outer",   TRUE, "Inner")</f>
        <v>Inner</v>
      </c>
      <c r="H97">
        <f t="shared" ref="H97:H99" si="207" xml:space="preserve"> IF(LEN(ChartLines.Hex6)=6, HEX2DEC(LEFT(ChartLines.Hex6, 2)), "·")</f>
        <v>3</v>
      </c>
      <c r="I97">
        <f t="shared" ref="I97:I99" si="208" xml:space="preserve"> IF(LEN(ChartLines.Hex6)=6, HEX2DEC(MID(ChartLines.Hex6, 3, 2)), "·")</f>
        <v>77</v>
      </c>
      <c r="J97">
        <f t="shared" ref="J97:J99" si="209" xml:space="preserve"> IF(LEN(ChartLines.Hex6)=6, HEX2DEC(RIGHT(ChartLines.Hex6, 2)), "·")</f>
        <v>163</v>
      </c>
      <c r="K97" cm="1">
        <f t="array" ref="K97" xml:space="preserve"> 1 + ROW() - _xlfn.SINGLE(ROW(ChartLines.RowNum))</f>
        <v>95</v>
      </c>
    </row>
    <row r="98" spans="2:11">
      <c r="B98" t="s">
        <v>2293</v>
      </c>
      <c r="C98" t="s">
        <v>1860</v>
      </c>
      <c r="E98">
        <f t="shared" si="200"/>
        <v>2</v>
      </c>
      <c r="F98">
        <f t="shared" si="201"/>
        <v>1</v>
      </c>
      <c r="G98" t="str" cm="1">
        <f t="array" ref="G98" xml:space="preserve"> _xlfn.IFS(OR(LEN(_xlfn.SINGLE(ChartLines.ID))=0,"Unused"=_xlfn.SINGLE(ChartLines.ID)), "·",   1=_xlfn.SINGLE(ChartLines.NumInstances), IF("USD"=_xlfn.SINGLE(ChartLines.ID), "SoleBig", "SoleOrdinary"),   1=_xlfn.SINGLE(ChartLines.InstanceNum), "Outer",   TRUE, "Inner")</f>
        <v>Outer</v>
      </c>
      <c r="H98">
        <f t="shared" si="202"/>
        <v>3</v>
      </c>
      <c r="I98">
        <f t="shared" si="203"/>
        <v>77</v>
      </c>
      <c r="J98">
        <f t="shared" si="204"/>
        <v>163</v>
      </c>
      <c r="K98" cm="1">
        <f t="array" ref="K98" xml:space="preserve"> 1 + ROW() - _xlfn.SINGLE(ROW(ChartLines.RowNum))</f>
        <v>96</v>
      </c>
    </row>
    <row r="99" spans="2:11">
      <c r="B99" t="s">
        <v>2293</v>
      </c>
      <c r="C99" t="s">
        <v>1837</v>
      </c>
      <c r="E99">
        <f t="shared" si="205"/>
        <v>2</v>
      </c>
      <c r="F99">
        <f t="shared" si="206"/>
        <v>2</v>
      </c>
      <c r="G99" t="str" cm="1">
        <f t="array" ref="G99" xml:space="preserve"> _xlfn.IFS(OR(LEN(_xlfn.SINGLE(ChartLines.ID))=0,"Unused"=_xlfn.SINGLE(ChartLines.ID)), "·",   1=_xlfn.SINGLE(ChartLines.NumInstances), IF("USD"=_xlfn.SINGLE(ChartLines.ID), "SoleBig", "SoleOrdinary"),   1=_xlfn.SINGLE(ChartLines.InstanceNum), "Outer",   TRUE, "Inner")</f>
        <v>Inner</v>
      </c>
      <c r="H99">
        <f t="shared" si="207"/>
        <v>239</v>
      </c>
      <c r="I99">
        <f t="shared" si="208"/>
        <v>51</v>
      </c>
      <c r="J99">
        <f t="shared" si="209"/>
        <v>64</v>
      </c>
      <c r="K99" cm="1">
        <f t="array" ref="K99" xml:space="preserve"> 1 + ROW() - _xlfn.SINGLE(ROW(ChartLines.RowNum))</f>
        <v>97</v>
      </c>
    </row>
    <row r="100" spans="2:11">
      <c r="B100" t="s">
        <v>614</v>
      </c>
      <c r="C100" t="s">
        <v>2162</v>
      </c>
      <c r="E100">
        <f t="shared" ref="E100" si="210" xml:space="preserve"> IF(AND(LEN(ChartLines.ID)&gt;0,"Unused"&lt;&gt;ChartLines.ID), COUNTIFS(ChartLines.ID,ChartLines.ID), "·")</f>
        <v>2</v>
      </c>
      <c r="F100">
        <f t="shared" ref="F100" si="211" xml:space="preserve"> IF(AND(LEN(ChartLines.ID)&gt;0,"Unused"&lt;&gt;ChartLines.ID), COUNTIFS(ChartLines.ID,ChartLines.ID,   ChartLines.RowNum,"&lt;="&amp;ChartLines.RowNum), "·")</f>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f t="shared" ref="H100" si="212" xml:space="preserve"> IF(LEN(ChartLines.Hex6)=6, HEX2DEC(LEFT(ChartLines.Hex6, 2)), "·")</f>
        <v>0</v>
      </c>
      <c r="I100">
        <f t="shared" ref="I100" si="213" xml:space="preserve"> IF(LEN(ChartLines.Hex6)=6, HEX2DEC(MID(ChartLines.Hex6, 3, 2)), "·")</f>
        <v>96</v>
      </c>
      <c r="J100">
        <f t="shared" ref="J100" si="214" xml:space="preserve"> IF(LEN(ChartLines.Hex6)=6, HEX2DEC(RIGHT(ChartLines.Hex6, 2)), "·")</f>
        <v>255</v>
      </c>
      <c r="K100" cm="1">
        <f t="array" ref="K100" xml:space="preserve"> 1 + ROW() - _xlfn.SINGLE(ROW(ChartLines.RowNum))</f>
        <v>98</v>
      </c>
    </row>
    <row r="101" spans="2:11">
      <c r="B101" t="s">
        <v>614</v>
      </c>
      <c r="C101" t="s">
        <v>1861</v>
      </c>
      <c r="E101">
        <f t="shared" ref="E101" si="215" xml:space="preserve"> IF(AND(LEN(ChartLines.ID)&gt;0,"Unused"&lt;&gt;ChartLines.ID), COUNTIFS(ChartLines.ID,ChartLines.ID), "·")</f>
        <v>2</v>
      </c>
      <c r="F101">
        <f t="shared" ref="F101" si="216" xml:space="preserve"> IF(AND(LEN(ChartLines.ID)&gt;0,"Unused"&lt;&gt;ChartLines.ID), COUNTIFS(ChartLines.ID,ChartLines.ID,   ChartLines.RowNum,"&lt;="&amp;ChartLines.RowNum), "·")</f>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f t="shared" ref="H101" si="217" xml:space="preserve"> IF(LEN(ChartLines.Hex6)=6, HEX2DEC(LEFT(ChartLines.Hex6, 2)), "·")</f>
        <v>255</v>
      </c>
      <c r="I101">
        <f t="shared" ref="I101" si="218" xml:space="preserve"> IF(LEN(ChartLines.Hex6)=6, HEX2DEC(MID(ChartLines.Hex6, 3, 2)), "·")</f>
        <v>230</v>
      </c>
      <c r="J101">
        <f t="shared" ref="J101" si="219" xml:space="preserve"> IF(LEN(ChartLines.Hex6)=6, HEX2DEC(RIGHT(ChartLines.Hex6, 2)), "·")</f>
        <v>0</v>
      </c>
      <c r="K101" cm="1">
        <f t="array" ref="K101" xml:space="preserve"> 1 + ROW() - _xlfn.SINGLE(ROW(ChartLines.RowNum))</f>
        <v>99</v>
      </c>
    </row>
    <row r="102" spans="2:11">
      <c r="B102" t="s">
        <v>104</v>
      </c>
      <c r="C102" t="s">
        <v>1862</v>
      </c>
      <c r="E102">
        <f t="shared" ref="E102" si="220" xml:space="preserve"> IF(AND(LEN(ChartLines.ID)&gt;0,"Unused"&lt;&gt;ChartLines.ID), COUNTIFS(ChartLines.ID,ChartLines.ID), "·")</f>
        <v>1</v>
      </c>
      <c r="F102">
        <f t="shared" ref="F102" si="221"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SoleOrdinary</v>
      </c>
      <c r="H102">
        <f t="shared" ref="H102" si="222" xml:space="preserve"> IF(LEN(ChartLines.Hex6)=6, HEX2DEC(LEFT(ChartLines.Hex6, 2)), "·")</f>
        <v>0</v>
      </c>
      <c r="I102">
        <f t="shared" ref="I102" si="223" xml:space="preserve"> IF(LEN(ChartLines.Hex6)=6, HEX2DEC(MID(ChartLines.Hex6, 3, 2)), "·")</f>
        <v>163</v>
      </c>
      <c r="J102">
        <f t="shared" ref="J102" si="224" xml:space="preserve"> IF(LEN(ChartLines.Hex6)=6, HEX2DEC(RIGHT(ChartLines.Hex6, 2)), "·")</f>
        <v>224</v>
      </c>
      <c r="K102" cm="1">
        <f t="array" ref="K102" xml:space="preserve"> 1 + ROW() - _xlfn.SINGLE(ROW(ChartLines.RowNum))</f>
        <v>100</v>
      </c>
    </row>
    <row r="103" spans="2:11">
      <c r="B103" t="s">
        <v>1835</v>
      </c>
      <c r="E103" t="str">
        <f t="shared" ref="E103" si="225" xml:space="preserve"> IF(AND(LEN(ChartLines.ID)&gt;0,"Unused"&lt;&gt;ChartLines.ID), COUNTIFS(ChartLines.ID,ChartLines.ID), "·")</f>
        <v>·</v>
      </c>
      <c r="F103" t="str">
        <f t="shared" ref="F103" si="226" xml:space="preserve"> IF(AND(LEN(ChartLines.ID)&gt;0,"Unused"&lt;&gt;ChartLines.ID), COUNTIFS(ChartLines.ID,ChartLines.ID,   ChartLines.RowNum,"&lt;="&amp;ChartLines.RowNum), "·")</f>
        <v>·</v>
      </c>
      <c r="G103" t="str" cm="1">
        <f t="array" ref="G103" xml:space="preserve"> _xlfn.IFS(OR(LEN(_xlfn.SINGLE(ChartLines.ID))=0,"Unused"=_xlfn.SINGLE(ChartLines.ID)), "·",   1=_xlfn.SINGLE(ChartLines.NumInstances), IF("USD"=_xlfn.SINGLE(ChartLines.ID), "SoleBig", "SoleOrdinary"),   1=_xlfn.SINGLE(ChartLines.InstanceNum), "Outer",   TRUE, "Inner")</f>
        <v>·</v>
      </c>
      <c r="H103" t="str">
        <f t="shared" ref="H103" si="227" xml:space="preserve"> IF(LEN(ChartLines.Hex6)=6, HEX2DEC(LEFT(ChartLines.Hex6, 2)), "·")</f>
        <v>·</v>
      </c>
      <c r="I103" t="str">
        <f t="shared" ref="I103" si="228" xml:space="preserve"> IF(LEN(ChartLines.Hex6)=6, HEX2DEC(MID(ChartLines.Hex6, 3, 2)), "·")</f>
        <v>·</v>
      </c>
      <c r="J103" t="str">
        <f t="shared" ref="J103" si="229" xml:space="preserve"> IF(LEN(ChartLines.Hex6)=6, HEX2DEC(RIGHT(ChartLines.Hex6, 2)), "·")</f>
        <v>·</v>
      </c>
      <c r="K103" cm="1">
        <f t="array" ref="K103" xml:space="preserve"> 1 + ROW() - _xlfn.SINGLE(ROW(ChartLines.RowNum))</f>
        <v>101</v>
      </c>
    </row>
    <row r="104" spans="2:11">
      <c r="B104" t="s">
        <v>1666</v>
      </c>
      <c r="C104" t="str">
        <f xml:space="preserve"> "000000"</f>
        <v>000000</v>
      </c>
      <c r="E104">
        <f t="shared" ref="E104" si="230" xml:space="preserve"> IF(AND(LEN(ChartLines.ID)&gt;0,"Unused"&lt;&gt;ChartLines.ID), COUNTIFS(ChartLines.ID,ChartLines.ID), "·")</f>
        <v>1</v>
      </c>
      <c r="F104">
        <f t="shared" ref="F104" si="231"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f t="shared" ref="H104" si="232" xml:space="preserve"> IF(LEN(ChartLines.Hex6)=6, HEX2DEC(LEFT(ChartLines.Hex6, 2)), "·")</f>
        <v>0</v>
      </c>
      <c r="I104">
        <f t="shared" ref="I104" si="233" xml:space="preserve"> IF(LEN(ChartLines.Hex6)=6, HEX2DEC(MID(ChartLines.Hex6, 3, 2)), "·")</f>
        <v>0</v>
      </c>
      <c r="J104">
        <f t="shared" ref="J104" si="234" xml:space="preserve"> IF(LEN(ChartLines.Hex6)=6, HEX2DEC(RIGHT(ChartLines.Hex6, 2)), "·")</f>
        <v>0</v>
      </c>
      <c r="K104" cm="1">
        <f t="array" ref="K104" xml:space="preserve"> 1 + ROW() - _xlfn.SINGLE(ROW(ChartLines.RowNum))</f>
        <v>102</v>
      </c>
    </row>
    <row r="105" spans="2:11">
      <c r="B105" t="s">
        <v>1835</v>
      </c>
      <c r="E105" t="str">
        <f t="shared" ref="E105" si="235" xml:space="preserve"> IF(AND(LEN(ChartLines.ID)&gt;0,"Unused"&lt;&gt;ChartLines.ID), COUNTIFS(ChartLines.ID,ChartLines.ID), "·")</f>
        <v>·</v>
      </c>
      <c r="F105" t="str">
        <f t="shared" ref="F105" si="236"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f t="shared" ref="H105" si="237" xml:space="preserve"> IF(LEN(ChartLines.Hex6)=6, HEX2DEC(LEFT(ChartLines.Hex6, 2)), "·")</f>
        <v>·</v>
      </c>
      <c r="I105" t="str">
        <f t="shared" ref="I105" si="238" xml:space="preserve"> IF(LEN(ChartLines.Hex6)=6, HEX2DEC(MID(ChartLines.Hex6, 3, 2)), "·")</f>
        <v>·</v>
      </c>
      <c r="J105" t="str">
        <f t="shared" ref="J105" si="239" xml:space="preserve"> IF(LEN(ChartLines.Hex6)=6, HEX2DEC(RIGHT(ChartLines.Hex6, 2)), "·")</f>
        <v>·</v>
      </c>
      <c r="K105" cm="1">
        <f t="array" ref="K105" xml:space="preserve"> 1 + ROW() - _xlfn.SINGLE(ROW(ChartLines.RowNum))</f>
        <v>103</v>
      </c>
    </row>
    <row r="106" spans="2:11">
      <c r="B106" t="s">
        <v>359</v>
      </c>
      <c r="C106" t="s">
        <v>1863</v>
      </c>
      <c r="E106">
        <f t="shared" ref="E106" si="240" xml:space="preserve"> IF(AND(LEN(ChartLines.ID)&gt;0,"Unused"&lt;&gt;ChartLines.ID), COUNTIFS(ChartLines.ID,ChartLines.ID), "·")</f>
        <v>2</v>
      </c>
      <c r="F106">
        <f t="shared" ref="F106" si="241"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Outer</v>
      </c>
      <c r="H106">
        <f t="shared" ref="H106" si="242" xml:space="preserve"> IF(LEN(ChartLines.Hex6)=6, HEX2DEC(LEFT(ChartLines.Hex6, 2)), "·")</f>
        <v>0</v>
      </c>
      <c r="I106">
        <f t="shared" ref="I106" si="243" xml:space="preserve"> IF(LEN(ChartLines.Hex6)=6, HEX2DEC(MID(ChartLines.Hex6, 3, 2)), "·")</f>
        <v>106</v>
      </c>
      <c r="J106">
        <f t="shared" ref="J106" si="244" xml:space="preserve"> IF(LEN(ChartLines.Hex6)=6, HEX2DEC(RIGHT(ChartLines.Hex6, 2)), "·")</f>
        <v>68</v>
      </c>
      <c r="K106" cm="1">
        <f t="array" ref="K106" xml:space="preserve"> 1 + ROW() - _xlfn.SINGLE(ROW(ChartLines.RowNum))</f>
        <v>104</v>
      </c>
    </row>
    <row r="107" spans="2:11">
      <c r="B107" t="s">
        <v>359</v>
      </c>
      <c r="C107" t="s">
        <v>1864</v>
      </c>
      <c r="E107">
        <f t="shared" ref="E107" si="245" xml:space="preserve"> IF(AND(LEN(ChartLines.ID)&gt;0,"Unused"&lt;&gt;ChartLines.ID), COUNTIFS(ChartLines.ID,ChartLines.ID), "·")</f>
        <v>2</v>
      </c>
      <c r="F107">
        <f t="shared" ref="F107" si="246" xml:space="preserve"> IF(AND(LEN(ChartLines.ID)&gt;0,"Unused"&lt;&gt;ChartLines.ID), COUNTIFS(ChartLines.ID,ChartLines.ID,   ChartLines.RowNum,"&lt;="&amp;ChartLines.RowNum), "·")</f>
        <v>2</v>
      </c>
      <c r="G107" t="str" cm="1">
        <f t="array" ref="G107" xml:space="preserve"> _xlfn.IFS(OR(LEN(_xlfn.SINGLE(ChartLines.ID))=0,"Unused"=_xlfn.SINGLE(ChartLines.ID)), "·",   1=_xlfn.SINGLE(ChartLines.NumInstances), IF("USD"=_xlfn.SINGLE(ChartLines.ID), "SoleBig", "SoleOrdinary"),   1=_xlfn.SINGLE(ChartLines.InstanceNum), "Outer",   TRUE, "Inner")</f>
        <v>Inner</v>
      </c>
      <c r="H107">
        <f t="shared" ref="H107" si="247" xml:space="preserve"> IF(LEN(ChartLines.Hex6)=6, HEX2DEC(LEFT(ChartLines.Hex6, 2)), "·")</f>
        <v>253</v>
      </c>
      <c r="I107">
        <f t="shared" ref="I107" si="248" xml:space="preserve"> IF(LEN(ChartLines.Hex6)=6, HEX2DEC(MID(ChartLines.Hex6, 3, 2)), "·")</f>
        <v>185</v>
      </c>
      <c r="J107">
        <f t="shared" ref="J107" si="249" xml:space="preserve"> IF(LEN(ChartLines.Hex6)=6, HEX2DEC(RIGHT(ChartLines.Hex6, 2)), "·")</f>
        <v>19</v>
      </c>
      <c r="K107" cm="1">
        <f t="array" ref="K107" xml:space="preserve"> 1 + ROW() - _xlfn.SINGLE(ROW(ChartLines.RowNum))</f>
        <v>105</v>
      </c>
    </row>
    <row r="108" spans="2:11">
      <c r="B108" t="s">
        <v>676</v>
      </c>
      <c r="C108" t="s">
        <v>1865</v>
      </c>
      <c r="E108">
        <f t="shared" ref="E108" si="250" xml:space="preserve"> IF(AND(LEN(ChartLines.ID)&gt;0,"Unused"&lt;&gt;ChartLines.ID), COUNTIFS(ChartLines.ID,ChartLines.ID), "·")</f>
        <v>2</v>
      </c>
      <c r="F108">
        <f t="shared" ref="F108" si="251"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f t="shared" ref="H108" si="252" xml:space="preserve"> IF(LEN(ChartLines.Hex6)=6, HEX2DEC(LEFT(ChartLines.Hex6, 2)), "·")</f>
        <v>157</v>
      </c>
      <c r="I108">
        <f t="shared" ref="I108" si="253" xml:space="preserve"> IF(LEN(ChartLines.Hex6)=6, HEX2DEC(MID(ChartLines.Hex6, 3, 2)), "·")</f>
        <v>34</v>
      </c>
      <c r="J108">
        <f t="shared" ref="J108" si="254" xml:space="preserve"> IF(LEN(ChartLines.Hex6)=6, HEX2DEC(RIGHT(ChartLines.Hex6, 2)), "·")</f>
        <v>53</v>
      </c>
      <c r="K108" cm="1">
        <f t="array" ref="K108" xml:space="preserve"> 1 + ROW() - _xlfn.SINGLE(ROW(ChartLines.RowNum))</f>
        <v>106</v>
      </c>
    </row>
    <row r="109" spans="2:11">
      <c r="B109" t="s">
        <v>676</v>
      </c>
      <c r="C109" t="s">
        <v>1839</v>
      </c>
      <c r="E109">
        <f t="shared" ref="E109" si="255" xml:space="preserve"> IF(AND(LEN(ChartLines.ID)&gt;0,"Unused"&lt;&gt;ChartLines.ID), COUNTIFS(ChartLines.ID,ChartLines.ID), "·")</f>
        <v>2</v>
      </c>
      <c r="F109">
        <f t="shared" ref="F109" si="256"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f t="shared" ref="H109" si="257" xml:space="preserve"> IF(LEN(ChartLines.Hex6)=6, HEX2DEC(LEFT(ChartLines.Hex6, 2)), "·")</f>
        <v>255</v>
      </c>
      <c r="I109">
        <f t="shared" ref="I109" si="258" xml:space="preserve"> IF(LEN(ChartLines.Hex6)=6, HEX2DEC(MID(ChartLines.Hex6, 3, 2)), "·")</f>
        <v>255</v>
      </c>
      <c r="J109">
        <f t="shared" ref="J109" si="259" xml:space="preserve"> IF(LEN(ChartLines.Hex6)=6, HEX2DEC(RIGHT(ChartLines.Hex6, 2)), "·")</f>
        <v>255</v>
      </c>
      <c r="K109" cm="1">
        <f t="array" ref="K109" xml:space="preserve"> 1 + ROW() - _xlfn.SINGLE(ROW(ChartLines.RowNum))</f>
        <v>107</v>
      </c>
    </row>
    <row r="110" spans="2:11">
      <c r="B110" t="s">
        <v>105</v>
      </c>
      <c r="C110" t="s">
        <v>1866</v>
      </c>
      <c r="E110">
        <f t="shared" ref="E110" si="260" xml:space="preserve"> IF(AND(LEN(ChartLines.ID)&gt;0,"Unused"&lt;&gt;ChartLines.ID), COUNTIFS(ChartLines.ID,ChartLines.ID), "·")</f>
        <v>2</v>
      </c>
      <c r="F110">
        <f t="shared" ref="F110" si="26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f t="shared" ref="H110" si="262" xml:space="preserve"> IF(LEN(ChartLines.Hex6)=6, HEX2DEC(LEFT(ChartLines.Hex6, 2)), "·")</f>
        <v>0</v>
      </c>
      <c r="I110">
        <f t="shared" ref="I110" si="263" xml:space="preserve"> IF(LEN(ChartLines.Hex6)=6, HEX2DEC(MID(ChartLines.Hex6, 3, 2)), "·")</f>
        <v>114</v>
      </c>
      <c r="J110">
        <f t="shared" ref="J110" si="264" xml:space="preserve"> IF(LEN(ChartLines.Hex6)=6, HEX2DEC(RIGHT(ChartLines.Hex6, 2)), "·")</f>
        <v>206</v>
      </c>
      <c r="K110" cm="1">
        <f t="array" ref="K110" xml:space="preserve"> 1 + ROW() - _xlfn.SINGLE(ROW(ChartLines.RowNum))</f>
        <v>108</v>
      </c>
    </row>
    <row r="111" spans="2:11">
      <c r="B111" t="s">
        <v>105</v>
      </c>
      <c r="C111" t="str">
        <f xml:space="preserve"> "000000"</f>
        <v>000000</v>
      </c>
      <c r="E111">
        <f t="shared" ref="E111" si="265" xml:space="preserve"> IF(AND(LEN(ChartLines.ID)&gt;0,"Unused"&lt;&gt;ChartLines.ID), COUNTIFS(ChartLines.ID,ChartLines.ID), "·")</f>
        <v>2</v>
      </c>
      <c r="F111">
        <f t="shared" ref="F111" si="266"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f t="shared" ref="H111" si="267" xml:space="preserve"> IF(LEN(ChartLines.Hex6)=6, HEX2DEC(LEFT(ChartLines.Hex6, 2)), "·")</f>
        <v>0</v>
      </c>
      <c r="I111">
        <f t="shared" ref="I111" si="268" xml:space="preserve"> IF(LEN(ChartLines.Hex6)=6, HEX2DEC(MID(ChartLines.Hex6, 3, 2)), "·")</f>
        <v>0</v>
      </c>
      <c r="J111">
        <f t="shared" ref="J111" si="269" xml:space="preserve"> IF(LEN(ChartLines.Hex6)=6, HEX2DEC(RIGHT(ChartLines.Hex6, 2)), "·")</f>
        <v>0</v>
      </c>
      <c r="K111" cm="1">
        <f t="array" ref="K111" xml:space="preserve"> 1 + ROW() - _xlfn.SINGLE(ROW(ChartLines.RowNum))</f>
        <v>109</v>
      </c>
    </row>
    <row r="112" spans="2:11">
      <c r="B112" t="s">
        <v>694</v>
      </c>
      <c r="C112" t="s">
        <v>1867</v>
      </c>
      <c r="E112">
        <f t="shared" ref="E112" si="270" xml:space="preserve"> IF(AND(LEN(ChartLines.ID)&gt;0,"Unused"&lt;&gt;ChartLines.ID), COUNTIFS(ChartLines.ID,ChartLines.ID), "·")</f>
        <v>2</v>
      </c>
      <c r="F112">
        <f t="shared" ref="F112" si="271"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f t="shared" ref="H112" si="272" xml:space="preserve"> IF(LEN(ChartLines.Hex6)=6, HEX2DEC(LEFT(ChartLines.Hex6, 2)), "·")</f>
        <v>213</v>
      </c>
      <c r="I112">
        <f t="shared" ref="I112" si="273" xml:space="preserve"> IF(LEN(ChartLines.Hex6)=6, HEX2DEC(MID(ChartLines.Hex6, 3, 2)), "·")</f>
        <v>120</v>
      </c>
      <c r="J112">
        <f t="shared" ref="J112" si="274" xml:space="preserve"> IF(LEN(ChartLines.Hex6)=6, HEX2DEC(RIGHT(ChartLines.Hex6, 2)), "·")</f>
        <v>0</v>
      </c>
      <c r="K112" cm="1">
        <f t="array" ref="K112" xml:space="preserve"> 1 + ROW() - _xlfn.SINGLE(ROW(ChartLines.RowNum))</f>
        <v>110</v>
      </c>
    </row>
    <row r="113" spans="2:11">
      <c r="B113" t="s">
        <v>694</v>
      </c>
      <c r="C113" t="s">
        <v>1868</v>
      </c>
      <c r="E113">
        <f t="shared" ref="E113" si="275" xml:space="preserve"> IF(AND(LEN(ChartLines.ID)&gt;0,"Unused"&lt;&gt;ChartLines.ID), COUNTIFS(ChartLines.ID,ChartLines.ID), "·")</f>
        <v>2</v>
      </c>
      <c r="F113">
        <f t="shared" ref="F113" si="276"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f t="shared" ref="H113" si="277" xml:space="preserve"> IF(LEN(ChartLines.Hex6)=6, HEX2DEC(LEFT(ChartLines.Hex6, 2)), "·")</f>
        <v>78</v>
      </c>
      <c r="I113">
        <f t="shared" ref="I113" si="278" xml:space="preserve"> IF(LEN(ChartLines.Hex6)=6, HEX2DEC(MID(ChartLines.Hex6, 3, 2)), "·")</f>
        <v>91</v>
      </c>
      <c r="J113">
        <f t="shared" ref="J113" si="279" xml:space="preserve"> IF(LEN(ChartLines.Hex6)=6, HEX2DEC(RIGHT(ChartLines.Hex6, 2)), "·")</f>
        <v>49</v>
      </c>
      <c r="K113" cm="1">
        <f t="array" ref="K113" xml:space="preserve"> 1 + ROW() - _xlfn.SINGLE(ROW(ChartLines.RowNum))</f>
        <v>111</v>
      </c>
    </row>
    <row r="114" spans="2:11">
      <c r="B114" t="s">
        <v>714</v>
      </c>
      <c r="C114" t="s">
        <v>1869</v>
      </c>
      <c r="E114">
        <f t="shared" ref="E114" si="280" xml:space="preserve"> IF(AND(LEN(ChartLines.ID)&gt;0,"Unused"&lt;&gt;ChartLines.ID), COUNTIFS(ChartLines.ID,ChartLines.ID), "·")</f>
        <v>2</v>
      </c>
      <c r="F114">
        <f t="shared" ref="F114" si="281"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f t="shared" ref="H114" si="282" xml:space="preserve"> IF(LEN(ChartLines.Hex6)=6, HEX2DEC(LEFT(ChartLines.Hex6, 2)), "·")</f>
        <v>207</v>
      </c>
      <c r="I114">
        <f t="shared" ref="I114" si="283" xml:space="preserve"> IF(LEN(ChartLines.Hex6)=6, HEX2DEC(MID(ChartLines.Hex6, 3, 2)), "·")</f>
        <v>20</v>
      </c>
      <c r="J114">
        <f t="shared" ref="J114" si="284" xml:space="preserve"> IF(LEN(ChartLines.Hex6)=6, HEX2DEC(RIGHT(ChartLines.Hex6, 2)), "·")</f>
        <v>43</v>
      </c>
      <c r="K114" cm="1">
        <f t="array" ref="K114" xml:space="preserve"> 1 + ROW() - _xlfn.SINGLE(ROW(ChartLines.RowNum))</f>
        <v>112</v>
      </c>
    </row>
    <row r="115" spans="2:11">
      <c r="B115" t="s">
        <v>714</v>
      </c>
      <c r="C115" t="s">
        <v>2160</v>
      </c>
      <c r="E115">
        <f t="shared" ref="E115" si="285" xml:space="preserve"> IF(AND(LEN(ChartLines.ID)&gt;0,"Unused"&lt;&gt;ChartLines.ID), COUNTIFS(ChartLines.ID,ChartLines.ID), "·")</f>
        <v>2</v>
      </c>
      <c r="F115">
        <f t="shared" ref="F115" si="286"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f t="shared" ref="H115" si="287" xml:space="preserve"> IF(LEN(ChartLines.Hex6)=6, HEX2DEC(LEFT(ChartLines.Hex6, 2)), "·")</f>
        <v>192</v>
      </c>
      <c r="I115">
        <f t="shared" ref="I115" si="288" xml:space="preserve"> IF(LEN(ChartLines.Hex6)=6, HEX2DEC(MID(ChartLines.Hex6, 3, 2)), "·")</f>
        <v>192</v>
      </c>
      <c r="J115">
        <f t="shared" ref="J115" si="289" xml:space="preserve"> IF(LEN(ChartLines.Hex6)=6, HEX2DEC(RIGHT(ChartLines.Hex6, 2)), "·")</f>
        <v>192</v>
      </c>
      <c r="K115" cm="1">
        <f t="array" ref="K115" xml:space="preserve"> 1 + ROW() - _xlfn.SINGLE(ROW(ChartLines.RowNum))</f>
        <v>113</v>
      </c>
    </row>
    <row r="116" spans="2:11">
      <c r="B116" t="s">
        <v>715</v>
      </c>
      <c r="C116" t="s">
        <v>1870</v>
      </c>
      <c r="E116">
        <f t="shared" ref="E116" si="290" xml:space="preserve"> IF(AND(LEN(ChartLines.ID)&gt;0,"Unused"&lt;&gt;ChartLines.ID), COUNTIFS(ChartLines.ID,ChartLines.ID), "·")</f>
        <v>2</v>
      </c>
      <c r="F116">
        <f t="shared" ref="F116" si="291"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f t="shared" ref="H116" si="292" xml:space="preserve"> IF(LEN(ChartLines.Hex6)=6, HEX2DEC(LEFT(ChartLines.Hex6, 2)), "·")</f>
        <v>33</v>
      </c>
      <c r="I116">
        <f t="shared" ref="I116" si="293" xml:space="preserve"> IF(LEN(ChartLines.Hex6)=6, HEX2DEC(MID(ChartLines.Hex6, 3, 2)), "·")</f>
        <v>95</v>
      </c>
      <c r="J116">
        <f t="shared" ref="J116" si="294" xml:space="preserve"> IF(LEN(ChartLines.Hex6)=6, HEX2DEC(RIGHT(ChartLines.Hex6, 2)), "·")</f>
        <v>143</v>
      </c>
      <c r="K116" cm="1">
        <f t="array" ref="K116" xml:space="preserve"> 1 + ROW() - _xlfn.SINGLE(ROW(ChartLines.RowNum))</f>
        <v>114</v>
      </c>
    </row>
    <row r="117" spans="2:11">
      <c r="B117" t="s">
        <v>715</v>
      </c>
      <c r="C117" t="s">
        <v>1871</v>
      </c>
      <c r="E117">
        <f t="shared" ref="E117" si="295" xml:space="preserve"> IF(AND(LEN(ChartLines.ID)&gt;0,"Unused"&lt;&gt;ChartLines.ID), COUNTIFS(ChartLines.ID,ChartLines.ID), "·")</f>
        <v>2</v>
      </c>
      <c r="F117">
        <f t="shared" ref="F117" si="296"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f t="shared" ref="H117" si="297" xml:space="preserve"> IF(LEN(ChartLines.Hex6)=6, HEX2DEC(LEFT(ChartLines.Hex6, 2)), "·")</f>
        <v>211</v>
      </c>
      <c r="I117">
        <f t="shared" ref="I117" si="298" xml:space="preserve"> IF(LEN(ChartLines.Hex6)=6, HEX2DEC(MID(ChartLines.Hex6, 3, 2)), "·")</f>
        <v>174</v>
      </c>
      <c r="J117">
        <f t="shared" ref="J117" si="299" xml:space="preserve"> IF(LEN(ChartLines.Hex6)=6, HEX2DEC(RIGHT(ChartLines.Hex6, 2)), "·")</f>
        <v>69</v>
      </c>
      <c r="K117" cm="1">
        <f t="array" ref="K117" xml:space="preserve"> 1 + ROW() - _xlfn.SINGLE(ROW(ChartLines.RowNum))</f>
        <v>115</v>
      </c>
    </row>
    <row r="118" spans="2:11">
      <c r="B118" t="s">
        <v>1704</v>
      </c>
      <c r="C118" t="str">
        <f xml:space="preserve"> "000000"</f>
        <v>000000</v>
      </c>
      <c r="E118">
        <f t="shared" ref="E118" si="300" xml:space="preserve"> IF(AND(LEN(ChartLines.ID)&gt;0,"Unused"&lt;&gt;ChartLines.ID), COUNTIFS(ChartLines.ID,ChartLines.ID), "·")</f>
        <v>2</v>
      </c>
      <c r="F118">
        <f t="shared" ref="F118" si="301"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f t="shared" ref="H118" si="302" xml:space="preserve"> IF(LEN(ChartLines.Hex6)=6, HEX2DEC(LEFT(ChartLines.Hex6, 2)), "·")</f>
        <v>0</v>
      </c>
      <c r="I118">
        <f t="shared" ref="I118" si="303" xml:space="preserve"> IF(LEN(ChartLines.Hex6)=6, HEX2DEC(MID(ChartLines.Hex6, 3, 2)), "·")</f>
        <v>0</v>
      </c>
      <c r="J118">
        <f t="shared" ref="J118" si="304" xml:space="preserve"> IF(LEN(ChartLines.Hex6)=6, HEX2DEC(RIGHT(ChartLines.Hex6, 2)), "·")</f>
        <v>0</v>
      </c>
      <c r="K118" cm="1">
        <f t="array" ref="K118" xml:space="preserve"> 1 + ROW() - _xlfn.SINGLE(ROW(ChartLines.RowNum))</f>
        <v>116</v>
      </c>
    </row>
    <row r="119" spans="2:11">
      <c r="B119" t="s">
        <v>1704</v>
      </c>
      <c r="C119" t="s">
        <v>1872</v>
      </c>
      <c r="E119">
        <f t="shared" ref="E119:E147" si="305" xml:space="preserve"> IF(AND(LEN(ChartLines.ID)&gt;0,"Unused"&lt;&gt;ChartLines.ID), COUNTIFS(ChartLines.ID,ChartLines.ID), "·")</f>
        <v>2</v>
      </c>
      <c r="F119">
        <f t="shared" ref="F119:F147" si="306"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f t="shared" ref="H119:H147" si="307" xml:space="preserve"> IF(LEN(ChartLines.Hex6)=6, HEX2DEC(LEFT(ChartLines.Hex6, 2)), "·")</f>
        <v>208</v>
      </c>
      <c r="I119">
        <f t="shared" ref="I119:I147" si="308" xml:space="preserve"> IF(LEN(ChartLines.Hex6)=6, HEX2DEC(MID(ChartLines.Hex6, 3, 2)), "·")</f>
        <v>166</v>
      </c>
      <c r="J119">
        <f t="shared" ref="J119:J147" si="309" xml:space="preserve"> IF(LEN(ChartLines.Hex6)=6, HEX2DEC(RIGHT(ChartLines.Hex6, 2)), "·")</f>
        <v>80</v>
      </c>
      <c r="K119" cm="1">
        <f t="array" ref="K119" xml:space="preserve"> 1 + ROW() - _xlfn.SINGLE(ROW(ChartLines.RowNum))</f>
        <v>117</v>
      </c>
    </row>
    <row r="120" spans="2:11">
      <c r="B120" t="s">
        <v>795</v>
      </c>
      <c r="C120" t="s">
        <v>1873</v>
      </c>
      <c r="E120">
        <f t="shared" si="305"/>
        <v>2</v>
      </c>
      <c r="F120">
        <f t="shared" si="306"/>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f t="shared" si="307"/>
        <v>255</v>
      </c>
      <c r="I120">
        <f t="shared" si="308"/>
        <v>213</v>
      </c>
      <c r="J120">
        <f t="shared" si="309"/>
        <v>0</v>
      </c>
      <c r="K120" cm="1">
        <f t="array" ref="K120" xml:space="preserve"> 1 + ROW() - _xlfn.SINGLE(ROW(ChartLines.RowNum))</f>
        <v>118</v>
      </c>
    </row>
    <row r="121" spans="2:11">
      <c r="B121" t="s">
        <v>795</v>
      </c>
      <c r="C121" t="str">
        <f xml:space="preserve"> "004494"</f>
        <v>004494</v>
      </c>
      <c r="E121">
        <f t="shared" si="305"/>
        <v>2</v>
      </c>
      <c r="F121">
        <f t="shared" si="306"/>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f t="shared" si="307"/>
        <v>0</v>
      </c>
      <c r="I121">
        <f t="shared" si="308"/>
        <v>68</v>
      </c>
      <c r="J121">
        <f t="shared" si="309"/>
        <v>148</v>
      </c>
      <c r="K121" cm="1">
        <f t="array" ref="K121" xml:space="preserve"> 1 + ROW() - _xlfn.SINGLE(ROW(ChartLines.RowNum))</f>
        <v>119</v>
      </c>
    </row>
    <row r="122" spans="2:11">
      <c r="B122" t="s">
        <v>2131</v>
      </c>
      <c r="C122" t="s">
        <v>1862</v>
      </c>
      <c r="E122">
        <f t="shared" si="305"/>
        <v>2</v>
      </c>
      <c r="F122">
        <f t="shared" si="306"/>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f t="shared" si="307"/>
        <v>0</v>
      </c>
      <c r="I122">
        <f t="shared" si="308"/>
        <v>163</v>
      </c>
      <c r="J122">
        <f t="shared" si="309"/>
        <v>224</v>
      </c>
      <c r="K122" cm="1">
        <f t="array" ref="K122" xml:space="preserve"> 1 + ROW() - _xlfn.SINGLE(ROW(ChartLines.RowNum))</f>
        <v>120</v>
      </c>
    </row>
    <row r="123" spans="2:11">
      <c r="B123" t="s">
        <v>2131</v>
      </c>
      <c r="C123" t="s">
        <v>1837</v>
      </c>
      <c r="E123">
        <f t="shared" si="305"/>
        <v>2</v>
      </c>
      <c r="F123">
        <f t="shared" si="306"/>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f t="shared" si="307"/>
        <v>239</v>
      </c>
      <c r="I123">
        <f t="shared" si="308"/>
        <v>51</v>
      </c>
      <c r="J123">
        <f t="shared" si="309"/>
        <v>64</v>
      </c>
      <c r="K123" cm="1">
        <f t="array" ref="K123" xml:space="preserve"> 1 + ROW() - _xlfn.SINGLE(ROW(ChartLines.RowNum))</f>
        <v>121</v>
      </c>
    </row>
    <row r="124" spans="2:11">
      <c r="E124" t="str">
        <f t="shared" si="305"/>
        <v>·</v>
      </c>
      <c r="F124" t="str">
        <f t="shared" si="306"/>
        <v>·</v>
      </c>
      <c r="G124" t="str" cm="1">
        <f t="array" ref="G124" xml:space="preserve"> _xlfn.IFS(OR(LEN(_xlfn.SINGLE(ChartLines.ID))=0,"Unused"=_xlfn.SINGLE(ChartLines.ID)), "·",   1=_xlfn.SINGLE(ChartLines.NumInstances), IF("USD"=_xlfn.SINGLE(ChartLines.ID), "SoleBig", "SoleOrdinary"),   1=_xlfn.SINGLE(ChartLines.InstanceNum), "Outer",   TRUE, "Inner")</f>
        <v>·</v>
      </c>
      <c r="H124" t="str">
        <f t="shared" si="307"/>
        <v>·</v>
      </c>
      <c r="I124" t="str">
        <f t="shared" si="308"/>
        <v>·</v>
      </c>
      <c r="J124" t="str">
        <f t="shared" si="309"/>
        <v>·</v>
      </c>
      <c r="K124" cm="1">
        <f t="array" ref="K124" xml:space="preserve"> 1 + ROW() - _xlfn.SINGLE(ROW(ChartLines.RowNum))</f>
        <v>122</v>
      </c>
    </row>
    <row r="125" spans="2:11">
      <c r="B125" t="s">
        <v>132</v>
      </c>
      <c r="C125" t="s">
        <v>1857</v>
      </c>
      <c r="E125">
        <f t="shared" si="305"/>
        <v>2</v>
      </c>
      <c r="F125">
        <f t="shared" si="306"/>
        <v>1</v>
      </c>
      <c r="G125" t="str" cm="1">
        <f t="array" ref="G125" xml:space="preserve"> _xlfn.IFS(OR(LEN(_xlfn.SINGLE(ChartLines.ID))=0,"Unused"=_xlfn.SINGLE(ChartLines.ID)), "·",   1=_xlfn.SINGLE(ChartLines.NumInstances), IF("USD"=_xlfn.SINGLE(ChartLines.ID), "SoleBig", "SoleOrdinary"),   1=_xlfn.SINGLE(ChartLines.InstanceNum), "Outer",   TRUE, "Inner")</f>
        <v>Outer</v>
      </c>
      <c r="H125">
        <f t="shared" si="307"/>
        <v>218</v>
      </c>
      <c r="I125">
        <f t="shared" si="308"/>
        <v>41</v>
      </c>
      <c r="J125">
        <f t="shared" si="309"/>
        <v>28</v>
      </c>
      <c r="K125" cm="1">
        <f t="array" ref="K125" xml:space="preserve"> 1 + ROW() - _xlfn.SINGLE(ROW(ChartLines.RowNum))</f>
        <v>123</v>
      </c>
    </row>
    <row r="126" spans="2:11">
      <c r="B126" t="s">
        <v>132</v>
      </c>
      <c r="C126" t="s">
        <v>1839</v>
      </c>
      <c r="E126">
        <f t="shared" si="305"/>
        <v>2</v>
      </c>
      <c r="F126">
        <f t="shared" si="306"/>
        <v>2</v>
      </c>
      <c r="G126" t="str" cm="1">
        <f t="array" ref="G126" xml:space="preserve"> _xlfn.IFS(OR(LEN(_xlfn.SINGLE(ChartLines.ID))=0,"Unused"=_xlfn.SINGLE(ChartLines.ID)), "·",   1=_xlfn.SINGLE(ChartLines.NumInstances), IF("USD"=_xlfn.SINGLE(ChartLines.ID), "SoleBig", "SoleOrdinary"),   1=_xlfn.SINGLE(ChartLines.InstanceNum), "Outer",   TRUE, "Inner")</f>
        <v>Inner</v>
      </c>
      <c r="H126">
        <f t="shared" si="307"/>
        <v>255</v>
      </c>
      <c r="I126">
        <f t="shared" si="308"/>
        <v>255</v>
      </c>
      <c r="J126">
        <f t="shared" si="309"/>
        <v>255</v>
      </c>
      <c r="K126" cm="1">
        <f t="array" ref="K126" xml:space="preserve"> 1 + ROW() - _xlfn.SINGLE(ROW(ChartLines.RowNum))</f>
        <v>124</v>
      </c>
    </row>
    <row r="127" spans="2:11">
      <c r="B127" t="s">
        <v>1540</v>
      </c>
      <c r="C127" t="s">
        <v>1874</v>
      </c>
      <c r="E127">
        <f t="shared" si="305"/>
        <v>2</v>
      </c>
      <c r="F127">
        <f t="shared" si="306"/>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f t="shared" si="307"/>
        <v>2</v>
      </c>
      <c r="I127">
        <f t="shared" si="308"/>
        <v>82</v>
      </c>
      <c r="J127">
        <f t="shared" si="309"/>
        <v>156</v>
      </c>
      <c r="K127" cm="1">
        <f t="array" ref="K127" xml:space="preserve"> 1 + ROW() - _xlfn.SINGLE(ROW(ChartLines.RowNum))</f>
        <v>125</v>
      </c>
    </row>
    <row r="128" spans="2:11">
      <c r="B128" t="s">
        <v>1540</v>
      </c>
      <c r="C128" t="s">
        <v>1875</v>
      </c>
      <c r="E128">
        <f t="shared" si="305"/>
        <v>2</v>
      </c>
      <c r="F128">
        <f t="shared" si="306"/>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f t="shared" si="307"/>
        <v>220</v>
      </c>
      <c r="I128">
        <f t="shared" si="308"/>
        <v>30</v>
      </c>
      <c r="J128">
        <f t="shared" si="309"/>
        <v>53</v>
      </c>
      <c r="K128" cm="1">
        <f t="array" ref="K128" xml:space="preserve"> 1 + ROW() - _xlfn.SINGLE(ROW(ChartLines.RowNum))</f>
        <v>126</v>
      </c>
    </row>
    <row r="129" spans="2:11">
      <c r="B129" t="s">
        <v>326</v>
      </c>
      <c r="C129" t="s">
        <v>1980</v>
      </c>
      <c r="E129">
        <f t="shared" si="305"/>
        <v>1</v>
      </c>
      <c r="F129">
        <f t="shared" si="306"/>
        <v>1</v>
      </c>
      <c r="G129" t="str" cm="1">
        <f t="array" ref="G129" xml:space="preserve"> _xlfn.IFS(OR(LEN(_xlfn.SINGLE(ChartLines.ID))=0,"Unused"=_xlfn.SINGLE(ChartLines.ID)), "·",   1=_xlfn.SINGLE(ChartLines.NumInstances), IF("USD"=_xlfn.SINGLE(ChartLines.ID), "SoleBig", "SoleOrdinary"),   1=_xlfn.SINGLE(ChartLines.InstanceNum), "Outer",   TRUE, "Inner")</f>
        <v>SoleOrdinary</v>
      </c>
      <c r="H129">
        <f t="shared" si="307"/>
        <v>210</v>
      </c>
      <c r="I129">
        <f t="shared" si="308"/>
        <v>38</v>
      </c>
      <c r="J129">
        <f t="shared" si="309"/>
        <v>48</v>
      </c>
      <c r="K129" cm="1">
        <f t="array" ref="K129" xml:space="preserve"> 1 + ROW() - _xlfn.SINGLE(ROW(ChartLines.RowNum))</f>
        <v>127</v>
      </c>
    </row>
    <row r="130" spans="2:11">
      <c r="B130" t="s">
        <v>1835</v>
      </c>
      <c r="E130" t="str">
        <f t="shared" si="305"/>
        <v>·</v>
      </c>
      <c r="F130" t="str">
        <f t="shared" si="306"/>
        <v>·</v>
      </c>
      <c r="G130" t="str" cm="1">
        <f t="array" ref="G130" xml:space="preserve"> _xlfn.IFS(OR(LEN(_xlfn.SINGLE(ChartLines.ID))=0,"Unused"=_xlfn.SINGLE(ChartLines.ID)), "·",   1=_xlfn.SINGLE(ChartLines.NumInstances), IF("USD"=_xlfn.SINGLE(ChartLines.ID), "SoleBig", "SoleOrdinary"),   1=_xlfn.SINGLE(ChartLines.InstanceNum), "Outer",   TRUE, "Inner")</f>
        <v>·</v>
      </c>
      <c r="H130" t="str">
        <f t="shared" si="307"/>
        <v>·</v>
      </c>
      <c r="I130" t="str">
        <f t="shared" si="308"/>
        <v>·</v>
      </c>
      <c r="J130" t="str">
        <f t="shared" si="309"/>
        <v>·</v>
      </c>
      <c r="K130" cm="1">
        <f t="array" ref="K130" xml:space="preserve"> 1 + ROW() - _xlfn.SINGLE(ROW(ChartLines.RowNum))</f>
        <v>128</v>
      </c>
    </row>
    <row r="131" spans="2:11">
      <c r="B131" t="s">
        <v>372</v>
      </c>
      <c r="C131" t="s">
        <v>1877</v>
      </c>
      <c r="E131">
        <f t="shared" si="305"/>
        <v>2</v>
      </c>
      <c r="F131">
        <f t="shared" si="306"/>
        <v>1</v>
      </c>
      <c r="G131" t="str" cm="1">
        <f t="array" ref="G131" xml:space="preserve"> _xlfn.IFS(OR(LEN(_xlfn.SINGLE(ChartLines.ID))=0,"Unused"=_xlfn.SINGLE(ChartLines.ID)), "·",   1=_xlfn.SINGLE(ChartLines.NumInstances), IF("USD"=_xlfn.SINGLE(ChartLines.ID), "SoleBig", "SoleOrdinary"),   1=_xlfn.SINGLE(ChartLines.InstanceNum), "Outer",   TRUE, "Inner")</f>
        <v>Outer</v>
      </c>
      <c r="H131">
        <f t="shared" si="307"/>
        <v>215</v>
      </c>
      <c r="I131">
        <f t="shared" si="308"/>
        <v>20</v>
      </c>
      <c r="J131">
        <f t="shared" si="309"/>
        <v>26</v>
      </c>
      <c r="K131" cm="1">
        <f t="array" ref="K131" xml:space="preserve"> 1 + ROW() - _xlfn.SINGLE(ROW(ChartLines.RowNum))</f>
        <v>129</v>
      </c>
    </row>
    <row r="132" spans="2:11">
      <c r="B132" t="s">
        <v>372</v>
      </c>
      <c r="C132" t="s">
        <v>1876</v>
      </c>
      <c r="E132">
        <f t="shared" si="305"/>
        <v>2</v>
      </c>
      <c r="F132">
        <f t="shared" si="306"/>
        <v>2</v>
      </c>
      <c r="G132" t="str" cm="1">
        <f t="array" ref="G132" xml:space="preserve"> _xlfn.IFS(OR(LEN(_xlfn.SINGLE(ChartLines.ID))=0,"Unused"=_xlfn.SINGLE(ChartLines.ID)), "·",   1=_xlfn.SINGLE(ChartLines.NumInstances), IF("USD"=_xlfn.SINGLE(ChartLines.ID), "SoleBig", "SoleOrdinary"),   1=_xlfn.SINGLE(ChartLines.InstanceNum), "Outer",   TRUE, "Inner")</f>
        <v>Inner</v>
      </c>
      <c r="H132">
        <f t="shared" si="307"/>
        <v>17</v>
      </c>
      <c r="I132">
        <f t="shared" si="308"/>
        <v>69</v>
      </c>
      <c r="J132">
        <f t="shared" si="309"/>
        <v>126</v>
      </c>
      <c r="K132" cm="1">
        <f t="array" ref="K132" xml:space="preserve"> 1 + ROW() - _xlfn.SINGLE(ROW(ChartLines.RowNum))</f>
        <v>130</v>
      </c>
    </row>
    <row r="133" spans="2:11">
      <c r="B133" t="s">
        <v>357</v>
      </c>
      <c r="C133" t="s">
        <v>1842</v>
      </c>
      <c r="E133">
        <f t="shared" si="305"/>
        <v>2</v>
      </c>
      <c r="F133">
        <f t="shared" si="306"/>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f t="shared" si="307"/>
        <v>0</v>
      </c>
      <c r="I133">
        <f t="shared" si="308"/>
        <v>132</v>
      </c>
      <c r="J133">
        <f t="shared" si="309"/>
        <v>61</v>
      </c>
      <c r="K133" cm="1">
        <f t="array" ref="K133" xml:space="preserve"> 1 + ROW() - _xlfn.SINGLE(ROW(ChartLines.RowNum))</f>
        <v>131</v>
      </c>
    </row>
    <row r="134" spans="2:11">
      <c r="B134" t="s">
        <v>357</v>
      </c>
      <c r="C134" t="s">
        <v>1878</v>
      </c>
      <c r="E134">
        <f t="shared" si="305"/>
        <v>2</v>
      </c>
      <c r="F134">
        <f t="shared" si="306"/>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f t="shared" si="307"/>
        <v>206</v>
      </c>
      <c r="I134">
        <f t="shared" si="308"/>
        <v>41</v>
      </c>
      <c r="J134">
        <f t="shared" si="309"/>
        <v>57</v>
      </c>
      <c r="K134" cm="1">
        <f t="array" ref="K134" xml:space="preserve"> 1 + ROW() - _xlfn.SINGLE(ROW(ChartLines.RowNum))</f>
        <v>132</v>
      </c>
    </row>
    <row r="135" spans="2:11">
      <c r="B135" t="s">
        <v>376</v>
      </c>
      <c r="C135" t="s">
        <v>1879</v>
      </c>
      <c r="E135">
        <f t="shared" si="305"/>
        <v>2</v>
      </c>
      <c r="F135">
        <f t="shared" si="306"/>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f t="shared" si="307"/>
        <v>0</v>
      </c>
      <c r="I135">
        <f t="shared" si="308"/>
        <v>43</v>
      </c>
      <c r="J135">
        <f t="shared" si="309"/>
        <v>127</v>
      </c>
      <c r="K135" cm="1">
        <f t="array" ref="K135" xml:space="preserve"> 1 + ROW() - _xlfn.SINGLE(ROW(ChartLines.RowNum))</f>
        <v>133</v>
      </c>
    </row>
    <row r="136" spans="2:11">
      <c r="B136" t="s">
        <v>376</v>
      </c>
      <c r="C136" t="s">
        <v>1880</v>
      </c>
      <c r="E136">
        <f t="shared" si="305"/>
        <v>2</v>
      </c>
      <c r="F136">
        <f t="shared" si="306"/>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f t="shared" si="307"/>
        <v>252</v>
      </c>
      <c r="I136">
        <f t="shared" si="308"/>
        <v>209</v>
      </c>
      <c r="J136">
        <f t="shared" si="309"/>
        <v>22</v>
      </c>
      <c r="K136" cm="1">
        <f t="array" ref="K136" xml:space="preserve"> 1 + ROW() - _xlfn.SINGLE(ROW(ChartLines.RowNum))</f>
        <v>134</v>
      </c>
    </row>
    <row r="137" spans="2:11">
      <c r="B137" t="s">
        <v>393</v>
      </c>
      <c r="C137" t="s">
        <v>1881</v>
      </c>
      <c r="E137">
        <f t="shared" si="305"/>
        <v>2</v>
      </c>
      <c r="F137">
        <f t="shared" si="306"/>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f t="shared" si="307"/>
        <v>0</v>
      </c>
      <c r="I137">
        <f t="shared" si="308"/>
        <v>175</v>
      </c>
      <c r="J137">
        <f t="shared" si="309"/>
        <v>102</v>
      </c>
      <c r="K137" cm="1">
        <f t="array" ref="K137" xml:space="preserve"> 1 + ROW() - _xlfn.SINGLE(ROW(ChartLines.RowNum))</f>
        <v>135</v>
      </c>
    </row>
    <row r="138" spans="2:11">
      <c r="B138" t="s">
        <v>393</v>
      </c>
      <c r="C138" t="s">
        <v>1839</v>
      </c>
      <c r="E138">
        <f t="shared" si="305"/>
        <v>2</v>
      </c>
      <c r="F138">
        <f t="shared" si="306"/>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f t="shared" si="307"/>
        <v>255</v>
      </c>
      <c r="I138">
        <f t="shared" si="308"/>
        <v>255</v>
      </c>
      <c r="J138">
        <f t="shared" si="309"/>
        <v>255</v>
      </c>
      <c r="K138" cm="1">
        <f t="array" ref="K138" xml:space="preserve"> 1 + ROW() - _xlfn.SINGLE(ROW(ChartLines.RowNum))</f>
        <v>136</v>
      </c>
    </row>
    <row r="139" spans="2:11">
      <c r="E139" t="str">
        <f t="shared" si="305"/>
        <v>·</v>
      </c>
      <c r="F139" t="str">
        <f t="shared" si="306"/>
        <v>·</v>
      </c>
      <c r="G139" t="str" cm="1">
        <f t="array" ref="G139" xml:space="preserve"> _xlfn.IFS(OR(LEN(_xlfn.SINGLE(ChartLines.ID))=0,"Unused"=_xlfn.SINGLE(ChartLines.ID)), "·",   1=_xlfn.SINGLE(ChartLines.NumInstances), IF("USD"=_xlfn.SINGLE(ChartLines.ID), "SoleBig", "SoleOrdinary"),   1=_xlfn.SINGLE(ChartLines.InstanceNum), "Outer",   TRUE, "Inner")</f>
        <v>·</v>
      </c>
      <c r="H139" t="str">
        <f t="shared" si="307"/>
        <v>·</v>
      </c>
      <c r="I139" t="str">
        <f t="shared" si="308"/>
        <v>·</v>
      </c>
      <c r="J139" t="str">
        <f t="shared" si="309"/>
        <v>·</v>
      </c>
      <c r="K139" cm="1">
        <f t="array" ref="K139" xml:space="preserve"> 1 + ROW() - _xlfn.SINGLE(ROW(ChartLines.RowNum))</f>
        <v>137</v>
      </c>
    </row>
    <row r="140" spans="2:11">
      <c r="B140" t="s">
        <v>133</v>
      </c>
      <c r="C140" t="s">
        <v>1882</v>
      </c>
      <c r="E140">
        <f t="shared" si="305"/>
        <v>2</v>
      </c>
      <c r="F140">
        <f t="shared" si="306"/>
        <v>1</v>
      </c>
      <c r="G140" t="str" cm="1">
        <f t="array" ref="G140" xml:space="preserve"> _xlfn.IFS(OR(LEN(_xlfn.SINGLE(ChartLines.ID))=0,"Unused"=_xlfn.SINGLE(ChartLines.ID)), "·",   1=_xlfn.SINGLE(ChartLines.NumInstances), IF("USD"=_xlfn.SINGLE(ChartLines.ID), "SoleBig", "SoleOrdinary"),   1=_xlfn.SINGLE(ChartLines.InstanceNum), "Outer",   TRUE, "Inner")</f>
        <v>Outer</v>
      </c>
      <c r="H140">
        <f t="shared" si="307"/>
        <v>222</v>
      </c>
      <c r="I140">
        <f t="shared" si="308"/>
        <v>41</v>
      </c>
      <c r="J140">
        <f t="shared" si="309"/>
        <v>16</v>
      </c>
      <c r="K140" cm="1">
        <f t="array" ref="K140" xml:space="preserve"> 1 + ROW() - _xlfn.SINGLE(ROW(ChartLines.RowNum))</f>
        <v>138</v>
      </c>
    </row>
    <row r="141" spans="2:11">
      <c r="B141" t="s">
        <v>133</v>
      </c>
      <c r="C141" t="s">
        <v>1883</v>
      </c>
      <c r="E141">
        <f t="shared" si="305"/>
        <v>2</v>
      </c>
      <c r="F141">
        <f t="shared" si="306"/>
        <v>2</v>
      </c>
      <c r="G141" t="str" cm="1">
        <f t="array" ref="G141" xml:space="preserve"> _xlfn.IFS(OR(LEN(_xlfn.SINGLE(ChartLines.ID))=0,"Unused"=_xlfn.SINGLE(ChartLines.ID)), "·",   1=_xlfn.SINGLE(ChartLines.NumInstances), IF("USD"=_xlfn.SINGLE(ChartLines.ID), "SoleBig", "SoleOrdinary"),   1=_xlfn.SINGLE(ChartLines.InstanceNum), "Outer",   TRUE, "Inner")</f>
        <v>Inner</v>
      </c>
      <c r="H141">
        <f t="shared" si="307"/>
        <v>255</v>
      </c>
      <c r="I141">
        <f t="shared" si="308"/>
        <v>222</v>
      </c>
      <c r="J141">
        <f t="shared" si="309"/>
        <v>0</v>
      </c>
      <c r="K141" cm="1">
        <f t="array" ref="K141" xml:space="preserve"> 1 + ROW() - _xlfn.SINGLE(ROW(ChartLines.RowNum))</f>
        <v>139</v>
      </c>
    </row>
    <row r="142" spans="2:11">
      <c r="B142" t="s">
        <v>1884</v>
      </c>
      <c r="C142" t="s">
        <v>1838</v>
      </c>
      <c r="E142">
        <f t="shared" si="305"/>
        <v>1</v>
      </c>
      <c r="F142">
        <f t="shared" si="306"/>
        <v>1</v>
      </c>
      <c r="G142" t="str" cm="1">
        <f t="array" ref="G142" xml:space="preserve"> _xlfn.IFS(OR(LEN(_xlfn.SINGLE(ChartLines.ID))=0,"Unused"=_xlfn.SINGLE(ChartLines.ID)), "·",   1=_xlfn.SINGLE(ChartLines.NumInstances), IF("USD"=_xlfn.SINGLE(ChartLines.ID), "SoleBig", "SoleOrdinary"),   1=_xlfn.SINGLE(ChartLines.InstanceNum), "Outer",   TRUE, "Inner")</f>
        <v>SoleOrdinary</v>
      </c>
      <c r="H142">
        <f t="shared" si="307"/>
        <v>255</v>
      </c>
      <c r="I142">
        <f t="shared" si="308"/>
        <v>0</v>
      </c>
      <c r="J142">
        <f t="shared" si="309"/>
        <v>0</v>
      </c>
      <c r="K142" cm="1">
        <f t="array" ref="K142" xml:space="preserve"> 1 + ROW() - _xlfn.SINGLE(ROW(ChartLines.RowNum))</f>
        <v>140</v>
      </c>
    </row>
    <row r="143" spans="2:11">
      <c r="B143" t="s">
        <v>1835</v>
      </c>
      <c r="E143" t="str">
        <f t="shared" si="305"/>
        <v>·</v>
      </c>
      <c r="F143" t="str">
        <f t="shared" si="306"/>
        <v>·</v>
      </c>
      <c r="G143" t="str" cm="1">
        <f t="array" ref="G143" xml:space="preserve"> _xlfn.IFS(OR(LEN(_xlfn.SINGLE(ChartLines.ID))=0,"Unused"=_xlfn.SINGLE(ChartLines.ID)), "·",   1=_xlfn.SINGLE(ChartLines.NumInstances), IF("USD"=_xlfn.SINGLE(ChartLines.ID), "SoleBig", "SoleOrdinary"),   1=_xlfn.SINGLE(ChartLines.InstanceNum), "Outer",   TRUE, "Inner")</f>
        <v>·</v>
      </c>
      <c r="H143" t="str">
        <f t="shared" si="307"/>
        <v>·</v>
      </c>
      <c r="I143" t="str">
        <f t="shared" si="308"/>
        <v>·</v>
      </c>
      <c r="J143" t="str">
        <f t="shared" si="309"/>
        <v>·</v>
      </c>
      <c r="K143" cm="1">
        <f t="array" ref="K143" xml:space="preserve"> 1 + ROW() - _xlfn.SINGLE(ROW(ChartLines.RowNum))</f>
        <v>141</v>
      </c>
    </row>
    <row r="144" spans="2:11">
      <c r="B144" t="s">
        <v>203</v>
      </c>
      <c r="C144" t="s">
        <v>1885</v>
      </c>
      <c r="E144">
        <f t="shared" si="305"/>
        <v>2</v>
      </c>
      <c r="F144">
        <f t="shared" si="306"/>
        <v>1</v>
      </c>
      <c r="G144" t="str" cm="1">
        <f t="array" ref="G144" xml:space="preserve"> _xlfn.IFS(OR(LEN(_xlfn.SINGLE(ChartLines.ID))=0,"Unused"=_xlfn.SINGLE(ChartLines.ID)), "·",   1=_xlfn.SINGLE(ChartLines.NumInstances), IF("USD"=_xlfn.SINGLE(ChartLines.ID), "SoleBig", "SoleOrdinary"),   1=_xlfn.SINGLE(ChartLines.InstanceNum), "Outer",   TRUE, "Inner")</f>
        <v>Outer</v>
      </c>
      <c r="H144">
        <f t="shared" si="307"/>
        <v>0</v>
      </c>
      <c r="I144">
        <f t="shared" si="308"/>
        <v>41</v>
      </c>
      <c r="J144">
        <f t="shared" si="309"/>
        <v>204</v>
      </c>
      <c r="K144" cm="1">
        <f t="array" ref="K144" xml:space="preserve"> 1 + ROW() - _xlfn.SINGLE(ROW(ChartLines.RowNum))</f>
        <v>142</v>
      </c>
    </row>
    <row r="145" spans="2:11">
      <c r="B145" t="s">
        <v>203</v>
      </c>
      <c r="C145" t="s">
        <v>1839</v>
      </c>
      <c r="E145">
        <f t="shared" si="305"/>
        <v>2</v>
      </c>
      <c r="F145">
        <f t="shared" si="306"/>
        <v>2</v>
      </c>
      <c r="G145" t="str" cm="1">
        <f t="array" ref="G145" xml:space="preserve"> _xlfn.IFS(OR(LEN(_xlfn.SINGLE(ChartLines.ID))=0,"Unused"=_xlfn.SINGLE(ChartLines.ID)), "·",   1=_xlfn.SINGLE(ChartLines.NumInstances), IF("USD"=_xlfn.SINGLE(ChartLines.ID), "SoleBig", "SoleOrdinary"),   1=_xlfn.SINGLE(ChartLines.InstanceNum), "Outer",   TRUE, "Inner")</f>
        <v>Inner</v>
      </c>
      <c r="H145">
        <f t="shared" si="307"/>
        <v>255</v>
      </c>
      <c r="I145">
        <f t="shared" si="308"/>
        <v>255</v>
      </c>
      <c r="J145">
        <f t="shared" si="309"/>
        <v>255</v>
      </c>
      <c r="K145" cm="1">
        <f t="array" ref="K145" xml:space="preserve"> 1 + ROW() - _xlfn.SINGLE(ROW(ChartLines.RowNum))</f>
        <v>143</v>
      </c>
    </row>
    <row r="146" spans="2:11">
      <c r="B146" t="s">
        <v>1886</v>
      </c>
      <c r="C146" t="s">
        <v>1887</v>
      </c>
      <c r="E146">
        <f t="shared" si="305"/>
        <v>2</v>
      </c>
      <c r="F146">
        <f t="shared" si="306"/>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f t="shared" si="307"/>
        <v>205</v>
      </c>
      <c r="I146">
        <f t="shared" si="308"/>
        <v>46</v>
      </c>
      <c r="J146">
        <f t="shared" si="309"/>
        <v>58</v>
      </c>
      <c r="K146" cm="1">
        <f t="array" ref="K146" xml:space="preserve"> 1 + ROW() - _xlfn.SINGLE(ROW(ChartLines.RowNum))</f>
        <v>144</v>
      </c>
    </row>
    <row r="147" spans="2:11">
      <c r="B147" t="s">
        <v>1886</v>
      </c>
      <c r="C147" t="s">
        <v>1888</v>
      </c>
      <c r="E147">
        <f t="shared" si="305"/>
        <v>2</v>
      </c>
      <c r="F147">
        <f t="shared" si="306"/>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f t="shared" si="307"/>
        <v>0</v>
      </c>
      <c r="I147">
        <f t="shared" si="308"/>
        <v>71</v>
      </c>
      <c r="J147">
        <f t="shared" si="309"/>
        <v>160</v>
      </c>
      <c r="K147" cm="1">
        <f t="array" ref="K147" xml:space="preserve"> 1 + ROW() - _xlfn.SINGLE(ROW(ChartLines.RowNum))</f>
        <v>145</v>
      </c>
    </row>
    <row r="148" spans="2:11">
      <c r="B148" t="s">
        <v>136</v>
      </c>
      <c r="C148" t="s">
        <v>1889</v>
      </c>
      <c r="E148">
        <f t="shared" ref="E148" si="310" xml:space="preserve"> IF(AND(LEN(ChartLines.ID)&gt;0,"Unused"&lt;&gt;ChartLines.ID), COUNTIFS(ChartLines.ID,ChartLines.ID), "·")</f>
        <v>1</v>
      </c>
      <c r="F148">
        <f t="shared" ref="F148" si="311" xml:space="preserve"> IF(AND(LEN(ChartLines.ID)&gt;0,"Unused"&lt;&gt;ChartLines.ID), COUNTIFS(ChartLines.ID,ChartLines.ID,   ChartLines.RowNum,"&lt;="&amp;ChartLines.RowNum), "·")</f>
        <v>1</v>
      </c>
      <c r="G148" t="str" cm="1">
        <f t="array" ref="G148" xml:space="preserve"> _xlfn.IFS(OR(LEN(_xlfn.SINGLE(ChartLines.ID))=0,"Unused"=_xlfn.SINGLE(ChartLines.ID)), "·",   1=_xlfn.SINGLE(ChartLines.NumInstances), IF("USD"=_xlfn.SINGLE(ChartLines.ID), "SoleBig", "SoleOrdinary"),   1=_xlfn.SINGLE(ChartLines.InstanceNum), "Outer",   TRUE, "Inner")</f>
        <v>SoleOrdinary</v>
      </c>
      <c r="H148">
        <f t="shared" ref="H148" si="312" xml:space="preserve"> IF(LEN(ChartLines.Hex6)=6, HEX2DEC(LEFT(ChartLines.Hex6, 2)), "·")</f>
        <v>167</v>
      </c>
      <c r="I148">
        <f t="shared" ref="I148" si="313" xml:space="preserve"> IF(LEN(ChartLines.Hex6)=6, HEX2DEC(MID(ChartLines.Hex6, 3, 2)), "·")</f>
        <v>131</v>
      </c>
      <c r="J148">
        <f t="shared" ref="J148" si="314" xml:space="preserve"> IF(LEN(ChartLines.Hex6)=6, HEX2DEC(RIGHT(ChartLines.Hex6, 2)), "·")</f>
        <v>55</v>
      </c>
      <c r="K148" cm="1">
        <f t="array" ref="K148" xml:space="preserve"> 1 + ROW() - _xlfn.SINGLE(ROW(ChartLines.RowNum))</f>
        <v>146</v>
      </c>
    </row>
    <row r="149" spans="2:11">
      <c r="B149" t="s">
        <v>1835</v>
      </c>
      <c r="E149" t="str">
        <f t="shared" ref="E149" si="315" xml:space="preserve"> IF(AND(LEN(ChartLines.ID)&gt;0,"Unused"&lt;&gt;ChartLines.ID), COUNTIFS(ChartLines.ID,ChartLines.ID), "·")</f>
        <v>·</v>
      </c>
      <c r="F149" t="str">
        <f t="shared" ref="F149" si="316" xml:space="preserve"> IF(AND(LEN(ChartLines.ID)&gt;0,"Unused"&lt;&gt;ChartLines.ID), COUNTIFS(ChartLines.ID,ChartLines.ID,   ChartLines.RowNum,"&lt;="&amp;ChartLines.RowNum), "·")</f>
        <v>·</v>
      </c>
      <c r="G149" t="str" cm="1">
        <f t="array" ref="G149" xml:space="preserve"> _xlfn.IFS(OR(LEN(_xlfn.SINGLE(ChartLines.ID))=0,"Unused"=_xlfn.SINGLE(ChartLines.ID)), "·",   1=_xlfn.SINGLE(ChartLines.NumInstances), IF("USD"=_xlfn.SINGLE(ChartLines.ID), "SoleBig", "SoleOrdinary"),   1=_xlfn.SINGLE(ChartLines.InstanceNum), "Outer",   TRUE, "Inner")</f>
        <v>·</v>
      </c>
      <c r="H149" t="str">
        <f t="shared" ref="H149" si="317" xml:space="preserve"> IF(LEN(ChartLines.Hex6)=6, HEX2DEC(LEFT(ChartLines.Hex6, 2)), "·")</f>
        <v>·</v>
      </c>
      <c r="I149" t="str">
        <f t="shared" ref="I149" si="318" xml:space="preserve"> IF(LEN(ChartLines.Hex6)=6, HEX2DEC(MID(ChartLines.Hex6, 3, 2)), "·")</f>
        <v>·</v>
      </c>
      <c r="J149" t="str">
        <f t="shared" ref="J149" si="319" xml:space="preserve"> IF(LEN(ChartLines.Hex6)=6, HEX2DEC(RIGHT(ChartLines.Hex6, 2)), "·")</f>
        <v>·</v>
      </c>
      <c r="K149" cm="1">
        <f t="array" ref="K149" xml:space="preserve"> 1 + ROW() - _xlfn.SINGLE(ROW(ChartLines.RowNum))</f>
        <v>147</v>
      </c>
    </row>
    <row r="150" spans="2:11">
      <c r="B150" t="s">
        <v>235</v>
      </c>
      <c r="C150" t="str">
        <f xml:space="preserve"> "DECE05"</f>
        <v>DECE05</v>
      </c>
      <c r="E150">
        <f t="shared" ref="E150" si="320" xml:space="preserve"> IF(AND(LEN(ChartLines.ID)&gt;0,"Unused"&lt;&gt;ChartLines.ID), COUNTIFS(ChartLines.ID,ChartLines.ID), "·")</f>
        <v>2</v>
      </c>
      <c r="F150">
        <f t="shared" ref="F150" si="321"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Outer</v>
      </c>
      <c r="H150">
        <f t="shared" ref="H150" si="322" xml:space="preserve"> IF(LEN(ChartLines.Hex6)=6, HEX2DEC(LEFT(ChartLines.Hex6, 2)), "·")</f>
        <v>222</v>
      </c>
      <c r="I150">
        <f t="shared" ref="I150" si="323" xml:space="preserve"> IF(LEN(ChartLines.Hex6)=6, HEX2DEC(MID(ChartLines.Hex6, 3, 2)), "·")</f>
        <v>206</v>
      </c>
      <c r="J150">
        <f t="shared" ref="J150" si="324" xml:space="preserve"> IF(LEN(ChartLines.Hex6)=6, HEX2DEC(RIGHT(ChartLines.Hex6, 2)), "·")</f>
        <v>5</v>
      </c>
      <c r="K150" cm="1">
        <f t="array" ref="K150" xml:space="preserve"> 1 + ROW() - _xlfn.SINGLE(ROW(ChartLines.RowNum))</f>
        <v>148</v>
      </c>
    </row>
    <row r="151" spans="2:11">
      <c r="B151" t="s">
        <v>235</v>
      </c>
      <c r="C151" t="s">
        <v>1890</v>
      </c>
      <c r="E151">
        <f t="shared" ref="E151" si="325" xml:space="preserve"> IF(AND(LEN(ChartLines.ID)&gt;0,"Unused"&lt;&gt;ChartLines.ID), COUNTIFS(ChartLines.ID,ChartLines.ID), "·")</f>
        <v>2</v>
      </c>
      <c r="F151">
        <f t="shared" ref="F151" si="326" xml:space="preserve"> IF(AND(LEN(ChartLines.ID)&gt;0,"Unused"&lt;&gt;ChartLines.ID), COUNTIFS(ChartLines.ID,ChartLines.ID,   ChartLines.RowNum,"&lt;="&amp;ChartLines.RowNum), "·")</f>
        <v>2</v>
      </c>
      <c r="G151" t="str" cm="1">
        <f t="array" ref="G151" xml:space="preserve"> _xlfn.IFS(OR(LEN(_xlfn.SINGLE(ChartLines.ID))=0,"Unused"=_xlfn.SINGLE(ChartLines.ID)), "·",   1=_xlfn.SINGLE(ChartLines.NumInstances), IF("USD"=_xlfn.SINGLE(ChartLines.ID), "SoleBig", "SoleOrdinary"),   1=_xlfn.SINGLE(ChartLines.InstanceNum), "Outer",   TRUE, "Inner")</f>
        <v>Inner</v>
      </c>
      <c r="H151">
        <f t="shared" ref="H151" si="327" xml:space="preserve"> IF(LEN(ChartLines.Hex6)=6, HEX2DEC(LEFT(ChartLines.Hex6, 2)), "·")</f>
        <v>0</v>
      </c>
      <c r="I151">
        <f t="shared" ref="I151" si="328" xml:space="preserve"> IF(LEN(ChartLines.Hex6)=6, HEX2DEC(MID(ChartLines.Hex6, 3, 2)), "·")</f>
        <v>50</v>
      </c>
      <c r="J151">
        <f t="shared" ref="J151" si="329" xml:space="preserve"> IF(LEN(ChartLines.Hex6)=6, HEX2DEC(RIGHT(ChartLines.Hex6, 2)), "·")</f>
        <v>106</v>
      </c>
      <c r="K151" cm="1">
        <f t="array" ref="K151" xml:space="preserve"> 1 + ROW() - _xlfn.SINGLE(ROW(ChartLines.RowNum))</f>
        <v>149</v>
      </c>
    </row>
    <row r="152" spans="2:11">
      <c r="B152" t="s">
        <v>162</v>
      </c>
      <c r="C152" t="s">
        <v>1838</v>
      </c>
      <c r="E152">
        <f t="shared" ref="E152" si="330" xml:space="preserve"> IF(AND(LEN(ChartLines.ID)&gt;0,"Unused"&lt;&gt;ChartLines.ID), COUNTIFS(ChartLines.ID,ChartLines.ID), "·")</f>
        <v>2</v>
      </c>
      <c r="F152">
        <f t="shared" ref="F152" si="331"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f t="shared" ref="H152" si="332" xml:space="preserve"> IF(LEN(ChartLines.Hex6)=6, HEX2DEC(LEFT(ChartLines.Hex6, 2)), "·")</f>
        <v>255</v>
      </c>
      <c r="I152">
        <f t="shared" ref="I152" si="333" xml:space="preserve"> IF(LEN(ChartLines.Hex6)=6, HEX2DEC(MID(ChartLines.Hex6, 3, 2)), "·")</f>
        <v>0</v>
      </c>
      <c r="J152">
        <f t="shared" ref="J152" si="334" xml:space="preserve"> IF(LEN(ChartLines.Hex6)=6, HEX2DEC(RIGHT(ChartLines.Hex6, 2)), "·")</f>
        <v>0</v>
      </c>
      <c r="K152" cm="1">
        <f t="array" ref="K152" xml:space="preserve"> 1 + ROW() - _xlfn.SINGLE(ROW(ChartLines.RowNum))</f>
        <v>150</v>
      </c>
    </row>
    <row r="153" spans="2:11">
      <c r="B153" t="s">
        <v>162</v>
      </c>
      <c r="C153" t="s">
        <v>1839</v>
      </c>
      <c r="E153">
        <f t="shared" ref="E153" si="335" xml:space="preserve"> IF(AND(LEN(ChartLines.ID)&gt;0,"Unused"&lt;&gt;ChartLines.ID), COUNTIFS(ChartLines.ID,ChartLines.ID), "·")</f>
        <v>2</v>
      </c>
      <c r="F153">
        <f t="shared" ref="F153" si="336"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f t="shared" ref="H153" si="337" xml:space="preserve"> IF(LEN(ChartLines.Hex6)=6, HEX2DEC(LEFT(ChartLines.Hex6, 2)), "·")</f>
        <v>255</v>
      </c>
      <c r="I153">
        <f t="shared" ref="I153" si="338" xml:space="preserve"> IF(LEN(ChartLines.Hex6)=6, HEX2DEC(MID(ChartLines.Hex6, 3, 2)), "·")</f>
        <v>255</v>
      </c>
      <c r="J153">
        <f t="shared" ref="J153" si="339" xml:space="preserve"> IF(LEN(ChartLines.Hex6)=6, HEX2DEC(RIGHT(ChartLines.Hex6, 2)), "·")</f>
        <v>255</v>
      </c>
      <c r="K153" cm="1">
        <f t="array" ref="K153" xml:space="preserve"> 1 + ROW() - _xlfn.SINGLE(ROW(ChartLines.RowNum))</f>
        <v>151</v>
      </c>
    </row>
    <row r="154" spans="2:11">
      <c r="B154" t="s">
        <v>163</v>
      </c>
      <c r="C154" t="s">
        <v>1891</v>
      </c>
      <c r="E154">
        <f t="shared" ref="E154:E156" si="340" xml:space="preserve"> IF(AND(LEN(ChartLines.ID)&gt;0,"Unused"&lt;&gt;ChartLines.ID), COUNTIFS(ChartLines.ID,ChartLines.ID), "·")</f>
        <v>2</v>
      </c>
      <c r="F154">
        <f t="shared" ref="F154:F156" si="341"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f t="shared" ref="H154:H156" si="342" xml:space="preserve"> IF(LEN(ChartLines.Hex6)=6, HEX2DEC(LEFT(ChartLines.Hex6, 2)), "·")</f>
        <v>254</v>
      </c>
      <c r="I154">
        <f t="shared" ref="I154:I156" si="343" xml:space="preserve"> IF(LEN(ChartLines.Hex6)=6, HEX2DEC(MID(ChartLines.Hex6, 3, 2)), "·")</f>
        <v>0</v>
      </c>
      <c r="J154">
        <f t="shared" ref="J154:J156" si="344" xml:space="preserve"> IF(LEN(ChartLines.Hex6)=6, HEX2DEC(RIGHT(ChartLines.Hex6, 2)), "·")</f>
        <v>0</v>
      </c>
      <c r="K154" cm="1">
        <f t="array" ref="K154" xml:space="preserve"> 1 + ROW() - _xlfn.SINGLE(ROW(ChartLines.RowNum))</f>
        <v>152</v>
      </c>
    </row>
    <row r="155" spans="2:11">
      <c r="B155" t="s">
        <v>163</v>
      </c>
      <c r="C155" t="str">
        <f xml:space="preserve"> "010080"</f>
        <v>010080</v>
      </c>
      <c r="E155">
        <f t="shared" ref="E155:E157" si="345" xml:space="preserve"> IF(AND(LEN(ChartLines.ID)&gt;0,"Unused"&lt;&gt;ChartLines.ID), COUNTIFS(ChartLines.ID,ChartLines.ID), "·")</f>
        <v>2</v>
      </c>
      <c r="F155">
        <f t="shared" ref="F155:F157" si="346"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f t="shared" ref="H155:H157" si="347" xml:space="preserve"> IF(LEN(ChartLines.Hex6)=6, HEX2DEC(LEFT(ChartLines.Hex6, 2)), "·")</f>
        <v>1</v>
      </c>
      <c r="I155">
        <f t="shared" ref="I155:I157" si="348" xml:space="preserve"> IF(LEN(ChartLines.Hex6)=6, HEX2DEC(MID(ChartLines.Hex6, 3, 2)), "·")</f>
        <v>0</v>
      </c>
      <c r="J155">
        <f t="shared" ref="J155:J157" si="349" xml:space="preserve"> IF(LEN(ChartLines.Hex6)=6, HEX2DEC(RIGHT(ChartLines.Hex6, 2)), "·")</f>
        <v>128</v>
      </c>
      <c r="K155" cm="1">
        <f t="array" ref="K155" xml:space="preserve"> 1 + ROW() - _xlfn.SINGLE(ROW(ChartLines.RowNum))</f>
        <v>153</v>
      </c>
    </row>
    <row r="156" spans="2:11">
      <c r="B156" t="s">
        <v>2379</v>
      </c>
      <c r="C156" t="s">
        <v>2408</v>
      </c>
      <c r="E156">
        <f t="shared" si="340"/>
        <v>2</v>
      </c>
      <c r="F156">
        <f t="shared" si="341"/>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f t="shared" si="342"/>
        <v>52</v>
      </c>
      <c r="I156">
        <f t="shared" si="343"/>
        <v>178</v>
      </c>
      <c r="J156">
        <f t="shared" si="344"/>
        <v>51</v>
      </c>
      <c r="K156" cm="1">
        <f t="array" ref="K156" xml:space="preserve"> 1 + ROW() - _xlfn.SINGLE(ROW(ChartLines.RowNum))</f>
        <v>154</v>
      </c>
    </row>
    <row r="157" spans="2:11">
      <c r="B157" t="s">
        <v>2379</v>
      </c>
      <c r="C157" t="s">
        <v>2407</v>
      </c>
      <c r="E157">
        <f t="shared" si="345"/>
        <v>2</v>
      </c>
      <c r="F157">
        <f t="shared" si="346"/>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f t="shared" si="347"/>
        <v>254</v>
      </c>
      <c r="I157">
        <f t="shared" si="348"/>
        <v>203</v>
      </c>
      <c r="J157">
        <f t="shared" si="349"/>
        <v>0</v>
      </c>
      <c r="K157" cm="1">
        <f t="array" ref="K157" xml:space="preserve"> 1 + ROW() - _xlfn.SINGLE(ROW(ChartLines.RowNum))</f>
        <v>155</v>
      </c>
    </row>
    <row r="158" spans="2:11">
      <c r="B158" t="s">
        <v>248</v>
      </c>
      <c r="C158" t="s">
        <v>1892</v>
      </c>
      <c r="E158">
        <f t="shared" ref="E158" si="350" xml:space="preserve"> IF(AND(LEN(ChartLines.ID)&gt;0,"Unused"&lt;&gt;ChartLines.ID), COUNTIFS(ChartLines.ID,ChartLines.ID), "·")</f>
        <v>2</v>
      </c>
      <c r="F158">
        <f t="shared" ref="F158" si="351" xml:space="preserve"> IF(AND(LEN(ChartLines.ID)&gt;0,"Unused"&lt;&gt;ChartLines.ID), COUNTIFS(ChartLines.ID,ChartLines.ID,   ChartLines.RowNum,"&lt;="&amp;ChartLines.RowNum), "·")</f>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f t="shared" ref="H158" si="352" xml:space="preserve"> IF(LEN(ChartLines.Hex6)=6, HEX2DEC(LEFT(ChartLines.Hex6, 2)), "·")</f>
        <v>0</v>
      </c>
      <c r="I158">
        <f t="shared" ref="I158" si="353" xml:space="preserve"> IF(LEN(ChartLines.Hex6)=6, HEX2DEC(MID(ChartLines.Hex6, 3, 2)), "·")</f>
        <v>56</v>
      </c>
      <c r="J158">
        <f t="shared" ref="J158" si="354" xml:space="preserve"> IF(LEN(ChartLines.Hex6)=6, HEX2DEC(RIGHT(ChartLines.Hex6, 2)), "·")</f>
        <v>168</v>
      </c>
      <c r="K158" cm="1">
        <f t="array" ref="K158" xml:space="preserve"> 1 + ROW() - _xlfn.SINGLE(ROW(ChartLines.RowNum))</f>
        <v>156</v>
      </c>
    </row>
    <row r="159" spans="2:11">
      <c r="B159" t="s">
        <v>248</v>
      </c>
      <c r="C159" t="s">
        <v>1880</v>
      </c>
      <c r="E159">
        <f t="shared" ref="E159" si="355" xml:space="preserve"> IF(AND(LEN(ChartLines.ID)&gt;0,"Unused"&lt;&gt;ChartLines.ID), COUNTIFS(ChartLines.ID,ChartLines.ID), "·")</f>
        <v>2</v>
      </c>
      <c r="F159">
        <f t="shared" ref="F159" si="356" xml:space="preserve"> IF(AND(LEN(ChartLines.ID)&gt;0,"Unused"&lt;&gt;ChartLines.ID), COUNTIFS(ChartLines.ID,ChartLines.ID,   ChartLines.RowNum,"&lt;="&amp;ChartLines.RowNum), "·")</f>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f t="shared" ref="H159" si="357" xml:space="preserve"> IF(LEN(ChartLines.Hex6)=6, HEX2DEC(LEFT(ChartLines.Hex6, 2)), "·")</f>
        <v>252</v>
      </c>
      <c r="I159">
        <f t="shared" ref="I159" si="358" xml:space="preserve"> IF(LEN(ChartLines.Hex6)=6, HEX2DEC(MID(ChartLines.Hex6, 3, 2)), "·")</f>
        <v>209</v>
      </c>
      <c r="J159">
        <f t="shared" ref="J159" si="359" xml:space="preserve"> IF(LEN(ChartLines.Hex6)=6, HEX2DEC(RIGHT(ChartLines.Hex6, 2)), "·")</f>
        <v>22</v>
      </c>
      <c r="K159" cm="1">
        <f t="array" ref="K159" xml:space="preserve"> 1 + ROW() - _xlfn.SINGLE(ROW(ChartLines.RowNum))</f>
        <v>157</v>
      </c>
    </row>
    <row r="160" spans="2:11">
      <c r="B160" t="s">
        <v>261</v>
      </c>
      <c r="C160" t="s">
        <v>1893</v>
      </c>
      <c r="E160">
        <f t="shared" ref="E160" si="360" xml:space="preserve"> IF(AND(LEN(ChartLines.ID)&gt;0,"Unused"&lt;&gt;ChartLines.ID), COUNTIFS(ChartLines.ID,ChartLines.ID), "·")</f>
        <v>2</v>
      </c>
      <c r="F160">
        <f t="shared" ref="F160" si="36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f t="shared" ref="H160" si="362" xml:space="preserve"> IF(LEN(ChartLines.Hex6)=6, HEX2DEC(LEFT(ChartLines.Hex6, 2)), "·")</f>
        <v>255</v>
      </c>
      <c r="I160">
        <f t="shared" ref="I160" si="363" xml:space="preserve"> IF(LEN(ChartLines.Hex6)=6, HEX2DEC(MID(ChartLines.Hex6, 3, 2)), "·")</f>
        <v>255</v>
      </c>
      <c r="J160">
        <f t="shared" ref="J160" si="364" xml:space="preserve"> IF(LEN(ChartLines.Hex6)=6, HEX2DEC(RIGHT(ChartLines.Hex6, 2)), "·")</f>
        <v>0</v>
      </c>
      <c r="K160" cm="1">
        <f t="array" ref="K160" xml:space="preserve"> 1 + ROW() - _xlfn.SINGLE(ROW(ChartLines.RowNum))</f>
        <v>158</v>
      </c>
    </row>
    <row r="161" spans="2:11">
      <c r="B161" t="s">
        <v>261</v>
      </c>
      <c r="C161" t="s">
        <v>1894</v>
      </c>
      <c r="E161">
        <f t="shared" ref="E161" si="365" xml:space="preserve"> IF(AND(LEN(ChartLines.ID)&gt;0,"Unused"&lt;&gt;ChartLines.ID), COUNTIFS(ChartLines.ID,ChartLines.ID), "·")</f>
        <v>2</v>
      </c>
      <c r="F161">
        <f t="shared" ref="F161" si="366"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f t="shared" ref="H161" si="367" xml:space="preserve"> IF(LEN(ChartLines.Hex6)=6, HEX2DEC(LEFT(ChartLines.Hex6, 2)), "·")</f>
        <v>218</v>
      </c>
      <c r="I161">
        <f t="shared" ref="I161" si="368" xml:space="preserve"> IF(LEN(ChartLines.Hex6)=6, HEX2DEC(MID(ChartLines.Hex6, 3, 2)), "·")</f>
        <v>37</v>
      </c>
      <c r="J161">
        <f t="shared" ref="J161" si="369" xml:space="preserve"> IF(LEN(ChartLines.Hex6)=6, HEX2DEC(RIGHT(ChartLines.Hex6, 2)), "·")</f>
        <v>29</v>
      </c>
      <c r="K161" cm="1">
        <f t="array" ref="K161" xml:space="preserve"> 1 + ROW() - _xlfn.SINGLE(ROW(ChartLines.RowNum))</f>
        <v>159</v>
      </c>
    </row>
    <row r="162" spans="2:11">
      <c r="B162" t="s">
        <v>296</v>
      </c>
      <c r="C162" t="str">
        <f xml:space="preserve"> "250E62"</f>
        <v>250E62</v>
      </c>
      <c r="E162">
        <f t="shared" ref="E162" si="370" xml:space="preserve"> IF(AND(LEN(ChartLines.ID)&gt;0,"Unused"&lt;&gt;ChartLines.ID), COUNTIFS(ChartLines.ID,ChartLines.ID), "·")</f>
        <v>2</v>
      </c>
      <c r="F162">
        <f t="shared" ref="F162" si="371"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f t="shared" ref="H162" si="372" xml:space="preserve"> IF(LEN(ChartLines.Hex6)=6, HEX2DEC(LEFT(ChartLines.Hex6, 2)), "·")</f>
        <v>37</v>
      </c>
      <c r="I162">
        <f t="shared" ref="I162" si="373" xml:space="preserve"> IF(LEN(ChartLines.Hex6)=6, HEX2DEC(MID(ChartLines.Hex6, 3, 2)), "·")</f>
        <v>14</v>
      </c>
      <c r="J162">
        <f t="shared" ref="J162" si="374" xml:space="preserve"> IF(LEN(ChartLines.Hex6)=6, HEX2DEC(RIGHT(ChartLines.Hex6, 2)), "·")</f>
        <v>98</v>
      </c>
      <c r="K162" cm="1">
        <f t="array" ref="K162" xml:space="preserve"> 1 + ROW() - _xlfn.SINGLE(ROW(ChartLines.RowNum))</f>
        <v>160</v>
      </c>
    </row>
    <row r="163" spans="2:11">
      <c r="B163" t="s">
        <v>296</v>
      </c>
      <c r="C163" t="s">
        <v>1839</v>
      </c>
      <c r="E163">
        <f t="shared" ref="E163" si="375" xml:space="preserve"> IF(AND(LEN(ChartLines.ID)&gt;0,"Unused"&lt;&gt;ChartLines.ID), COUNTIFS(ChartLines.ID,ChartLines.ID), "·")</f>
        <v>2</v>
      </c>
      <c r="F163">
        <f t="shared" ref="F163" si="376"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f t="shared" ref="H163" si="377" xml:space="preserve"> IF(LEN(ChartLines.Hex6)=6, HEX2DEC(LEFT(ChartLines.Hex6, 2)), "·")</f>
        <v>255</v>
      </c>
      <c r="I163">
        <f t="shared" ref="I163" si="378" xml:space="preserve"> IF(LEN(ChartLines.Hex6)=6, HEX2DEC(MID(ChartLines.Hex6, 3, 2)), "·")</f>
        <v>255</v>
      </c>
      <c r="J163">
        <f t="shared" ref="J163" si="379" xml:space="preserve"> IF(LEN(ChartLines.Hex6)=6, HEX2DEC(RIGHT(ChartLines.Hex6, 2)), "·")</f>
        <v>255</v>
      </c>
      <c r="K163" cm="1">
        <f t="array" ref="K163" xml:space="preserve"> 1 + ROW() - _xlfn.SINGLE(ROW(ChartLines.RowNum))</f>
        <v>161</v>
      </c>
    </row>
    <row r="164" spans="2:11">
      <c r="B164" t="s">
        <v>135</v>
      </c>
      <c r="C164" t="s">
        <v>1895</v>
      </c>
      <c r="E164">
        <f t="shared" ref="E164" si="380" xml:space="preserve"> IF(AND(LEN(ChartLines.ID)&gt;0,"Unused"&lt;&gt;ChartLines.ID), COUNTIFS(ChartLines.ID,ChartLines.ID), "·")</f>
        <v>2</v>
      </c>
      <c r="F164">
        <f t="shared" ref="F164" si="381"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f t="shared" ref="H164" si="382" xml:space="preserve"> IF(LEN(ChartLines.Hex6)=6, HEX2DEC(LEFT(ChartLines.Hex6, 2)), "·")</f>
        <v>1</v>
      </c>
      <c r="I164">
        <f t="shared" ref="I164" si="383" xml:space="preserve"> IF(LEN(ChartLines.Hex6)=6, HEX2DEC(MID(ChartLines.Hex6, 3, 2)), "·")</f>
        <v>65</v>
      </c>
      <c r="J164">
        <f t="shared" ref="J164" si="384" xml:space="preserve"> IF(LEN(ChartLines.Hex6)=6, HEX2DEC(RIGHT(ChartLines.Hex6, 2)), "·")</f>
        <v>28</v>
      </c>
      <c r="K164" cm="1">
        <f t="array" ref="K164" xml:space="preserve"> 1 + ROW() - _xlfn.SINGLE(ROW(ChartLines.RowNum))</f>
        <v>162</v>
      </c>
    </row>
    <row r="165" spans="2:11">
      <c r="B165" t="s">
        <v>135</v>
      </c>
      <c r="C165" t="s">
        <v>1839</v>
      </c>
      <c r="E165">
        <f t="shared" ref="E165" si="385" xml:space="preserve"> IF(AND(LEN(ChartLines.ID)&gt;0,"Unused"&lt;&gt;ChartLines.ID), COUNTIFS(ChartLines.ID,ChartLines.ID), "·")</f>
        <v>2</v>
      </c>
      <c r="F165">
        <f t="shared" ref="F165" si="386"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f t="shared" ref="H165" si="387" xml:space="preserve"> IF(LEN(ChartLines.Hex6)=6, HEX2DEC(LEFT(ChartLines.Hex6, 2)), "·")</f>
        <v>255</v>
      </c>
      <c r="I165">
        <f t="shared" ref="I165" si="388" xml:space="preserve"> IF(LEN(ChartLines.Hex6)=6, HEX2DEC(MID(ChartLines.Hex6, 3, 2)), "·")</f>
        <v>255</v>
      </c>
      <c r="J165">
        <f t="shared" ref="J165" si="389" xml:space="preserve"> IF(LEN(ChartLines.Hex6)=6, HEX2DEC(RIGHT(ChartLines.Hex6, 2)), "·")</f>
        <v>255</v>
      </c>
      <c r="K165" cm="1">
        <f t="array" ref="K165" xml:space="preserve"> 1 + ROW() - _xlfn.SINGLE(ROW(ChartLines.RowNum))</f>
        <v>163</v>
      </c>
    </row>
    <row r="166" spans="2:11">
      <c r="B166" t="s">
        <v>97</v>
      </c>
      <c r="C166" t="s">
        <v>1896</v>
      </c>
      <c r="E166">
        <f t="shared" ref="E166" si="390" xml:space="preserve"> IF(AND(LEN(ChartLines.ID)&gt;0,"Unused"&lt;&gt;ChartLines.ID), COUNTIFS(ChartLines.ID,ChartLines.ID), "·")</f>
        <v>2</v>
      </c>
      <c r="F166">
        <f t="shared" ref="F166" si="391"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f t="shared" ref="H166" si="392" xml:space="preserve"> IF(LEN(ChartLines.Hex6)=6, HEX2DEC(LEFT(ChartLines.Hex6, 2)), "·")</f>
        <v>0</v>
      </c>
      <c r="I166">
        <f t="shared" ref="I166" si="393" xml:space="preserve"> IF(LEN(ChartLines.Hex6)=6, HEX2DEC(MID(ChartLines.Hex6, 3, 2)), "·")</f>
        <v>106</v>
      </c>
      <c r="J166">
        <f t="shared" ref="J166" si="394" xml:space="preserve"> IF(LEN(ChartLines.Hex6)=6, HEX2DEC(RIGHT(ChartLines.Hex6, 2)), "·")</f>
        <v>78</v>
      </c>
      <c r="K166" cm="1">
        <f t="array" ref="K166" xml:space="preserve"> 1 + ROW() - _xlfn.SINGLE(ROW(ChartLines.RowNum))</f>
        <v>164</v>
      </c>
    </row>
    <row r="167" spans="2:11">
      <c r="B167" t="s">
        <v>97</v>
      </c>
      <c r="C167" t="s">
        <v>1897</v>
      </c>
      <c r="E167">
        <f t="shared" ref="E167" si="395" xml:space="preserve"> IF(AND(LEN(ChartLines.ID)&gt;0,"Unused"&lt;&gt;ChartLines.ID), COUNTIFS(ChartLines.ID,ChartLines.ID), "·")</f>
        <v>2</v>
      </c>
      <c r="F167">
        <f t="shared" ref="F167" si="396"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f t="shared" ref="H167" si="397" xml:space="preserve"> IF(LEN(ChartLines.Hex6)=6, HEX2DEC(LEFT(ChartLines.Hex6, 2)), "·")</f>
        <v>244</v>
      </c>
      <c r="I167">
        <f t="shared" ref="I167" si="398" xml:space="preserve"> IF(LEN(ChartLines.Hex6)=6, HEX2DEC(MID(ChartLines.Hex6, 3, 2)), "·")</f>
        <v>42</v>
      </c>
      <c r="J167">
        <f t="shared" ref="J167" si="399" xml:space="preserve"> IF(LEN(ChartLines.Hex6)=6, HEX2DEC(RIGHT(ChartLines.Hex6, 2)), "·")</f>
        <v>65</v>
      </c>
      <c r="K167" cm="1">
        <f t="array" ref="K167" xml:space="preserve"> 1 + ROW() - _xlfn.SINGLE(ROW(ChartLines.RowNum))</f>
        <v>165</v>
      </c>
    </row>
    <row r="168" spans="2:11">
      <c r="B168" t="s">
        <v>164</v>
      </c>
      <c r="C168" t="s">
        <v>1898</v>
      </c>
      <c r="E168">
        <f t="shared" ref="E168" si="400" xml:space="preserve"> IF(AND(LEN(ChartLines.ID)&gt;0,"Unused"&lt;&gt;ChartLines.ID), COUNTIFS(ChartLines.ID,ChartLines.ID), "·")</f>
        <v>2</v>
      </c>
      <c r="F168">
        <f t="shared" ref="F168" si="401"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f t="shared" ref="H168" si="402" xml:space="preserve"> IF(LEN(ChartLines.Hex6)=6, HEX2DEC(LEFT(ChartLines.Hex6, 2)), "·")</f>
        <v>121</v>
      </c>
      <c r="I168">
        <f t="shared" ref="I168" si="403" xml:space="preserve"> IF(LEN(ChartLines.Hex6)=6, HEX2DEC(MID(ChartLines.Hex6, 3, 2)), "·")</f>
        <v>5</v>
      </c>
      <c r="J168">
        <f t="shared" ref="J168" si="404" xml:space="preserve"> IF(LEN(ChartLines.Hex6)=6, HEX2DEC(RIGHT(ChartLines.Hex6, 2)), "·")</f>
        <v>44</v>
      </c>
      <c r="K168" cm="1">
        <f t="array" ref="K168" xml:space="preserve"> 1 + ROW() - _xlfn.SINGLE(ROW(ChartLines.RowNum))</f>
        <v>166</v>
      </c>
    </row>
    <row r="169" spans="2:11">
      <c r="B169" t="s">
        <v>164</v>
      </c>
      <c r="C169" t="s">
        <v>1899</v>
      </c>
      <c r="E169">
        <f t="shared" ref="E169" si="405" xml:space="preserve"> IF(AND(LEN(ChartLines.ID)&gt;0,"Unused"&lt;&gt;ChartLines.ID), COUNTIFS(ChartLines.ID,ChartLines.ID), "·")</f>
        <v>2</v>
      </c>
      <c r="F169">
        <f t="shared" ref="F169" si="406"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f t="shared" ref="H169" si="407" xml:space="preserve"> IF(LEN(ChartLines.Hex6)=6, HEX2DEC(LEFT(ChartLines.Hex6, 2)), "·")</f>
        <v>253</v>
      </c>
      <c r="I169">
        <f t="shared" ref="I169" si="408" xml:space="preserve"> IF(LEN(ChartLines.Hex6)=6, HEX2DEC(MID(ChartLines.Hex6, 3, 2)), "·")</f>
        <v>178</v>
      </c>
      <c r="J169">
        <f t="shared" ref="J169" si="409" xml:space="preserve"> IF(LEN(ChartLines.Hex6)=6, HEX2DEC(RIGHT(ChartLines.Hex6, 2)), "·")</f>
        <v>33</v>
      </c>
      <c r="K169" cm="1">
        <f t="array" ref="K169" xml:space="preserve"> 1 + ROW() - _xlfn.SINGLE(ROW(ChartLines.RowNum))</f>
        <v>167</v>
      </c>
    </row>
    <row r="170" spans="2:11">
      <c r="B170" t="s">
        <v>1900</v>
      </c>
      <c r="C170" t="s">
        <v>1901</v>
      </c>
      <c r="E170">
        <f t="shared" ref="E170:E174" si="410" xml:space="preserve"> IF(AND(LEN(ChartLines.ID)&gt;0,"Unused"&lt;&gt;ChartLines.ID), COUNTIFS(ChartLines.ID,ChartLines.ID), "·")</f>
        <v>2</v>
      </c>
      <c r="F170">
        <f t="shared" ref="F170:F174" si="41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f t="shared" ref="H170:H174" si="412" xml:space="preserve"> IF(LEN(ChartLines.Hex6)=6, HEX2DEC(LEFT(ChartLines.Hex6, 2)), "·")</f>
        <v>0</v>
      </c>
      <c r="I170">
        <f t="shared" ref="I170:I174" si="413" xml:space="preserve"> IF(LEN(ChartLines.Hex6)=6, HEX2DEC(MID(ChartLines.Hex6, 3, 2)), "·")</f>
        <v>174</v>
      </c>
      <c r="J170">
        <f t="shared" ref="J170:J174" si="414" xml:space="preserve"> IF(LEN(ChartLines.Hex6)=6, HEX2DEC(RIGHT(ChartLines.Hex6, 2)), "·")</f>
        <v>199</v>
      </c>
      <c r="K170" cm="1">
        <f t="array" ref="K170" xml:space="preserve"> 1 + ROW() - _xlfn.SINGLE(ROW(ChartLines.RowNum))</f>
        <v>168</v>
      </c>
    </row>
    <row r="171" spans="2:11">
      <c r="B171" t="s">
        <v>1900</v>
      </c>
      <c r="C171" t="s">
        <v>1902</v>
      </c>
      <c r="E171">
        <f t="shared" ref="E171:E175" si="415" xml:space="preserve"> IF(AND(LEN(ChartLines.ID)&gt;0,"Unused"&lt;&gt;ChartLines.ID), COUNTIFS(ChartLines.ID,ChartLines.ID), "·")</f>
        <v>2</v>
      </c>
      <c r="F171">
        <f t="shared" ref="F171:F175" si="416"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f t="shared" ref="H171:H175" si="417" xml:space="preserve"> IF(LEN(ChartLines.Hex6)=6, HEX2DEC(LEFT(ChartLines.Hex6, 2)), "·")</f>
        <v>246</v>
      </c>
      <c r="I171">
        <f t="shared" ref="I171:I175" si="418" xml:space="preserve"> IF(LEN(ChartLines.Hex6)=6, HEX2DEC(MID(ChartLines.Hex6, 3, 2)), "·")</f>
        <v>229</v>
      </c>
      <c r="J171">
        <f t="shared" ref="J171:J175" si="419" xml:space="preserve"> IF(LEN(ChartLines.Hex6)=6, HEX2DEC(RIGHT(ChartLines.Hex6, 2)), "·")</f>
        <v>0</v>
      </c>
      <c r="K171" cm="1">
        <f t="array" ref="K171" xml:space="preserve"> 1 + ROW() - _xlfn.SINGLE(ROW(ChartLines.RowNum))</f>
        <v>169</v>
      </c>
    </row>
    <row r="172" spans="2:11">
      <c r="B172" t="s">
        <v>2311</v>
      </c>
      <c r="C172" t="s">
        <v>2406</v>
      </c>
      <c r="E172">
        <f t="shared" si="410"/>
        <v>2</v>
      </c>
      <c r="F172">
        <f t="shared" si="411"/>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f t="shared" si="412"/>
        <v>30</v>
      </c>
      <c r="I172">
        <f t="shared" si="413"/>
        <v>181</v>
      </c>
      <c r="J172">
        <f t="shared" si="414"/>
        <v>58</v>
      </c>
      <c r="K172" cm="1">
        <f t="array" ref="K172" xml:space="preserve"> 1 + ROW() - _xlfn.SINGLE(ROW(ChartLines.RowNum))</f>
        <v>170</v>
      </c>
    </row>
    <row r="173" spans="2:11">
      <c r="B173" t="s">
        <v>2311</v>
      </c>
      <c r="C173" t="s">
        <v>2405</v>
      </c>
      <c r="E173">
        <f t="shared" si="415"/>
        <v>2</v>
      </c>
      <c r="F173">
        <f t="shared" si="416"/>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f t="shared" si="417"/>
        <v>0</v>
      </c>
      <c r="I173">
        <f t="shared" si="418"/>
        <v>153</v>
      </c>
      <c r="J173">
        <f t="shared" si="419"/>
        <v>181</v>
      </c>
      <c r="K173" cm="1">
        <f t="array" ref="K173" xml:space="preserve"> 1 + ROW() - _xlfn.SINGLE(ROW(ChartLines.RowNum))</f>
        <v>171</v>
      </c>
    </row>
    <row r="174" spans="2:11">
      <c r="B174" t="s">
        <v>2409</v>
      </c>
      <c r="C174" t="s">
        <v>1940</v>
      </c>
      <c r="E174">
        <f t="shared" si="410"/>
        <v>2</v>
      </c>
      <c r="F174">
        <f t="shared" si="411"/>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f t="shared" si="412"/>
        <v>255</v>
      </c>
      <c r="I174">
        <f t="shared" si="413"/>
        <v>199</v>
      </c>
      <c r="J174">
        <f t="shared" si="414"/>
        <v>44</v>
      </c>
      <c r="K174" cm="1">
        <f t="array" ref="K174" xml:space="preserve"> 1 + ROW() - _xlfn.SINGLE(ROW(ChartLines.RowNum))</f>
        <v>172</v>
      </c>
    </row>
    <row r="175" spans="2:11">
      <c r="B175" t="s">
        <v>2409</v>
      </c>
      <c r="C175" t="s">
        <v>2410</v>
      </c>
      <c r="E175">
        <f t="shared" si="415"/>
        <v>2</v>
      </c>
      <c r="F175">
        <f t="shared" si="416"/>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f t="shared" si="417"/>
        <v>0</v>
      </c>
      <c r="I175">
        <f t="shared" si="418"/>
        <v>133</v>
      </c>
      <c r="J175">
        <f t="shared" si="419"/>
        <v>58</v>
      </c>
      <c r="K175" cm="1">
        <f t="array" ref="K175" xml:space="preserve"> 1 + ROW() - _xlfn.SINGLE(ROW(ChartLines.RowNum))</f>
        <v>173</v>
      </c>
    </row>
    <row r="176" spans="2:11">
      <c r="B176" t="s">
        <v>1614</v>
      </c>
      <c r="C176" t="s">
        <v>1903</v>
      </c>
      <c r="E176">
        <f t="shared" ref="E176" si="420" xml:space="preserve"> IF(AND(LEN(ChartLines.ID)&gt;0,"Unused"&lt;&gt;ChartLines.ID), COUNTIFS(ChartLines.ID,ChartLines.ID), "·")</f>
        <v>2</v>
      </c>
      <c r="F176">
        <f t="shared" ref="F176" si="421" xml:space="preserve"> IF(AND(LEN(ChartLines.ID)&gt;0,"Unused"&lt;&gt;ChartLines.ID), COUNTIFS(ChartLines.ID,ChartLines.ID,   ChartLines.RowNum,"&lt;="&amp;ChartLines.RowNum), "·")</f>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f t="shared" ref="H176" si="422" xml:space="preserve"> IF(LEN(ChartLines.Hex6)=6, HEX2DEC(LEFT(ChartLines.Hex6, 2)), "·")</f>
        <v>0</v>
      </c>
      <c r="I176">
        <f t="shared" ref="I176" si="423" xml:space="preserve"> IF(LEN(ChartLines.Hex6)=6, HEX2DEC(MID(ChartLines.Hex6, 3, 2)), "·")</f>
        <v>102</v>
      </c>
      <c r="J176">
        <f t="shared" ref="J176" si="424" xml:space="preserve"> IF(LEN(ChartLines.Hex6)=6, HEX2DEC(RIGHT(ChartLines.Hex6, 2)), "·")</f>
        <v>179</v>
      </c>
      <c r="K176" cm="1">
        <f t="array" ref="K176" xml:space="preserve"> 1 + ROW() - _xlfn.SINGLE(ROW(ChartLines.RowNum))</f>
        <v>174</v>
      </c>
    </row>
    <row r="177" spans="2:11">
      <c r="B177" t="s">
        <v>1614</v>
      </c>
      <c r="C177" t="s">
        <v>1904</v>
      </c>
      <c r="E177">
        <f t="shared" ref="E177:E181" si="425" xml:space="preserve"> IF(AND(LEN(ChartLines.ID)&gt;0,"Unused"&lt;&gt;ChartLines.ID), COUNTIFS(ChartLines.ID,ChartLines.ID), "·")</f>
        <v>2</v>
      </c>
      <c r="F177">
        <f t="shared" ref="F177:F181" si="426" xml:space="preserve"> IF(AND(LEN(ChartLines.ID)&gt;0,"Unused"&lt;&gt;ChartLines.ID), COUNTIFS(ChartLines.ID,ChartLines.ID,   ChartLines.RowNum,"&lt;="&amp;ChartLines.RowNum), "·")</f>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f t="shared" ref="H177:H181" si="427" xml:space="preserve"> IF(LEN(ChartLines.Hex6)=6, HEX2DEC(LEFT(ChartLines.Hex6, 2)), "·")</f>
        <v>218</v>
      </c>
      <c r="I177">
        <f t="shared" ref="I177:I181" si="428" xml:space="preserve"> IF(LEN(ChartLines.Hex6)=6, HEX2DEC(MID(ChartLines.Hex6, 3, 2)), "·")</f>
        <v>32</v>
      </c>
      <c r="J177">
        <f t="shared" ref="J177:J181" si="429" xml:space="preserve"> IF(LEN(ChartLines.Hex6)=6, HEX2DEC(RIGHT(ChartLines.Hex6, 2)), "·")</f>
        <v>50</v>
      </c>
      <c r="K177" cm="1">
        <f t="array" ref="K177" xml:space="preserve"> 1 + ROW() - _xlfn.SINGLE(ROW(ChartLines.RowNum))</f>
        <v>175</v>
      </c>
    </row>
    <row r="178" spans="2:11">
      <c r="B178" t="s">
        <v>2420</v>
      </c>
      <c r="C178" t="s">
        <v>2422</v>
      </c>
      <c r="E178">
        <f t="shared" si="425"/>
        <v>2</v>
      </c>
      <c r="F178">
        <f t="shared" si="426"/>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f t="shared" si="427"/>
        <v>220</v>
      </c>
      <c r="I178">
        <f t="shared" si="428"/>
        <v>20</v>
      </c>
      <c r="J178">
        <f t="shared" si="429"/>
        <v>60</v>
      </c>
      <c r="K178" cm="1">
        <f t="array" ref="K178" xml:space="preserve"> 1 + ROW() - _xlfn.SINGLE(ROW(ChartLines.RowNum))</f>
        <v>176</v>
      </c>
    </row>
    <row r="179" spans="2:11">
      <c r="B179" t="s">
        <v>2420</v>
      </c>
      <c r="C179" t="str">
        <f xml:space="preserve"> "000000"</f>
        <v>000000</v>
      </c>
      <c r="E179">
        <f t="shared" si="425"/>
        <v>2</v>
      </c>
      <c r="F179">
        <f t="shared" si="426"/>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f t="shared" si="427"/>
        <v>0</v>
      </c>
      <c r="I179">
        <f t="shared" si="428"/>
        <v>0</v>
      </c>
      <c r="J179">
        <f t="shared" si="429"/>
        <v>0</v>
      </c>
      <c r="K179" cm="1">
        <f t="array" ref="K179" xml:space="preserve"> 1 + ROW() - _xlfn.SINGLE(ROW(ChartLines.RowNum))</f>
        <v>177</v>
      </c>
    </row>
    <row r="180" spans="2:11">
      <c r="B180" t="s">
        <v>2268</v>
      </c>
      <c r="C180" t="str">
        <f xml:space="preserve"> "000000"</f>
        <v>000000</v>
      </c>
      <c r="E180">
        <f t="shared" si="425"/>
        <v>2</v>
      </c>
      <c r="F180">
        <f t="shared" si="426"/>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f t="shared" si="427"/>
        <v>0</v>
      </c>
      <c r="I180">
        <f t="shared" si="428"/>
        <v>0</v>
      </c>
      <c r="J180">
        <f t="shared" si="429"/>
        <v>0</v>
      </c>
      <c r="K180" cm="1">
        <f t="array" ref="K180" xml:space="preserve"> 1 + ROW() - _xlfn.SINGLE(ROW(ChartLines.RowNum))</f>
        <v>178</v>
      </c>
    </row>
    <row r="181" spans="2:11">
      <c r="B181" t="s">
        <v>2268</v>
      </c>
      <c r="C181" t="s">
        <v>2301</v>
      </c>
      <c r="E181">
        <f t="shared" si="425"/>
        <v>2</v>
      </c>
      <c r="F181">
        <f t="shared" si="426"/>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f t="shared" si="427"/>
        <v>237</v>
      </c>
      <c r="I181">
        <f t="shared" si="428"/>
        <v>28</v>
      </c>
      <c r="J181">
        <f t="shared" si="429"/>
        <v>39</v>
      </c>
      <c r="K181" cm="1">
        <f t="array" ref="K181" xml:space="preserve"> 1 + ROW() - _xlfn.SINGLE(ROW(ChartLines.RowNum))</f>
        <v>179</v>
      </c>
    </row>
    <row r="182" spans="2:11">
      <c r="E182" t="str">
        <f t="shared" ref="E182" si="430" xml:space="preserve"> IF(AND(LEN(ChartLines.ID)&gt;0,"Unused"&lt;&gt;ChartLines.ID), COUNTIFS(ChartLines.ID,ChartLines.ID), "·")</f>
        <v>·</v>
      </c>
      <c r="F182" t="str">
        <f t="shared" ref="F182" si="431" xml:space="preserve"> IF(AND(LEN(ChartLines.ID)&gt;0,"Unused"&lt;&gt;ChartLines.ID), COUNTIFS(ChartLines.ID,ChartLines.ID,   ChartLines.RowNum,"&lt;="&amp;ChartLines.RowNum), "·")</f>
        <v>·</v>
      </c>
      <c r="G182" t="str" cm="1">
        <f t="array" ref="G182" xml:space="preserve"> _xlfn.IFS(OR(LEN(_xlfn.SINGLE(ChartLines.ID))=0,"Unused"=_xlfn.SINGLE(ChartLines.ID)), "·",   1=_xlfn.SINGLE(ChartLines.NumInstances), IF("USD"=_xlfn.SINGLE(ChartLines.ID), "SoleBig", "SoleOrdinary"),   1=_xlfn.SINGLE(ChartLines.InstanceNum), "Outer",   TRUE, "Inner")</f>
        <v>·</v>
      </c>
      <c r="H182" t="str">
        <f t="shared" ref="H182" si="432" xml:space="preserve"> IF(LEN(ChartLines.Hex6)=6, HEX2DEC(LEFT(ChartLines.Hex6, 2)), "·")</f>
        <v>·</v>
      </c>
      <c r="I182" t="str">
        <f t="shared" ref="I182" si="433" xml:space="preserve"> IF(LEN(ChartLines.Hex6)=6, HEX2DEC(MID(ChartLines.Hex6, 3, 2)), "·")</f>
        <v>·</v>
      </c>
      <c r="J182" t="str">
        <f t="shared" ref="J182" si="434" xml:space="preserve"> IF(LEN(ChartLines.Hex6)=6, HEX2DEC(RIGHT(ChartLines.Hex6, 2)), "·")</f>
        <v>·</v>
      </c>
      <c r="K182" cm="1">
        <f t="array" ref="K182" xml:space="preserve"> 1 + ROW() - _xlfn.SINGLE(ROW(ChartLines.RowNum))</f>
        <v>180</v>
      </c>
    </row>
    <row r="183" spans="2:11">
      <c r="B183" t="s">
        <v>879</v>
      </c>
      <c r="C183" t="s">
        <v>1905</v>
      </c>
      <c r="E183">
        <f t="shared" ref="E183" si="435" xml:space="preserve"> IF(AND(LEN(ChartLines.ID)&gt;0,"Unused"&lt;&gt;ChartLines.ID), COUNTIFS(ChartLines.ID,ChartLines.ID), "·")</f>
        <v>2</v>
      </c>
      <c r="F183">
        <f t="shared" ref="F183" si="436" xml:space="preserve"> IF(AND(LEN(ChartLines.ID)&gt;0,"Unused"&lt;&gt;ChartLines.ID), COUNTIFS(ChartLines.ID,ChartLines.ID,   ChartLines.RowNum,"&lt;="&amp;ChartLines.RowNum), "·")</f>
        <v>1</v>
      </c>
      <c r="G183" t="str" cm="1">
        <f t="array" ref="G183" xml:space="preserve"> _xlfn.IFS(OR(LEN(_xlfn.SINGLE(ChartLines.ID))=0,"Unused"=_xlfn.SINGLE(ChartLines.ID)), "·",   1=_xlfn.SINGLE(ChartLines.NumInstances), IF("USD"=_xlfn.SINGLE(ChartLines.ID), "SoleBig", "SoleOrdinary"),   1=_xlfn.SINGLE(ChartLines.InstanceNum), "Outer",   TRUE, "Inner")</f>
        <v>Outer</v>
      </c>
      <c r="H183">
        <f t="shared" ref="H183" si="437" xml:space="preserve"> IF(LEN(ChartLines.Hex6)=6, HEX2DEC(LEFT(ChartLines.Hex6, 2)), "·")</f>
        <v>199</v>
      </c>
      <c r="I183">
        <f t="shared" ref="I183" si="438" xml:space="preserve"> IF(LEN(ChartLines.Hex6)=6, HEX2DEC(MID(ChartLines.Hex6, 3, 2)), "·")</f>
        <v>54</v>
      </c>
      <c r="J183">
        <f t="shared" ref="J183" si="439" xml:space="preserve"> IF(LEN(ChartLines.Hex6)=6, HEX2DEC(RIGHT(ChartLines.Hex6, 2)), "·")</f>
        <v>61</v>
      </c>
      <c r="K183" cm="1">
        <f t="array" ref="K183" xml:space="preserve"> 1 + ROW() - _xlfn.SINGLE(ROW(ChartLines.RowNum))</f>
        <v>181</v>
      </c>
    </row>
    <row r="184" spans="2:11">
      <c r="B184" t="s">
        <v>879</v>
      </c>
      <c r="C184" t="s">
        <v>1906</v>
      </c>
      <c r="E184">
        <f t="shared" ref="E184" si="440" xml:space="preserve"> IF(AND(LEN(ChartLines.ID)&gt;0,"Unused"&lt;&gt;ChartLines.ID), COUNTIFS(ChartLines.ID,ChartLines.ID), "·")</f>
        <v>2</v>
      </c>
      <c r="F184">
        <f t="shared" ref="F184" si="441" xml:space="preserve"> IF(AND(LEN(ChartLines.ID)&gt;0,"Unused"&lt;&gt;ChartLines.ID), COUNTIFS(ChartLines.ID,ChartLines.ID,   ChartLines.RowNum,"&lt;="&amp;ChartLines.RowNum), "·")</f>
        <v>2</v>
      </c>
      <c r="G184" t="str" cm="1">
        <f t="array" ref="G184" xml:space="preserve"> _xlfn.IFS(OR(LEN(_xlfn.SINGLE(ChartLines.ID))=0,"Unused"=_xlfn.SINGLE(ChartLines.ID)), "·",   1=_xlfn.SINGLE(ChartLines.NumInstances), IF("USD"=_xlfn.SINGLE(ChartLines.ID), "SoleBig", "SoleOrdinary"),   1=_xlfn.SINGLE(ChartLines.InstanceNum), "Outer",   TRUE, "Inner")</f>
        <v>Inner</v>
      </c>
      <c r="H184">
        <f t="shared" ref="H184" si="442" xml:space="preserve"> IF(LEN(ChartLines.Hex6)=6, HEX2DEC(LEFT(ChartLines.Hex6, 2)), "·")</f>
        <v>12</v>
      </c>
      <c r="I184">
        <f t="shared" ref="I184" si="443" xml:space="preserve"> IF(LEN(ChartLines.Hex6)=6, HEX2DEC(MID(ChartLines.Hex6, 3, 2)), "·")</f>
        <v>64</v>
      </c>
      <c r="J184">
        <f t="shared" ref="J184" si="444" xml:space="preserve"> IF(LEN(ChartLines.Hex6)=6, HEX2DEC(RIGHT(ChartLines.Hex6, 2)), "·")</f>
        <v>119</v>
      </c>
      <c r="K184" cm="1">
        <f t="array" ref="K184" xml:space="preserve"> 1 + ROW() - _xlfn.SINGLE(ROW(ChartLines.RowNum))</f>
        <v>182</v>
      </c>
    </row>
    <row r="185" spans="2:11">
      <c r="B185" t="s">
        <v>394</v>
      </c>
      <c r="C185" t="str">
        <f xml:space="preserve"> "000000"</f>
        <v>000000</v>
      </c>
      <c r="E185">
        <f t="shared" ref="E185" si="445" xml:space="preserve"> IF(AND(LEN(ChartLines.ID)&gt;0,"Unused"&lt;&gt;ChartLines.ID), COUNTIFS(ChartLines.ID,ChartLines.ID), "·")</f>
        <v>2</v>
      </c>
      <c r="F185">
        <f t="shared" ref="F185" si="446" xml:space="preserve"> IF(AND(LEN(ChartLines.ID)&gt;0,"Unused"&lt;&gt;ChartLines.ID), COUNTIFS(ChartLines.ID,ChartLines.ID,   ChartLines.RowNum,"&lt;="&amp;ChartLines.RowNum), "·")</f>
        <v>1</v>
      </c>
      <c r="G185" t="str" cm="1">
        <f t="array" ref="G185" xml:space="preserve"> _xlfn.IFS(OR(LEN(_xlfn.SINGLE(ChartLines.ID))=0,"Unused"=_xlfn.SINGLE(ChartLines.ID)), "·",   1=_xlfn.SINGLE(ChartLines.NumInstances), IF("USD"=_xlfn.SINGLE(ChartLines.ID), "SoleBig", "SoleOrdinary"),   1=_xlfn.SINGLE(ChartLines.InstanceNum), "Outer",   TRUE, "Inner")</f>
        <v>Outer</v>
      </c>
      <c r="H185">
        <f t="shared" ref="H185" si="447" xml:space="preserve"> IF(LEN(ChartLines.Hex6)=6, HEX2DEC(LEFT(ChartLines.Hex6, 2)), "·")</f>
        <v>0</v>
      </c>
      <c r="I185">
        <f t="shared" ref="I185" si="448" xml:space="preserve"> IF(LEN(ChartLines.Hex6)=6, HEX2DEC(MID(ChartLines.Hex6, 3, 2)), "·")</f>
        <v>0</v>
      </c>
      <c r="J185">
        <f t="shared" ref="J185" si="449" xml:space="preserve"> IF(LEN(ChartLines.Hex6)=6, HEX2DEC(RIGHT(ChartLines.Hex6, 2)), "·")</f>
        <v>0</v>
      </c>
      <c r="K185" cm="1">
        <f t="array" ref="K185" xml:space="preserve"> 1 + ROW() - _xlfn.SINGLE(ROW(ChartLines.RowNum))</f>
        <v>183</v>
      </c>
    </row>
    <row r="186" spans="2:11">
      <c r="B186" t="s">
        <v>394</v>
      </c>
      <c r="C186" t="s">
        <v>1857</v>
      </c>
      <c r="E186">
        <f t="shared" ref="E186" si="450" xml:space="preserve"> IF(AND(LEN(ChartLines.ID)&gt;0,"Unused"&lt;&gt;ChartLines.ID), COUNTIFS(ChartLines.ID,ChartLines.ID), "·")</f>
        <v>2</v>
      </c>
      <c r="F186">
        <f t="shared" ref="F186" si="451" xml:space="preserve"> IF(AND(LEN(ChartLines.ID)&gt;0,"Unused"&lt;&gt;ChartLines.ID), COUNTIFS(ChartLines.ID,ChartLines.ID,   ChartLines.RowNum,"&lt;="&amp;ChartLines.RowNum), "·")</f>
        <v>2</v>
      </c>
      <c r="G186" t="str" cm="1">
        <f t="array" ref="G186" xml:space="preserve"> _xlfn.IFS(OR(LEN(_xlfn.SINGLE(ChartLines.ID))=0,"Unused"=_xlfn.SINGLE(ChartLines.ID)), "·",   1=_xlfn.SINGLE(ChartLines.NumInstances), IF("USD"=_xlfn.SINGLE(ChartLines.ID), "SoleBig", "SoleOrdinary"),   1=_xlfn.SINGLE(ChartLines.InstanceNum), "Outer",   TRUE, "Inner")</f>
        <v>Inner</v>
      </c>
      <c r="H186">
        <f t="shared" ref="H186" si="452" xml:space="preserve"> IF(LEN(ChartLines.Hex6)=6, HEX2DEC(LEFT(ChartLines.Hex6, 2)), "·")</f>
        <v>218</v>
      </c>
      <c r="I186">
        <f t="shared" ref="I186" si="453" xml:space="preserve"> IF(LEN(ChartLines.Hex6)=6, HEX2DEC(MID(ChartLines.Hex6, 3, 2)), "·")</f>
        <v>41</v>
      </c>
      <c r="J186">
        <f t="shared" ref="J186" si="454" xml:space="preserve"> IF(LEN(ChartLines.Hex6)=6, HEX2DEC(RIGHT(ChartLines.Hex6, 2)), "·")</f>
        <v>28</v>
      </c>
      <c r="K186" cm="1">
        <f t="array" ref="K186" xml:space="preserve"> 1 + ROW() - _xlfn.SINGLE(ROW(ChartLines.RowNum))</f>
        <v>184</v>
      </c>
    </row>
    <row r="187" spans="2:11">
      <c r="B187" t="s">
        <v>406</v>
      </c>
      <c r="C187" t="s">
        <v>1907</v>
      </c>
      <c r="E187">
        <f t="shared" ref="E187" si="455" xml:space="preserve"> IF(AND(LEN(ChartLines.ID)&gt;0,"Unused"&lt;&gt;ChartLines.ID), COUNTIFS(ChartLines.ID,ChartLines.ID), "·")</f>
        <v>2</v>
      </c>
      <c r="F187">
        <f t="shared" ref="F187" si="456"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f t="shared" ref="H187" si="457" xml:space="preserve"> IF(LEN(ChartLines.Hex6)=6, HEX2DEC(LEFT(ChartLines.Hex6, 2)), "·")</f>
        <v>206</v>
      </c>
      <c r="I187">
        <f t="shared" ref="I187" si="458" xml:space="preserve"> IF(LEN(ChartLines.Hex6)=6, HEX2DEC(MID(ChartLines.Hex6, 3, 2)), "·")</f>
        <v>32</v>
      </c>
      <c r="J187">
        <f t="shared" ref="J187" si="459" xml:space="preserve"> IF(LEN(ChartLines.Hex6)=6, HEX2DEC(RIGHT(ChartLines.Hex6, 2)), "·")</f>
        <v>40</v>
      </c>
      <c r="K187" cm="1">
        <f t="array" ref="K187" xml:space="preserve"> 1 + ROW() - _xlfn.SINGLE(ROW(ChartLines.RowNum))</f>
        <v>185</v>
      </c>
    </row>
    <row r="188" spans="2:11">
      <c r="B188" t="s">
        <v>406</v>
      </c>
      <c r="C188" t="s">
        <v>1908</v>
      </c>
      <c r="E188">
        <f t="shared" ref="E188" si="460" xml:space="preserve"> IF(AND(LEN(ChartLines.ID)&gt;0,"Unused"&lt;&gt;ChartLines.ID), COUNTIFS(ChartLines.ID,ChartLines.ID), "·")</f>
        <v>2</v>
      </c>
      <c r="F188">
        <f t="shared" ref="F188" si="461"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f t="shared" ref="H188" si="462" xml:space="preserve"> IF(LEN(ChartLines.Hex6)=6, HEX2DEC(LEFT(ChartLines.Hex6, 2)), "·")</f>
        <v>249</v>
      </c>
      <c r="I188">
        <f t="shared" ref="I188" si="463" xml:space="preserve"> IF(LEN(ChartLines.Hex6)=6, HEX2DEC(MID(ChartLines.Hex6, 3, 2)), "·")</f>
        <v>214</v>
      </c>
      <c r="J188">
        <f t="shared" ref="J188" si="464" xml:space="preserve"> IF(LEN(ChartLines.Hex6)=6, HEX2DEC(RIGHT(ChartLines.Hex6, 2)), "·")</f>
        <v>22</v>
      </c>
      <c r="K188" cm="1">
        <f t="array" ref="K188" xml:space="preserve"> 1 + ROW() - _xlfn.SINGLE(ROW(ChartLines.RowNum))</f>
        <v>186</v>
      </c>
    </row>
    <row r="189" spans="2:11">
      <c r="B189" t="s">
        <v>1670</v>
      </c>
      <c r="C189" t="s">
        <v>1909</v>
      </c>
      <c r="E189">
        <f t="shared" ref="E189" si="465" xml:space="preserve"> IF(AND(LEN(ChartLines.ID)&gt;0,"Unused"&lt;&gt;ChartLines.ID), COUNTIFS(ChartLines.ID,ChartLines.ID), "·")</f>
        <v>2</v>
      </c>
      <c r="F189">
        <f t="shared" ref="F189" si="466"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f t="shared" ref="H189" si="467" xml:space="preserve"> IF(LEN(ChartLines.Hex6)=6, HEX2DEC(LEFT(ChartLines.Hex6, 2)), "·")</f>
        <v>255</v>
      </c>
      <c r="I189">
        <f t="shared" ref="I189" si="468" xml:space="preserve"> IF(LEN(ChartLines.Hex6)=6, HEX2DEC(MID(ChartLines.Hex6, 3, 2)), "·")</f>
        <v>210</v>
      </c>
      <c r="J189">
        <f t="shared" ref="J189" si="469" xml:space="preserve"> IF(LEN(ChartLines.Hex6)=6, HEX2DEC(RIGHT(ChartLines.Hex6, 2)), "·")</f>
        <v>0</v>
      </c>
      <c r="K189" cm="1">
        <f t="array" ref="K189" xml:space="preserve"> 1 + ROW() - _xlfn.SINGLE(ROW(ChartLines.RowNum))</f>
        <v>187</v>
      </c>
    </row>
    <row r="190" spans="2:11">
      <c r="B190" t="s">
        <v>1670</v>
      </c>
      <c r="C190" t="s">
        <v>1910</v>
      </c>
      <c r="E190">
        <f t="shared" ref="E190" si="470" xml:space="preserve"> IF(AND(LEN(ChartLines.ID)&gt;0,"Unused"&lt;&gt;ChartLines.ID), COUNTIFS(ChartLines.ID,ChartLines.ID), "·")</f>
        <v>2</v>
      </c>
      <c r="F190">
        <f t="shared" ref="F190" si="47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f t="shared" ref="H190" si="472" xml:space="preserve"> IF(LEN(ChartLines.Hex6)=6, HEX2DEC(LEFT(ChartLines.Hex6, 2)), "·")</f>
        <v>204</v>
      </c>
      <c r="I190">
        <f t="shared" ref="I190" si="473" xml:space="preserve"> IF(LEN(ChartLines.Hex6)=6, HEX2DEC(MID(ChartLines.Hex6, 3, 2)), "·")</f>
        <v>9</v>
      </c>
      <c r="J190">
        <f t="shared" ref="J190" si="474" xml:space="preserve"> IF(LEN(ChartLines.Hex6)=6, HEX2DEC(RIGHT(ChartLines.Hex6, 2)), "·")</f>
        <v>47</v>
      </c>
      <c r="K190" cm="1">
        <f t="array" ref="K190" xml:space="preserve"> 1 + ROW() - _xlfn.SINGLE(ROW(ChartLines.RowNum))</f>
        <v>188</v>
      </c>
    </row>
    <row r="191" spans="2:11">
      <c r="B191" t="s">
        <v>165</v>
      </c>
      <c r="C191" t="s">
        <v>1911</v>
      </c>
      <c r="E191">
        <f t="shared" ref="E191" si="475" xml:space="preserve"> IF(AND(LEN(ChartLines.ID)&gt;0,"Unused"&lt;&gt;ChartLines.ID), COUNTIFS(ChartLines.ID,ChartLines.ID), "·")</f>
        <v>2</v>
      </c>
      <c r="F191">
        <f t="shared" ref="F191" si="476"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f t="shared" ref="H191" si="477" xml:space="preserve"> IF(LEN(ChartLines.Hex6)=6, HEX2DEC(LEFT(ChartLines.Hex6, 2)), "·")</f>
        <v>0</v>
      </c>
      <c r="I191">
        <f t="shared" ref="I191" si="478" xml:space="preserve"> IF(LEN(ChartLines.Hex6)=6, HEX2DEC(MID(ChartLines.Hex6, 3, 2)), "·")</f>
        <v>87</v>
      </c>
      <c r="J191">
        <f t="shared" ref="J191" si="479" xml:space="preserve"> IF(LEN(ChartLines.Hex6)=6, HEX2DEC(RIGHT(ChartLines.Hex6, 2)), "·")</f>
        <v>183</v>
      </c>
      <c r="K191" cm="1">
        <f t="array" ref="K191" xml:space="preserve"> 1 + ROW() - _xlfn.SINGLE(ROW(ChartLines.RowNum))</f>
        <v>189</v>
      </c>
    </row>
    <row r="192" spans="2:11">
      <c r="B192" t="s">
        <v>165</v>
      </c>
      <c r="C192" t="s">
        <v>1979</v>
      </c>
      <c r="E192">
        <f t="shared" ref="E192" si="480" xml:space="preserve"> IF(AND(LEN(ChartLines.ID)&gt;0,"Unused"&lt;&gt;ChartLines.ID), COUNTIFS(ChartLines.ID,ChartLines.ID), "·")</f>
        <v>2</v>
      </c>
      <c r="F192">
        <f t="shared" ref="F192" si="481"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f t="shared" ref="H192" si="482" xml:space="preserve"> IF(LEN(ChartLines.Hex6)=6, HEX2DEC(LEFT(ChartLines.Hex6, 2)), "·")</f>
        <v>255</v>
      </c>
      <c r="I192">
        <f t="shared" ref="I192" si="483" xml:space="preserve"> IF(LEN(ChartLines.Hex6)=6, HEX2DEC(MID(ChartLines.Hex6, 3, 2)), "·")</f>
        <v>215</v>
      </c>
      <c r="J192">
        <f t="shared" ref="J192" si="484" xml:space="preserve"> IF(LEN(ChartLines.Hex6)=6, HEX2DEC(RIGHT(ChartLines.Hex6, 2)), "·")</f>
        <v>0</v>
      </c>
      <c r="K192" cm="1">
        <f t="array" ref="K192" xml:space="preserve"> 1 + ROW() - _xlfn.SINGLE(ROW(ChartLines.RowNum))</f>
        <v>190</v>
      </c>
    </row>
    <row r="193" spans="2:11">
      <c r="B193" t="s">
        <v>1912</v>
      </c>
      <c r="C193" t="s">
        <v>1838</v>
      </c>
      <c r="E193">
        <f t="shared" ref="E193" si="485" xml:space="preserve"> IF(AND(LEN(ChartLines.ID)&gt;0,"Unused"&lt;&gt;ChartLines.ID), COUNTIFS(ChartLines.ID,ChartLines.ID), "·")</f>
        <v>2</v>
      </c>
      <c r="F193">
        <f t="shared" ref="F193" si="486"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f t="shared" ref="H193" si="487" xml:space="preserve"> IF(LEN(ChartLines.Hex6)=6, HEX2DEC(LEFT(ChartLines.Hex6, 2)), "·")</f>
        <v>255</v>
      </c>
      <c r="I193">
        <f t="shared" ref="I193" si="488" xml:space="preserve"> IF(LEN(ChartLines.Hex6)=6, HEX2DEC(MID(ChartLines.Hex6, 3, 2)), "·")</f>
        <v>0</v>
      </c>
      <c r="J193">
        <f t="shared" ref="J193" si="489" xml:space="preserve"> IF(LEN(ChartLines.Hex6)=6, HEX2DEC(RIGHT(ChartLines.Hex6, 2)), "·")</f>
        <v>0</v>
      </c>
      <c r="K193" cm="1">
        <f t="array" ref="K193" xml:space="preserve"> 1 + ROW() - _xlfn.SINGLE(ROW(ChartLines.RowNum))</f>
        <v>191</v>
      </c>
    </row>
    <row r="194" spans="2:11">
      <c r="B194" t="s">
        <v>1912</v>
      </c>
      <c r="C194" t="s">
        <v>1839</v>
      </c>
      <c r="E194">
        <f t="shared" ref="E194:E198" si="490" xml:space="preserve"> IF(AND(LEN(ChartLines.ID)&gt;0,"Unused"&lt;&gt;ChartLines.ID), COUNTIFS(ChartLines.ID,ChartLines.ID), "·")</f>
        <v>2</v>
      </c>
      <c r="F194">
        <f t="shared" ref="F194:F198" si="491"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f t="shared" ref="H194:H198" si="492" xml:space="preserve"> IF(LEN(ChartLines.Hex6)=6, HEX2DEC(LEFT(ChartLines.Hex6, 2)), "·")</f>
        <v>255</v>
      </c>
      <c r="I194">
        <f t="shared" ref="I194:I198" si="493" xml:space="preserve"> IF(LEN(ChartLines.Hex6)=6, HEX2DEC(MID(ChartLines.Hex6, 3, 2)), "·")</f>
        <v>255</v>
      </c>
      <c r="J194">
        <f t="shared" ref="J194:J198" si="494" xml:space="preserve"> IF(LEN(ChartLines.Hex6)=6, HEX2DEC(RIGHT(ChartLines.Hex6, 2)), "·")</f>
        <v>255</v>
      </c>
      <c r="K194" cm="1">
        <f t="array" ref="K194" xml:space="preserve"> 1 + ROW() - _xlfn.SINGLE(ROW(ChartLines.RowNum))</f>
        <v>192</v>
      </c>
    </row>
    <row r="195" spans="2:11">
      <c r="B195" t="s">
        <v>2414</v>
      </c>
      <c r="C195" t="s">
        <v>2416</v>
      </c>
      <c r="E195">
        <f t="shared" si="490"/>
        <v>2</v>
      </c>
      <c r="F195">
        <f t="shared" si="491"/>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f t="shared" si="492"/>
        <v>0</v>
      </c>
      <c r="I195">
        <f t="shared" si="493"/>
        <v>152</v>
      </c>
      <c r="J195">
        <f t="shared" si="494"/>
        <v>195</v>
      </c>
      <c r="K195" cm="1">
        <f t="array" ref="K195" xml:space="preserve"> 1 + ROW() - _xlfn.SINGLE(ROW(ChartLines.RowNum))</f>
        <v>193</v>
      </c>
    </row>
    <row r="196" spans="2:11">
      <c r="B196" t="s">
        <v>2414</v>
      </c>
      <c r="C196" t="s">
        <v>1839</v>
      </c>
      <c r="E196">
        <f t="shared" si="490"/>
        <v>2</v>
      </c>
      <c r="F196">
        <f t="shared" si="491"/>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f t="shared" si="492"/>
        <v>255</v>
      </c>
      <c r="I196">
        <f t="shared" si="493"/>
        <v>255</v>
      </c>
      <c r="J196">
        <f t="shared" si="494"/>
        <v>255</v>
      </c>
      <c r="K196" cm="1">
        <f t="array" ref="K196" xml:space="preserve"> 1 + ROW() - _xlfn.SINGLE(ROW(ChartLines.RowNum))</f>
        <v>194</v>
      </c>
    </row>
    <row r="197" spans="2:11">
      <c r="B197" t="s">
        <v>2415</v>
      </c>
      <c r="C197" t="s">
        <v>1934</v>
      </c>
      <c r="E197">
        <f t="shared" si="490"/>
        <v>2</v>
      </c>
      <c r="F197">
        <f t="shared" si="491"/>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f t="shared" si="492"/>
        <v>0</v>
      </c>
      <c r="I197">
        <f t="shared" si="493"/>
        <v>51</v>
      </c>
      <c r="J197">
        <f t="shared" si="494"/>
        <v>160</v>
      </c>
      <c r="K197" cm="1">
        <f t="array" ref="K197" xml:space="preserve"> 1 + ROW() - _xlfn.SINGLE(ROW(ChartLines.RowNum))</f>
        <v>195</v>
      </c>
    </row>
    <row r="198" spans="2:11">
      <c r="B198" t="s">
        <v>2415</v>
      </c>
      <c r="C198" t="s">
        <v>2417</v>
      </c>
      <c r="E198">
        <f t="shared" si="490"/>
        <v>2</v>
      </c>
      <c r="F198">
        <f t="shared" si="491"/>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f t="shared" si="492"/>
        <v>242</v>
      </c>
      <c r="I198">
        <f t="shared" si="493"/>
        <v>168</v>
      </c>
      <c r="J198">
        <f t="shared" si="494"/>
        <v>0</v>
      </c>
      <c r="K198" cm="1">
        <f t="array" ref="K198" xml:space="preserve"> 1 + ROW() - _xlfn.SINGLE(ROW(ChartLines.RowNum))</f>
        <v>196</v>
      </c>
    </row>
    <row r="199" spans="2:11">
      <c r="B199" t="s">
        <v>2154</v>
      </c>
      <c r="C199" t="s">
        <v>1913</v>
      </c>
      <c r="E199">
        <f t="shared" ref="E199" si="495" xml:space="preserve"> IF(AND(LEN(ChartLines.ID)&gt;0,"Unused"&lt;&gt;ChartLines.ID), COUNTIFS(ChartLines.ID,ChartLines.ID), "·")</f>
        <v>2</v>
      </c>
      <c r="F199">
        <f t="shared" ref="F199" si="496" xml:space="preserve"> IF(AND(LEN(ChartLines.ID)&gt;0,"Unused"&lt;&gt;ChartLines.ID), COUNTIFS(ChartLines.ID,ChartLines.ID,   ChartLines.RowNum,"&lt;="&amp;ChartLines.RowNum), "·")</f>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f t="shared" ref="H199" si="497" xml:space="preserve"> IF(LEN(ChartLines.Hex6)=6, HEX2DEC(LEFT(ChartLines.Hex6, 2)), "·")</f>
        <v>207</v>
      </c>
      <c r="I199">
        <f t="shared" ref="I199" si="498" xml:space="preserve"> IF(LEN(ChartLines.Hex6)=6, HEX2DEC(MID(ChartLines.Hex6, 3, 2)), "·")</f>
        <v>16</v>
      </c>
      <c r="J199">
        <f t="shared" ref="J199" si="499" xml:space="preserve"> IF(LEN(ChartLines.Hex6)=6, HEX2DEC(RIGHT(ChartLines.Hex6, 2)), "·")</f>
        <v>26</v>
      </c>
      <c r="K199" cm="1">
        <f t="array" ref="K199" xml:space="preserve"> 1 + ROW() - _xlfn.SINGLE(ROW(ChartLines.RowNum))</f>
        <v>197</v>
      </c>
    </row>
    <row r="200" spans="2:11">
      <c r="B200" t="s">
        <v>2154</v>
      </c>
      <c r="C200" t="s">
        <v>1839</v>
      </c>
      <c r="E200">
        <f t="shared" ref="E200" si="500" xml:space="preserve"> IF(AND(LEN(ChartLines.ID)&gt;0,"Unused"&lt;&gt;ChartLines.ID), COUNTIFS(ChartLines.ID,ChartLines.ID), "·")</f>
        <v>2</v>
      </c>
      <c r="F200">
        <f t="shared" ref="F200" si="501" xml:space="preserve"> IF(AND(LEN(ChartLines.ID)&gt;0,"Unused"&lt;&gt;ChartLines.ID), COUNTIFS(ChartLines.ID,ChartLines.ID,   ChartLines.RowNum,"&lt;="&amp;ChartLines.RowNum), "·")</f>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f t="shared" ref="H200" si="502" xml:space="preserve"> IF(LEN(ChartLines.Hex6)=6, HEX2DEC(LEFT(ChartLines.Hex6, 2)), "·")</f>
        <v>255</v>
      </c>
      <c r="I200">
        <f t="shared" ref="I200" si="503" xml:space="preserve"> IF(LEN(ChartLines.Hex6)=6, HEX2DEC(MID(ChartLines.Hex6, 3, 2)), "·")</f>
        <v>255</v>
      </c>
      <c r="J200">
        <f t="shared" ref="J200" si="504" xml:space="preserve"> IF(LEN(ChartLines.Hex6)=6, HEX2DEC(RIGHT(ChartLines.Hex6, 2)), "·")</f>
        <v>255</v>
      </c>
      <c r="K200" cm="1">
        <f t="array" ref="K200" xml:space="preserve"> 1 + ROW() - _xlfn.SINGLE(ROW(ChartLines.RowNum))</f>
        <v>198</v>
      </c>
    </row>
    <row r="201" spans="2:11">
      <c r="B201" t="s">
        <v>407</v>
      </c>
      <c r="C201" t="s">
        <v>2077</v>
      </c>
      <c r="E201">
        <f t="shared" ref="E201" si="505" xml:space="preserve"> IF(AND(LEN(ChartLines.ID)&gt;0,"Unused"&lt;&gt;ChartLines.ID), COUNTIFS(ChartLines.ID,ChartLines.ID), "·")</f>
        <v>2</v>
      </c>
      <c r="F201">
        <f t="shared" ref="F201" si="506" xml:space="preserve"> IF(AND(LEN(ChartLines.ID)&gt;0,"Unused"&lt;&gt;ChartLines.ID), COUNTIFS(ChartLines.ID,ChartLines.ID,   ChartLines.RowNum,"&lt;="&amp;ChartLines.RowNum), "·")</f>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f t="shared" ref="H201" si="507" xml:space="preserve"> IF(LEN(ChartLines.Hex6)=6, HEX2DEC(LEFT(ChartLines.Hex6, 2)), "·")</f>
        <v>106</v>
      </c>
      <c r="I201">
        <f t="shared" ref="I201" si="508" xml:space="preserve"> IF(LEN(ChartLines.Hex6)=6, HEX2DEC(MID(ChartLines.Hex6, 3, 2)), "·")</f>
        <v>87</v>
      </c>
      <c r="J201">
        <f t="shared" ref="J201" si="509" xml:space="preserve"> IF(LEN(ChartLines.Hex6)=6, HEX2DEC(RIGHT(ChartLines.Hex6, 2)), "·")</f>
        <v>27</v>
      </c>
      <c r="K201" cm="1">
        <f t="array" ref="K201" xml:space="preserve"> 1 + ROW() - _xlfn.SINGLE(ROW(ChartLines.RowNum))</f>
        <v>199</v>
      </c>
    </row>
    <row r="202" spans="2:11">
      <c r="B202" t="s">
        <v>407</v>
      </c>
      <c r="C202" t="s">
        <v>2068</v>
      </c>
      <c r="E202">
        <f t="shared" ref="E202" si="510" xml:space="preserve"> IF(AND(LEN(ChartLines.ID)&gt;0,"Unused"&lt;&gt;ChartLines.ID), COUNTIFS(ChartLines.ID,ChartLines.ID), "·")</f>
        <v>2</v>
      </c>
      <c r="F202">
        <f t="shared" ref="F202" si="511" xml:space="preserve"> IF(AND(LEN(ChartLines.ID)&gt;0,"Unused"&lt;&gt;ChartLines.ID), COUNTIFS(ChartLines.ID,ChartLines.ID,   ChartLines.RowNum,"&lt;="&amp;ChartLines.RowNum), "·")</f>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f t="shared" ref="H202" si="512" xml:space="preserve"> IF(LEN(ChartLines.Hex6)=6, HEX2DEC(LEFT(ChartLines.Hex6, 2)), "·")</f>
        <v>212</v>
      </c>
      <c r="I202">
        <f t="shared" ref="I202" si="513" xml:space="preserve"> IF(LEN(ChartLines.Hex6)=6, HEX2DEC(MID(ChartLines.Hex6, 3, 2)), "·")</f>
        <v>175</v>
      </c>
      <c r="J202">
        <f t="shared" ref="J202" si="514" xml:space="preserve"> IF(LEN(ChartLines.Hex6)=6, HEX2DEC(RIGHT(ChartLines.Hex6, 2)), "·")</f>
        <v>55</v>
      </c>
      <c r="K202" cm="1">
        <f t="array" ref="K202" xml:space="preserve"> 1 + ROW() - _xlfn.SINGLE(ROW(ChartLines.RowNum))</f>
        <v>200</v>
      </c>
    </row>
    <row r="203" spans="2:11">
      <c r="E203" t="str">
        <f t="shared" ref="E203" si="515" xml:space="preserve"> IF(AND(LEN(ChartLines.ID)&gt;0,"Unused"&lt;&gt;ChartLines.ID), COUNTIFS(ChartLines.ID,ChartLines.ID), "·")</f>
        <v>·</v>
      </c>
      <c r="F203" t="str">
        <f t="shared" ref="F203" si="516" xml:space="preserve"> IF(AND(LEN(ChartLines.ID)&gt;0,"Unused"&lt;&gt;ChartLines.ID), COUNTIFS(ChartLines.ID,ChartLines.ID,   ChartLines.RowNum,"&lt;="&amp;ChartLines.RowNum), "·")</f>
        <v>·</v>
      </c>
      <c r="G203" t="str" cm="1">
        <f t="array" ref="G203" xml:space="preserve"> _xlfn.IFS(OR(LEN(_xlfn.SINGLE(ChartLines.ID))=0,"Unused"=_xlfn.SINGLE(ChartLines.ID)), "·",   1=_xlfn.SINGLE(ChartLines.NumInstances), IF("USD"=_xlfn.SINGLE(ChartLines.ID), "SoleBig", "SoleOrdinary"),   1=_xlfn.SINGLE(ChartLines.InstanceNum), "Outer",   TRUE, "Inner")</f>
        <v>·</v>
      </c>
      <c r="H203" t="str">
        <f t="shared" ref="H203" si="517" xml:space="preserve"> IF(LEN(ChartLines.Hex6)=6, HEX2DEC(LEFT(ChartLines.Hex6, 2)), "·")</f>
        <v>·</v>
      </c>
      <c r="I203" t="str">
        <f t="shared" ref="I203" si="518" xml:space="preserve"> IF(LEN(ChartLines.Hex6)=6, HEX2DEC(MID(ChartLines.Hex6, 3, 2)), "·")</f>
        <v>·</v>
      </c>
      <c r="J203" t="str">
        <f t="shared" ref="J203" si="519" xml:space="preserve"> IF(LEN(ChartLines.Hex6)=6, HEX2DEC(RIGHT(ChartLines.Hex6, 2)), "·")</f>
        <v>·</v>
      </c>
      <c r="K203" cm="1">
        <f t="array" ref="K203" xml:space="preserve"> 1 + ROW() - _xlfn.SINGLE(ROW(ChartLines.RowNum))</f>
        <v>201</v>
      </c>
    </row>
    <row r="204" spans="2:11">
      <c r="B204" t="s">
        <v>134</v>
      </c>
      <c r="C204" t="s">
        <v>1914</v>
      </c>
      <c r="E204">
        <f t="shared" ref="E204" si="520" xml:space="preserve"> IF(AND(LEN(ChartLines.ID)&gt;0,"Unused"&lt;&gt;ChartLines.ID), COUNTIFS(ChartLines.ID,ChartLines.ID), "·")</f>
        <v>1</v>
      </c>
      <c r="F204">
        <f t="shared" ref="F204" si="521" xml:space="preserve"> IF(AND(LEN(ChartLines.ID)&gt;0,"Unused"&lt;&gt;ChartLines.ID), COUNTIFS(ChartLines.ID,ChartLines.ID,   ChartLines.RowNum,"&lt;="&amp;ChartLines.RowNum), "·")</f>
        <v>1</v>
      </c>
      <c r="G204" t="str" cm="1">
        <f t="array" ref="G204" xml:space="preserve"> _xlfn.IFS(OR(LEN(_xlfn.SINGLE(ChartLines.ID))=0,"Unused"=_xlfn.SINGLE(ChartLines.ID)), "·",   1=_xlfn.SINGLE(ChartLines.NumInstances), IF("USD"=_xlfn.SINGLE(ChartLines.ID), "SoleBig", "SoleOrdinary"),   1=_xlfn.SINGLE(ChartLines.InstanceNum), "Outer",   TRUE, "Inner")</f>
        <v>SoleOrdinary</v>
      </c>
      <c r="H204">
        <f t="shared" ref="H204" si="522" xml:space="preserve"> IF(LEN(ChartLines.Hex6)=6, HEX2DEC(LEFT(ChartLines.Hex6, 2)), "·")</f>
        <v>227</v>
      </c>
      <c r="I204">
        <f t="shared" ref="I204" si="523" xml:space="preserve"> IF(LEN(ChartLines.Hex6)=6, HEX2DEC(MID(ChartLines.Hex6, 3, 2)), "·")</f>
        <v>10</v>
      </c>
      <c r="J204">
        <f t="shared" ref="J204" si="524" xml:space="preserve"> IF(LEN(ChartLines.Hex6)=6, HEX2DEC(RIGHT(ChartLines.Hex6, 2)), "·")</f>
        <v>23</v>
      </c>
      <c r="K204" cm="1">
        <f t="array" ref="K204" xml:space="preserve"> 1 + ROW() - _xlfn.SINGLE(ROW(ChartLines.RowNum))</f>
        <v>202</v>
      </c>
    </row>
    <row r="205" spans="2:11">
      <c r="B205" t="s">
        <v>1835</v>
      </c>
      <c r="E205" t="str">
        <f t="shared" ref="E205" si="525" xml:space="preserve"> IF(AND(LEN(ChartLines.ID)&gt;0,"Unused"&lt;&gt;ChartLines.ID), COUNTIFS(ChartLines.ID,ChartLines.ID), "·")</f>
        <v>·</v>
      </c>
      <c r="F205" t="str">
        <f t="shared" ref="F205" si="526" xml:space="preserve"> IF(AND(LEN(ChartLines.ID)&gt;0,"Unused"&lt;&gt;ChartLines.ID), COUNTIFS(ChartLines.ID,ChartLines.ID,   ChartLines.RowNum,"&lt;="&amp;ChartLines.RowNum), "·")</f>
        <v>·</v>
      </c>
      <c r="G205" t="str" cm="1">
        <f t="array" ref="G205" xml:space="preserve"> _xlfn.IFS(OR(LEN(_xlfn.SINGLE(ChartLines.ID))=0,"Unused"=_xlfn.SINGLE(ChartLines.ID)), "·",   1=_xlfn.SINGLE(ChartLines.NumInstances), IF("USD"=_xlfn.SINGLE(ChartLines.ID), "SoleBig", "SoleOrdinary"),   1=_xlfn.SINGLE(ChartLines.InstanceNum), "Outer",   TRUE, "Inner")</f>
        <v>·</v>
      </c>
      <c r="H205" t="str">
        <f t="shared" ref="H205" si="527" xml:space="preserve"> IF(LEN(ChartLines.Hex6)=6, HEX2DEC(LEFT(ChartLines.Hex6, 2)), "·")</f>
        <v>·</v>
      </c>
      <c r="I205" t="str">
        <f t="shared" ref="I205" si="528" xml:space="preserve"> IF(LEN(ChartLines.Hex6)=6, HEX2DEC(MID(ChartLines.Hex6, 3, 2)), "·")</f>
        <v>·</v>
      </c>
      <c r="J205" t="str">
        <f t="shared" ref="J205" si="529" xml:space="preserve"> IF(LEN(ChartLines.Hex6)=6, HEX2DEC(RIGHT(ChartLines.Hex6, 2)), "·")</f>
        <v>·</v>
      </c>
      <c r="K205" cm="1">
        <f t="array" ref="K205" xml:space="preserve"> 1 + ROW() - _xlfn.SINGLE(ROW(ChartLines.RowNum))</f>
        <v>203</v>
      </c>
    </row>
    <row r="206" spans="2:11">
      <c r="B206" t="s">
        <v>166</v>
      </c>
      <c r="C206" t="str">
        <f xml:space="preserve"> "009639"</f>
        <v>009639</v>
      </c>
      <c r="E206">
        <f t="shared" ref="E206" si="530" xml:space="preserve"> IF(AND(LEN(ChartLines.ID)&gt;0,"Unused"&lt;&gt;ChartLines.ID), COUNTIFS(ChartLines.ID,ChartLines.ID), "·")</f>
        <v>2</v>
      </c>
      <c r="F206">
        <f t="shared" ref="F206" si="531" xml:space="preserve"> IF(AND(LEN(ChartLines.ID)&gt;0,"Unused"&lt;&gt;ChartLines.ID), COUNTIFS(ChartLines.ID,ChartLines.ID,   ChartLines.RowNum,"&lt;="&amp;ChartLines.RowNum), "·")</f>
        <v>1</v>
      </c>
      <c r="G206" t="str" cm="1">
        <f t="array" ref="G206" xml:space="preserve"> _xlfn.IFS(OR(LEN(_xlfn.SINGLE(ChartLines.ID))=0,"Unused"=_xlfn.SINGLE(ChartLines.ID)), "·",   1=_xlfn.SINGLE(ChartLines.NumInstances), IF("USD"=_xlfn.SINGLE(ChartLines.ID), "SoleBig", "SoleOrdinary"),   1=_xlfn.SINGLE(ChartLines.InstanceNum), "Outer",   TRUE, "Inner")</f>
        <v>Outer</v>
      </c>
      <c r="H206">
        <f t="shared" ref="H206" si="532" xml:space="preserve"> IF(LEN(ChartLines.Hex6)=6, HEX2DEC(LEFT(ChartLines.Hex6, 2)), "·")</f>
        <v>0</v>
      </c>
      <c r="I206">
        <f t="shared" ref="I206" si="533" xml:space="preserve"> IF(LEN(ChartLines.Hex6)=6, HEX2DEC(MID(ChartLines.Hex6, 3, 2)), "·")</f>
        <v>150</v>
      </c>
      <c r="J206">
        <f t="shared" ref="J206" si="534" xml:space="preserve"> IF(LEN(ChartLines.Hex6)=6, HEX2DEC(RIGHT(ChartLines.Hex6, 2)), "·")</f>
        <v>57</v>
      </c>
      <c r="K206" cm="1">
        <f t="array" ref="K206" xml:space="preserve"> 1 + ROW() - _xlfn.SINGLE(ROW(ChartLines.RowNum))</f>
        <v>204</v>
      </c>
    </row>
    <row r="207" spans="2:11">
      <c r="B207" t="s">
        <v>166</v>
      </c>
      <c r="C207" t="s">
        <v>1839</v>
      </c>
      <c r="E207">
        <f t="shared" ref="E207" si="535" xml:space="preserve"> IF(AND(LEN(ChartLines.ID)&gt;0,"Unused"&lt;&gt;ChartLines.ID), COUNTIFS(ChartLines.ID,ChartLines.ID), "·")</f>
        <v>2</v>
      </c>
      <c r="F207">
        <f t="shared" ref="F207" si="536" xml:space="preserve"> IF(AND(LEN(ChartLines.ID)&gt;0,"Unused"&lt;&gt;ChartLines.ID), COUNTIFS(ChartLines.ID,ChartLines.ID,   ChartLines.RowNum,"&lt;="&amp;ChartLines.RowNum), "·")</f>
        <v>2</v>
      </c>
      <c r="G207" t="str" cm="1">
        <f t="array" ref="G207" xml:space="preserve"> _xlfn.IFS(OR(LEN(_xlfn.SINGLE(ChartLines.ID))=0,"Unused"=_xlfn.SINGLE(ChartLines.ID)), "·",   1=_xlfn.SINGLE(ChartLines.NumInstances), IF("USD"=_xlfn.SINGLE(ChartLines.ID), "SoleBig", "SoleOrdinary"),   1=_xlfn.SINGLE(ChartLines.InstanceNum), "Outer",   TRUE, "Inner")</f>
        <v>Inner</v>
      </c>
      <c r="H207">
        <f t="shared" ref="H207" si="537" xml:space="preserve"> IF(LEN(ChartLines.Hex6)=6, HEX2DEC(LEFT(ChartLines.Hex6, 2)), "·")</f>
        <v>255</v>
      </c>
      <c r="I207">
        <f t="shared" ref="I207" si="538" xml:space="preserve"> IF(LEN(ChartLines.Hex6)=6, HEX2DEC(MID(ChartLines.Hex6, 3, 2)), "·")</f>
        <v>255</v>
      </c>
      <c r="J207">
        <f t="shared" ref="J207" si="539" xml:space="preserve"> IF(LEN(ChartLines.Hex6)=6, HEX2DEC(RIGHT(ChartLines.Hex6, 2)), "·")</f>
        <v>255</v>
      </c>
      <c r="K207" cm="1">
        <f t="array" ref="K207" xml:space="preserve"> 1 + ROW() - _xlfn.SINGLE(ROW(ChartLines.RowNum))</f>
        <v>205</v>
      </c>
    </row>
    <row r="208" spans="2:11">
      <c r="B208" t="s">
        <v>459</v>
      </c>
      <c r="C208" t="str">
        <f xml:space="preserve"> "009639"</f>
        <v>009639</v>
      </c>
      <c r="E208">
        <f t="shared" ref="E208" si="540" xml:space="preserve"> IF(AND(LEN(ChartLines.ID)&gt;0,"Unused"&lt;&gt;ChartLines.ID), COUNTIFS(ChartLines.ID,ChartLines.ID), "·")</f>
        <v>2</v>
      </c>
      <c r="F208">
        <f t="shared" ref="F208" si="541"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Outer</v>
      </c>
      <c r="H208">
        <f t="shared" ref="H208" si="542" xml:space="preserve"> IF(LEN(ChartLines.Hex6)=6, HEX2DEC(LEFT(ChartLines.Hex6, 2)), "·")</f>
        <v>0</v>
      </c>
      <c r="I208">
        <f t="shared" ref="I208" si="543" xml:space="preserve"> IF(LEN(ChartLines.Hex6)=6, HEX2DEC(MID(ChartLines.Hex6, 3, 2)), "·")</f>
        <v>150</v>
      </c>
      <c r="J208">
        <f t="shared" ref="J208" si="544" xml:space="preserve"> IF(LEN(ChartLines.Hex6)=6, HEX2DEC(RIGHT(ChartLines.Hex6, 2)), "·")</f>
        <v>57</v>
      </c>
      <c r="K208" cm="1">
        <f t="array" ref="K208" xml:space="preserve"> 1 + ROW() - _xlfn.SINGLE(ROW(ChartLines.RowNum))</f>
        <v>206</v>
      </c>
    </row>
    <row r="209" spans="2:11">
      <c r="B209" t="s">
        <v>459</v>
      </c>
      <c r="C209" t="s">
        <v>1837</v>
      </c>
      <c r="E209">
        <f t="shared" ref="E209:E211" si="545" xml:space="preserve"> IF(AND(LEN(ChartLines.ID)&gt;0,"Unused"&lt;&gt;ChartLines.ID), COUNTIFS(ChartLines.ID,ChartLines.ID), "·")</f>
        <v>2</v>
      </c>
      <c r="F209">
        <f t="shared" ref="F209:F211" si="546" xml:space="preserve"> IF(AND(LEN(ChartLines.ID)&gt;0,"Unused"&lt;&gt;ChartLines.ID), COUNTIFS(ChartLines.ID,ChartLines.ID,   ChartLines.RowNum,"&lt;="&amp;ChartLines.RowNum), "·")</f>
        <v>2</v>
      </c>
      <c r="G209" t="str" cm="1">
        <f t="array" ref="G209" xml:space="preserve"> _xlfn.IFS(OR(LEN(_xlfn.SINGLE(ChartLines.ID))=0,"Unused"=_xlfn.SINGLE(ChartLines.ID)), "·",   1=_xlfn.SINGLE(ChartLines.NumInstances), IF("USD"=_xlfn.SINGLE(ChartLines.ID), "SoleBig", "SoleOrdinary"),   1=_xlfn.SINGLE(ChartLines.InstanceNum), "Outer",   TRUE, "Inner")</f>
        <v>Inner</v>
      </c>
      <c r="H209">
        <f t="shared" ref="H209:H211" si="547" xml:space="preserve"> IF(LEN(ChartLines.Hex6)=6, HEX2DEC(LEFT(ChartLines.Hex6, 2)), "·")</f>
        <v>239</v>
      </c>
      <c r="I209">
        <f t="shared" ref="I209:I211" si="548" xml:space="preserve"> IF(LEN(ChartLines.Hex6)=6, HEX2DEC(MID(ChartLines.Hex6, 3, 2)), "·")</f>
        <v>51</v>
      </c>
      <c r="J209">
        <f t="shared" ref="J209:J211" si="549" xml:space="preserve"> IF(LEN(ChartLines.Hex6)=6, HEX2DEC(RIGHT(ChartLines.Hex6, 2)), "·")</f>
        <v>64</v>
      </c>
      <c r="K209" cm="1">
        <f t="array" ref="K209" xml:space="preserve"> 1 + ROW() - _xlfn.SINGLE(ROW(ChartLines.RowNum))</f>
        <v>207</v>
      </c>
    </row>
    <row r="210" spans="2:11">
      <c r="B210" t="s">
        <v>1978</v>
      </c>
      <c r="C210" t="s">
        <v>1844</v>
      </c>
      <c r="E210">
        <f t="shared" si="545"/>
        <v>2</v>
      </c>
      <c r="F210">
        <f t="shared" si="546"/>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f t="shared" si="547"/>
        <v>200</v>
      </c>
      <c r="I210">
        <f t="shared" si="548"/>
        <v>16</v>
      </c>
      <c r="J210">
        <f t="shared" si="549"/>
        <v>46</v>
      </c>
      <c r="K210" cm="1">
        <f t="array" ref="K210" xml:space="preserve"> 1 + ROW() - _xlfn.SINGLE(ROW(ChartLines.RowNum))</f>
        <v>208</v>
      </c>
    </row>
    <row r="211" spans="2:11">
      <c r="B211" t="s">
        <v>1978</v>
      </c>
      <c r="C211" t="s">
        <v>1979</v>
      </c>
      <c r="E211">
        <f t="shared" si="545"/>
        <v>2</v>
      </c>
      <c r="F211">
        <f t="shared" si="546"/>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f t="shared" si="547"/>
        <v>255</v>
      </c>
      <c r="I211">
        <f t="shared" si="548"/>
        <v>215</v>
      </c>
      <c r="J211">
        <f t="shared" si="549"/>
        <v>0</v>
      </c>
      <c r="K211" cm="1">
        <f t="array" ref="K211" xml:space="preserve"> 1 + ROW() - _xlfn.SINGLE(ROW(ChartLines.RowNum))</f>
        <v>209</v>
      </c>
    </row>
    <row r="212" spans="2:11">
      <c r="B212" t="s">
        <v>473</v>
      </c>
      <c r="C212" t="s">
        <v>1915</v>
      </c>
      <c r="E212">
        <f t="shared" ref="E212" si="550" xml:space="preserve"> IF(AND(LEN(ChartLines.ID)&gt;0,"Unused"&lt;&gt;ChartLines.ID), COUNTIFS(ChartLines.ID,ChartLines.ID), "·")</f>
        <v>2</v>
      </c>
      <c r="F212">
        <f t="shared" ref="F212" si="551"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f t="shared" ref="H212" si="552" xml:space="preserve"> IF(LEN(ChartLines.Hex6)=6, HEX2DEC(LEFT(ChartLines.Hex6, 2)), "·")</f>
        <v>108</v>
      </c>
      <c r="I212">
        <f t="shared" ref="I212" si="553" xml:space="preserve"> IF(LEN(ChartLines.Hex6)=6, HEX2DEC(MID(ChartLines.Hex6, 3, 2)), "·")</f>
        <v>29</v>
      </c>
      <c r="J212">
        <f t="shared" ref="J212" si="554" xml:space="preserve"> IF(LEN(ChartLines.Hex6)=6, HEX2DEC(RIGHT(ChartLines.Hex6, 2)), "·")</f>
        <v>69</v>
      </c>
      <c r="K212" cm="1">
        <f t="array" ref="K212" xml:space="preserve"> 1 + ROW() - _xlfn.SINGLE(ROW(ChartLines.RowNum))</f>
        <v>210</v>
      </c>
    </row>
    <row r="213" spans="2:11">
      <c r="B213" t="s">
        <v>473</v>
      </c>
      <c r="C213" t="s">
        <v>1839</v>
      </c>
      <c r="E213">
        <f t="shared" ref="E213:E214" si="555" xml:space="preserve"> IF(AND(LEN(ChartLines.ID)&gt;0,"Unused"&lt;&gt;ChartLines.ID), COUNTIFS(ChartLines.ID,ChartLines.ID), "·")</f>
        <v>2</v>
      </c>
      <c r="F213">
        <f t="shared" ref="F213:F214" si="556"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f t="shared" ref="H213:H214" si="557" xml:space="preserve"> IF(LEN(ChartLines.Hex6)=6, HEX2DEC(LEFT(ChartLines.Hex6, 2)), "·")</f>
        <v>255</v>
      </c>
      <c r="I213">
        <f t="shared" ref="I213:I214" si="558" xml:space="preserve"> IF(LEN(ChartLines.Hex6)=6, HEX2DEC(MID(ChartLines.Hex6, 3, 2)), "·")</f>
        <v>255</v>
      </c>
      <c r="J213">
        <f t="shared" ref="J213:J214" si="559" xml:space="preserve"> IF(LEN(ChartLines.Hex6)=6, HEX2DEC(RIGHT(ChartLines.Hex6, 2)), "·")</f>
        <v>255</v>
      </c>
      <c r="K213" cm="1">
        <f t="array" ref="K213" xml:space="preserve"> 1 + ROW() - _xlfn.SINGLE(ROW(ChartLines.RowNum))</f>
        <v>211</v>
      </c>
    </row>
    <row r="214" spans="2:11">
      <c r="B214" t="s">
        <v>2413</v>
      </c>
      <c r="C214" t="s">
        <v>1857</v>
      </c>
      <c r="E214">
        <f t="shared" si="555"/>
        <v>1</v>
      </c>
      <c r="F214">
        <f t="shared" si="556"/>
        <v>1</v>
      </c>
      <c r="G214" t="str" cm="1">
        <f t="array" ref="G214" xml:space="preserve"> _xlfn.IFS(OR(LEN(_xlfn.SINGLE(ChartLines.ID))=0,"Unused"=_xlfn.SINGLE(ChartLines.ID)), "·",   1=_xlfn.SINGLE(ChartLines.NumInstances), IF("USD"=_xlfn.SINGLE(ChartLines.ID), "SoleBig", "SoleOrdinary"),   1=_xlfn.SINGLE(ChartLines.InstanceNum), "Outer",   TRUE, "Inner")</f>
        <v>SoleOrdinary</v>
      </c>
      <c r="H214">
        <f t="shared" si="557"/>
        <v>218</v>
      </c>
      <c r="I214">
        <f t="shared" si="558"/>
        <v>41</v>
      </c>
      <c r="J214">
        <f t="shared" si="559"/>
        <v>28</v>
      </c>
      <c r="K214" cm="1">
        <f t="array" ref="K214" xml:space="preserve"> 1 + ROW() - _xlfn.SINGLE(ROW(ChartLines.RowNum))</f>
        <v>212</v>
      </c>
    </row>
    <row r="215" spans="2:11">
      <c r="B215" t="s">
        <v>1916</v>
      </c>
      <c r="C215" t="str">
        <f xml:space="preserve"> "000000"</f>
        <v>000000</v>
      </c>
      <c r="E215">
        <f t="shared" ref="E215" si="560" xml:space="preserve"> IF(AND(LEN(ChartLines.ID)&gt;0,"Unused"&lt;&gt;ChartLines.ID), COUNTIFS(ChartLines.ID,ChartLines.ID), "·")</f>
        <v>2</v>
      </c>
      <c r="F215">
        <f t="shared" ref="F215" si="561" xml:space="preserve"> IF(AND(LEN(ChartLines.ID)&gt;0,"Unused"&lt;&gt;ChartLines.ID), COUNTIFS(ChartLines.ID,ChartLines.ID,   ChartLines.RowNum,"&lt;="&amp;ChartLines.RowNum), "·")</f>
        <v>1</v>
      </c>
      <c r="G215" t="str" cm="1">
        <f t="array" ref="G215" xml:space="preserve"> _xlfn.IFS(OR(LEN(_xlfn.SINGLE(ChartLines.ID))=0,"Unused"=_xlfn.SINGLE(ChartLines.ID)), "·",   1=_xlfn.SINGLE(ChartLines.NumInstances), IF("USD"=_xlfn.SINGLE(ChartLines.ID), "SoleBig", "SoleOrdinary"),   1=_xlfn.SINGLE(ChartLines.InstanceNum), "Outer",   TRUE, "Inner")</f>
        <v>Outer</v>
      </c>
      <c r="H215">
        <f t="shared" ref="H215" si="562" xml:space="preserve"> IF(LEN(ChartLines.Hex6)=6, HEX2DEC(LEFT(ChartLines.Hex6, 2)), "·")</f>
        <v>0</v>
      </c>
      <c r="I215">
        <f t="shared" ref="I215" si="563" xml:space="preserve"> IF(LEN(ChartLines.Hex6)=6, HEX2DEC(MID(ChartLines.Hex6, 3, 2)), "·")</f>
        <v>0</v>
      </c>
      <c r="J215">
        <f t="shared" ref="J215" si="564" xml:space="preserve"> IF(LEN(ChartLines.Hex6)=6, HEX2DEC(RIGHT(ChartLines.Hex6, 2)), "·")</f>
        <v>0</v>
      </c>
      <c r="K215" cm="1">
        <f t="array" ref="K215" xml:space="preserve"> 1 + ROW() - _xlfn.SINGLE(ROW(ChartLines.RowNum))</f>
        <v>213</v>
      </c>
    </row>
    <row r="216" spans="2:11">
      <c r="B216" t="s">
        <v>1916</v>
      </c>
      <c r="C216" t="s">
        <v>1917</v>
      </c>
      <c r="E216">
        <f t="shared" ref="E216:E220" si="565" xml:space="preserve"> IF(AND(LEN(ChartLines.ID)&gt;0,"Unused"&lt;&gt;ChartLines.ID), COUNTIFS(ChartLines.ID,ChartLines.ID), "·")</f>
        <v>2</v>
      </c>
      <c r="F216">
        <f t="shared" ref="F216:F220" si="566" xml:space="preserve"> IF(AND(LEN(ChartLines.ID)&gt;0,"Unused"&lt;&gt;ChartLines.ID), COUNTIFS(ChartLines.ID,ChartLines.ID,   ChartLines.RowNum,"&lt;="&amp;ChartLines.RowNum), "·")</f>
        <v>2</v>
      </c>
      <c r="G216" t="str" cm="1">
        <f t="array" ref="G216" xml:space="preserve"> _xlfn.IFS(OR(LEN(_xlfn.SINGLE(ChartLines.ID))=0,"Unused"=_xlfn.SINGLE(ChartLines.ID)), "·",   1=_xlfn.SINGLE(ChartLines.NumInstances), IF("USD"=_xlfn.SINGLE(ChartLines.ID), "SoleBig", "SoleOrdinary"),   1=_xlfn.SINGLE(ChartLines.InstanceNum), "Outer",   TRUE, "Inner")</f>
        <v>Inner</v>
      </c>
      <c r="H216">
        <f t="shared" ref="H216:H220" si="567" xml:space="preserve"> IF(LEN(ChartLines.Hex6)=6, HEX2DEC(LEFT(ChartLines.Hex6, 2)), "·")</f>
        <v>206</v>
      </c>
      <c r="I216">
        <f t="shared" ref="I216:I220" si="568" xml:space="preserve"> IF(LEN(ChartLines.Hex6)=6, HEX2DEC(MID(ChartLines.Hex6, 3, 2)), "·")</f>
        <v>17</v>
      </c>
      <c r="J216">
        <f t="shared" ref="J216:J220" si="569" xml:space="preserve"> IF(LEN(ChartLines.Hex6)=6, HEX2DEC(RIGHT(ChartLines.Hex6, 2)), "·")</f>
        <v>38</v>
      </c>
      <c r="K216" cm="1">
        <f t="array" ref="K216" xml:space="preserve"> 1 + ROW() - _xlfn.SINGLE(ROW(ChartLines.RowNum))</f>
        <v>214</v>
      </c>
    </row>
    <row r="217" spans="2:11">
      <c r="B217" t="s">
        <v>2026</v>
      </c>
      <c r="C217" t="s">
        <v>2025</v>
      </c>
      <c r="E217">
        <f t="shared" si="565"/>
        <v>2</v>
      </c>
      <c r="F217">
        <f t="shared" si="566"/>
        <v>1</v>
      </c>
      <c r="G217" t="str" cm="1">
        <f t="array" ref="G217" xml:space="preserve"> _xlfn.IFS(OR(LEN(_xlfn.SINGLE(ChartLines.ID))=0,"Unused"=_xlfn.SINGLE(ChartLines.ID)), "·",   1=_xlfn.SINGLE(ChartLines.NumInstances), IF("USD"=_xlfn.SINGLE(ChartLines.ID), "SoleBig", "SoleOrdinary"),   1=_xlfn.SINGLE(ChartLines.InstanceNum), "Outer",   TRUE, "Inner")</f>
        <v>Outer</v>
      </c>
      <c r="H217">
        <f t="shared" si="567"/>
        <v>196</v>
      </c>
      <c r="I217">
        <f t="shared" si="568"/>
        <v>156</v>
      </c>
      <c r="J217">
        <f t="shared" si="569"/>
        <v>91</v>
      </c>
      <c r="K217" cm="1">
        <f t="array" ref="K217" xml:space="preserve"> 1 + ROW() - _xlfn.SINGLE(ROW(ChartLines.RowNum))</f>
        <v>215</v>
      </c>
    </row>
    <row r="218" spans="2:11">
      <c r="B218" t="s">
        <v>2026</v>
      </c>
      <c r="C218" t="str">
        <f xml:space="preserve"> "000000"</f>
        <v>000000</v>
      </c>
      <c r="E218">
        <f t="shared" si="565"/>
        <v>2</v>
      </c>
      <c r="F218">
        <f t="shared" si="566"/>
        <v>2</v>
      </c>
      <c r="G218" t="str" cm="1">
        <f t="array" ref="G218" xml:space="preserve"> _xlfn.IFS(OR(LEN(_xlfn.SINGLE(ChartLines.ID))=0,"Unused"=_xlfn.SINGLE(ChartLines.ID)), "·",   1=_xlfn.SINGLE(ChartLines.NumInstances), IF("USD"=_xlfn.SINGLE(ChartLines.ID), "SoleBig", "SoleOrdinary"),   1=_xlfn.SINGLE(ChartLines.InstanceNum), "Outer",   TRUE, "Inner")</f>
        <v>Inner</v>
      </c>
      <c r="H218">
        <f t="shared" si="567"/>
        <v>0</v>
      </c>
      <c r="I218">
        <f t="shared" si="568"/>
        <v>0</v>
      </c>
      <c r="J218">
        <f t="shared" si="569"/>
        <v>0</v>
      </c>
      <c r="K218" cm="1">
        <f t="array" ref="K218" xml:space="preserve"> 1 + ROW() - _xlfn.SINGLE(ROW(ChartLines.RowNum))</f>
        <v>216</v>
      </c>
    </row>
    <row r="219" spans="2:11">
      <c r="B219" t="s">
        <v>2310</v>
      </c>
      <c r="C219" t="s">
        <v>2404</v>
      </c>
      <c r="E219">
        <f t="shared" si="565"/>
        <v>2</v>
      </c>
      <c r="F219">
        <f t="shared" si="566"/>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f t="shared" si="567"/>
        <v>0</v>
      </c>
      <c r="I219">
        <f t="shared" si="568"/>
        <v>122</v>
      </c>
      <c r="J219">
        <f t="shared" si="569"/>
        <v>61</v>
      </c>
      <c r="K219" cm="1">
        <f t="array" ref="K219" xml:space="preserve"> 1 + ROW() - _xlfn.SINGLE(ROW(ChartLines.RowNum))</f>
        <v>217</v>
      </c>
    </row>
    <row r="220" spans="2:11">
      <c r="B220" t="s">
        <v>2310</v>
      </c>
      <c r="C220" t="str">
        <f xml:space="preserve"> "000000"</f>
        <v>000000</v>
      </c>
      <c r="E220">
        <f t="shared" si="565"/>
        <v>2</v>
      </c>
      <c r="F220">
        <f t="shared" si="566"/>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f t="shared" si="567"/>
        <v>0</v>
      </c>
      <c r="I220">
        <f t="shared" si="568"/>
        <v>0</v>
      </c>
      <c r="J220">
        <f t="shared" si="569"/>
        <v>0</v>
      </c>
      <c r="K220" cm="1">
        <f t="array" ref="K220" xml:space="preserve"> 1 + ROW() - _xlfn.SINGLE(ROW(ChartLines.RowNum))</f>
        <v>218</v>
      </c>
    </row>
    <row r="221" spans="2:11">
      <c r="B221" t="s">
        <v>491</v>
      </c>
      <c r="C221" t="s">
        <v>1917</v>
      </c>
      <c r="E221">
        <f t="shared" ref="E221" si="570" xml:space="preserve"> IF(AND(LEN(ChartLines.ID)&gt;0,"Unused"&lt;&gt;ChartLines.ID), COUNTIFS(ChartLines.ID,ChartLines.ID), "·")</f>
        <v>2</v>
      </c>
      <c r="F221">
        <f t="shared" ref="F221" si="571" xml:space="preserve"> IF(AND(LEN(ChartLines.ID)&gt;0,"Unused"&lt;&gt;ChartLines.ID), COUNTIFS(ChartLines.ID,ChartLines.ID,   ChartLines.RowNum,"&lt;="&amp;ChartLines.RowNum), "·")</f>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f t="shared" ref="H221" si="572" xml:space="preserve"> IF(LEN(ChartLines.Hex6)=6, HEX2DEC(LEFT(ChartLines.Hex6, 2)), "·")</f>
        <v>206</v>
      </c>
      <c r="I221">
        <f t="shared" ref="I221" si="573" xml:space="preserve"> IF(LEN(ChartLines.Hex6)=6, HEX2DEC(MID(ChartLines.Hex6, 3, 2)), "·")</f>
        <v>17</v>
      </c>
      <c r="J221">
        <f t="shared" ref="J221" si="574" xml:space="preserve"> IF(LEN(ChartLines.Hex6)=6, HEX2DEC(RIGHT(ChartLines.Hex6, 2)), "·")</f>
        <v>38</v>
      </c>
      <c r="K221" cm="1">
        <f t="array" ref="K221" xml:space="preserve"> 1 + ROW() - _xlfn.SINGLE(ROW(ChartLines.RowNum))</f>
        <v>219</v>
      </c>
    </row>
    <row r="222" spans="2:11">
      <c r="B222" t="s">
        <v>491</v>
      </c>
      <c r="C222" t="str">
        <f xml:space="preserve"> "000000"</f>
        <v>000000</v>
      </c>
      <c r="E222">
        <f t="shared" ref="E222" si="575" xml:space="preserve"> IF(AND(LEN(ChartLines.ID)&gt;0,"Unused"&lt;&gt;ChartLines.ID), COUNTIFS(ChartLines.ID,ChartLines.ID), "·")</f>
        <v>2</v>
      </c>
      <c r="F222">
        <f t="shared" ref="F222" si="576" xml:space="preserve"> IF(AND(LEN(ChartLines.ID)&gt;0,"Unused"&lt;&gt;ChartLines.ID), COUNTIFS(ChartLines.ID,ChartLines.ID,   ChartLines.RowNum,"&lt;="&amp;ChartLines.RowNum), "·")</f>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f t="shared" ref="H222" si="577" xml:space="preserve"> IF(LEN(ChartLines.Hex6)=6, HEX2DEC(LEFT(ChartLines.Hex6, 2)), "·")</f>
        <v>0</v>
      </c>
      <c r="I222">
        <f t="shared" ref="I222" si="578" xml:space="preserve"> IF(LEN(ChartLines.Hex6)=6, HEX2DEC(MID(ChartLines.Hex6, 3, 2)), "·")</f>
        <v>0</v>
      </c>
      <c r="J222">
        <f t="shared" ref="J222" si="579" xml:space="preserve"> IF(LEN(ChartLines.Hex6)=6, HEX2DEC(RIGHT(ChartLines.Hex6, 2)), "·")</f>
        <v>0</v>
      </c>
      <c r="K222" cm="1">
        <f t="array" ref="K222" xml:space="preserve"> 1 + ROW() - _xlfn.SINGLE(ROW(ChartLines.RowNum))</f>
        <v>220</v>
      </c>
    </row>
    <row r="223" spans="2:11">
      <c r="B223" t="s">
        <v>167</v>
      </c>
      <c r="C223" t="s">
        <v>1837</v>
      </c>
      <c r="E223">
        <f t="shared" ref="E223" si="580" xml:space="preserve"> IF(AND(LEN(ChartLines.ID)&gt;0,"Unused"&lt;&gt;ChartLines.ID), COUNTIFS(ChartLines.ID,ChartLines.ID), "·")</f>
        <v>2</v>
      </c>
      <c r="F223">
        <f t="shared" ref="F223" si="581" xml:space="preserve"> IF(AND(LEN(ChartLines.ID)&gt;0,"Unused"&lt;&gt;ChartLines.ID), COUNTIFS(ChartLines.ID,ChartLines.ID,   ChartLines.RowNum,"&lt;="&amp;ChartLines.RowNum), "·")</f>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f t="shared" ref="H223" si="582" xml:space="preserve"> IF(LEN(ChartLines.Hex6)=6, HEX2DEC(LEFT(ChartLines.Hex6, 2)), "·")</f>
        <v>239</v>
      </c>
      <c r="I223">
        <f t="shared" ref="I223" si="583" xml:space="preserve"> IF(LEN(ChartLines.Hex6)=6, HEX2DEC(MID(ChartLines.Hex6, 3, 2)), "·")</f>
        <v>51</v>
      </c>
      <c r="J223">
        <f t="shared" ref="J223" si="584" xml:space="preserve"> IF(LEN(ChartLines.Hex6)=6, HEX2DEC(RIGHT(ChartLines.Hex6, 2)), "·")</f>
        <v>64</v>
      </c>
      <c r="K223" cm="1">
        <f t="array" ref="K223" xml:space="preserve"> 1 + ROW() - _xlfn.SINGLE(ROW(ChartLines.RowNum))</f>
        <v>221</v>
      </c>
    </row>
    <row r="224" spans="2:11">
      <c r="B224" t="s">
        <v>167</v>
      </c>
      <c r="C224" t="str">
        <f xml:space="preserve"> "009639"</f>
        <v>009639</v>
      </c>
      <c r="E224">
        <f t="shared" ref="E224" si="585" xml:space="preserve"> IF(AND(LEN(ChartLines.ID)&gt;0,"Unused"&lt;&gt;ChartLines.ID), COUNTIFS(ChartLines.ID,ChartLines.ID), "·")</f>
        <v>2</v>
      </c>
      <c r="F224">
        <f t="shared" ref="F224" si="586" xml:space="preserve"> IF(AND(LEN(ChartLines.ID)&gt;0,"Unused"&lt;&gt;ChartLines.ID), COUNTIFS(ChartLines.ID,ChartLines.ID,   ChartLines.RowNum,"&lt;="&amp;ChartLines.RowNum), "·")</f>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f t="shared" ref="H224" si="587" xml:space="preserve"> IF(LEN(ChartLines.Hex6)=6, HEX2DEC(LEFT(ChartLines.Hex6, 2)), "·")</f>
        <v>0</v>
      </c>
      <c r="I224">
        <f t="shared" ref="I224" si="588" xml:space="preserve"> IF(LEN(ChartLines.Hex6)=6, HEX2DEC(MID(ChartLines.Hex6, 3, 2)), "·")</f>
        <v>150</v>
      </c>
      <c r="J224">
        <f t="shared" ref="J224" si="589" xml:space="preserve"> IF(LEN(ChartLines.Hex6)=6, HEX2DEC(RIGHT(ChartLines.Hex6, 2)), "·")</f>
        <v>57</v>
      </c>
      <c r="K224" cm="1">
        <f t="array" ref="K224" xml:space="preserve"> 1 + ROW() - _xlfn.SINGLE(ROW(ChartLines.RowNum))</f>
        <v>222</v>
      </c>
    </row>
    <row r="225" spans="2:11">
      <c r="B225" t="s">
        <v>2306</v>
      </c>
      <c r="C225" t="str">
        <f xml:space="preserve"> "009736"</f>
        <v>009736</v>
      </c>
      <c r="E225">
        <f t="shared" ref="E225:E227" si="590" xml:space="preserve"> IF(AND(LEN(ChartLines.ID)&gt;0,"Unused"&lt;&gt;ChartLines.ID), COUNTIFS(ChartLines.ID,ChartLines.ID), "·")</f>
        <v>2</v>
      </c>
      <c r="F225">
        <f t="shared" ref="F225:F227" si="591"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f t="shared" ref="H225:H227" si="592" xml:space="preserve"> IF(LEN(ChartLines.Hex6)=6, HEX2DEC(LEFT(ChartLines.Hex6, 2)), "·")</f>
        <v>0</v>
      </c>
      <c r="I225">
        <f t="shared" ref="I225:I227" si="593" xml:space="preserve"> IF(LEN(ChartLines.Hex6)=6, HEX2DEC(MID(ChartLines.Hex6, 3, 2)), "·")</f>
        <v>151</v>
      </c>
      <c r="J225">
        <f t="shared" ref="J225:J227" si="594" xml:space="preserve"> IF(LEN(ChartLines.Hex6)=6, HEX2DEC(RIGHT(ChartLines.Hex6, 2)), "·")</f>
        <v>54</v>
      </c>
      <c r="K225" cm="1">
        <f t="array" ref="K225" xml:space="preserve"> 1 + ROW() - _xlfn.SINGLE(ROW(ChartLines.RowNum))</f>
        <v>223</v>
      </c>
    </row>
    <row r="226" spans="2:11">
      <c r="B226" t="s">
        <v>2306</v>
      </c>
      <c r="C226" t="str">
        <f xml:space="preserve"> "000000"</f>
        <v>000000</v>
      </c>
      <c r="E226">
        <f t="shared" ref="E226:E228" si="595" xml:space="preserve"> IF(AND(LEN(ChartLines.ID)&gt;0,"Unused"&lt;&gt;ChartLines.ID), COUNTIFS(ChartLines.ID,ChartLines.ID), "·")</f>
        <v>2</v>
      </c>
      <c r="F226">
        <f t="shared" ref="F226:F228" si="596"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f t="shared" ref="H226:H228" si="597" xml:space="preserve"> IF(LEN(ChartLines.Hex6)=6, HEX2DEC(LEFT(ChartLines.Hex6, 2)), "·")</f>
        <v>0</v>
      </c>
      <c r="I226">
        <f t="shared" ref="I226:I228" si="598" xml:space="preserve"> IF(LEN(ChartLines.Hex6)=6, HEX2DEC(MID(ChartLines.Hex6, 3, 2)), "·")</f>
        <v>0</v>
      </c>
      <c r="J226">
        <f t="shared" ref="J226:J228" si="599" xml:space="preserve"> IF(LEN(ChartLines.Hex6)=6, HEX2DEC(RIGHT(ChartLines.Hex6, 2)), "·")</f>
        <v>0</v>
      </c>
      <c r="K226" cm="1">
        <f t="array" ref="K226" xml:space="preserve"> 1 + ROW() - _xlfn.SINGLE(ROW(ChartLines.RowNum))</f>
        <v>224</v>
      </c>
    </row>
    <row r="227" spans="2:11">
      <c r="B227" t="s">
        <v>1918</v>
      </c>
      <c r="C227" t="str">
        <f xml:space="preserve"> "000000"</f>
        <v>000000</v>
      </c>
      <c r="E227">
        <f t="shared" si="590"/>
        <v>2</v>
      </c>
      <c r="F227">
        <f t="shared" si="591"/>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f t="shared" si="592"/>
        <v>0</v>
      </c>
      <c r="I227">
        <f t="shared" si="593"/>
        <v>0</v>
      </c>
      <c r="J227">
        <f t="shared" si="594"/>
        <v>0</v>
      </c>
      <c r="K227" cm="1">
        <f t="array" ref="K227" xml:space="preserve"> 1 + ROW() - _xlfn.SINGLE(ROW(ChartLines.RowNum))</f>
        <v>225</v>
      </c>
    </row>
    <row r="228" spans="2:11">
      <c r="B228" t="s">
        <v>1918</v>
      </c>
      <c r="C228" t="s">
        <v>1839</v>
      </c>
      <c r="E228">
        <f t="shared" si="595"/>
        <v>2</v>
      </c>
      <c r="F228">
        <f t="shared" si="596"/>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f t="shared" si="597"/>
        <v>255</v>
      </c>
      <c r="I228">
        <f t="shared" si="598"/>
        <v>255</v>
      </c>
      <c r="J228">
        <f t="shared" si="599"/>
        <v>255</v>
      </c>
      <c r="K228" cm="1">
        <f t="array" ref="K228" xml:space="preserve"> 1 + ROW() - _xlfn.SINGLE(ROW(ChartLines.RowNum))</f>
        <v>226</v>
      </c>
    </row>
    <row r="229" spans="2:11">
      <c r="B229" t="s">
        <v>137</v>
      </c>
      <c r="C229" t="s">
        <v>1919</v>
      </c>
      <c r="E229">
        <f t="shared" ref="E229" si="600" xml:space="preserve"> IF(AND(LEN(ChartLines.ID)&gt;0,"Unused"&lt;&gt;ChartLines.ID), COUNTIFS(ChartLines.ID,ChartLines.ID), "·")</f>
        <v>2</v>
      </c>
      <c r="F229">
        <f t="shared" ref="F229" si="601"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f t="shared" ref="H229" si="602" xml:space="preserve"> IF(LEN(ChartLines.Hex6)=6, HEX2DEC(LEFT(ChartLines.Hex6, 2)), "·")</f>
        <v>231</v>
      </c>
      <c r="I229">
        <f t="shared" ref="I229" si="603" xml:space="preserve"> IF(LEN(ChartLines.Hex6)=6, HEX2DEC(MID(ChartLines.Hex6, 3, 2)), "·")</f>
        <v>0</v>
      </c>
      <c r="J229">
        <f t="shared" ref="J229" si="604" xml:space="preserve"> IF(LEN(ChartLines.Hex6)=6, HEX2DEC(RIGHT(ChartLines.Hex6, 2)), "·")</f>
        <v>19</v>
      </c>
      <c r="K229" cm="1">
        <f t="array" ref="K229" xml:space="preserve"> 1 + ROW() - _xlfn.SINGLE(ROW(ChartLines.RowNum))</f>
        <v>227</v>
      </c>
    </row>
    <row r="230" spans="2:11">
      <c r="B230" t="s">
        <v>137</v>
      </c>
      <c r="C230" t="s">
        <v>1839</v>
      </c>
      <c r="E230">
        <f t="shared" ref="E230" si="605" xml:space="preserve"> IF(AND(LEN(ChartLines.ID)&gt;0,"Unused"&lt;&gt;ChartLines.ID), COUNTIFS(ChartLines.ID,ChartLines.ID), "·")</f>
        <v>2</v>
      </c>
      <c r="F230">
        <f t="shared" ref="F230" si="606"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f t="shared" ref="H230" si="607" xml:space="preserve"> IF(LEN(ChartLines.Hex6)=6, HEX2DEC(LEFT(ChartLines.Hex6, 2)), "·")</f>
        <v>255</v>
      </c>
      <c r="I230">
        <f t="shared" ref="I230" si="608" xml:space="preserve"> IF(LEN(ChartLines.Hex6)=6, HEX2DEC(MID(ChartLines.Hex6, 3, 2)), "·")</f>
        <v>255</v>
      </c>
      <c r="J230">
        <f t="shared" ref="J230" si="609" xml:space="preserve"> IF(LEN(ChartLines.Hex6)=6, HEX2DEC(RIGHT(ChartLines.Hex6, 2)), "·")</f>
        <v>255</v>
      </c>
      <c r="K230" cm="1">
        <f t="array" ref="K230" xml:space="preserve"> 1 + ROW() - _xlfn.SINGLE(ROW(ChartLines.RowNum))</f>
        <v>228</v>
      </c>
    </row>
    <row r="231" spans="2:11">
      <c r="B231" t="s">
        <v>138</v>
      </c>
      <c r="C231" t="str">
        <f xml:space="preserve"> "006233"</f>
        <v>006233</v>
      </c>
      <c r="E231">
        <f t="shared" ref="E231" si="610" xml:space="preserve"> IF(AND(LEN(ChartLines.ID)&gt;0,"Unused"&lt;&gt;ChartLines.ID), COUNTIFS(ChartLines.ID,ChartLines.ID), "·")</f>
        <v>2</v>
      </c>
      <c r="F231">
        <f t="shared" ref="F231" si="611" xml:space="preserve"> IF(AND(LEN(ChartLines.ID)&gt;0,"Unused"&lt;&gt;ChartLines.ID), COUNTIFS(ChartLines.ID,ChartLines.ID,   ChartLines.RowNum,"&lt;="&amp;ChartLines.RowNum), "·")</f>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f t="shared" ref="H231" si="612" xml:space="preserve"> IF(LEN(ChartLines.Hex6)=6, HEX2DEC(LEFT(ChartLines.Hex6, 2)), "·")</f>
        <v>0</v>
      </c>
      <c r="I231">
        <f t="shared" ref="I231" si="613" xml:space="preserve"> IF(LEN(ChartLines.Hex6)=6, HEX2DEC(MID(ChartLines.Hex6, 3, 2)), "·")</f>
        <v>98</v>
      </c>
      <c r="J231">
        <f t="shared" ref="J231" si="614" xml:space="preserve"> IF(LEN(ChartLines.Hex6)=6, HEX2DEC(RIGHT(ChartLines.Hex6, 2)), "·")</f>
        <v>51</v>
      </c>
      <c r="K231" cm="1">
        <f t="array" ref="K231" xml:space="preserve"> 1 + ROW() - _xlfn.SINGLE(ROW(ChartLines.RowNum))</f>
        <v>229</v>
      </c>
    </row>
    <row r="232" spans="2:11">
      <c r="B232" t="s">
        <v>138</v>
      </c>
      <c r="C232" t="s">
        <v>1920</v>
      </c>
      <c r="E232">
        <f t="shared" ref="E232" si="615" xml:space="preserve"> IF(AND(LEN(ChartLines.ID)&gt;0,"Unused"&lt;&gt;ChartLines.ID), COUNTIFS(ChartLines.ID,ChartLines.ID), "·")</f>
        <v>2</v>
      </c>
      <c r="F232">
        <f t="shared" ref="F232" si="616" xml:space="preserve"> IF(AND(LEN(ChartLines.ID)&gt;0,"Unused"&lt;&gt;ChartLines.ID), COUNTIFS(ChartLines.ID,ChartLines.ID,   ChartLines.RowNum,"&lt;="&amp;ChartLines.RowNum), "·")</f>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f t="shared" ref="H232" si="617" xml:space="preserve"> IF(LEN(ChartLines.Hex6)=6, HEX2DEC(LEFT(ChartLines.Hex6, 2)), "·")</f>
        <v>251</v>
      </c>
      <c r="I232">
        <f t="shared" ref="I232" si="618" xml:space="preserve"> IF(LEN(ChartLines.Hex6)=6, HEX2DEC(MID(ChartLines.Hex6, 3, 2)), "·")</f>
        <v>15</v>
      </c>
      <c r="J232">
        <f t="shared" ref="J232" si="619" xml:space="preserve"> IF(LEN(ChartLines.Hex6)=6, HEX2DEC(RIGHT(ChartLines.Hex6, 2)), "·")</f>
        <v>12</v>
      </c>
      <c r="K232" cm="1">
        <f t="array" ref="K232" xml:space="preserve"> 1 + ROW() - _xlfn.SINGLE(ROW(ChartLines.RowNum))</f>
        <v>230</v>
      </c>
    </row>
    <row r="233" spans="2:11">
      <c r="B233" t="s">
        <v>1624</v>
      </c>
      <c r="C233" t="str">
        <f xml:space="preserve"> "006633"</f>
        <v>006633</v>
      </c>
      <c r="E233">
        <f t="shared" ref="E233" si="620" xml:space="preserve"> IF(AND(LEN(ChartLines.ID)&gt;0,"Unused"&lt;&gt;ChartLines.ID), COUNTIFS(ChartLines.ID,ChartLines.ID), "·")</f>
        <v>2</v>
      </c>
      <c r="F233">
        <f t="shared" ref="F233" si="62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f t="shared" ref="H233" si="622" xml:space="preserve"> IF(LEN(ChartLines.Hex6)=6, HEX2DEC(LEFT(ChartLines.Hex6, 2)), "·")</f>
        <v>0</v>
      </c>
      <c r="I233">
        <f t="shared" ref="I233" si="623" xml:space="preserve"> IF(LEN(ChartLines.Hex6)=6, HEX2DEC(MID(ChartLines.Hex6, 3, 2)), "·")</f>
        <v>102</v>
      </c>
      <c r="J233">
        <f t="shared" ref="J233" si="624" xml:space="preserve"> IF(LEN(ChartLines.Hex6)=6, HEX2DEC(RIGHT(ChartLines.Hex6, 2)), "·")</f>
        <v>51</v>
      </c>
      <c r="K233" cm="1">
        <f t="array" ref="K233" xml:space="preserve"> 1 + ROW() - _xlfn.SINGLE(ROW(ChartLines.RowNum))</f>
        <v>231</v>
      </c>
    </row>
    <row r="234" spans="2:11">
      <c r="B234" t="s">
        <v>1624</v>
      </c>
      <c r="C234" t="s">
        <v>1839</v>
      </c>
      <c r="E234">
        <f t="shared" ref="E234" si="625" xml:space="preserve"> IF(AND(LEN(ChartLines.ID)&gt;0,"Unused"&lt;&gt;ChartLines.ID), COUNTIFS(ChartLines.ID,ChartLines.ID), "·")</f>
        <v>2</v>
      </c>
      <c r="F234">
        <f t="shared" ref="F234" si="626"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f t="shared" ref="H234" si="627" xml:space="preserve"> IF(LEN(ChartLines.Hex6)=6, HEX2DEC(LEFT(ChartLines.Hex6, 2)), "·")</f>
        <v>255</v>
      </c>
      <c r="I234">
        <f t="shared" ref="I234" si="628" xml:space="preserve"> IF(LEN(ChartLines.Hex6)=6, HEX2DEC(MID(ChartLines.Hex6, 3, 2)), "·")</f>
        <v>255</v>
      </c>
      <c r="J234">
        <f t="shared" ref="J234" si="629" xml:space="preserve"> IF(LEN(ChartLines.Hex6)=6, HEX2DEC(RIGHT(ChartLines.Hex6, 2)), "·")</f>
        <v>255</v>
      </c>
      <c r="K234" cm="1">
        <f t="array" ref="K234" xml:space="preserve"> 1 + ROW() - _xlfn.SINGLE(ROW(ChartLines.RowNum))</f>
        <v>232</v>
      </c>
    </row>
    <row r="235" spans="2:11">
      <c r="B235" t="s">
        <v>492</v>
      </c>
      <c r="C235" t="s">
        <v>1921</v>
      </c>
      <c r="E235">
        <f t="shared" ref="E235" si="630" xml:space="preserve"> IF(AND(LEN(ChartLines.ID)&gt;0,"Unused"&lt;&gt;ChartLines.ID), COUNTIFS(ChartLines.ID,ChartLines.ID), "·")</f>
        <v>2</v>
      </c>
      <c r="F235">
        <f t="shared" ref="F235" si="631"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f t="shared" ref="H235" si="632" xml:space="preserve"> IF(LEN(ChartLines.Hex6)=6, HEX2DEC(LEFT(ChartLines.Hex6, 2)), "·")</f>
        <v>35</v>
      </c>
      <c r="I235">
        <f t="shared" ref="I235" si="633" xml:space="preserve"> IF(LEN(ChartLines.Hex6)=6, HEX2DEC(MID(ChartLines.Hex6, 3, 2)), "·")</f>
        <v>159</v>
      </c>
      <c r="J235">
        <f t="shared" ref="J235" si="634" xml:space="preserve"> IF(LEN(ChartLines.Hex6)=6, HEX2DEC(RIGHT(ChartLines.Hex6, 2)), "·")</f>
        <v>64</v>
      </c>
      <c r="K235" cm="1">
        <f t="array" ref="K235" xml:space="preserve"> 1 + ROW() - _xlfn.SINGLE(ROW(ChartLines.RowNum))</f>
        <v>233</v>
      </c>
    </row>
    <row r="236" spans="2:11">
      <c r="B236" t="s">
        <v>492</v>
      </c>
      <c r="C236" t="s">
        <v>1839</v>
      </c>
      <c r="E236">
        <f t="shared" ref="E236" si="635" xml:space="preserve"> IF(AND(LEN(ChartLines.ID)&gt;0,"Unused"&lt;&gt;ChartLines.ID), COUNTIFS(ChartLines.ID,ChartLines.ID), "·")</f>
        <v>2</v>
      </c>
      <c r="F236">
        <f t="shared" ref="F236" si="636"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f t="shared" ref="H236" si="637" xml:space="preserve"> IF(LEN(ChartLines.Hex6)=6, HEX2DEC(LEFT(ChartLines.Hex6, 2)), "·")</f>
        <v>255</v>
      </c>
      <c r="I236">
        <f t="shared" ref="I236" si="638" xml:space="preserve"> IF(LEN(ChartLines.Hex6)=6, HEX2DEC(MID(ChartLines.Hex6, 3, 2)), "·")</f>
        <v>255</v>
      </c>
      <c r="J236">
        <f t="shared" ref="J236" si="639" xml:space="preserve"> IF(LEN(ChartLines.Hex6)=6, HEX2DEC(RIGHT(ChartLines.Hex6, 2)), "·")</f>
        <v>255</v>
      </c>
      <c r="K236" cm="1">
        <f t="array" ref="K236" xml:space="preserve"> 1 + ROW() - _xlfn.SINGLE(ROW(ChartLines.RowNum))</f>
        <v>234</v>
      </c>
    </row>
    <row r="237" spans="2:11">
      <c r="B237" t="s">
        <v>900</v>
      </c>
      <c r="C237" t="str">
        <f xml:space="preserve"> "000000"</f>
        <v>000000</v>
      </c>
      <c r="E237">
        <f t="shared" ref="E237" si="640" xml:space="preserve"> IF(AND(LEN(ChartLines.ID)&gt;0,"Unused"&lt;&gt;ChartLines.ID), COUNTIFS(ChartLines.ID,ChartLines.ID), "·")</f>
        <v>2</v>
      </c>
      <c r="F237">
        <f t="shared" ref="F237" si="641"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f t="shared" ref="H237" si="642" xml:space="preserve"> IF(LEN(ChartLines.Hex6)=6, HEX2DEC(LEFT(ChartLines.Hex6, 2)), "·")</f>
        <v>0</v>
      </c>
      <c r="I237">
        <f t="shared" ref="I237" si="643" xml:space="preserve"> IF(LEN(ChartLines.Hex6)=6, HEX2DEC(MID(ChartLines.Hex6, 3, 2)), "·")</f>
        <v>0</v>
      </c>
      <c r="J237">
        <f t="shared" ref="J237" si="644" xml:space="preserve"> IF(LEN(ChartLines.Hex6)=6, HEX2DEC(RIGHT(ChartLines.Hex6, 2)), "·")</f>
        <v>0</v>
      </c>
      <c r="K237" cm="1">
        <f t="array" ref="K237" xml:space="preserve"> 1 + ROW() - _xlfn.SINGLE(ROW(ChartLines.RowNum))</f>
        <v>235</v>
      </c>
    </row>
    <row r="238" spans="2:11">
      <c r="B238" t="s">
        <v>900</v>
      </c>
      <c r="C238" t="s">
        <v>1922</v>
      </c>
      <c r="E238">
        <f t="shared" ref="E238" si="645" xml:space="preserve"> IF(AND(LEN(ChartLines.ID)&gt;0,"Unused"&lt;&gt;ChartLines.ID), COUNTIFS(ChartLines.ID,ChartLines.ID), "·")</f>
        <v>2</v>
      </c>
      <c r="F238">
        <f t="shared" ref="F238" si="646"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f t="shared" ref="H238" si="647" xml:space="preserve"> IF(LEN(ChartLines.Hex6)=6, HEX2DEC(LEFT(ChartLines.Hex6, 2)), "·")</f>
        <v>227</v>
      </c>
      <c r="I238">
        <f t="shared" ref="I238" si="648" xml:space="preserve"> IF(LEN(ChartLines.Hex6)=6, HEX2DEC(MID(ChartLines.Hex6, 3, 2)), "·")</f>
        <v>179</v>
      </c>
      <c r="J238">
        <f t="shared" ref="J238" si="649" xml:space="preserve"> IF(LEN(ChartLines.Hex6)=6, HEX2DEC(RIGHT(ChartLines.Hex6, 2)), "·")</f>
        <v>41</v>
      </c>
      <c r="K238" cm="1">
        <f t="array" ref="K238" xml:space="preserve"> 1 + ROW() - _xlfn.SINGLE(ROW(ChartLines.RowNum))</f>
        <v>236</v>
      </c>
    </row>
    <row r="239" spans="2:11">
      <c r="B239" t="s">
        <v>510</v>
      </c>
      <c r="C239" t="s">
        <v>1923</v>
      </c>
      <c r="E239">
        <f t="shared" ref="E239" si="650" xml:space="preserve"> IF(AND(LEN(ChartLines.ID)&gt;0,"Unused"&lt;&gt;ChartLines.ID), COUNTIFS(ChartLines.ID,ChartLines.ID), "·")</f>
        <v>2</v>
      </c>
      <c r="F239">
        <f t="shared" ref="F239" si="651"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f t="shared" ref="H239" si="652" xml:space="preserve"> IF(LEN(ChartLines.Hex6)=6, HEX2DEC(LEFT(ChartLines.Hex6, 2)), "·")</f>
        <v>0</v>
      </c>
      <c r="I239">
        <f t="shared" ref="I239" si="653" xml:space="preserve"> IF(LEN(ChartLines.Hex6)=6, HEX2DEC(MID(ChartLines.Hex6, 3, 2)), "·")</f>
        <v>94</v>
      </c>
      <c r="J239">
        <f t="shared" ref="J239" si="654" xml:space="preserve"> IF(LEN(ChartLines.Hex6)=6, HEX2DEC(RIGHT(ChartLines.Hex6, 2)), "·")</f>
        <v>184</v>
      </c>
      <c r="K239" cm="1">
        <f t="array" ref="K239" xml:space="preserve"> 1 + ROW() - _xlfn.SINGLE(ROW(ChartLines.RowNum))</f>
        <v>237</v>
      </c>
    </row>
    <row r="240" spans="2:11">
      <c r="B240" t="s">
        <v>510</v>
      </c>
      <c r="C240" t="s">
        <v>1839</v>
      </c>
      <c r="E240">
        <f t="shared" ref="E240" si="655" xml:space="preserve"> IF(AND(LEN(ChartLines.ID)&gt;0,"Unused"&lt;&gt;ChartLines.ID), COUNTIFS(ChartLines.ID,ChartLines.ID), "·")</f>
        <v>2</v>
      </c>
      <c r="F240">
        <f t="shared" ref="F240" si="656"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f t="shared" ref="H240" si="657" xml:space="preserve"> IF(LEN(ChartLines.Hex6)=6, HEX2DEC(LEFT(ChartLines.Hex6, 2)), "·")</f>
        <v>255</v>
      </c>
      <c r="I240">
        <f t="shared" ref="I240" si="658" xml:space="preserve"> IF(LEN(ChartLines.Hex6)=6, HEX2DEC(MID(ChartLines.Hex6, 3, 2)), "·")</f>
        <v>255</v>
      </c>
      <c r="J240">
        <f t="shared" ref="J240" si="659" xml:space="preserve"> IF(LEN(ChartLines.Hex6)=6, HEX2DEC(RIGHT(ChartLines.Hex6, 2)), "·")</f>
        <v>255</v>
      </c>
      <c r="K240" cm="1">
        <f t="array" ref="K240" xml:space="preserve"> 1 + ROW() - _xlfn.SINGLE(ROW(ChartLines.RowNum))</f>
        <v>238</v>
      </c>
    </row>
    <row r="241" spans="2:11">
      <c r="E241" t="str">
        <f t="shared" ref="E241" si="660" xml:space="preserve"> IF(AND(LEN(ChartLines.ID)&gt;0,"Unused"&lt;&gt;ChartLines.ID), COUNTIFS(ChartLines.ID,ChartLines.ID), "·")</f>
        <v>·</v>
      </c>
      <c r="F241" t="str">
        <f t="shared" ref="F241" si="661" xml:space="preserve"> IF(AND(LEN(ChartLines.ID)&gt;0,"Unused"&lt;&gt;ChartLines.ID), COUNTIFS(ChartLines.ID,ChartLines.ID,   ChartLines.RowNum,"&lt;="&amp;ChartLines.RowNum), "·")</f>
        <v>·</v>
      </c>
      <c r="G241" t="str" cm="1">
        <f t="array" ref="G241" xml:space="preserve"> _xlfn.IFS(OR(LEN(_xlfn.SINGLE(ChartLines.ID))=0,"Unused"=_xlfn.SINGLE(ChartLines.ID)), "·",   1=_xlfn.SINGLE(ChartLines.NumInstances), IF("USD"=_xlfn.SINGLE(ChartLines.ID), "SoleBig", "SoleOrdinary"),   1=_xlfn.SINGLE(ChartLines.InstanceNum), "Outer",   TRUE, "Inner")</f>
        <v>·</v>
      </c>
      <c r="H241" t="str">
        <f t="shared" ref="H241" si="662" xml:space="preserve"> IF(LEN(ChartLines.Hex6)=6, HEX2DEC(LEFT(ChartLines.Hex6, 2)), "·")</f>
        <v>·</v>
      </c>
      <c r="I241" t="str">
        <f t="shared" ref="I241" si="663" xml:space="preserve"> IF(LEN(ChartLines.Hex6)=6, HEX2DEC(MID(ChartLines.Hex6, 3, 2)), "·")</f>
        <v>·</v>
      </c>
      <c r="J241" t="str">
        <f t="shared" ref="J241" si="664" xml:space="preserve"> IF(LEN(ChartLines.Hex6)=6, HEX2DEC(RIGHT(ChartLines.Hex6, 2)), "·")</f>
        <v>·</v>
      </c>
      <c r="K241" cm="1">
        <f t="array" ref="K241" xml:space="preserve"> 1 + ROW() - _xlfn.SINGLE(ROW(ChartLines.RowNum))</f>
        <v>239</v>
      </c>
    </row>
    <row r="242" spans="2:11">
      <c r="B242" t="s">
        <v>433</v>
      </c>
      <c r="C242" t="str">
        <f xml:space="preserve"> "007749"</f>
        <v>007749</v>
      </c>
      <c r="E242">
        <f t="shared" ref="E242" si="665" xml:space="preserve"> IF(AND(LEN(ChartLines.ID)&gt;0,"Unused"&lt;&gt;ChartLines.ID), COUNTIFS(ChartLines.ID,ChartLines.ID), "·")</f>
        <v>2</v>
      </c>
      <c r="F242">
        <f t="shared" ref="F242" si="666" xml:space="preserve"> IF(AND(LEN(ChartLines.ID)&gt;0,"Unused"&lt;&gt;ChartLines.ID), COUNTIFS(ChartLines.ID,ChartLines.ID,   ChartLines.RowNum,"&lt;="&amp;ChartLines.RowNum), "·")</f>
        <v>1</v>
      </c>
      <c r="G242" t="str" cm="1">
        <f t="array" ref="G242" xml:space="preserve"> _xlfn.IFS(OR(LEN(_xlfn.SINGLE(ChartLines.ID))=0,"Unused"=_xlfn.SINGLE(ChartLines.ID)), "·",   1=_xlfn.SINGLE(ChartLines.NumInstances), IF("USD"=_xlfn.SINGLE(ChartLines.ID), "SoleBig", "SoleOrdinary"),   1=_xlfn.SINGLE(ChartLines.InstanceNum), "Outer",   TRUE, "Inner")</f>
        <v>Outer</v>
      </c>
      <c r="H242">
        <f t="shared" ref="H242" si="667" xml:space="preserve"> IF(LEN(ChartLines.Hex6)=6, HEX2DEC(LEFT(ChartLines.Hex6, 2)), "·")</f>
        <v>0</v>
      </c>
      <c r="I242">
        <f t="shared" ref="I242" si="668" xml:space="preserve"> IF(LEN(ChartLines.Hex6)=6, HEX2DEC(MID(ChartLines.Hex6, 3, 2)), "·")</f>
        <v>119</v>
      </c>
      <c r="J242">
        <f t="shared" ref="J242" si="669" xml:space="preserve"> IF(LEN(ChartLines.Hex6)=6, HEX2DEC(RIGHT(ChartLines.Hex6, 2)), "·")</f>
        <v>73</v>
      </c>
      <c r="K242" cm="1">
        <f t="array" ref="K242" xml:space="preserve"> 1 + ROW() - _xlfn.SINGLE(ROW(ChartLines.RowNum))</f>
        <v>240</v>
      </c>
    </row>
    <row r="243" spans="2:11">
      <c r="B243" t="s">
        <v>433</v>
      </c>
      <c r="C243" t="str">
        <f xml:space="preserve"> "FFA500"</f>
        <v>FFA500</v>
      </c>
      <c r="E243">
        <f t="shared" ref="E243" si="670" xml:space="preserve"> IF(AND(LEN(ChartLines.ID)&gt;0,"Unused"&lt;&gt;ChartLines.ID), COUNTIFS(ChartLines.ID,ChartLines.ID), "·")</f>
        <v>2</v>
      </c>
      <c r="F243">
        <f t="shared" ref="F243" si="671" xml:space="preserve"> IF(AND(LEN(ChartLines.ID)&gt;0,"Unused"&lt;&gt;ChartLines.ID), COUNTIFS(ChartLines.ID,ChartLines.ID,   ChartLines.RowNum,"&lt;="&amp;ChartLines.RowNum), "·")</f>
        <v>2</v>
      </c>
      <c r="G243" t="str" cm="1">
        <f t="array" ref="G243" xml:space="preserve"> _xlfn.IFS(OR(LEN(_xlfn.SINGLE(ChartLines.ID))=0,"Unused"=_xlfn.SINGLE(ChartLines.ID)), "·",   1=_xlfn.SINGLE(ChartLines.NumInstances), IF("USD"=_xlfn.SINGLE(ChartLines.ID), "SoleBig", "SoleOrdinary"),   1=_xlfn.SINGLE(ChartLines.InstanceNum), "Outer",   TRUE, "Inner")</f>
        <v>Inner</v>
      </c>
      <c r="H243">
        <f t="shared" ref="H243" si="672" xml:space="preserve"> IF(LEN(ChartLines.Hex6)=6, HEX2DEC(LEFT(ChartLines.Hex6, 2)), "·")</f>
        <v>255</v>
      </c>
      <c r="I243">
        <f t="shared" ref="I243" si="673" xml:space="preserve"> IF(LEN(ChartLines.Hex6)=6, HEX2DEC(MID(ChartLines.Hex6, 3, 2)), "·")</f>
        <v>165</v>
      </c>
      <c r="J243">
        <f t="shared" ref="J243" si="674" xml:space="preserve"> IF(LEN(ChartLines.Hex6)=6, HEX2DEC(RIGHT(ChartLines.Hex6, 2)), "·")</f>
        <v>0</v>
      </c>
      <c r="K243" cm="1">
        <f t="array" ref="K243" xml:space="preserve"> 1 + ROW() - _xlfn.SINGLE(ROW(ChartLines.RowNum))</f>
        <v>241</v>
      </c>
    </row>
    <row r="244" spans="2:11">
      <c r="B244" t="s">
        <v>168</v>
      </c>
      <c r="C244" t="str">
        <f xml:space="preserve"> "009639"</f>
        <v>009639</v>
      </c>
      <c r="E244">
        <f t="shared" ref="E244" si="675" xml:space="preserve"> IF(AND(LEN(ChartLines.ID)&gt;0,"Unused"&lt;&gt;ChartLines.ID), COUNTIFS(ChartLines.ID,ChartLines.ID), "·")</f>
        <v>2</v>
      </c>
      <c r="F244">
        <f t="shared" ref="F244" si="676" xml:space="preserve"> IF(AND(LEN(ChartLines.ID)&gt;0,"Unused"&lt;&gt;ChartLines.ID), COUNTIFS(ChartLines.ID,ChartLines.ID,   ChartLines.RowNum,"&lt;="&amp;ChartLines.RowNum), "·")</f>
        <v>1</v>
      </c>
      <c r="G244" t="str" cm="1">
        <f t="array" ref="G244" xml:space="preserve"> _xlfn.IFS(OR(LEN(_xlfn.SINGLE(ChartLines.ID))=0,"Unused"=_xlfn.SINGLE(ChartLines.ID)), "·",   1=_xlfn.SINGLE(ChartLines.NumInstances), IF("USD"=_xlfn.SINGLE(ChartLines.ID), "SoleBig", "SoleOrdinary"),   1=_xlfn.SINGLE(ChartLines.InstanceNum), "Outer",   TRUE, "Inner")</f>
        <v>Outer</v>
      </c>
      <c r="H244">
        <f t="shared" ref="H244" si="677" xml:space="preserve"> IF(LEN(ChartLines.Hex6)=6, HEX2DEC(LEFT(ChartLines.Hex6, 2)), "·")</f>
        <v>0</v>
      </c>
      <c r="I244">
        <f t="shared" ref="I244" si="678" xml:space="preserve"> IF(LEN(ChartLines.Hex6)=6, HEX2DEC(MID(ChartLines.Hex6, 3, 2)), "·")</f>
        <v>150</v>
      </c>
      <c r="J244">
        <f t="shared" ref="J244" si="679" xml:space="preserve"> IF(LEN(ChartLines.Hex6)=6, HEX2DEC(RIGHT(ChartLines.Hex6, 2)), "·")</f>
        <v>57</v>
      </c>
      <c r="K244" cm="1">
        <f t="array" ref="K244" xml:space="preserve"> 1 + ROW() - _xlfn.SINGLE(ROW(ChartLines.RowNum))</f>
        <v>242</v>
      </c>
    </row>
    <row r="245" spans="2:11">
      <c r="B245" t="s">
        <v>168</v>
      </c>
      <c r="C245" t="s">
        <v>1839</v>
      </c>
      <c r="E245">
        <f t="shared" ref="E245" si="680" xml:space="preserve"> IF(AND(LEN(ChartLines.ID)&gt;0,"Unused"&lt;&gt;ChartLines.ID), COUNTIFS(ChartLines.ID,ChartLines.ID), "·")</f>
        <v>2</v>
      </c>
      <c r="F245">
        <f t="shared" ref="F245" si="681" xml:space="preserve"> IF(AND(LEN(ChartLines.ID)&gt;0,"Unused"&lt;&gt;ChartLines.ID), COUNTIFS(ChartLines.ID,ChartLines.ID,   ChartLines.RowNum,"&lt;="&amp;ChartLines.RowNum), "·")</f>
        <v>2</v>
      </c>
      <c r="G245" t="str" cm="1">
        <f t="array" ref="G245" xml:space="preserve"> _xlfn.IFS(OR(LEN(_xlfn.SINGLE(ChartLines.ID))=0,"Unused"=_xlfn.SINGLE(ChartLines.ID)), "·",   1=_xlfn.SINGLE(ChartLines.NumInstances), IF("USD"=_xlfn.SINGLE(ChartLines.ID), "SoleBig", "SoleOrdinary"),   1=_xlfn.SINGLE(ChartLines.InstanceNum), "Outer",   TRUE, "Inner")</f>
        <v>Inner</v>
      </c>
      <c r="H245">
        <f t="shared" ref="H245" si="682" xml:space="preserve"> IF(LEN(ChartLines.Hex6)=6, HEX2DEC(LEFT(ChartLines.Hex6, 2)), "·")</f>
        <v>255</v>
      </c>
      <c r="I245">
        <f t="shared" ref="I245" si="683" xml:space="preserve"> IF(LEN(ChartLines.Hex6)=6, HEX2DEC(MID(ChartLines.Hex6, 3, 2)), "·")</f>
        <v>255</v>
      </c>
      <c r="J245">
        <f t="shared" ref="J245" si="684" xml:space="preserve"> IF(LEN(ChartLines.Hex6)=6, HEX2DEC(RIGHT(ChartLines.Hex6, 2)), "·")</f>
        <v>255</v>
      </c>
      <c r="K245" cm="1">
        <f t="array" ref="K245" xml:space="preserve"> 1 + ROW() - _xlfn.SINGLE(ROW(ChartLines.RowNum))</f>
        <v>243</v>
      </c>
    </row>
    <row r="246" spans="2:11">
      <c r="B246" t="s">
        <v>1617</v>
      </c>
      <c r="C246" t="str">
        <f xml:space="preserve"> "0F47AF"</f>
        <v>0F47AF</v>
      </c>
      <c r="E246">
        <f t="shared" ref="E246" si="685" xml:space="preserve"> IF(AND(LEN(ChartLines.ID)&gt;0,"Unused"&lt;&gt;ChartLines.ID), COUNTIFS(ChartLines.ID,ChartLines.ID), "·")</f>
        <v>2</v>
      </c>
      <c r="F246">
        <f t="shared" ref="F246" si="686"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f t="shared" ref="H246" si="687" xml:space="preserve"> IF(LEN(ChartLines.Hex6)=6, HEX2DEC(LEFT(ChartLines.Hex6, 2)), "·")</f>
        <v>15</v>
      </c>
      <c r="I246">
        <f t="shared" ref="I246" si="688" xml:space="preserve"> IF(LEN(ChartLines.Hex6)=6, HEX2DEC(MID(ChartLines.Hex6, 3, 2)), "·")</f>
        <v>71</v>
      </c>
      <c r="J246">
        <f t="shared" ref="J246" si="689" xml:space="preserve"> IF(LEN(ChartLines.Hex6)=6, HEX2DEC(RIGHT(ChartLines.Hex6, 2)), "·")</f>
        <v>175</v>
      </c>
      <c r="K246" cm="1">
        <f t="array" ref="K246" xml:space="preserve"> 1 + ROW() - _xlfn.SINGLE(ROW(ChartLines.RowNum))</f>
        <v>244</v>
      </c>
    </row>
    <row r="247" spans="2:11">
      <c r="B247" t="s">
        <v>1617</v>
      </c>
      <c r="C247" t="s">
        <v>1924</v>
      </c>
      <c r="E247">
        <f t="shared" ref="E247:E249" si="690" xml:space="preserve"> IF(AND(LEN(ChartLines.ID)&gt;0,"Unused"&lt;&gt;ChartLines.ID), COUNTIFS(ChartLines.ID,ChartLines.ID), "·")</f>
        <v>2</v>
      </c>
      <c r="F247">
        <f t="shared" ref="F247:F249" si="691"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f t="shared" ref="H247:H249" si="692" xml:space="preserve"> IF(LEN(ChartLines.Hex6)=6, HEX2DEC(LEFT(ChartLines.Hex6, 2)), "·")</f>
        <v>252</v>
      </c>
      <c r="I247">
        <f t="shared" ref="I247:I249" si="693" xml:space="preserve"> IF(LEN(ChartLines.Hex6)=6, HEX2DEC(MID(ChartLines.Hex6, 3, 2)), "·")</f>
        <v>221</v>
      </c>
      <c r="J247">
        <f t="shared" ref="J247:J249" si="694" xml:space="preserve"> IF(LEN(ChartLines.Hex6)=6, HEX2DEC(RIGHT(ChartLines.Hex6, 2)), "·")</f>
        <v>9</v>
      </c>
      <c r="K247" cm="1">
        <f t="array" ref="K247" xml:space="preserve"> 1 + ROW() - _xlfn.SINGLE(ROW(ChartLines.RowNum))</f>
        <v>245</v>
      </c>
    </row>
    <row r="248" spans="2:11">
      <c r="B248" t="s">
        <v>2005</v>
      </c>
      <c r="C248" t="str">
        <f xml:space="preserve"> "000000"</f>
        <v>000000</v>
      </c>
      <c r="E248">
        <f t="shared" si="690"/>
        <v>2</v>
      </c>
      <c r="F248">
        <f t="shared" si="691"/>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f t="shared" si="692"/>
        <v>0</v>
      </c>
      <c r="I248">
        <f t="shared" si="693"/>
        <v>0</v>
      </c>
      <c r="J248">
        <f t="shared" si="694"/>
        <v>0</v>
      </c>
      <c r="K248" cm="1">
        <f t="array" ref="K248" xml:space="preserve"> 1 + ROW() - _xlfn.SINGLE(ROW(ChartLines.RowNum))</f>
        <v>246</v>
      </c>
    </row>
    <row r="249" spans="2:11">
      <c r="B249" t="s">
        <v>2005</v>
      </c>
      <c r="C249" t="s">
        <v>1839</v>
      </c>
      <c r="E249">
        <f t="shared" si="690"/>
        <v>2</v>
      </c>
      <c r="F249">
        <f t="shared" si="691"/>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f t="shared" si="692"/>
        <v>255</v>
      </c>
      <c r="I249">
        <f t="shared" si="693"/>
        <v>255</v>
      </c>
      <c r="J249">
        <f t="shared" si="694"/>
        <v>255</v>
      </c>
      <c r="K249" cm="1">
        <f t="array" ref="K249" xml:space="preserve"> 1 + ROW() - _xlfn.SINGLE(ROW(ChartLines.RowNum))</f>
        <v>247</v>
      </c>
    </row>
    <row r="250" spans="2:11">
      <c r="B250" t="s">
        <v>1627</v>
      </c>
      <c r="C250" t="s">
        <v>1925</v>
      </c>
      <c r="E250">
        <f t="shared" ref="E250" si="695" xml:space="preserve"> IF(AND(LEN(ChartLines.ID)&gt;0,"Unused"&lt;&gt;ChartLines.ID), COUNTIFS(ChartLines.ID,ChartLines.ID), "·")</f>
        <v>2</v>
      </c>
      <c r="F250">
        <f t="shared" ref="F250" si="696"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f t="shared" ref="H250" si="697" xml:space="preserve"> IF(LEN(ChartLines.Hex6)=6, HEX2DEC(LEFT(ChartLines.Hex6, 2)), "·")</f>
        <v>187</v>
      </c>
      <c r="I250">
        <f t="shared" ref="I250" si="698" xml:space="preserve"> IF(LEN(ChartLines.Hex6)=6, HEX2DEC(MID(ChartLines.Hex6, 3, 2)), "·")</f>
        <v>0</v>
      </c>
      <c r="J250">
        <f t="shared" ref="J250" si="699" xml:space="preserve"> IF(LEN(ChartLines.Hex6)=6, HEX2DEC(RIGHT(ChartLines.Hex6, 2)), "·")</f>
        <v>0</v>
      </c>
      <c r="K250" cm="1">
        <f t="array" ref="K250" xml:space="preserve"> 1 + ROW() - _xlfn.SINGLE(ROW(ChartLines.RowNum))</f>
        <v>248</v>
      </c>
    </row>
    <row r="251" spans="2:11">
      <c r="B251" t="s">
        <v>1627</v>
      </c>
      <c r="C251" t="str">
        <f xml:space="preserve"> "000000"</f>
        <v>000000</v>
      </c>
      <c r="E251">
        <f t="shared" ref="E251" si="700" xml:space="preserve"> IF(AND(LEN(ChartLines.ID)&gt;0,"Unused"&lt;&gt;ChartLines.ID), COUNTIFS(ChartLines.ID,ChartLines.ID), "·")</f>
        <v>2</v>
      </c>
      <c r="F251">
        <f t="shared" ref="F251" si="701"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f t="shared" ref="H251" si="702" xml:space="preserve"> IF(LEN(ChartLines.Hex6)=6, HEX2DEC(LEFT(ChartLines.Hex6, 2)), "·")</f>
        <v>0</v>
      </c>
      <c r="I251">
        <f t="shared" ref="I251" si="703" xml:space="preserve"> IF(LEN(ChartLines.Hex6)=6, HEX2DEC(MID(ChartLines.Hex6, 3, 2)), "·")</f>
        <v>0</v>
      </c>
      <c r="J251">
        <f t="shared" ref="J251" si="704" xml:space="preserve"> IF(LEN(ChartLines.Hex6)=6, HEX2DEC(RIGHT(ChartLines.Hex6, 2)), "·")</f>
        <v>0</v>
      </c>
      <c r="K251" cm="1">
        <f t="array" ref="K251" xml:space="preserve"> 1 + ROW() - _xlfn.SINGLE(ROW(ChartLines.RowNum))</f>
        <v>249</v>
      </c>
    </row>
    <row r="252" spans="2:11">
      <c r="B252" t="s">
        <v>1623</v>
      </c>
      <c r="C252" t="s">
        <v>1880</v>
      </c>
      <c r="E252">
        <f t="shared" ref="E252" si="705" xml:space="preserve"> IF(AND(LEN(ChartLines.ID)&gt;0,"Unused"&lt;&gt;ChartLines.ID), COUNTIFS(ChartLines.ID,ChartLines.ID), "·")</f>
        <v>2</v>
      </c>
      <c r="F252">
        <f t="shared" ref="F252" si="706" xml:space="preserve"> IF(AND(LEN(ChartLines.ID)&gt;0,"Unused"&lt;&gt;ChartLines.ID), COUNTIFS(ChartLines.ID,ChartLines.ID,   ChartLines.RowNum,"&lt;="&amp;ChartLines.RowNum), "·")</f>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f t="shared" ref="H252" si="707" xml:space="preserve"> IF(LEN(ChartLines.Hex6)=6, HEX2DEC(LEFT(ChartLines.Hex6, 2)), "·")</f>
        <v>252</v>
      </c>
      <c r="I252">
        <f t="shared" ref="I252" si="708" xml:space="preserve"> IF(LEN(ChartLines.Hex6)=6, HEX2DEC(MID(ChartLines.Hex6, 3, 2)), "·")</f>
        <v>209</v>
      </c>
      <c r="J252">
        <f t="shared" ref="J252" si="709" xml:space="preserve"> IF(LEN(ChartLines.Hex6)=6, HEX2DEC(RIGHT(ChartLines.Hex6, 2)), "·")</f>
        <v>22</v>
      </c>
      <c r="K252" cm="1">
        <f t="array" ref="K252" xml:space="preserve"> 1 + ROW() - _xlfn.SINGLE(ROW(ChartLines.RowNum))</f>
        <v>250</v>
      </c>
    </row>
    <row r="253" spans="2:11">
      <c r="B253" t="s">
        <v>1623</v>
      </c>
      <c r="C253" t="str">
        <f xml:space="preserve"> "000000"</f>
        <v>000000</v>
      </c>
      <c r="E253">
        <f t="shared" ref="E253" si="710" xml:space="preserve"> IF(AND(LEN(ChartLines.ID)&gt;0,"Unused"&lt;&gt;ChartLines.ID), COUNTIFS(ChartLines.ID,ChartLines.ID), "·")</f>
        <v>2</v>
      </c>
      <c r="F253">
        <f t="shared" ref="F253" si="711" xml:space="preserve"> IF(AND(LEN(ChartLines.ID)&gt;0,"Unused"&lt;&gt;ChartLines.ID), COUNTIFS(ChartLines.ID,ChartLines.ID,   ChartLines.RowNum,"&lt;="&amp;ChartLines.RowNum), "·")</f>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f t="shared" ref="H253" si="712" xml:space="preserve"> IF(LEN(ChartLines.Hex6)=6, HEX2DEC(LEFT(ChartLines.Hex6, 2)), "·")</f>
        <v>0</v>
      </c>
      <c r="I253">
        <f t="shared" ref="I253" si="713" xml:space="preserve"> IF(LEN(ChartLines.Hex6)=6, HEX2DEC(MID(ChartLines.Hex6, 3, 2)), "·")</f>
        <v>0</v>
      </c>
      <c r="J253">
        <f t="shared" ref="J253" si="714" xml:space="preserve"> IF(LEN(ChartLines.Hex6)=6, HEX2DEC(RIGHT(ChartLines.Hex6, 2)), "·")</f>
        <v>0</v>
      </c>
      <c r="K253" cm="1">
        <f t="array" ref="K253" xml:space="preserve"> 1 + ROW() - _xlfn.SINGLE(ROW(ChartLines.RowNum))</f>
        <v>251</v>
      </c>
    </row>
    <row r="254" spans="2:11">
      <c r="B254" t="s">
        <v>1637</v>
      </c>
      <c r="C254" t="str">
        <f xml:space="preserve"> "000000"</f>
        <v>000000</v>
      </c>
      <c r="E254">
        <f t="shared" ref="E254" si="715" xml:space="preserve"> IF(AND(LEN(ChartLines.ID)&gt;0,"Unused"&lt;&gt;ChartLines.ID), COUNTIFS(ChartLines.ID,ChartLines.ID), "·")</f>
        <v>2</v>
      </c>
      <c r="F254">
        <f t="shared" ref="F254" si="716"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f t="shared" ref="H254" si="717" xml:space="preserve"> IF(LEN(ChartLines.Hex6)=6, HEX2DEC(LEFT(ChartLines.Hex6, 2)), "·")</f>
        <v>0</v>
      </c>
      <c r="I254">
        <f t="shared" ref="I254" si="718" xml:space="preserve"> IF(LEN(ChartLines.Hex6)=6, HEX2DEC(MID(ChartLines.Hex6, 3, 2)), "·")</f>
        <v>0</v>
      </c>
      <c r="J254">
        <f t="shared" ref="J254" si="719" xml:space="preserve"> IF(LEN(ChartLines.Hex6)=6, HEX2DEC(RIGHT(ChartLines.Hex6, 2)), "·")</f>
        <v>0</v>
      </c>
      <c r="K254" cm="1">
        <f t="array" ref="K254" xml:space="preserve"> 1 + ROW() - _xlfn.SINGLE(ROW(ChartLines.RowNum))</f>
        <v>252</v>
      </c>
    </row>
    <row r="255" spans="2:11">
      <c r="B255" t="s">
        <v>1637</v>
      </c>
      <c r="C255" t="s">
        <v>1926</v>
      </c>
      <c r="E255">
        <f t="shared" ref="E255" si="720" xml:space="preserve"> IF(AND(LEN(ChartLines.ID)&gt;0,"Unused"&lt;&gt;ChartLines.ID), COUNTIFS(ChartLines.ID,ChartLines.ID), "·")</f>
        <v>2</v>
      </c>
      <c r="F255">
        <f t="shared" ref="F255" si="72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f t="shared" ref="H255" si="722" xml:space="preserve"> IF(LEN(ChartLines.Hex6)=6, HEX2DEC(LEFT(ChartLines.Hex6, 2)), "·")</f>
        <v>217</v>
      </c>
      <c r="I255">
        <f t="shared" ref="I255" si="723" xml:space="preserve"> IF(LEN(ChartLines.Hex6)=6, HEX2DEC(MID(ChartLines.Hex6, 3, 2)), "·")</f>
        <v>0</v>
      </c>
      <c r="J255">
        <f t="shared" ref="J255" si="724" xml:space="preserve"> IF(LEN(ChartLines.Hex6)=6, HEX2DEC(RIGHT(ChartLines.Hex6, 2)), "·")</f>
        <v>0</v>
      </c>
      <c r="K255" cm="1">
        <f t="array" ref="K255" xml:space="preserve"> 1 + ROW() - _xlfn.SINGLE(ROW(ChartLines.RowNum))</f>
        <v>253</v>
      </c>
    </row>
    <row r="256" spans="2:11">
      <c r="B256" t="s">
        <v>1620</v>
      </c>
      <c r="C256" t="str">
        <f xml:space="preserve"> "007FFF"</f>
        <v>007FFF</v>
      </c>
      <c r="E256">
        <f t="shared" ref="E256" si="725" xml:space="preserve"> IF(AND(LEN(ChartLines.ID)&gt;0,"Unused"&lt;&gt;ChartLines.ID), COUNTIFS(ChartLines.ID,ChartLines.ID), "·")</f>
        <v>2</v>
      </c>
      <c r="F256">
        <f t="shared" ref="F256" si="726"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f t="shared" ref="H256" si="727" xml:space="preserve"> IF(LEN(ChartLines.Hex6)=6, HEX2DEC(LEFT(ChartLines.Hex6, 2)), "·")</f>
        <v>0</v>
      </c>
      <c r="I256">
        <f t="shared" ref="I256" si="728" xml:space="preserve"> IF(LEN(ChartLines.Hex6)=6, HEX2DEC(MID(ChartLines.Hex6, 3, 2)), "·")</f>
        <v>127</v>
      </c>
      <c r="J256">
        <f t="shared" ref="J256" si="729" xml:space="preserve"> IF(LEN(ChartLines.Hex6)=6, HEX2DEC(RIGHT(ChartLines.Hex6, 2)), "·")</f>
        <v>255</v>
      </c>
      <c r="K256" cm="1">
        <f t="array" ref="K256" xml:space="preserve"> 1 + ROW() - _xlfn.SINGLE(ROW(ChartLines.RowNum))</f>
        <v>254</v>
      </c>
    </row>
    <row r="257" spans="2:11">
      <c r="B257" t="s">
        <v>1620</v>
      </c>
      <c r="C257" t="s">
        <v>1927</v>
      </c>
      <c r="E257">
        <f t="shared" ref="E257" si="730" xml:space="preserve"> IF(AND(LEN(ChartLines.ID)&gt;0,"Unused"&lt;&gt;ChartLines.ID), COUNTIFS(ChartLines.ID,ChartLines.ID), "·")</f>
        <v>2</v>
      </c>
      <c r="F257">
        <f t="shared" ref="F257" si="731"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f t="shared" ref="H257" si="732" xml:space="preserve"> IF(LEN(ChartLines.Hex6)=6, HEX2DEC(LEFT(ChartLines.Hex6, 2)), "·")</f>
        <v>247</v>
      </c>
      <c r="I257">
        <f t="shared" ref="I257" si="733" xml:space="preserve"> IF(LEN(ChartLines.Hex6)=6, HEX2DEC(MID(ChartLines.Hex6, 3, 2)), "·")</f>
        <v>214</v>
      </c>
      <c r="J257">
        <f t="shared" ref="J257" si="734" xml:space="preserve"> IF(LEN(ChartLines.Hex6)=6, HEX2DEC(RIGHT(ChartLines.Hex6, 2)), "·")</f>
        <v>24</v>
      </c>
      <c r="K257" cm="1">
        <f t="array" ref="K257" xml:space="preserve"> 1 + ROW() - _xlfn.SINGLE(ROW(ChartLines.RowNum))</f>
        <v>255</v>
      </c>
    </row>
    <row r="258" spans="2:11">
      <c r="B258" t="s">
        <v>1959</v>
      </c>
      <c r="C258" t="str">
        <f xml:space="preserve"> "000000"</f>
        <v>000000</v>
      </c>
      <c r="E258">
        <f t="shared" ref="E258" si="735" xml:space="preserve"> IF(AND(LEN(ChartLines.ID)&gt;0,"Unused"&lt;&gt;ChartLines.ID), COUNTIFS(ChartLines.ID,ChartLines.ID), "·")</f>
        <v>2</v>
      </c>
      <c r="F258">
        <f t="shared" ref="F258" si="736"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f t="shared" ref="H258" si="737" xml:space="preserve"> IF(LEN(ChartLines.Hex6)=6, HEX2DEC(LEFT(ChartLines.Hex6, 2)), "·")</f>
        <v>0</v>
      </c>
      <c r="I258">
        <f t="shared" ref="I258" si="738" xml:space="preserve"> IF(LEN(ChartLines.Hex6)=6, HEX2DEC(MID(ChartLines.Hex6, 3, 2)), "·")</f>
        <v>0</v>
      </c>
      <c r="J258">
        <f t="shared" ref="J258" si="739" xml:space="preserve"> IF(LEN(ChartLines.Hex6)=6, HEX2DEC(RIGHT(ChartLines.Hex6, 2)), "·")</f>
        <v>0</v>
      </c>
      <c r="K258" cm="1">
        <f t="array" ref="K258" xml:space="preserve"> 1 + ROW() - _xlfn.SINGLE(ROW(ChartLines.RowNum))</f>
        <v>256</v>
      </c>
    </row>
    <row r="259" spans="2:11">
      <c r="B259" t="s">
        <v>1959</v>
      </c>
      <c r="C259" t="s">
        <v>1845</v>
      </c>
      <c r="E259">
        <f t="shared" ref="E259" si="740" xml:space="preserve"> IF(AND(LEN(ChartLines.ID)&gt;0,"Unused"&lt;&gt;ChartLines.ID), COUNTIFS(ChartLines.ID,ChartLines.ID), "·")</f>
        <v>2</v>
      </c>
      <c r="F259">
        <f t="shared" ref="F259" si="741"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f t="shared" ref="H259" si="742" xml:space="preserve"> IF(LEN(ChartLines.Hex6)=6, HEX2DEC(LEFT(ChartLines.Hex6, 2)), "·")</f>
        <v>255</v>
      </c>
      <c r="I259">
        <f t="shared" ref="I259" si="743" xml:space="preserve"> IF(LEN(ChartLines.Hex6)=6, HEX2DEC(MID(ChartLines.Hex6, 3, 2)), "·")</f>
        <v>209</v>
      </c>
      <c r="J259">
        <f t="shared" ref="J259" si="744" xml:space="preserve"> IF(LEN(ChartLines.Hex6)=6, HEX2DEC(RIGHT(ChartLines.Hex6, 2)), "·")</f>
        <v>0</v>
      </c>
      <c r="K259" cm="1">
        <f t="array" ref="K259" xml:space="preserve"> 1 + ROW() - _xlfn.SINGLE(ROW(ChartLines.RowNum))</f>
        <v>257</v>
      </c>
    </row>
    <row r="260" spans="2:11">
      <c r="B260" t="s">
        <v>139</v>
      </c>
      <c r="C260" t="s">
        <v>1929</v>
      </c>
      <c r="E260">
        <f t="shared" ref="E260" si="745" xml:space="preserve"> IF(AND(LEN(ChartLines.ID)&gt;0,"Unused"&lt;&gt;ChartLines.ID), COUNTIFS(ChartLines.ID,ChartLines.ID), "·")</f>
        <v>2</v>
      </c>
      <c r="F260">
        <f t="shared" ref="F260" si="746"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f t="shared" ref="H260" si="747" xml:space="preserve"> IF(LEN(ChartLines.Hex6)=6, HEX2DEC(LEFT(ChartLines.Hex6, 2)), "·")</f>
        <v>253</v>
      </c>
      <c r="I260">
        <f t="shared" ref="I260" si="748" xml:space="preserve"> IF(LEN(ChartLines.Hex6)=6, HEX2DEC(MID(ChartLines.Hex6, 3, 2)), "·")</f>
        <v>239</v>
      </c>
      <c r="J260">
        <f t="shared" ref="J260" si="749" xml:space="preserve"> IF(LEN(ChartLines.Hex6)=6, HEX2DEC(RIGHT(ChartLines.Hex6, 2)), "·")</f>
        <v>66</v>
      </c>
      <c r="K260" cm="1">
        <f t="array" ref="K260" xml:space="preserve"> 1 + ROW() - _xlfn.SINGLE(ROW(ChartLines.RowNum))</f>
        <v>258</v>
      </c>
    </row>
    <row r="261" spans="2:11">
      <c r="B261" t="s">
        <v>139</v>
      </c>
      <c r="C261" t="s">
        <v>1928</v>
      </c>
      <c r="E261">
        <f t="shared" ref="E261" si="750" xml:space="preserve"> IF(AND(LEN(ChartLines.ID)&gt;0,"Unused"&lt;&gt;ChartLines.ID), COUNTIFS(ChartLines.ID,ChartLines.ID), "·")</f>
        <v>2</v>
      </c>
      <c r="F261">
        <f t="shared" ref="F261" si="751"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f t="shared" ref="H261" si="752" xml:space="preserve"> IF(LEN(ChartLines.Hex6)=6, HEX2DEC(LEFT(ChartLines.Hex6, 2)), "·")</f>
        <v>29</v>
      </c>
      <c r="I261">
        <f t="shared" ref="I261" si="753" xml:space="preserve"> IF(LEN(ChartLines.Hex6)=6, HEX2DEC(MID(ChartLines.Hex6, 3, 2)), "·")</f>
        <v>98</v>
      </c>
      <c r="J261">
        <f t="shared" ref="J261" si="754" xml:space="preserve"> IF(LEN(ChartLines.Hex6)=6, HEX2DEC(RIGHT(ChartLines.Hex6, 2)), "·")</f>
        <v>51</v>
      </c>
      <c r="K261" cm="1">
        <f t="array" ref="K261" xml:space="preserve"> 1 + ROW() - _xlfn.SINGLE(ROW(ChartLines.RowNum))</f>
        <v>259</v>
      </c>
    </row>
    <row r="262" spans="2:11">
      <c r="B262" t="s">
        <v>99</v>
      </c>
      <c r="C262" t="s">
        <v>1852</v>
      </c>
      <c r="E262">
        <f t="shared" ref="E262" si="755" xml:space="preserve"> IF(AND(LEN(ChartLines.ID)&gt;0,"Unused"&lt;&gt;ChartLines.ID), COUNTIFS(ChartLines.ID,ChartLines.ID), "·")</f>
        <v>2</v>
      </c>
      <c r="F262">
        <f t="shared" ref="F262" si="756"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f t="shared" ref="H262" si="757" xml:space="preserve"> IF(LEN(ChartLines.Hex6)=6, HEX2DEC(LEFT(ChartLines.Hex6, 2)), "·")</f>
        <v>0</v>
      </c>
      <c r="I262">
        <f t="shared" ref="I262" si="758" xml:space="preserve"> IF(LEN(ChartLines.Hex6)=6, HEX2DEC(MID(ChartLines.Hex6, 3, 2)), "·")</f>
        <v>61</v>
      </c>
      <c r="J262">
        <f t="shared" ref="J262" si="759" xml:space="preserve"> IF(LEN(ChartLines.Hex6)=6, HEX2DEC(RIGHT(ChartLines.Hex6, 2)), "·")</f>
        <v>165</v>
      </c>
      <c r="K262" cm="1">
        <f t="array" ref="K262" xml:space="preserve"> 1 + ROW() - _xlfn.SINGLE(ROW(ChartLines.RowNum))</f>
        <v>260</v>
      </c>
    </row>
    <row r="263" spans="2:11">
      <c r="B263" t="s">
        <v>99</v>
      </c>
      <c r="C263" t="str">
        <f xml:space="preserve"> "009639"</f>
        <v>009639</v>
      </c>
      <c r="E263">
        <f t="shared" ref="E263" si="760" xml:space="preserve"> IF(AND(LEN(ChartLines.ID)&gt;0,"Unused"&lt;&gt;ChartLines.ID), COUNTIFS(ChartLines.ID,ChartLines.ID), "·")</f>
        <v>2</v>
      </c>
      <c r="F263">
        <f t="shared" ref="F263" si="761"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f t="shared" ref="H263" si="762" xml:space="preserve"> IF(LEN(ChartLines.Hex6)=6, HEX2DEC(LEFT(ChartLines.Hex6, 2)), "·")</f>
        <v>0</v>
      </c>
      <c r="I263">
        <f t="shared" ref="I263" si="763" xml:space="preserve"> IF(LEN(ChartLines.Hex6)=6, HEX2DEC(MID(ChartLines.Hex6, 3, 2)), "·")</f>
        <v>150</v>
      </c>
      <c r="J263">
        <f t="shared" ref="J263" si="764" xml:space="preserve"> IF(LEN(ChartLines.Hex6)=6, HEX2DEC(RIGHT(ChartLines.Hex6, 2)), "·")</f>
        <v>57</v>
      </c>
      <c r="K263" cm="1">
        <f t="array" ref="K263" xml:space="preserve"> 1 + ROW() - _xlfn.SINGLE(ROW(ChartLines.RowNum))</f>
        <v>261</v>
      </c>
    </row>
    <row r="264" spans="2:11">
      <c r="B264" t="s">
        <v>98</v>
      </c>
      <c r="C264" t="s">
        <v>1930</v>
      </c>
      <c r="E264">
        <f t="shared" ref="E264" si="765" xml:space="preserve"> IF(AND(LEN(ChartLines.ID)&gt;0,"Unused"&lt;&gt;ChartLines.ID), COUNTIFS(ChartLines.ID,ChartLines.ID), "·")</f>
        <v>2</v>
      </c>
      <c r="F264">
        <f t="shared" ref="F264" si="766"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f t="shared" ref="H264" si="767" xml:space="preserve"> IF(LEN(ChartLines.Hex6)=6, HEX2DEC(LEFT(ChartLines.Hex6, 2)), "·")</f>
        <v>234</v>
      </c>
      <c r="I264">
        <f t="shared" ref="I264" si="768" xml:space="preserve"> IF(LEN(ChartLines.Hex6)=6, HEX2DEC(MID(ChartLines.Hex6, 3, 2)), "·")</f>
        <v>118</v>
      </c>
      <c r="J264">
        <f t="shared" ref="J264" si="769" xml:space="preserve"> IF(LEN(ChartLines.Hex6)=6, HEX2DEC(RIGHT(ChartLines.Hex6, 2)), "·")</f>
        <v>0</v>
      </c>
      <c r="K264" cm="1">
        <f t="array" ref="K264" xml:space="preserve"> 1 + ROW() - _xlfn.SINGLE(ROW(ChartLines.RowNum))</f>
        <v>262</v>
      </c>
    </row>
    <row r="265" spans="2:11">
      <c r="B265" t="s">
        <v>98</v>
      </c>
      <c r="C265" t="s">
        <v>1931</v>
      </c>
      <c r="E265">
        <f t="shared" ref="E265:E271" si="770" xml:space="preserve"> IF(AND(LEN(ChartLines.ID)&gt;0,"Unused"&lt;&gt;ChartLines.ID), COUNTIFS(ChartLines.ID,ChartLines.ID), "·")</f>
        <v>2</v>
      </c>
      <c r="F265">
        <f t="shared" ref="F265:F271" si="77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f t="shared" ref="H265:H271" si="772" xml:space="preserve"> IF(LEN(ChartLines.Hex6)=6, HEX2DEC(LEFT(ChartLines.Hex6, 2)), "·")</f>
        <v>0</v>
      </c>
      <c r="I265">
        <f t="shared" ref="I265:I271" si="773" xml:space="preserve"> IF(LEN(ChartLines.Hex6)=6, HEX2DEC(MID(ChartLines.Hex6, 3, 2)), "·")</f>
        <v>154</v>
      </c>
      <c r="J265">
        <f t="shared" ref="J265:J271" si="774" xml:space="preserve"> IF(LEN(ChartLines.Hex6)=6, HEX2DEC(RIGHT(ChartLines.Hex6, 2)), "·")</f>
        <v>68</v>
      </c>
      <c r="K265" cm="1">
        <f t="array" ref="K265" xml:space="preserve"> 1 + ROW() - _xlfn.SINGLE(ROW(ChartLines.RowNum))</f>
        <v>263</v>
      </c>
    </row>
    <row r="266" spans="2:11">
      <c r="B266" t="s">
        <v>2418</v>
      </c>
      <c r="C266" t="s">
        <v>1880</v>
      </c>
      <c r="E266">
        <f t="shared" si="770"/>
        <v>2</v>
      </c>
      <c r="F266">
        <f t="shared" si="771"/>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f t="shared" si="772"/>
        <v>252</v>
      </c>
      <c r="I266">
        <f t="shared" si="773"/>
        <v>209</v>
      </c>
      <c r="J266">
        <f t="shared" si="774"/>
        <v>22</v>
      </c>
      <c r="K266" cm="1">
        <f t="array" ref="K266" xml:space="preserve"> 1 + ROW() - _xlfn.SINGLE(ROW(ChartLines.RowNum))</f>
        <v>264</v>
      </c>
    </row>
    <row r="267" spans="2:11">
      <c r="B267" t="s">
        <v>2418</v>
      </c>
      <c r="C267" t="s">
        <v>1917</v>
      </c>
      <c r="E267">
        <f t="shared" si="770"/>
        <v>2</v>
      </c>
      <c r="F267">
        <f t="shared" si="771"/>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f t="shared" si="772"/>
        <v>206</v>
      </c>
      <c r="I267">
        <f t="shared" si="773"/>
        <v>17</v>
      </c>
      <c r="J267">
        <f t="shared" si="774"/>
        <v>38</v>
      </c>
      <c r="K267" cm="1">
        <f t="array" ref="K267" xml:space="preserve"> 1 + ROW() - _xlfn.SINGLE(ROW(ChartLines.RowNum))</f>
        <v>265</v>
      </c>
    </row>
    <row r="268" spans="2:11">
      <c r="B268" t="s">
        <v>2151</v>
      </c>
      <c r="C268" t="s">
        <v>1844</v>
      </c>
      <c r="E268">
        <f t="shared" si="770"/>
        <v>2</v>
      </c>
      <c r="F268">
        <f t="shared" si="771"/>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f t="shared" si="772"/>
        <v>200</v>
      </c>
      <c r="I268">
        <f t="shared" si="773"/>
        <v>16</v>
      </c>
      <c r="J268">
        <f t="shared" si="774"/>
        <v>46</v>
      </c>
      <c r="K268" cm="1">
        <f t="array" ref="K268" xml:space="preserve"> 1 + ROW() - _xlfn.SINGLE(ROW(ChartLines.RowNum))</f>
        <v>266</v>
      </c>
    </row>
    <row r="269" spans="2:11">
      <c r="B269" t="s">
        <v>2151</v>
      </c>
      <c r="C269" t="s">
        <v>1843</v>
      </c>
      <c r="E269">
        <f t="shared" si="770"/>
        <v>2</v>
      </c>
      <c r="F269">
        <f t="shared" si="771"/>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f t="shared" si="772"/>
        <v>255</v>
      </c>
      <c r="I269">
        <f t="shared" si="773"/>
        <v>205</v>
      </c>
      <c r="J269">
        <f t="shared" si="774"/>
        <v>0</v>
      </c>
      <c r="K269" cm="1">
        <f t="array" ref="K269" xml:space="preserve"> 1 + ROW() - _xlfn.SINGLE(ROW(ChartLines.RowNum))</f>
        <v>267</v>
      </c>
    </row>
    <row r="270" spans="2:11">
      <c r="E270" t="str">
        <f t="shared" si="770"/>
        <v>·</v>
      </c>
      <c r="F270" t="str">
        <f t="shared" si="771"/>
        <v>·</v>
      </c>
      <c r="G270" t="str" cm="1">
        <f t="array" ref="G270" xml:space="preserve"> _xlfn.IFS(OR(LEN(_xlfn.SINGLE(ChartLines.ID))=0,"Unused"=_xlfn.SINGLE(ChartLines.ID)), "·",   1=_xlfn.SINGLE(ChartLines.NumInstances), IF("USD"=_xlfn.SINGLE(ChartLines.ID), "SoleBig", "SoleOrdinary"),   1=_xlfn.SINGLE(ChartLines.InstanceNum), "Outer",   TRUE, "Inner")</f>
        <v>·</v>
      </c>
      <c r="H270" t="str">
        <f t="shared" si="772"/>
        <v>·</v>
      </c>
      <c r="I270" t="str">
        <f t="shared" si="773"/>
        <v>·</v>
      </c>
      <c r="J270" t="str">
        <f t="shared" si="774"/>
        <v>·</v>
      </c>
      <c r="K270" cm="1">
        <f t="array" ref="K270" xml:space="preserve"> 1 + ROW() - _xlfn.SINGLE(ROW(ChartLines.RowNum))</f>
        <v>268</v>
      </c>
    </row>
    <row r="271" spans="2:11">
      <c r="B271" t="s">
        <v>526</v>
      </c>
      <c r="C271" t="str">
        <f xml:space="preserve"> "006341"</f>
        <v>006341</v>
      </c>
      <c r="E271">
        <f t="shared" si="770"/>
        <v>2</v>
      </c>
      <c r="F271">
        <f t="shared" si="771"/>
        <v>1</v>
      </c>
      <c r="G271" t="str" cm="1">
        <f t="array" ref="G271" xml:space="preserve"> _xlfn.IFS(OR(LEN(_xlfn.SINGLE(ChartLines.ID))=0,"Unused"=_xlfn.SINGLE(ChartLines.ID)), "·",   1=_xlfn.SINGLE(ChartLines.NumInstances), IF("USD"=_xlfn.SINGLE(ChartLines.ID), "SoleBig", "SoleOrdinary"),   1=_xlfn.SINGLE(ChartLines.InstanceNum), "Outer",   TRUE, "Inner")</f>
        <v>Outer</v>
      </c>
      <c r="H271">
        <f t="shared" si="772"/>
        <v>0</v>
      </c>
      <c r="I271">
        <f t="shared" si="773"/>
        <v>99</v>
      </c>
      <c r="J271">
        <f t="shared" si="774"/>
        <v>65</v>
      </c>
      <c r="K271" cm="1">
        <f t="array" ref="K271" xml:space="preserve"> 1 + ROW() - _xlfn.SINGLE(ROW(ChartLines.RowNum))</f>
        <v>269</v>
      </c>
    </row>
    <row r="272" spans="2:11">
      <c r="B272" t="s">
        <v>526</v>
      </c>
      <c r="C272" t="s">
        <v>1844</v>
      </c>
      <c r="E272">
        <f t="shared" ref="E272" si="775" xml:space="preserve"> IF(AND(LEN(ChartLines.ID)&gt;0,"Unused"&lt;&gt;ChartLines.ID), COUNTIFS(ChartLines.ID,ChartLines.ID), "·")</f>
        <v>2</v>
      </c>
      <c r="F272">
        <f t="shared" ref="F272" si="776" xml:space="preserve"> IF(AND(LEN(ChartLines.ID)&gt;0,"Unused"&lt;&gt;ChartLines.ID), COUNTIFS(ChartLines.ID,ChartLines.ID,   ChartLines.RowNum,"&lt;="&amp;ChartLines.RowNum), "·")</f>
        <v>2</v>
      </c>
      <c r="G272" t="str" cm="1">
        <f t="array" ref="G272" xml:space="preserve"> _xlfn.IFS(OR(LEN(_xlfn.SINGLE(ChartLines.ID))=0,"Unused"=_xlfn.SINGLE(ChartLines.ID)), "·",   1=_xlfn.SINGLE(ChartLines.NumInstances), IF("USD"=_xlfn.SINGLE(ChartLines.ID), "SoleBig", "SoleOrdinary"),   1=_xlfn.SINGLE(ChartLines.InstanceNum), "Outer",   TRUE, "Inner")</f>
        <v>Inner</v>
      </c>
      <c r="H272">
        <f t="shared" ref="H272" si="777" xml:space="preserve"> IF(LEN(ChartLines.Hex6)=6, HEX2DEC(LEFT(ChartLines.Hex6, 2)), "·")</f>
        <v>200</v>
      </c>
      <c r="I272">
        <f t="shared" ref="I272" si="778" xml:space="preserve"> IF(LEN(ChartLines.Hex6)=6, HEX2DEC(MID(ChartLines.Hex6, 3, 2)), "·")</f>
        <v>16</v>
      </c>
      <c r="J272">
        <f t="shared" ref="J272" si="779" xml:space="preserve"> IF(LEN(ChartLines.Hex6)=6, HEX2DEC(RIGHT(ChartLines.Hex6, 2)), "·")</f>
        <v>46</v>
      </c>
      <c r="K272" cm="1">
        <f t="array" ref="K272" xml:space="preserve"> 1 + ROW() - _xlfn.SINGLE(ROW(ChartLines.RowNum))</f>
        <v>270</v>
      </c>
    </row>
    <row r="273" spans="2:11">
      <c r="B273" t="s">
        <v>528</v>
      </c>
      <c r="C273" t="str">
        <f xml:space="preserve"> "009639"</f>
        <v>009639</v>
      </c>
      <c r="E273">
        <f t="shared" ref="E273" si="780" xml:space="preserve"> IF(AND(LEN(ChartLines.ID)&gt;0,"Unused"&lt;&gt;ChartLines.ID), COUNTIFS(ChartLines.ID,ChartLines.ID), "·")</f>
        <v>2</v>
      </c>
      <c r="F273">
        <f t="shared" ref="F273" si="781" xml:space="preserve"> IF(AND(LEN(ChartLines.ID)&gt;0,"Unused"&lt;&gt;ChartLines.ID), COUNTIFS(ChartLines.ID,ChartLines.ID,   ChartLines.RowNum,"&lt;="&amp;ChartLines.RowNum), "·")</f>
        <v>1</v>
      </c>
      <c r="G273" t="str" cm="1">
        <f t="array" ref="G273" xml:space="preserve"> _xlfn.IFS(OR(LEN(_xlfn.SINGLE(ChartLines.ID))=0,"Unused"=_xlfn.SINGLE(ChartLines.ID)), "·",   1=_xlfn.SINGLE(ChartLines.NumInstances), IF("USD"=_xlfn.SINGLE(ChartLines.ID), "SoleBig", "SoleOrdinary"),   1=_xlfn.SINGLE(ChartLines.InstanceNum), "Outer",   TRUE, "Inner")</f>
        <v>Outer</v>
      </c>
      <c r="H273">
        <f t="shared" ref="H273" si="782" xml:space="preserve"> IF(LEN(ChartLines.Hex6)=6, HEX2DEC(LEFT(ChartLines.Hex6, 2)), "·")</f>
        <v>0</v>
      </c>
      <c r="I273">
        <f t="shared" ref="I273" si="783" xml:space="preserve"> IF(LEN(ChartLines.Hex6)=6, HEX2DEC(MID(ChartLines.Hex6, 3, 2)), "·")</f>
        <v>150</v>
      </c>
      <c r="J273">
        <f t="shared" ref="J273" si="784" xml:space="preserve"> IF(LEN(ChartLines.Hex6)=6, HEX2DEC(RIGHT(ChartLines.Hex6, 2)), "·")</f>
        <v>57</v>
      </c>
      <c r="K273" cm="1">
        <f t="array" ref="K273" xml:space="preserve"> 1 + ROW() - _xlfn.SINGLE(ROW(ChartLines.RowNum))</f>
        <v>271</v>
      </c>
    </row>
    <row r="274" spans="2:11">
      <c r="B274" t="s">
        <v>528</v>
      </c>
      <c r="C274" t="s">
        <v>1932</v>
      </c>
      <c r="E274">
        <f t="shared" ref="E274" si="785" xml:space="preserve"> IF(AND(LEN(ChartLines.ID)&gt;0,"Unused"&lt;&gt;ChartLines.ID), COUNTIFS(ChartLines.ID,ChartLines.ID), "·")</f>
        <v>2</v>
      </c>
      <c r="F274">
        <f t="shared" ref="F274" si="786" xml:space="preserve"> IF(AND(LEN(ChartLines.ID)&gt;0,"Unused"&lt;&gt;ChartLines.ID), COUNTIFS(ChartLines.ID,ChartLines.ID,   ChartLines.RowNum,"&lt;="&amp;ChartLines.RowNum), "·")</f>
        <v>2</v>
      </c>
      <c r="G274" t="str" cm="1">
        <f t="array" ref="G274" xml:space="preserve"> _xlfn.IFS(OR(LEN(_xlfn.SINGLE(ChartLines.ID))=0,"Unused"=_xlfn.SINGLE(ChartLines.ID)), "·",   1=_xlfn.SINGLE(ChartLines.NumInstances), IF("USD"=_xlfn.SINGLE(ChartLines.ID), "SoleBig", "SoleOrdinary"),   1=_xlfn.SINGLE(ChartLines.InstanceNum), "Outer",   TRUE, "Inner")</f>
        <v>Inner</v>
      </c>
      <c r="H274">
        <f t="shared" ref="H274" si="787" xml:space="preserve"> IF(LEN(ChartLines.Hex6)=6, HEX2DEC(LEFT(ChartLines.Hex6, 2)), "·")</f>
        <v>254</v>
      </c>
      <c r="I274">
        <f t="shared" ref="I274" si="788" xml:space="preserve"> IF(LEN(ChartLines.Hex6)=6, HEX2DEC(MID(ChartLines.Hex6, 3, 2)), "·")</f>
        <v>221</v>
      </c>
      <c r="J274">
        <f t="shared" ref="J274" si="789" xml:space="preserve"> IF(LEN(ChartLines.Hex6)=6, HEX2DEC(RIGHT(ChartLines.Hex6, 2)), "·")</f>
        <v>0</v>
      </c>
      <c r="K274" cm="1">
        <f t="array" ref="K274" xml:space="preserve"> 1 + ROW() - _xlfn.SINGLE(ROW(ChartLines.RowNum))</f>
        <v>272</v>
      </c>
    </row>
    <row r="275" spans="2:11">
      <c r="B275" t="s">
        <v>140</v>
      </c>
      <c r="C275" t="s">
        <v>1933</v>
      </c>
      <c r="E275">
        <f t="shared" ref="E275" si="790" xml:space="preserve"> IF(AND(LEN(ChartLines.ID)&gt;0,"Unused"&lt;&gt;ChartLines.ID), COUNTIFS(ChartLines.ID,ChartLines.ID), "·")</f>
        <v>2</v>
      </c>
      <c r="F275">
        <f t="shared" ref="F275" si="791" xml:space="preserve"> IF(AND(LEN(ChartLines.ID)&gt;0,"Unused"&lt;&gt;ChartLines.ID), COUNTIFS(ChartLines.ID,ChartLines.ID,   ChartLines.RowNum,"&lt;="&amp;ChartLines.RowNum), "·")</f>
        <v>1</v>
      </c>
      <c r="G275" t="str" cm="1">
        <f t="array" ref="G275" xml:space="preserve"> _xlfn.IFS(OR(LEN(_xlfn.SINGLE(ChartLines.ID))=0,"Unused"=_xlfn.SINGLE(ChartLines.ID)), "·",   1=_xlfn.SINGLE(ChartLines.NumInstances), IF("USD"=_xlfn.SINGLE(ChartLines.ID), "SoleBig", "SoleOrdinary"),   1=_xlfn.SINGLE(ChartLines.InstanceNum), "Outer",   TRUE, "Inner")</f>
        <v>Outer</v>
      </c>
      <c r="H275">
        <f t="shared" ref="H275" si="792" xml:space="preserve"> IF(LEN(ChartLines.Hex6)=6, HEX2DEC(LEFT(ChartLines.Hex6, 2)), "·")</f>
        <v>213</v>
      </c>
      <c r="I275">
        <f t="shared" ref="I275" si="793" xml:space="preserve"> IF(LEN(ChartLines.Hex6)=6, HEX2DEC(MID(ChartLines.Hex6, 3, 2)), "·")</f>
        <v>43</v>
      </c>
      <c r="J275">
        <f t="shared" ref="J275" si="794" xml:space="preserve"> IF(LEN(ChartLines.Hex6)=6, HEX2DEC(RIGHT(ChartLines.Hex6, 2)), "·")</f>
        <v>30</v>
      </c>
      <c r="K275" cm="1">
        <f t="array" ref="K275" xml:space="preserve"> 1 + ROW() - _xlfn.SINGLE(ROW(ChartLines.RowNum))</f>
        <v>273</v>
      </c>
    </row>
    <row r="276" spans="2:11">
      <c r="B276" t="s">
        <v>140</v>
      </c>
      <c r="C276" t="s">
        <v>1934</v>
      </c>
      <c r="E276">
        <f t="shared" ref="E276" si="795" xml:space="preserve"> IF(AND(LEN(ChartLines.ID)&gt;0,"Unused"&lt;&gt;ChartLines.ID), COUNTIFS(ChartLines.ID,ChartLines.ID), "·")</f>
        <v>2</v>
      </c>
      <c r="F276">
        <f t="shared" ref="F276" si="796" xml:space="preserve"> IF(AND(LEN(ChartLines.ID)&gt;0,"Unused"&lt;&gt;ChartLines.ID), COUNTIFS(ChartLines.ID,ChartLines.ID,   ChartLines.RowNum,"&lt;="&amp;ChartLines.RowNum), "·")</f>
        <v>2</v>
      </c>
      <c r="G276" t="str" cm="1">
        <f t="array" ref="G276" xml:space="preserve"> _xlfn.IFS(OR(LEN(_xlfn.SINGLE(ChartLines.ID))=0,"Unused"=_xlfn.SINGLE(ChartLines.ID)), "·",   1=_xlfn.SINGLE(ChartLines.NumInstances), IF("USD"=_xlfn.SINGLE(ChartLines.ID), "SoleBig", "SoleOrdinary"),   1=_xlfn.SINGLE(ChartLines.InstanceNum), "Outer",   TRUE, "Inner")</f>
        <v>Inner</v>
      </c>
      <c r="H276">
        <f t="shared" ref="H276" si="797" xml:space="preserve"> IF(LEN(ChartLines.Hex6)=6, HEX2DEC(LEFT(ChartLines.Hex6, 2)), "·")</f>
        <v>0</v>
      </c>
      <c r="I276">
        <f t="shared" ref="I276" si="798" xml:space="preserve"> IF(LEN(ChartLines.Hex6)=6, HEX2DEC(MID(ChartLines.Hex6, 3, 2)), "·")</f>
        <v>51</v>
      </c>
      <c r="J276">
        <f t="shared" ref="J276" si="799" xml:space="preserve"> IF(LEN(ChartLines.Hex6)=6, HEX2DEC(RIGHT(ChartLines.Hex6, 2)), "·")</f>
        <v>160</v>
      </c>
      <c r="K276" cm="1">
        <f t="array" ref="K276" xml:space="preserve"> 1 + ROW() - _xlfn.SINGLE(ROW(ChartLines.RowNum))</f>
        <v>274</v>
      </c>
    </row>
    <row r="277" spans="2:11">
      <c r="B277" t="s">
        <v>100</v>
      </c>
      <c r="C277" t="str">
        <f xml:space="preserve"> "003087"</f>
        <v>003087</v>
      </c>
      <c r="E277">
        <f t="shared" ref="E277" si="800" xml:space="preserve"> IF(AND(LEN(ChartLines.ID)&gt;0,"Unused"&lt;&gt;ChartLines.ID), COUNTIFS(ChartLines.ID,ChartLines.ID), "·")</f>
        <v>2</v>
      </c>
      <c r="F277">
        <f t="shared" ref="F277" si="801" xml:space="preserve"> IF(AND(LEN(ChartLines.ID)&gt;0,"Unused"&lt;&gt;ChartLines.ID), COUNTIFS(ChartLines.ID,ChartLines.ID,   ChartLines.RowNum,"&lt;="&amp;ChartLines.RowNum), "·")</f>
        <v>1</v>
      </c>
      <c r="G277" t="str" cm="1">
        <f t="array" ref="G277" xml:space="preserve"> _xlfn.IFS(OR(LEN(_xlfn.SINGLE(ChartLines.ID))=0,"Unused"=_xlfn.SINGLE(ChartLines.ID)), "·",   1=_xlfn.SINGLE(ChartLines.NumInstances), IF("USD"=_xlfn.SINGLE(ChartLines.ID), "SoleBig", "SoleOrdinary"),   1=_xlfn.SINGLE(ChartLines.InstanceNum), "Outer",   TRUE, "Inner")</f>
        <v>Outer</v>
      </c>
      <c r="H277">
        <f t="shared" ref="H277" si="802" xml:space="preserve"> IF(LEN(ChartLines.Hex6)=6, HEX2DEC(LEFT(ChartLines.Hex6, 2)), "·")</f>
        <v>0</v>
      </c>
      <c r="I277">
        <f t="shared" ref="I277" si="803" xml:space="preserve"> IF(LEN(ChartLines.Hex6)=6, HEX2DEC(MID(ChartLines.Hex6, 3, 2)), "·")</f>
        <v>48</v>
      </c>
      <c r="J277">
        <f t="shared" ref="J277" si="804" xml:space="preserve"> IF(LEN(ChartLines.Hex6)=6, HEX2DEC(RIGHT(ChartLines.Hex6, 2)), "·")</f>
        <v>135</v>
      </c>
      <c r="K277" cm="1">
        <f t="array" ref="K277" xml:space="preserve"> 1 + ROW() - _xlfn.SINGLE(ROW(ChartLines.RowNum))</f>
        <v>275</v>
      </c>
    </row>
    <row r="278" spans="2:11">
      <c r="B278" t="s">
        <v>100</v>
      </c>
      <c r="C278" t="s">
        <v>1843</v>
      </c>
      <c r="E278">
        <f t="shared" ref="E278" si="805" xml:space="preserve"> IF(AND(LEN(ChartLines.ID)&gt;0,"Unused"&lt;&gt;ChartLines.ID), COUNTIFS(ChartLines.ID,ChartLines.ID), "·")</f>
        <v>2</v>
      </c>
      <c r="F278">
        <f t="shared" ref="F278" si="806" xml:space="preserve"> IF(AND(LEN(ChartLines.ID)&gt;0,"Unused"&lt;&gt;ChartLines.ID), COUNTIFS(ChartLines.ID,ChartLines.ID,   ChartLines.RowNum,"&lt;="&amp;ChartLines.RowNum), "·")</f>
        <v>2</v>
      </c>
      <c r="G278" t="str" cm="1">
        <f t="array" ref="G278" xml:space="preserve"> _xlfn.IFS(OR(LEN(_xlfn.SINGLE(ChartLines.ID))=0,"Unused"=_xlfn.SINGLE(ChartLines.ID)), "·",   1=_xlfn.SINGLE(ChartLines.NumInstances), IF("USD"=_xlfn.SINGLE(ChartLines.ID), "SoleBig", "SoleOrdinary"),   1=_xlfn.SINGLE(ChartLines.InstanceNum), "Outer",   TRUE, "Inner")</f>
        <v>Inner</v>
      </c>
      <c r="H278">
        <f t="shared" ref="H278" si="807" xml:space="preserve"> IF(LEN(ChartLines.Hex6)=6, HEX2DEC(LEFT(ChartLines.Hex6, 2)), "·")</f>
        <v>255</v>
      </c>
      <c r="I278">
        <f t="shared" ref="I278" si="808" xml:space="preserve"> IF(LEN(ChartLines.Hex6)=6, HEX2DEC(MID(ChartLines.Hex6, 3, 2)), "·")</f>
        <v>205</v>
      </c>
      <c r="J278">
        <f t="shared" ref="J278" si="809" xml:space="preserve"> IF(LEN(ChartLines.Hex6)=6, HEX2DEC(RIGHT(ChartLines.Hex6, 2)), "·")</f>
        <v>0</v>
      </c>
      <c r="K278" cm="1">
        <f t="array" ref="K278" xml:space="preserve"> 1 + ROW() - _xlfn.SINGLE(ROW(ChartLines.RowNum))</f>
        <v>276</v>
      </c>
    </row>
    <row r="279" spans="2:11">
      <c r="B279" t="s">
        <v>101</v>
      </c>
      <c r="C279" t="s">
        <v>1844</v>
      </c>
      <c r="E279">
        <f t="shared" ref="E279" si="810" xml:space="preserve"> IF(AND(LEN(ChartLines.ID)&gt;0,"Unused"&lt;&gt;ChartLines.ID), COUNTIFS(ChartLines.ID,ChartLines.ID), "·")</f>
        <v>2</v>
      </c>
      <c r="F279">
        <f t="shared" ref="F279" si="811" xml:space="preserve"> IF(AND(LEN(ChartLines.ID)&gt;0,"Unused"&lt;&gt;ChartLines.ID), COUNTIFS(ChartLines.ID,ChartLines.ID,   ChartLines.RowNum,"&lt;="&amp;ChartLines.RowNum), "·")</f>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f t="shared" ref="H279" si="812" xml:space="preserve"> IF(LEN(ChartLines.Hex6)=6, HEX2DEC(LEFT(ChartLines.Hex6, 2)), "·")</f>
        <v>200</v>
      </c>
      <c r="I279">
        <f t="shared" ref="I279" si="813" xml:space="preserve"> IF(LEN(ChartLines.Hex6)=6, HEX2DEC(MID(ChartLines.Hex6, 3, 2)), "·")</f>
        <v>16</v>
      </c>
      <c r="J279">
        <f t="shared" ref="J279" si="814" xml:space="preserve"> IF(LEN(ChartLines.Hex6)=6, HEX2DEC(RIGHT(ChartLines.Hex6, 2)), "·")</f>
        <v>46</v>
      </c>
      <c r="K279" cm="1">
        <f t="array" ref="K279" xml:space="preserve"> 1 + ROW() - _xlfn.SINGLE(ROW(ChartLines.RowNum))</f>
        <v>277</v>
      </c>
    </row>
    <row r="280" spans="2:11">
      <c r="B280" t="s">
        <v>101</v>
      </c>
      <c r="C280" t="s">
        <v>1839</v>
      </c>
      <c r="E280">
        <f t="shared" ref="E280" si="815" xml:space="preserve"> IF(AND(LEN(ChartLines.ID)&gt;0,"Unused"&lt;&gt;ChartLines.ID), COUNTIFS(ChartLines.ID,ChartLines.ID), "·")</f>
        <v>2</v>
      </c>
      <c r="F280">
        <f t="shared" ref="F280" si="816"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f t="shared" ref="H280" si="817" xml:space="preserve"> IF(LEN(ChartLines.Hex6)=6, HEX2DEC(LEFT(ChartLines.Hex6, 2)), "·")</f>
        <v>255</v>
      </c>
      <c r="I280">
        <f t="shared" ref="I280" si="818" xml:space="preserve"> IF(LEN(ChartLines.Hex6)=6, HEX2DEC(MID(ChartLines.Hex6, 3, 2)), "·")</f>
        <v>255</v>
      </c>
      <c r="J280">
        <f t="shared" ref="J280" si="819" xml:space="preserve"> IF(LEN(ChartLines.Hex6)=6, HEX2DEC(RIGHT(ChartLines.Hex6, 2)), "·")</f>
        <v>255</v>
      </c>
      <c r="K280" cm="1">
        <f t="array" ref="K280" xml:space="preserve"> 1 + ROW() - _xlfn.SINGLE(ROW(ChartLines.RowNum))</f>
        <v>278</v>
      </c>
    </row>
    <row r="281" spans="2:11">
      <c r="B281" t="s">
        <v>544</v>
      </c>
      <c r="C281" t="s">
        <v>2161</v>
      </c>
      <c r="E281">
        <f t="shared" ref="E281" si="820" xml:space="preserve"> IF(AND(LEN(ChartLines.ID)&gt;0,"Unused"&lt;&gt;ChartLines.ID), COUNTIFS(ChartLines.ID,ChartLines.ID), "·")</f>
        <v>2</v>
      </c>
      <c r="F281">
        <f t="shared" ref="F281" si="821"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f t="shared" ref="H281" si="822" xml:space="preserve"> IF(LEN(ChartLines.Hex6)=6, HEX2DEC(LEFT(ChartLines.Hex6, 2)), "·")</f>
        <v>123</v>
      </c>
      <c r="I281">
        <f t="shared" ref="I281" si="823" xml:space="preserve"> IF(LEN(ChartLines.Hex6)=6, HEX2DEC(MID(ChartLines.Hex6, 3, 2)), "·")</f>
        <v>63</v>
      </c>
      <c r="J281">
        <f t="shared" ref="J281" si="824" xml:space="preserve"> IF(LEN(ChartLines.Hex6)=6, HEX2DEC(RIGHT(ChartLines.Hex6, 2)), "·")</f>
        <v>0</v>
      </c>
      <c r="K281" cm="1">
        <f t="array" ref="K281" xml:space="preserve"> 1 + ROW() - _xlfn.SINGLE(ROW(ChartLines.RowNum))</f>
        <v>279</v>
      </c>
    </row>
    <row r="282" spans="2:11">
      <c r="B282" t="s">
        <v>544</v>
      </c>
      <c r="C282" t="s">
        <v>1839</v>
      </c>
      <c r="E282">
        <f t="shared" ref="E282" si="825" xml:space="preserve"> IF(AND(LEN(ChartLines.ID)&gt;0,"Unused"&lt;&gt;ChartLines.ID), COUNTIFS(ChartLines.ID,ChartLines.ID), "·")</f>
        <v>2</v>
      </c>
      <c r="F282">
        <f t="shared" ref="F282" si="826"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f t="shared" ref="H282" si="827" xml:space="preserve"> IF(LEN(ChartLines.Hex6)=6, HEX2DEC(LEFT(ChartLines.Hex6, 2)), "·")</f>
        <v>255</v>
      </c>
      <c r="I282">
        <f t="shared" ref="I282" si="828" xml:space="preserve"> IF(LEN(ChartLines.Hex6)=6, HEX2DEC(MID(ChartLines.Hex6, 3, 2)), "·")</f>
        <v>255</v>
      </c>
      <c r="J282">
        <f t="shared" ref="J282" si="829" xml:space="preserve"> IF(LEN(ChartLines.Hex6)=6, HEX2DEC(RIGHT(ChartLines.Hex6, 2)), "·")</f>
        <v>255</v>
      </c>
      <c r="K282" cm="1">
        <f t="array" ref="K282" xml:space="preserve"> 1 + ROW() - _xlfn.SINGLE(ROW(ChartLines.RowNum))</f>
        <v>280</v>
      </c>
    </row>
    <row r="283" spans="2:11">
      <c r="B283" t="s">
        <v>102</v>
      </c>
      <c r="C283" t="s">
        <v>1935</v>
      </c>
      <c r="E283">
        <f t="shared" ref="E283" si="830" xml:space="preserve"> IF(AND(LEN(ChartLines.ID)&gt;0,"Unused"&lt;&gt;ChartLines.ID), COUNTIFS(ChartLines.ID,ChartLines.ID), "·")</f>
        <v>2</v>
      </c>
      <c r="F283">
        <f t="shared" ref="F283" si="831"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f t="shared" ref="H283" si="832" xml:space="preserve"> IF(LEN(ChartLines.Hex6)=6, HEX2DEC(LEFT(ChartLines.Hex6, 2)), "·")</f>
        <v>108</v>
      </c>
      <c r="I283">
        <f t="shared" ref="I283" si="833" xml:space="preserve"> IF(LEN(ChartLines.Hex6)=6, HEX2DEC(MID(ChartLines.Hex6, 3, 2)), "·")</f>
        <v>172</v>
      </c>
      <c r="J283">
        <f t="shared" ref="J283" si="834" xml:space="preserve"> IF(LEN(ChartLines.Hex6)=6, HEX2DEC(RIGHT(ChartLines.Hex6, 2)), "·")</f>
        <v>228</v>
      </c>
      <c r="K283" cm="1">
        <f t="array" ref="K283" xml:space="preserve"> 1 + ROW() - _xlfn.SINGLE(ROW(ChartLines.RowNum))</f>
        <v>281</v>
      </c>
    </row>
    <row r="284" spans="2:11">
      <c r="B284" t="s">
        <v>102</v>
      </c>
      <c r="C284" t="s">
        <v>1839</v>
      </c>
      <c r="E284">
        <f t="shared" ref="E284" si="835" xml:space="preserve"> IF(AND(LEN(ChartLines.ID)&gt;0,"Unused"&lt;&gt;ChartLines.ID), COUNTIFS(ChartLines.ID,ChartLines.ID), "·")</f>
        <v>2</v>
      </c>
      <c r="F284">
        <f t="shared" ref="F284" si="836"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f t="shared" ref="H284" si="837" xml:space="preserve"> IF(LEN(ChartLines.Hex6)=6, HEX2DEC(LEFT(ChartLines.Hex6, 2)), "·")</f>
        <v>255</v>
      </c>
      <c r="I284">
        <f t="shared" ref="I284" si="838" xml:space="preserve"> IF(LEN(ChartLines.Hex6)=6, HEX2DEC(MID(ChartLines.Hex6, 3, 2)), "·")</f>
        <v>255</v>
      </c>
      <c r="J284">
        <f t="shared" ref="J284" si="839" xml:space="preserve"> IF(LEN(ChartLines.Hex6)=6, HEX2DEC(RIGHT(ChartLines.Hex6, 2)), "·")</f>
        <v>255</v>
      </c>
      <c r="K284" cm="1">
        <f t="array" ref="K284" xml:space="preserve"> 1 + ROW() - _xlfn.SINGLE(ROW(ChartLines.RowNum))</f>
        <v>282</v>
      </c>
    </row>
    <row r="285" spans="2:11">
      <c r="B285" t="s">
        <v>1936</v>
      </c>
      <c r="C285" t="str">
        <f xml:space="preserve"> "000000"</f>
        <v>000000</v>
      </c>
      <c r="E285">
        <f t="shared" ref="E285" si="840" xml:space="preserve"> IF(AND(LEN(ChartLines.ID)&gt;0,"Unused"&lt;&gt;ChartLines.ID), COUNTIFS(ChartLines.ID,ChartLines.ID), "·")</f>
        <v>2</v>
      </c>
      <c r="F285">
        <f t="shared" ref="F285" si="84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f t="shared" ref="H285" si="842" xml:space="preserve"> IF(LEN(ChartLines.Hex6)=6, HEX2DEC(LEFT(ChartLines.Hex6, 2)), "·")</f>
        <v>0</v>
      </c>
      <c r="I285">
        <f t="shared" ref="I285" si="843" xml:space="preserve"> IF(LEN(ChartLines.Hex6)=6, HEX2DEC(MID(ChartLines.Hex6, 3, 2)), "·")</f>
        <v>0</v>
      </c>
      <c r="J285">
        <f t="shared" ref="J285" si="844" xml:space="preserve"> IF(LEN(ChartLines.Hex6)=6, HEX2DEC(RIGHT(ChartLines.Hex6, 2)), "·")</f>
        <v>0</v>
      </c>
      <c r="K285" cm="1">
        <f t="array" ref="K285" xml:space="preserve"> 1 + ROW() - _xlfn.SINGLE(ROW(ChartLines.RowNum))</f>
        <v>283</v>
      </c>
    </row>
    <row r="286" spans="2:11">
      <c r="B286" t="s">
        <v>1936</v>
      </c>
      <c r="C286" t="s">
        <v>1839</v>
      </c>
      <c r="E286">
        <f t="shared" ref="E286" si="845" xml:space="preserve"> IF(AND(LEN(ChartLines.ID)&gt;0,"Unused"&lt;&gt;ChartLines.ID), COUNTIFS(ChartLines.ID,ChartLines.ID), "·")</f>
        <v>2</v>
      </c>
      <c r="F286">
        <f t="shared" ref="F286" si="846"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f t="shared" ref="H286" si="847" xml:space="preserve"> IF(LEN(ChartLines.Hex6)=6, HEX2DEC(LEFT(ChartLines.Hex6, 2)), "·")</f>
        <v>255</v>
      </c>
      <c r="I286">
        <f t="shared" ref="I286" si="848" xml:space="preserve"> IF(LEN(ChartLines.Hex6)=6, HEX2DEC(MID(ChartLines.Hex6, 3, 2)), "·")</f>
        <v>255</v>
      </c>
      <c r="J286">
        <f t="shared" ref="J286" si="849" xml:space="preserve"> IF(LEN(ChartLines.Hex6)=6, HEX2DEC(RIGHT(ChartLines.Hex6, 2)), "·")</f>
        <v>255</v>
      </c>
      <c r="K286" cm="1">
        <f t="array" ref="K286" xml:space="preserve"> 1 + ROW() - _xlfn.SINGLE(ROW(ChartLines.RowNum))</f>
        <v>284</v>
      </c>
    </row>
    <row r="287" spans="2:11">
      <c r="B287" t="s">
        <v>560</v>
      </c>
      <c r="C287" t="s">
        <v>1937</v>
      </c>
      <c r="E287">
        <f t="shared" ref="E287" si="850" xml:space="preserve"> IF(AND(LEN(ChartLines.ID)&gt;0,"Unused"&lt;&gt;ChartLines.ID), COUNTIFS(ChartLines.ID,ChartLines.ID), "·")</f>
        <v>2</v>
      </c>
      <c r="F287">
        <f t="shared" ref="F287" si="851"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f t="shared" ref="H287" si="852" xml:space="preserve"> IF(LEN(ChartLines.Hex6)=6, HEX2DEC(LEFT(ChartLines.Hex6, 2)), "·")</f>
        <v>29</v>
      </c>
      <c r="I287">
        <f t="shared" ref="I287" si="853" xml:space="preserve"> IF(LEN(ChartLines.Hex6)=6, HEX2DEC(MID(ChartLines.Hex6, 3, 2)), "·")</f>
        <v>66</v>
      </c>
      <c r="J287">
        <f t="shared" ref="J287" si="854" xml:space="preserve"> IF(LEN(ChartLines.Hex6)=6, HEX2DEC(RIGHT(ChartLines.Hex6, 2)), "·")</f>
        <v>138</v>
      </c>
      <c r="K287" cm="1">
        <f t="array" ref="K287" xml:space="preserve"> 1 + ROW() - _xlfn.SINGLE(ROW(ChartLines.RowNum))</f>
        <v>285</v>
      </c>
    </row>
    <row r="288" spans="2:11">
      <c r="B288" t="s">
        <v>560</v>
      </c>
      <c r="C288" t="s">
        <v>1844</v>
      </c>
      <c r="E288">
        <f t="shared" ref="E288" si="855" xml:space="preserve"> IF(AND(LEN(ChartLines.ID)&gt;0,"Unused"&lt;&gt;ChartLines.ID), COUNTIFS(ChartLines.ID,ChartLines.ID), "·")</f>
        <v>2</v>
      </c>
      <c r="F288">
        <f t="shared" ref="F288" si="856"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f t="shared" ref="H288" si="857" xml:space="preserve"> IF(LEN(ChartLines.Hex6)=6, HEX2DEC(LEFT(ChartLines.Hex6, 2)), "·")</f>
        <v>200</v>
      </c>
      <c r="I288">
        <f t="shared" ref="I288" si="858" xml:space="preserve"> IF(LEN(ChartLines.Hex6)=6, HEX2DEC(MID(ChartLines.Hex6, 3, 2)), "·")</f>
        <v>16</v>
      </c>
      <c r="J288">
        <f t="shared" ref="J288" si="859" xml:space="preserve"> IF(LEN(ChartLines.Hex6)=6, HEX2DEC(RIGHT(ChartLines.Hex6, 2)), "·")</f>
        <v>46</v>
      </c>
      <c r="K288" cm="1">
        <f t="array" ref="K288" xml:space="preserve"> 1 + ROW() - _xlfn.SINGLE(ROW(ChartLines.RowNum))</f>
        <v>286</v>
      </c>
    </row>
    <row r="289" spans="2:11">
      <c r="B289" t="s">
        <v>563</v>
      </c>
      <c r="C289" t="s">
        <v>1866</v>
      </c>
      <c r="E289">
        <f t="shared" ref="E289:E291" si="860" xml:space="preserve"> IF(AND(LEN(ChartLines.ID)&gt;0,"Unused"&lt;&gt;ChartLines.ID), COUNTIFS(ChartLines.ID,ChartLines.ID), "·")</f>
        <v>2</v>
      </c>
      <c r="F289">
        <f t="shared" ref="F289:F291" si="861"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f t="shared" ref="H289:H291" si="862" xml:space="preserve"> IF(LEN(ChartLines.Hex6)=6, HEX2DEC(LEFT(ChartLines.Hex6, 2)), "·")</f>
        <v>0</v>
      </c>
      <c r="I289">
        <f t="shared" ref="I289:I291" si="863" xml:space="preserve"> IF(LEN(ChartLines.Hex6)=6, HEX2DEC(MID(ChartLines.Hex6, 3, 2)), "·")</f>
        <v>114</v>
      </c>
      <c r="J289">
        <f t="shared" ref="J289:J291" si="864" xml:space="preserve"> IF(LEN(ChartLines.Hex6)=6, HEX2DEC(RIGHT(ChartLines.Hex6, 2)), "·")</f>
        <v>206</v>
      </c>
      <c r="K289" cm="1">
        <f t="array" ref="K289" xml:space="preserve"> 1 + ROW() - _xlfn.SINGLE(ROW(ChartLines.RowNum))</f>
        <v>287</v>
      </c>
    </row>
    <row r="290" spans="2:11">
      <c r="B290" t="s">
        <v>563</v>
      </c>
      <c r="C290" t="s">
        <v>1845</v>
      </c>
      <c r="E290">
        <f t="shared" ref="E290:E292" si="865" xml:space="preserve"> IF(AND(LEN(ChartLines.ID)&gt;0,"Unused"&lt;&gt;ChartLines.ID), COUNTIFS(ChartLines.ID,ChartLines.ID), "·")</f>
        <v>2</v>
      </c>
      <c r="F290">
        <f t="shared" ref="F290:F292" si="866"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f t="shared" ref="H290:H292" si="867" xml:space="preserve"> IF(LEN(ChartLines.Hex6)=6, HEX2DEC(LEFT(ChartLines.Hex6, 2)), "·")</f>
        <v>255</v>
      </c>
      <c r="I290">
        <f t="shared" ref="I290:I292" si="868" xml:space="preserve"> IF(LEN(ChartLines.Hex6)=6, HEX2DEC(MID(ChartLines.Hex6, 3, 2)), "·")</f>
        <v>209</v>
      </c>
      <c r="J290">
        <f t="shared" ref="J290:J292" si="869" xml:space="preserve"> IF(LEN(ChartLines.Hex6)=6, HEX2DEC(RIGHT(ChartLines.Hex6, 2)), "·")</f>
        <v>0</v>
      </c>
      <c r="K290" cm="1">
        <f t="array" ref="K290" xml:space="preserve"> 1 + ROW() - _xlfn.SINGLE(ROW(ChartLines.RowNum))</f>
        <v>288</v>
      </c>
    </row>
    <row r="291" spans="2:11">
      <c r="B291" t="s">
        <v>2314</v>
      </c>
      <c r="C291" t="s">
        <v>2411</v>
      </c>
      <c r="E291">
        <f t="shared" si="860"/>
        <v>2</v>
      </c>
      <c r="F291">
        <f t="shared" si="861"/>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f t="shared" si="862"/>
        <v>42</v>
      </c>
      <c r="I291">
        <f t="shared" si="863"/>
        <v>147</v>
      </c>
      <c r="J291">
        <f t="shared" si="864"/>
        <v>106</v>
      </c>
      <c r="K291" cm="1">
        <f t="array" ref="K291" xml:space="preserve"> 1 + ROW() - _xlfn.SINGLE(ROW(ChartLines.RowNum))</f>
        <v>289</v>
      </c>
    </row>
    <row r="292" spans="2:11">
      <c r="B292" t="s">
        <v>2314</v>
      </c>
      <c r="C292" t="s">
        <v>2412</v>
      </c>
      <c r="E292">
        <f t="shared" si="865"/>
        <v>2</v>
      </c>
      <c r="F292">
        <f t="shared" si="866"/>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f t="shared" si="867"/>
        <v>190</v>
      </c>
      <c r="I292">
        <f t="shared" si="868"/>
        <v>30</v>
      </c>
      <c r="J292">
        <f t="shared" si="869"/>
        <v>45</v>
      </c>
      <c r="K292" cm="1">
        <f t="array" ref="K292" xml:space="preserve"> 1 + ROW() - _xlfn.SINGLE(ROW(ChartLines.RowNum))</f>
        <v>290</v>
      </c>
    </row>
    <row r="293" spans="2:11">
      <c r="B293" t="s">
        <v>2309</v>
      </c>
      <c r="C293" t="s">
        <v>1938</v>
      </c>
      <c r="E293">
        <f t="shared" ref="E293" si="870" xml:space="preserve"> IF(AND(LEN(ChartLines.ID)&gt;0,"Unused"&lt;&gt;ChartLines.ID), COUNTIFS(ChartLines.ID,ChartLines.ID), "·")</f>
        <v>2</v>
      </c>
      <c r="F293">
        <f t="shared" ref="F293" si="871"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f t="shared" ref="H293" si="872" xml:space="preserve"> IF(LEN(ChartLines.Hex6)=6, HEX2DEC(LEFT(ChartLines.Hex6, 2)), "·")</f>
        <v>252</v>
      </c>
      <c r="I293">
        <f t="shared" ref="I293" si="873" xml:space="preserve"> IF(LEN(ChartLines.Hex6)=6, HEX2DEC(MID(ChartLines.Hex6, 3, 2)), "·")</f>
        <v>227</v>
      </c>
      <c r="J293">
        <f t="shared" ref="J293" si="874" xml:space="preserve"> IF(LEN(ChartLines.Hex6)=6, HEX2DEC(RIGHT(ChartLines.Hex6, 2)), "·")</f>
        <v>0</v>
      </c>
      <c r="K293" cm="1">
        <f t="array" ref="K293" xml:space="preserve"> 1 + ROW() - _xlfn.SINGLE(ROW(ChartLines.RowNum))</f>
        <v>291</v>
      </c>
    </row>
    <row r="294" spans="2:11">
      <c r="B294" t="s">
        <v>2309</v>
      </c>
      <c r="C294" t="s">
        <v>1852</v>
      </c>
      <c r="E294">
        <f t="shared" ref="E294" si="875" xml:space="preserve"> IF(AND(LEN(ChartLines.ID)&gt;0,"Unused"&lt;&gt;ChartLines.ID), COUNTIFS(ChartLines.ID,ChartLines.ID), "·")</f>
        <v>2</v>
      </c>
      <c r="F294">
        <f t="shared" ref="F294" si="876"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f t="shared" ref="H294" si="877" xml:space="preserve"> IF(LEN(ChartLines.Hex6)=6, HEX2DEC(LEFT(ChartLines.Hex6, 2)), "·")</f>
        <v>0</v>
      </c>
      <c r="I294">
        <f t="shared" ref="I294" si="878" xml:space="preserve"> IF(LEN(ChartLines.Hex6)=6, HEX2DEC(MID(ChartLines.Hex6, 3, 2)), "·")</f>
        <v>61</v>
      </c>
      <c r="J294">
        <f t="shared" ref="J294" si="879" xml:space="preserve"> IF(LEN(ChartLines.Hex6)=6, HEX2DEC(RIGHT(ChartLines.Hex6, 2)), "·")</f>
        <v>165</v>
      </c>
      <c r="K294" cm="1">
        <f t="array" ref="K294" xml:space="preserve"> 1 + ROW() - _xlfn.SINGLE(ROW(ChartLines.RowNum))</f>
        <v>292</v>
      </c>
    </row>
    <row r="295" spans="2:11">
      <c r="B295" t="s">
        <v>169</v>
      </c>
      <c r="C295" t="s">
        <v>1923</v>
      </c>
      <c r="E295">
        <f t="shared" ref="E295:E299" si="880" xml:space="preserve"> IF(AND(LEN(ChartLines.ID)&gt;0,"Unused"&lt;&gt;ChartLines.ID), COUNTIFS(ChartLines.ID,ChartLines.ID), "·")</f>
        <v>2</v>
      </c>
      <c r="F295">
        <f t="shared" ref="F295:F299" si="88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f t="shared" ref="H295:H299" si="882" xml:space="preserve"> IF(LEN(ChartLines.Hex6)=6, HEX2DEC(LEFT(ChartLines.Hex6, 2)), "·")</f>
        <v>0</v>
      </c>
      <c r="I295">
        <f t="shared" ref="I295:I299" si="883" xml:space="preserve"> IF(LEN(ChartLines.Hex6)=6, HEX2DEC(MID(ChartLines.Hex6, 3, 2)), "·")</f>
        <v>94</v>
      </c>
      <c r="J295">
        <f t="shared" ref="J295:J299" si="884" xml:space="preserve"> IF(LEN(ChartLines.Hex6)=6, HEX2DEC(RIGHT(ChartLines.Hex6, 2)), "·")</f>
        <v>184</v>
      </c>
      <c r="K295" cm="1">
        <f t="array" ref="K295" xml:space="preserve"> 1 + ROW() - _xlfn.SINGLE(ROW(ChartLines.RowNum))</f>
        <v>293</v>
      </c>
    </row>
    <row r="296" spans="2:11">
      <c r="B296" t="s">
        <v>169</v>
      </c>
      <c r="C296" t="s">
        <v>1839</v>
      </c>
      <c r="E296">
        <f t="shared" ref="E296:E300" si="885" xml:space="preserve"> IF(AND(LEN(ChartLines.ID)&gt;0,"Unused"&lt;&gt;ChartLines.ID), COUNTIFS(ChartLines.ID,ChartLines.ID), "·")</f>
        <v>2</v>
      </c>
      <c r="F296">
        <f t="shared" ref="F296:F300" si="886"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f t="shared" ref="H296:H300" si="887" xml:space="preserve"> IF(LEN(ChartLines.Hex6)=6, HEX2DEC(LEFT(ChartLines.Hex6, 2)), "·")</f>
        <v>255</v>
      </c>
      <c r="I296">
        <f t="shared" ref="I296:I300" si="888" xml:space="preserve"> IF(LEN(ChartLines.Hex6)=6, HEX2DEC(MID(ChartLines.Hex6, 3, 2)), "·")</f>
        <v>255</v>
      </c>
      <c r="J296">
        <f t="shared" ref="J296:J300" si="889" xml:space="preserve"> IF(LEN(ChartLines.Hex6)=6, HEX2DEC(RIGHT(ChartLines.Hex6, 2)), "·")</f>
        <v>255</v>
      </c>
      <c r="K296" cm="1">
        <f t="array" ref="K296" xml:space="preserve"> 1 + ROW() - _xlfn.SINGLE(ROW(ChartLines.RowNum))</f>
        <v>294</v>
      </c>
    </row>
    <row r="297" spans="2:11">
      <c r="B297" t="s">
        <v>2357</v>
      </c>
      <c r="C297" t="str">
        <f xml:space="preserve"> "000000"</f>
        <v>000000</v>
      </c>
      <c r="E297">
        <f t="shared" si="880"/>
        <v>2</v>
      </c>
      <c r="F297">
        <f t="shared" si="881"/>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f t="shared" si="882"/>
        <v>0</v>
      </c>
      <c r="I297">
        <f t="shared" si="883"/>
        <v>0</v>
      </c>
      <c r="J297">
        <f t="shared" si="884"/>
        <v>0</v>
      </c>
      <c r="K297" cm="1">
        <f t="array" ref="K297" xml:space="preserve"> 1 + ROW() - _xlfn.SINGLE(ROW(ChartLines.RowNum))</f>
        <v>295</v>
      </c>
    </row>
    <row r="298" spans="2:11">
      <c r="B298" t="s">
        <v>2357</v>
      </c>
      <c r="C298" t="s">
        <v>1857</v>
      </c>
      <c r="E298">
        <f t="shared" si="885"/>
        <v>2</v>
      </c>
      <c r="F298">
        <f t="shared" si="886"/>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f t="shared" si="887"/>
        <v>218</v>
      </c>
      <c r="I298">
        <f t="shared" si="888"/>
        <v>41</v>
      </c>
      <c r="J298">
        <f t="shared" si="889"/>
        <v>28</v>
      </c>
      <c r="K298" cm="1">
        <f t="array" ref="K298" xml:space="preserve"> 1 + ROW() - _xlfn.SINGLE(ROW(ChartLines.RowNum))</f>
        <v>296</v>
      </c>
    </row>
    <row r="299" spans="2:11">
      <c r="B299" t="s">
        <v>2377</v>
      </c>
      <c r="C299" t="s">
        <v>2403</v>
      </c>
      <c r="E299">
        <f t="shared" si="880"/>
        <v>2</v>
      </c>
      <c r="F299">
        <f t="shared" si="881"/>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f t="shared" si="882"/>
        <v>73</v>
      </c>
      <c r="I299">
        <f t="shared" si="883"/>
        <v>151</v>
      </c>
      <c r="J299">
        <f t="shared" si="884"/>
        <v>208</v>
      </c>
      <c r="K299" cm="1">
        <f t="array" ref="K299" xml:space="preserve"> 1 + ROW() - _xlfn.SINGLE(ROW(ChartLines.RowNum))</f>
        <v>297</v>
      </c>
    </row>
    <row r="300" spans="2:11">
      <c r="B300" t="s">
        <v>2377</v>
      </c>
      <c r="C300" t="s">
        <v>1839</v>
      </c>
      <c r="E300">
        <f t="shared" si="885"/>
        <v>2</v>
      </c>
      <c r="F300">
        <f t="shared" si="886"/>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f t="shared" si="887"/>
        <v>255</v>
      </c>
      <c r="I300">
        <f t="shared" si="888"/>
        <v>255</v>
      </c>
      <c r="J300">
        <f t="shared" si="889"/>
        <v>255</v>
      </c>
      <c r="K300" cm="1">
        <f t="array" ref="K300" xml:space="preserve"> 1 + ROW() - _xlfn.SINGLE(ROW(ChartLines.RowNum))</f>
        <v>298</v>
      </c>
    </row>
    <row r="301" spans="2:11">
      <c r="B301" t="s">
        <v>1707</v>
      </c>
      <c r="C301" t="str">
        <f xml:space="preserve"> "072357"</f>
        <v>072357</v>
      </c>
      <c r="E301">
        <f t="shared" ref="E301" si="890" xml:space="preserve"> IF(AND(LEN(ChartLines.ID)&gt;0,"Unused"&lt;&gt;ChartLines.ID), COUNTIFS(ChartLines.ID,ChartLines.ID), "·")</f>
        <v>2</v>
      </c>
      <c r="F301">
        <f t="shared" ref="F301" si="891"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f t="shared" ref="H301" si="892" xml:space="preserve"> IF(LEN(ChartLines.Hex6)=6, HEX2DEC(LEFT(ChartLines.Hex6, 2)), "·")</f>
        <v>7</v>
      </c>
      <c r="I301">
        <f t="shared" ref="I301" si="893" xml:space="preserve"> IF(LEN(ChartLines.Hex6)=6, HEX2DEC(MID(ChartLines.Hex6, 3, 2)), "·")</f>
        <v>35</v>
      </c>
      <c r="J301">
        <f t="shared" ref="J301" si="894" xml:space="preserve"> IF(LEN(ChartLines.Hex6)=6, HEX2DEC(RIGHT(ChartLines.Hex6, 2)), "·")</f>
        <v>87</v>
      </c>
      <c r="K301" cm="1">
        <f t="array" ref="K301" xml:space="preserve"> 1 + ROW() - _xlfn.SINGLE(ROW(ChartLines.RowNum))</f>
        <v>299</v>
      </c>
    </row>
    <row r="302" spans="2:11">
      <c r="B302" t="s">
        <v>1707</v>
      </c>
      <c r="C302" t="s">
        <v>1939</v>
      </c>
      <c r="E302">
        <f t="shared" ref="E302" si="895" xml:space="preserve"> IF(AND(LEN(ChartLines.ID)&gt;0,"Unused"&lt;&gt;ChartLines.ID), COUNTIFS(ChartLines.ID,ChartLines.ID), "·")</f>
        <v>2</v>
      </c>
      <c r="F302">
        <f t="shared" ref="F302" si="896"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f t="shared" ref="H302" si="897" xml:space="preserve"> IF(LEN(ChartLines.Hex6)=6, HEX2DEC(LEFT(ChartLines.Hex6, 2)), "·")</f>
        <v>218</v>
      </c>
      <c r="I302">
        <f t="shared" ref="I302" si="898" xml:space="preserve"> IF(LEN(ChartLines.Hex6)=6, HEX2DEC(MID(ChartLines.Hex6, 3, 2)), "·")</f>
        <v>18</v>
      </c>
      <c r="J302">
        <f t="shared" ref="J302" si="899" xml:space="preserve"> IF(LEN(ChartLines.Hex6)=6, HEX2DEC(RIGHT(ChartLines.Hex6, 2)), "·")</f>
        <v>26</v>
      </c>
      <c r="K302" cm="1">
        <f t="array" ref="K302" xml:space="preserve"> 1 + ROW() - _xlfn.SINGLE(ROW(ChartLines.RowNum))</f>
        <v>300</v>
      </c>
    </row>
    <row r="303" spans="2:11">
      <c r="B303" t="s">
        <v>578</v>
      </c>
      <c r="C303" t="str">
        <f xml:space="preserve"> "002D62"</f>
        <v>002D62</v>
      </c>
      <c r="E303">
        <f t="shared" ref="E303" si="900" xml:space="preserve"> IF(AND(LEN(ChartLines.ID)&gt;0,"Unused"&lt;&gt;ChartLines.ID), COUNTIFS(ChartLines.ID,ChartLines.ID), "·")</f>
        <v>2</v>
      </c>
      <c r="F303">
        <f t="shared" ref="F303" si="901"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f t="shared" ref="H303" si="902" xml:space="preserve"> IF(LEN(ChartLines.Hex6)=6, HEX2DEC(LEFT(ChartLines.Hex6, 2)), "·")</f>
        <v>0</v>
      </c>
      <c r="I303">
        <f t="shared" ref="I303" si="903" xml:space="preserve"> IF(LEN(ChartLines.Hex6)=6, HEX2DEC(MID(ChartLines.Hex6, 3, 2)), "·")</f>
        <v>45</v>
      </c>
      <c r="J303">
        <f t="shared" ref="J303" si="904" xml:space="preserve"> IF(LEN(ChartLines.Hex6)=6, HEX2DEC(RIGHT(ChartLines.Hex6, 2)), "·")</f>
        <v>98</v>
      </c>
      <c r="K303" cm="1">
        <f t="array" ref="K303" xml:space="preserve"> 1 + ROW() - _xlfn.SINGLE(ROW(ChartLines.RowNum))</f>
        <v>301</v>
      </c>
    </row>
    <row r="304" spans="2:11">
      <c r="B304" t="s">
        <v>578</v>
      </c>
      <c r="C304" t="s">
        <v>1917</v>
      </c>
      <c r="E304">
        <f t="shared" ref="E304" si="905" xml:space="preserve"> IF(AND(LEN(ChartLines.ID)&gt;0,"Unused"&lt;&gt;ChartLines.ID), COUNTIFS(ChartLines.ID,ChartLines.ID), "·")</f>
        <v>2</v>
      </c>
      <c r="F304">
        <f t="shared" ref="F304" si="906"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f t="shared" ref="H304" si="907" xml:space="preserve"> IF(LEN(ChartLines.Hex6)=6, HEX2DEC(LEFT(ChartLines.Hex6, 2)), "·")</f>
        <v>206</v>
      </c>
      <c r="I304">
        <f t="shared" ref="I304" si="908" xml:space="preserve"> IF(LEN(ChartLines.Hex6)=6, HEX2DEC(MID(ChartLines.Hex6, 3, 2)), "·")</f>
        <v>17</v>
      </c>
      <c r="J304">
        <f t="shared" ref="J304" si="909" xml:space="preserve"> IF(LEN(ChartLines.Hex6)=6, HEX2DEC(RIGHT(ChartLines.Hex6, 2)), "·")</f>
        <v>38</v>
      </c>
      <c r="K304" cm="1">
        <f t="array" ref="K304" xml:space="preserve"> 1 + ROW() - _xlfn.SINGLE(ROW(ChartLines.RowNum))</f>
        <v>302</v>
      </c>
    </row>
    <row r="305" spans="2:11">
      <c r="B305" t="s">
        <v>579</v>
      </c>
      <c r="C305" t="str">
        <f xml:space="preserve"> "C8102E"</f>
        <v>C8102E</v>
      </c>
      <c r="E305">
        <f t="shared" ref="E305" si="910" xml:space="preserve"> IF(AND(LEN(ChartLines.ID)&gt;0,"Unused"&lt;&gt;ChartLines.ID), COUNTIFS(ChartLines.ID,ChartLines.ID), "·")</f>
        <v>2</v>
      </c>
      <c r="F305">
        <f t="shared" ref="F305" si="911" xml:space="preserve"> IF(AND(LEN(ChartLines.ID)&gt;0,"Unused"&lt;&gt;ChartLines.ID), COUNTIFS(ChartLines.ID,ChartLines.ID,   ChartLines.RowNum,"&lt;="&amp;ChartLines.RowNum), "·")</f>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f t="shared" ref="H305" si="912" xml:space="preserve"> IF(LEN(ChartLines.Hex6)=6, HEX2DEC(LEFT(ChartLines.Hex6, 2)), "·")</f>
        <v>200</v>
      </c>
      <c r="I305">
        <f t="shared" ref="I305" si="913" xml:space="preserve"> IF(LEN(ChartLines.Hex6)=6, HEX2DEC(MID(ChartLines.Hex6, 3, 2)), "·")</f>
        <v>16</v>
      </c>
      <c r="J305">
        <f t="shared" ref="J305" si="914" xml:space="preserve"> IF(LEN(ChartLines.Hex6)=6, HEX2DEC(RIGHT(ChartLines.Hex6, 2)), "·")</f>
        <v>46</v>
      </c>
      <c r="K305" cm="1">
        <f t="array" ref="K305" xml:space="preserve"> 1 + ROW() - _xlfn.SINGLE(ROW(ChartLines.RowNum))</f>
        <v>303</v>
      </c>
    </row>
    <row r="306" spans="2:11">
      <c r="B306" t="s">
        <v>579</v>
      </c>
      <c r="C306" t="str">
        <f xml:space="preserve"> "000000"</f>
        <v>000000</v>
      </c>
      <c r="E306">
        <f t="shared" ref="E306" si="915" xml:space="preserve"> IF(AND(LEN(ChartLines.ID)&gt;0,"Unused"&lt;&gt;ChartLines.ID), COUNTIFS(ChartLines.ID,ChartLines.ID), "·")</f>
        <v>2</v>
      </c>
      <c r="F306">
        <f t="shared" ref="F306" si="916" xml:space="preserve"> IF(AND(LEN(ChartLines.ID)&gt;0,"Unused"&lt;&gt;ChartLines.ID), COUNTIFS(ChartLines.ID,ChartLines.ID,   ChartLines.RowNum,"&lt;="&amp;ChartLines.RowNum), "·")</f>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f t="shared" ref="H306" si="917" xml:space="preserve"> IF(LEN(ChartLines.Hex6)=6, HEX2DEC(LEFT(ChartLines.Hex6, 2)), "·")</f>
        <v>0</v>
      </c>
      <c r="I306">
        <f t="shared" ref="I306" si="918" xml:space="preserve"> IF(LEN(ChartLines.Hex6)=6, HEX2DEC(MID(ChartLines.Hex6, 3, 2)), "·")</f>
        <v>0</v>
      </c>
      <c r="J306">
        <f t="shared" ref="J306" si="919" xml:space="preserve"> IF(LEN(ChartLines.Hex6)=6, HEX2DEC(RIGHT(ChartLines.Hex6, 2)), "·")</f>
        <v>0</v>
      </c>
      <c r="K306" cm="1">
        <f t="array" ref="K306" xml:space="preserve"> 1 + ROW() - _xlfn.SINGLE(ROW(ChartLines.RowNum))</f>
        <v>304</v>
      </c>
    </row>
    <row r="307" spans="2:11">
      <c r="B307" t="s">
        <v>580</v>
      </c>
      <c r="C307" t="str">
        <f xml:space="preserve"> "009639"</f>
        <v>009639</v>
      </c>
      <c r="E307">
        <f t="shared" ref="E307" si="920" xml:space="preserve"> IF(AND(LEN(ChartLines.ID)&gt;0,"Unused"&lt;&gt;ChartLines.ID), COUNTIFS(ChartLines.ID,ChartLines.ID), "·")</f>
        <v>2</v>
      </c>
      <c r="F307">
        <f t="shared" ref="F307" si="921" xml:space="preserve"> IF(AND(LEN(ChartLines.ID)&gt;0,"Unused"&lt;&gt;ChartLines.ID), COUNTIFS(ChartLines.ID,ChartLines.ID,   ChartLines.RowNum,"&lt;="&amp;ChartLines.RowNum), "·")</f>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f t="shared" ref="H307" si="922" xml:space="preserve"> IF(LEN(ChartLines.Hex6)=6, HEX2DEC(LEFT(ChartLines.Hex6, 2)), "·")</f>
        <v>0</v>
      </c>
      <c r="I307">
        <f t="shared" ref="I307" si="923" xml:space="preserve"> IF(LEN(ChartLines.Hex6)=6, HEX2DEC(MID(ChartLines.Hex6, 3, 2)), "·")</f>
        <v>150</v>
      </c>
      <c r="J307">
        <f t="shared" ref="J307" si="924" xml:space="preserve"> IF(LEN(ChartLines.Hex6)=6, HEX2DEC(RIGHT(ChartLines.Hex6, 2)), "·")</f>
        <v>57</v>
      </c>
      <c r="K307" cm="1">
        <f t="array" ref="K307" xml:space="preserve"> 1 + ROW() - _xlfn.SINGLE(ROW(ChartLines.RowNum))</f>
        <v>305</v>
      </c>
    </row>
    <row r="308" spans="2:11">
      <c r="B308" t="s">
        <v>580</v>
      </c>
      <c r="C308" t="str">
        <f xml:space="preserve"> "000000"</f>
        <v>000000</v>
      </c>
      <c r="E308">
        <f t="shared" ref="E308" si="925" xml:space="preserve"> IF(AND(LEN(ChartLines.ID)&gt;0,"Unused"&lt;&gt;ChartLines.ID), COUNTIFS(ChartLines.ID,ChartLines.ID), "·")</f>
        <v>2</v>
      </c>
      <c r="F308">
        <f t="shared" ref="F308" si="926" xml:space="preserve"> IF(AND(LEN(ChartLines.ID)&gt;0,"Unused"&lt;&gt;ChartLines.ID), COUNTIFS(ChartLines.ID,ChartLines.ID,   ChartLines.RowNum,"&lt;="&amp;ChartLines.RowNum), "·")</f>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f t="shared" ref="H308" si="927" xml:space="preserve"> IF(LEN(ChartLines.Hex6)=6, HEX2DEC(LEFT(ChartLines.Hex6, 2)), "·")</f>
        <v>0</v>
      </c>
      <c r="I308">
        <f t="shared" ref="I308" si="928" xml:space="preserve"> IF(LEN(ChartLines.Hex6)=6, HEX2DEC(MID(ChartLines.Hex6, 3, 2)), "·")</f>
        <v>0</v>
      </c>
      <c r="J308">
        <f t="shared" ref="J308" si="929" xml:space="preserve"> IF(LEN(ChartLines.Hex6)=6, HEX2DEC(RIGHT(ChartLines.Hex6, 2)), "·")</f>
        <v>0</v>
      </c>
      <c r="K308" cm="1">
        <f t="array" ref="K308" xml:space="preserve"> 1 + ROW() - _xlfn.SINGLE(ROW(ChartLines.RowNum))</f>
        <v>306</v>
      </c>
    </row>
    <row r="309" spans="2:11">
      <c r="B309" t="s">
        <v>1776</v>
      </c>
      <c r="C309" t="s">
        <v>1940</v>
      </c>
      <c r="E309">
        <f t="shared" ref="E309" si="930" xml:space="preserve"> IF(AND(LEN(ChartLines.ID)&gt;0,"Unused"&lt;&gt;ChartLines.ID), COUNTIFS(ChartLines.ID,ChartLines.ID), "·")</f>
        <v>2</v>
      </c>
      <c r="F309">
        <f t="shared" ref="F309" si="931"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f t="shared" ref="H309" si="932" xml:space="preserve"> IF(LEN(ChartLines.Hex6)=6, HEX2DEC(LEFT(ChartLines.Hex6, 2)), "·")</f>
        <v>255</v>
      </c>
      <c r="I309">
        <f t="shared" ref="I309" si="933" xml:space="preserve"> IF(LEN(ChartLines.Hex6)=6, HEX2DEC(MID(ChartLines.Hex6, 3, 2)), "·")</f>
        <v>199</v>
      </c>
      <c r="J309">
        <f t="shared" ref="J309" si="934" xml:space="preserve"> IF(LEN(ChartLines.Hex6)=6, HEX2DEC(RIGHT(ChartLines.Hex6, 2)), "·")</f>
        <v>44</v>
      </c>
      <c r="K309" cm="1">
        <f t="array" ref="K309" xml:space="preserve"> 1 + ROW() - _xlfn.SINGLE(ROW(ChartLines.RowNum))</f>
        <v>307</v>
      </c>
    </row>
    <row r="310" spans="2:11">
      <c r="B310" t="s">
        <v>1776</v>
      </c>
      <c r="C310" t="str">
        <f xml:space="preserve"> "00778B"</f>
        <v>00778B</v>
      </c>
      <c r="E310">
        <f t="shared" ref="E310" si="935" xml:space="preserve"> IF(AND(LEN(ChartLines.ID)&gt;0,"Unused"&lt;&gt;ChartLines.ID), COUNTIFS(ChartLines.ID,ChartLines.ID), "·")</f>
        <v>2</v>
      </c>
      <c r="F310">
        <f t="shared" ref="F310" si="936"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f t="shared" ref="H310" si="937" xml:space="preserve"> IF(LEN(ChartLines.Hex6)=6, HEX2DEC(LEFT(ChartLines.Hex6, 2)), "·")</f>
        <v>0</v>
      </c>
      <c r="I310">
        <f t="shared" ref="I310" si="938" xml:space="preserve"> IF(LEN(ChartLines.Hex6)=6, HEX2DEC(MID(ChartLines.Hex6, 3, 2)), "·")</f>
        <v>119</v>
      </c>
      <c r="J310">
        <f t="shared" ref="J310" si="939" xml:space="preserve"> IF(LEN(ChartLines.Hex6)=6, HEX2DEC(RIGHT(ChartLines.Hex6, 2)), "·")</f>
        <v>139</v>
      </c>
      <c r="K310" cm="1">
        <f t="array" ref="K310" xml:space="preserve"> 1 + ROW() - _xlfn.SINGLE(ROW(ChartLines.RowNum))</f>
        <v>308</v>
      </c>
    </row>
    <row r="311" spans="2:11">
      <c r="E311" t="str">
        <f t="shared" ref="E311" si="940" xml:space="preserve"> IF(AND(LEN(ChartLines.ID)&gt;0,"Unused"&lt;&gt;ChartLines.ID), COUNTIFS(ChartLines.ID,ChartLines.ID), "·")</f>
        <v>·</v>
      </c>
      <c r="F311" t="str">
        <f t="shared" ref="F311" si="941" xml:space="preserve"> IF(AND(LEN(ChartLines.ID)&gt;0,"Unused"&lt;&gt;ChartLines.ID), COUNTIFS(ChartLines.ID,ChartLines.ID,   ChartLines.RowNum,"&lt;="&amp;ChartLines.RowNum), "·")</f>
        <v>·</v>
      </c>
      <c r="G311" t="str" cm="1">
        <f t="array" ref="G311" xml:space="preserve"> _xlfn.IFS(OR(LEN(_xlfn.SINGLE(ChartLines.ID))=0,"Unused"=_xlfn.SINGLE(ChartLines.ID)), "·",   1=_xlfn.SINGLE(ChartLines.NumInstances), IF("USD"=_xlfn.SINGLE(ChartLines.ID), "SoleBig", "SoleOrdinary"),   1=_xlfn.SINGLE(ChartLines.InstanceNum), "Outer",   TRUE, "Inner")</f>
        <v>·</v>
      </c>
      <c r="H311" t="str">
        <f t="shared" ref="H311" si="942" xml:space="preserve"> IF(LEN(ChartLines.Hex6)=6, HEX2DEC(LEFT(ChartLines.Hex6, 2)), "·")</f>
        <v>·</v>
      </c>
      <c r="I311" t="str">
        <f t="shared" ref="I311" si="943" xml:space="preserve"> IF(LEN(ChartLines.Hex6)=6, HEX2DEC(MID(ChartLines.Hex6, 3, 2)), "·")</f>
        <v>·</v>
      </c>
      <c r="J311" t="str">
        <f t="shared" ref="J311" si="944" xml:space="preserve"> IF(LEN(ChartLines.Hex6)=6, HEX2DEC(RIGHT(ChartLines.Hex6, 2)), "·")</f>
        <v>·</v>
      </c>
      <c r="K311" cm="1">
        <f t="array" ref="K311" xml:space="preserve"> 1 + ROW() - _xlfn.SINGLE(ROW(ChartLines.RowNum))</f>
        <v>309</v>
      </c>
    </row>
    <row r="312" spans="2:11">
      <c r="B312" t="s">
        <v>172</v>
      </c>
      <c r="C312" t="str">
        <f xml:space="preserve"> "003399"</f>
        <v>003399</v>
      </c>
      <c r="E312">
        <f t="shared" ref="E312" si="945" xml:space="preserve"> IF(AND(LEN(ChartLines.ID)&gt;0,"Unused"&lt;&gt;ChartLines.ID), COUNTIFS(ChartLines.ID,ChartLines.ID), "·")</f>
        <v>2</v>
      </c>
      <c r="F312">
        <f t="shared" ref="F312" si="946" xml:space="preserve"> IF(AND(LEN(ChartLines.ID)&gt;0,"Unused"&lt;&gt;ChartLines.ID), COUNTIFS(ChartLines.ID,ChartLines.ID,   ChartLines.RowNum,"&lt;="&amp;ChartLines.RowNum), "·")</f>
        <v>1</v>
      </c>
      <c r="G312" t="str" cm="1">
        <f t="array" ref="G312" xml:space="preserve"> _xlfn.IFS(OR(LEN(_xlfn.SINGLE(ChartLines.ID))=0,"Unused"=_xlfn.SINGLE(ChartLines.ID)), "·",   1=_xlfn.SINGLE(ChartLines.NumInstances), IF("USD"=_xlfn.SINGLE(ChartLines.ID), "SoleBig", "SoleOrdinary"),   1=_xlfn.SINGLE(ChartLines.InstanceNum), "Outer",   TRUE, "Inner")</f>
        <v>Outer</v>
      </c>
      <c r="H312">
        <f t="shared" ref="H312" si="947" xml:space="preserve"> IF(LEN(ChartLines.Hex6)=6, HEX2DEC(LEFT(ChartLines.Hex6, 2)), "·")</f>
        <v>0</v>
      </c>
      <c r="I312">
        <f t="shared" ref="I312" si="948" xml:space="preserve"> IF(LEN(ChartLines.Hex6)=6, HEX2DEC(MID(ChartLines.Hex6, 3, 2)), "·")</f>
        <v>51</v>
      </c>
      <c r="J312">
        <f t="shared" ref="J312" si="949" xml:space="preserve"> IF(LEN(ChartLines.Hex6)=6, HEX2DEC(RIGHT(ChartLines.Hex6, 2)), "·")</f>
        <v>153</v>
      </c>
      <c r="K312" cm="1">
        <f t="array" ref="K312" xml:space="preserve"> 1 + ROW() - _xlfn.SINGLE(ROW(ChartLines.RowNum))</f>
        <v>310</v>
      </c>
    </row>
    <row r="313" spans="2:11">
      <c r="B313" t="s">
        <v>172</v>
      </c>
      <c r="C313" t="s">
        <v>2444</v>
      </c>
      <c r="E313">
        <f t="shared" ref="E313" si="950" xml:space="preserve"> IF(AND(LEN(ChartLines.ID)&gt;0,"Unused"&lt;&gt;ChartLines.ID), COUNTIFS(ChartLines.ID,ChartLines.ID), "·")</f>
        <v>2</v>
      </c>
      <c r="F313">
        <f t="shared" ref="F313" si="951" xml:space="preserve"> IF(AND(LEN(ChartLines.ID)&gt;0,"Unused"&lt;&gt;ChartLines.ID), COUNTIFS(ChartLines.ID,ChartLines.ID,   ChartLines.RowNum,"&lt;="&amp;ChartLines.RowNum), "·")</f>
        <v>2</v>
      </c>
      <c r="G313" t="str" cm="1">
        <f t="array" ref="G313" xml:space="preserve"> _xlfn.IFS(OR(LEN(_xlfn.SINGLE(ChartLines.ID))=0,"Unused"=_xlfn.SINGLE(ChartLines.ID)), "·",   1=_xlfn.SINGLE(ChartLines.NumInstances), IF("USD"=_xlfn.SINGLE(ChartLines.ID), "SoleBig", "SoleOrdinary"),   1=_xlfn.SINGLE(ChartLines.InstanceNum), "Outer",   TRUE, "Inner")</f>
        <v>Inner</v>
      </c>
      <c r="H313">
        <f t="shared" ref="H313" si="952" xml:space="preserve"> IF(LEN(ChartLines.Hex6)=6, HEX2DEC(LEFT(ChartLines.Hex6, 2)), "·")</f>
        <v>157</v>
      </c>
      <c r="I313">
        <f t="shared" ref="I313" si="953" xml:space="preserve"> IF(LEN(ChartLines.Hex6)=6, HEX2DEC(MID(ChartLines.Hex6, 3, 2)), "·")</f>
        <v>157</v>
      </c>
      <c r="J313">
        <f t="shared" ref="J313" si="954" xml:space="preserve"> IF(LEN(ChartLines.Hex6)=6, HEX2DEC(RIGHT(ChartLines.Hex6, 2)), "·")</f>
        <v>156</v>
      </c>
      <c r="K313" cm="1">
        <f t="array" ref="K313" xml:space="preserve"> 1 + ROW() - _xlfn.SINGLE(ROW(ChartLines.RowNum))</f>
        <v>311</v>
      </c>
    </row>
    <row r="314" spans="2:11">
      <c r="B314" t="s">
        <v>971</v>
      </c>
      <c r="C314" t="str">
        <f xml:space="preserve"> "0A6AAA"</f>
        <v>0A6AAA</v>
      </c>
      <c r="E314">
        <f t="shared" ref="E314" si="955" xml:space="preserve"> IF(AND(LEN(ChartLines.ID)&gt;0,"Unused"&lt;&gt;ChartLines.ID), COUNTIFS(ChartLines.ID,ChartLines.ID), "·")</f>
        <v>2</v>
      </c>
      <c r="F314">
        <f t="shared" ref="F314" si="956" xml:space="preserve"> IF(AND(LEN(ChartLines.ID)&gt;0,"Unused"&lt;&gt;ChartLines.ID), COUNTIFS(ChartLines.ID,ChartLines.ID,   ChartLines.RowNum,"&lt;="&amp;ChartLines.RowNum), "·")</f>
        <v>1</v>
      </c>
      <c r="G314" t="str" cm="1">
        <f t="array" ref="G314" xml:space="preserve"> _xlfn.IFS(OR(LEN(_xlfn.SINGLE(ChartLines.ID))=0,"Unused"=_xlfn.SINGLE(ChartLines.ID)), "·",   1=_xlfn.SINGLE(ChartLines.NumInstances), IF("USD"=_xlfn.SINGLE(ChartLines.ID), "SoleBig", "SoleOrdinary"),   1=_xlfn.SINGLE(ChartLines.InstanceNum), "Outer",   TRUE, "Inner")</f>
        <v>Outer</v>
      </c>
      <c r="H314">
        <f t="shared" ref="H314" si="957" xml:space="preserve"> IF(LEN(ChartLines.Hex6)=6, HEX2DEC(LEFT(ChartLines.Hex6, 2)), "·")</f>
        <v>10</v>
      </c>
      <c r="I314">
        <f t="shared" ref="I314" si="958" xml:space="preserve"> IF(LEN(ChartLines.Hex6)=6, HEX2DEC(MID(ChartLines.Hex6, 3, 2)), "·")</f>
        <v>106</v>
      </c>
      <c r="J314">
        <f t="shared" ref="J314" si="959" xml:space="preserve"> IF(LEN(ChartLines.Hex6)=6, HEX2DEC(RIGHT(ChartLines.Hex6, 2)), "·")</f>
        <v>170</v>
      </c>
      <c r="K314" cm="1">
        <f t="array" ref="K314" xml:space="preserve"> 1 + ROW() - _xlfn.SINGLE(ROW(ChartLines.RowNum))</f>
        <v>312</v>
      </c>
    </row>
    <row r="315" spans="2:11">
      <c r="B315" t="s">
        <v>971</v>
      </c>
      <c r="C315" t="s">
        <v>1839</v>
      </c>
      <c r="E315">
        <f t="shared" ref="E315:E317" si="960" xml:space="preserve"> IF(AND(LEN(ChartLines.ID)&gt;0,"Unused"&lt;&gt;ChartLines.ID), COUNTIFS(ChartLines.ID,ChartLines.ID), "·")</f>
        <v>2</v>
      </c>
      <c r="F315">
        <f t="shared" ref="F315:F317" si="961" xml:space="preserve"> IF(AND(LEN(ChartLines.ID)&gt;0,"Unused"&lt;&gt;ChartLines.ID), COUNTIFS(ChartLines.ID,ChartLines.ID,   ChartLines.RowNum,"&lt;="&amp;ChartLines.RowNum), "·")</f>
        <v>2</v>
      </c>
      <c r="G315" t="str" cm="1">
        <f t="array" ref="G315" xml:space="preserve"> _xlfn.IFS(OR(LEN(_xlfn.SINGLE(ChartLines.ID))=0,"Unused"=_xlfn.SINGLE(ChartLines.ID)), "·",   1=_xlfn.SINGLE(ChartLines.NumInstances), IF("USD"=_xlfn.SINGLE(ChartLines.ID), "SoleBig", "SoleOrdinary"),   1=_xlfn.SINGLE(ChartLines.InstanceNum), "Outer",   TRUE, "Inner")</f>
        <v>Inner</v>
      </c>
      <c r="H315">
        <f t="shared" ref="H315:H317" si="962" xml:space="preserve"> IF(LEN(ChartLines.Hex6)=6, HEX2DEC(LEFT(ChartLines.Hex6, 2)), "·")</f>
        <v>255</v>
      </c>
      <c r="I315">
        <f t="shared" ref="I315:I317" si="963" xml:space="preserve"> IF(LEN(ChartLines.Hex6)=6, HEX2DEC(MID(ChartLines.Hex6, 3, 2)), "·")</f>
        <v>255</v>
      </c>
      <c r="J315">
        <f t="shared" ref="J315:J317" si="964" xml:space="preserve"> IF(LEN(ChartLines.Hex6)=6, HEX2DEC(RIGHT(ChartLines.Hex6, 2)), "·")</f>
        <v>255</v>
      </c>
      <c r="K315" cm="1">
        <f t="array" ref="K315" xml:space="preserve"> 1 + ROW() - _xlfn.SINGLE(ROW(ChartLines.RowNum))</f>
        <v>313</v>
      </c>
    </row>
    <row r="316" spans="2:11">
      <c r="B316" t="s">
        <v>2246</v>
      </c>
      <c r="C316" t="str">
        <f xml:space="preserve"> "092251"</f>
        <v>092251</v>
      </c>
      <c r="E316">
        <f t="shared" si="960"/>
        <v>2</v>
      </c>
      <c r="F316">
        <f t="shared" si="961"/>
        <v>1</v>
      </c>
      <c r="G316" t="str" cm="1">
        <f t="array" ref="G316" xml:space="preserve"> _xlfn.IFS(OR(LEN(_xlfn.SINGLE(ChartLines.ID))=0,"Unused"=_xlfn.SINGLE(ChartLines.ID)), "·",   1=_xlfn.SINGLE(ChartLines.NumInstances), IF("USD"=_xlfn.SINGLE(ChartLines.ID), "SoleBig", "SoleOrdinary"),   1=_xlfn.SINGLE(ChartLines.InstanceNum), "Outer",   TRUE, "Inner")</f>
        <v>Outer</v>
      </c>
      <c r="H316">
        <f t="shared" si="962"/>
        <v>9</v>
      </c>
      <c r="I316">
        <f t="shared" si="963"/>
        <v>34</v>
      </c>
      <c r="J316">
        <f t="shared" si="964"/>
        <v>81</v>
      </c>
      <c r="K316" cm="1">
        <f t="array" ref="K316" xml:space="preserve"> 1 + ROW() - _xlfn.SINGLE(ROW(ChartLines.RowNum))</f>
        <v>314</v>
      </c>
    </row>
    <row r="317" spans="2:11">
      <c r="B317" t="s">
        <v>2246</v>
      </c>
      <c r="C317" t="s">
        <v>1839</v>
      </c>
      <c r="E317">
        <f t="shared" si="960"/>
        <v>2</v>
      </c>
      <c r="F317">
        <f t="shared" si="961"/>
        <v>2</v>
      </c>
      <c r="G317" t="str" cm="1">
        <f t="array" ref="G317" xml:space="preserve"> _xlfn.IFS(OR(LEN(_xlfn.SINGLE(ChartLines.ID))=0,"Unused"=_xlfn.SINGLE(ChartLines.ID)), "·",   1=_xlfn.SINGLE(ChartLines.NumInstances), IF("USD"=_xlfn.SINGLE(ChartLines.ID), "SoleBig", "SoleOrdinary"),   1=_xlfn.SINGLE(ChartLines.InstanceNum), "Outer",   TRUE, "Inner")</f>
        <v>Inner</v>
      </c>
      <c r="H317">
        <f t="shared" si="962"/>
        <v>255</v>
      </c>
      <c r="I317">
        <f t="shared" si="963"/>
        <v>255</v>
      </c>
      <c r="J317">
        <f t="shared" si="964"/>
        <v>255</v>
      </c>
      <c r="K317" cm="1">
        <f t="array" ref="K317" xml:space="preserve"> 1 + ROW() - _xlfn.SINGLE(ROW(ChartLines.RowNum))</f>
        <v>315</v>
      </c>
    </row>
    <row r="318" spans="2:11">
      <c r="B318" t="s">
        <v>1941</v>
      </c>
      <c r="C318" t="str">
        <f xml:space="preserve"> "165788"</f>
        <v>165788</v>
      </c>
      <c r="E318">
        <f t="shared" ref="E318" si="965" xml:space="preserve"> IF(AND(LEN(ChartLines.ID)&gt;0,"Unused"&lt;&gt;ChartLines.ID), COUNTIFS(ChartLines.ID,ChartLines.ID), "·")</f>
        <v>2</v>
      </c>
      <c r="F318">
        <f t="shared" ref="F318" si="966" xml:space="preserve"> IF(AND(LEN(ChartLines.ID)&gt;0,"Unused"&lt;&gt;ChartLines.ID), COUNTIFS(ChartLines.ID,ChartLines.ID,   ChartLines.RowNum,"&lt;="&amp;ChartLines.RowNum), "·")</f>
        <v>1</v>
      </c>
      <c r="G318" t="str" cm="1">
        <f t="array" ref="G318" xml:space="preserve"> _xlfn.IFS(OR(LEN(_xlfn.SINGLE(ChartLines.ID))=0,"Unused"=_xlfn.SINGLE(ChartLines.ID)), "·",   1=_xlfn.SINGLE(ChartLines.NumInstances), IF("USD"=_xlfn.SINGLE(ChartLines.ID), "SoleBig", "SoleOrdinary"),   1=_xlfn.SINGLE(ChartLines.InstanceNum), "Outer",   TRUE, "Inner")</f>
        <v>Outer</v>
      </c>
      <c r="H318">
        <f t="shared" ref="H318" si="967" xml:space="preserve"> IF(LEN(ChartLines.Hex6)=6, HEX2DEC(LEFT(ChartLines.Hex6, 2)), "·")</f>
        <v>22</v>
      </c>
      <c r="I318">
        <f t="shared" ref="I318" si="968" xml:space="preserve"> IF(LEN(ChartLines.Hex6)=6, HEX2DEC(MID(ChartLines.Hex6, 3, 2)), "·")</f>
        <v>87</v>
      </c>
      <c r="J318">
        <f t="shared" ref="J318" si="969" xml:space="preserve"> IF(LEN(ChartLines.Hex6)=6, HEX2DEC(RIGHT(ChartLines.Hex6, 2)), "·")</f>
        <v>136</v>
      </c>
      <c r="K318" cm="1">
        <f t="array" ref="K318" xml:space="preserve"> 1 + ROW() - _xlfn.SINGLE(ROW(ChartLines.RowNum))</f>
        <v>316</v>
      </c>
    </row>
    <row r="319" spans="2:11">
      <c r="B319" t="s">
        <v>1941</v>
      </c>
      <c r="C319" t="str">
        <f xml:space="preserve"> "C3DCF4"</f>
        <v>C3DCF4</v>
      </c>
      <c r="E319">
        <f t="shared" ref="E319" si="970" xml:space="preserve"> IF(AND(LEN(ChartLines.ID)&gt;0,"Unused"&lt;&gt;ChartLines.ID), COUNTIFS(ChartLines.ID,ChartLines.ID), "·")</f>
        <v>2</v>
      </c>
      <c r="F319">
        <f t="shared" ref="F319" si="971" xml:space="preserve"> IF(AND(LEN(ChartLines.ID)&gt;0,"Unused"&lt;&gt;ChartLines.ID), COUNTIFS(ChartLines.ID,ChartLines.ID,   ChartLines.RowNum,"&lt;="&amp;ChartLines.RowNum), "·")</f>
        <v>2</v>
      </c>
      <c r="G319" t="str" cm="1">
        <f t="array" ref="G319" xml:space="preserve"> _xlfn.IFS(OR(LEN(_xlfn.SINGLE(ChartLines.ID))=0,"Unused"=_xlfn.SINGLE(ChartLines.ID)), "·",   1=_xlfn.SINGLE(ChartLines.NumInstances), IF("USD"=_xlfn.SINGLE(ChartLines.ID), "SoleBig", "SoleOrdinary"),   1=_xlfn.SINGLE(ChartLines.InstanceNum), "Outer",   TRUE, "Inner")</f>
        <v>Inner</v>
      </c>
      <c r="H319">
        <f t="shared" ref="H319" si="972" xml:space="preserve"> IF(LEN(ChartLines.Hex6)=6, HEX2DEC(LEFT(ChartLines.Hex6, 2)), "·")</f>
        <v>195</v>
      </c>
      <c r="I319">
        <f t="shared" ref="I319" si="973" xml:space="preserve"> IF(LEN(ChartLines.Hex6)=6, HEX2DEC(MID(ChartLines.Hex6, 3, 2)), "·")</f>
        <v>220</v>
      </c>
      <c r="J319">
        <f t="shared" ref="J319" si="974" xml:space="preserve"> IF(LEN(ChartLines.Hex6)=6, HEX2DEC(RIGHT(ChartLines.Hex6, 2)), "·")</f>
        <v>244</v>
      </c>
      <c r="K319" cm="1">
        <f t="array" ref="K319" xml:space="preserve"> 1 + ROW() - _xlfn.SINGLE(ROW(ChartLines.RowNum))</f>
        <v>317</v>
      </c>
    </row>
    <row r="320" spans="2:11">
      <c r="B320" t="s">
        <v>798</v>
      </c>
      <c r="C320" t="s">
        <v>2130</v>
      </c>
      <c r="E320">
        <f t="shared" ref="E320:E323" si="975" xml:space="preserve"> IF(AND(LEN(ChartLines.ID)&gt;0,"Unused"&lt;&gt;ChartLines.ID), COUNTIFS(ChartLines.ID,ChartLines.ID), "·")</f>
        <v>1</v>
      </c>
      <c r="F320">
        <f t="shared" ref="F320:F323" si="976"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SoleOrdinary</v>
      </c>
      <c r="H320">
        <f t="shared" ref="H320:H323" si="977" xml:space="preserve"> IF(LEN(ChartLines.Hex6)=6, HEX2DEC(LEFT(ChartLines.Hex6, 2)), "·")</f>
        <v>27</v>
      </c>
      <c r="I320">
        <f t="shared" ref="I320:I323" si="978" xml:space="preserve"> IF(LEN(ChartLines.Hex6)=6, HEX2DEC(MID(ChartLines.Hex6, 3, 2)), "·")</f>
        <v>97</v>
      </c>
      <c r="J320">
        <f t="shared" ref="J320:J323" si="979" xml:space="preserve"> IF(LEN(ChartLines.Hex6)=6, HEX2DEC(RIGHT(ChartLines.Hex6, 2)), "·")</f>
        <v>140</v>
      </c>
      <c r="K320" cm="1">
        <f t="array" ref="K320" xml:space="preserve"> 1 + ROW() - _xlfn.SINGLE(ROW(ChartLines.RowNum))</f>
        <v>318</v>
      </c>
    </row>
    <row r="321" spans="2:11">
      <c r="B321" t="s">
        <v>2247</v>
      </c>
      <c r="C321">
        <v>273375</v>
      </c>
      <c r="E321">
        <f t="shared" si="975"/>
        <v>2</v>
      </c>
      <c r="F321">
        <f t="shared" si="976"/>
        <v>1</v>
      </c>
      <c r="G321" t="str" cm="1">
        <f t="array" ref="G321" xml:space="preserve"> _xlfn.IFS(OR(LEN(_xlfn.SINGLE(ChartLines.ID))=0,"Unused"=_xlfn.SINGLE(ChartLines.ID)), "·",   1=_xlfn.SINGLE(ChartLines.NumInstances), IF("USD"=_xlfn.SINGLE(ChartLines.ID), "SoleBig", "SoleOrdinary"),   1=_xlfn.SINGLE(ChartLines.InstanceNum), "Outer",   TRUE, "Inner")</f>
        <v>Outer</v>
      </c>
      <c r="H321">
        <f t="shared" si="977"/>
        <v>39</v>
      </c>
      <c r="I321">
        <f t="shared" si="978"/>
        <v>51</v>
      </c>
      <c r="J321">
        <f t="shared" si="979"/>
        <v>117</v>
      </c>
      <c r="K321" cm="1">
        <f t="array" ref="K321" xml:space="preserve"> 1 + ROW() - _xlfn.SINGLE(ROW(ChartLines.RowNum))</f>
        <v>319</v>
      </c>
    </row>
    <row r="322" spans="2:11">
      <c r="B322" t="s">
        <v>2247</v>
      </c>
      <c r="C322" t="s">
        <v>2250</v>
      </c>
      <c r="E322">
        <f t="shared" si="975"/>
        <v>2</v>
      </c>
      <c r="F322">
        <f t="shared" si="976"/>
        <v>2</v>
      </c>
      <c r="G322" t="str" cm="1">
        <f t="array" ref="G322" xml:space="preserve"> _xlfn.IFS(OR(LEN(_xlfn.SINGLE(ChartLines.ID))=0,"Unused"=_xlfn.SINGLE(ChartLines.ID)), "·",   1=_xlfn.SINGLE(ChartLines.NumInstances), IF("USD"=_xlfn.SINGLE(ChartLines.ID), "SoleBig", "SoleOrdinary"),   1=_xlfn.SINGLE(ChartLines.InstanceNum), "Outer",   TRUE, "Inner")</f>
        <v>Inner</v>
      </c>
      <c r="H322">
        <f t="shared" si="977"/>
        <v>226</v>
      </c>
      <c r="I322">
        <f t="shared" si="978"/>
        <v>6</v>
      </c>
      <c r="J322">
        <f t="shared" si="979"/>
        <v>19</v>
      </c>
      <c r="K322" cm="1">
        <f t="array" ref="K322" xml:space="preserve"> 1 + ROW() - _xlfn.SINGLE(ROW(ChartLines.RowNum))</f>
        <v>320</v>
      </c>
    </row>
    <row r="323" spans="2:11">
      <c r="B323" t="s">
        <v>1835</v>
      </c>
      <c r="E323" t="str">
        <f t="shared" si="975"/>
        <v>·</v>
      </c>
      <c r="F323" t="str">
        <f t="shared" si="976"/>
        <v>·</v>
      </c>
      <c r="G323" t="str" cm="1">
        <f t="array" ref="G323" xml:space="preserve"> _xlfn.IFS(OR(LEN(_xlfn.SINGLE(ChartLines.ID))=0,"Unused"=_xlfn.SINGLE(ChartLines.ID)), "·",   1=_xlfn.SINGLE(ChartLines.NumInstances), IF("USD"=_xlfn.SINGLE(ChartLines.ID), "SoleBig", "SoleOrdinary"),   1=_xlfn.SINGLE(ChartLines.InstanceNum), "Outer",   TRUE, "Inner")</f>
        <v>·</v>
      </c>
      <c r="H323" t="str">
        <f t="shared" si="977"/>
        <v>·</v>
      </c>
      <c r="I323" t="str">
        <f t="shared" si="978"/>
        <v>·</v>
      </c>
      <c r="J323" t="str">
        <f t="shared" si="979"/>
        <v>·</v>
      </c>
      <c r="K323" cm="1">
        <f t="array" ref="K323" xml:space="preserve"> 1 + ROW() - _xlfn.SINGLE(ROW(ChartLines.RowNum))</f>
        <v>321</v>
      </c>
    </row>
    <row r="324" spans="2:11">
      <c r="B324" t="s">
        <v>173</v>
      </c>
      <c r="C324" t="s">
        <v>1942</v>
      </c>
      <c r="E324">
        <f t="shared" ref="E324" si="980" xml:space="preserve"> IF(AND(LEN(ChartLines.ID)&gt;0,"Unused"&lt;&gt;ChartLines.ID), COUNTIFS(ChartLines.ID,ChartLines.ID), "·")</f>
        <v>1</v>
      </c>
      <c r="F324">
        <f t="shared" ref="F324" si="981" xml:space="preserve"> IF(AND(LEN(ChartLines.ID)&gt;0,"Unused"&lt;&gt;ChartLines.ID), COUNTIFS(ChartLines.ID,ChartLines.ID,   ChartLines.RowNum,"&lt;="&amp;ChartLines.RowNum), "·")</f>
        <v>1</v>
      </c>
      <c r="G324" t="str" cm="1">
        <f t="array" ref="G324" xml:space="preserve"> _xlfn.IFS(OR(LEN(_xlfn.SINGLE(ChartLines.ID))=0,"Unused"=_xlfn.SINGLE(ChartLines.ID)), "·",   1=_xlfn.SINGLE(ChartLines.NumInstances), IF("USD"=_xlfn.SINGLE(ChartLines.ID), "SoleBig", "SoleOrdinary"),   1=_xlfn.SINGLE(ChartLines.InstanceNum), "Outer",   TRUE, "Inner")</f>
        <v>SoleOrdinary</v>
      </c>
      <c r="H324">
        <f t="shared" ref="H324" si="982" xml:space="preserve"> IF(LEN(ChartLines.Hex6)=6, HEX2DEC(LEFT(ChartLines.Hex6, 2)), "·")</f>
        <v>28</v>
      </c>
      <c r="I324">
        <f t="shared" ref="I324" si="983" xml:space="preserve"> IF(LEN(ChartLines.Hex6)=6, HEX2DEC(MID(ChartLines.Hex6, 3, 2)), "·")</f>
        <v>48</v>
      </c>
      <c r="J324">
        <f t="shared" ref="J324" si="984" xml:space="preserve"> IF(LEN(ChartLines.Hex6)=6, HEX2DEC(RIGHT(ChartLines.Hex6, 2)), "·")</f>
        <v>96</v>
      </c>
      <c r="K324" cm="1">
        <f t="array" ref="K324" xml:space="preserve"> 1 + ROW() - _xlfn.SINGLE(ROW(ChartLines.RowNum))</f>
        <v>322</v>
      </c>
    </row>
    <row r="325" spans="2:11">
      <c r="B325" t="s">
        <v>1835</v>
      </c>
      <c r="E325" t="str">
        <f t="shared" ref="E325" si="985" xml:space="preserve"> IF(AND(LEN(ChartLines.ID)&gt;0,"Unused"&lt;&gt;ChartLines.ID), COUNTIFS(ChartLines.ID,ChartLines.ID), "·")</f>
        <v>·</v>
      </c>
      <c r="F325" t="str">
        <f t="shared" ref="F325" si="986" xml:space="preserve"> IF(AND(LEN(ChartLines.ID)&gt;0,"Unused"&lt;&gt;ChartLines.ID), COUNTIFS(ChartLines.ID,ChartLines.ID,   ChartLines.RowNum,"&lt;="&amp;ChartLines.RowNum), "·")</f>
        <v>·</v>
      </c>
      <c r="G325" t="str" cm="1">
        <f t="array" ref="G325" xml:space="preserve"> _xlfn.IFS(OR(LEN(_xlfn.SINGLE(ChartLines.ID))=0,"Unused"=_xlfn.SINGLE(ChartLines.ID)), "·",   1=_xlfn.SINGLE(ChartLines.NumInstances), IF("USD"=_xlfn.SINGLE(ChartLines.ID), "SoleBig", "SoleOrdinary"),   1=_xlfn.SINGLE(ChartLines.InstanceNum), "Outer",   TRUE, "Inner")</f>
        <v>·</v>
      </c>
      <c r="H325" t="str">
        <f t="shared" ref="H325" si="987" xml:space="preserve"> IF(LEN(ChartLines.Hex6)=6, HEX2DEC(LEFT(ChartLines.Hex6, 2)), "·")</f>
        <v>·</v>
      </c>
      <c r="I325" t="str">
        <f t="shared" ref="I325" si="988" xml:space="preserve"> IF(LEN(ChartLines.Hex6)=6, HEX2DEC(MID(ChartLines.Hex6, 3, 2)), "·")</f>
        <v>·</v>
      </c>
      <c r="J325" t="str">
        <f t="shared" ref="J325" si="989" xml:space="preserve"> IF(LEN(ChartLines.Hex6)=6, HEX2DEC(RIGHT(ChartLines.Hex6, 2)), "·")</f>
        <v>·</v>
      </c>
      <c r="K325" cm="1">
        <f t="array" ref="K325" xml:space="preserve"> 1 + ROW() - _xlfn.SINGLE(ROW(ChartLines.RowNum))</f>
        <v>323</v>
      </c>
    </row>
    <row r="326" spans="2:11">
      <c r="B326" t="s">
        <v>1943</v>
      </c>
      <c r="C326" t="s">
        <v>1944</v>
      </c>
      <c r="E326">
        <f t="shared" ref="E326" si="990" xml:space="preserve"> IF(AND(LEN(ChartLines.ID)&gt;0,"Unused"&lt;&gt;ChartLines.ID), COUNTIFS(ChartLines.ID,ChartLines.ID), "·")</f>
        <v>2</v>
      </c>
      <c r="F326">
        <f t="shared" ref="F326" si="991"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f t="shared" ref="H326" si="992" xml:space="preserve"> IF(LEN(ChartLines.Hex6)=6, HEX2DEC(LEFT(ChartLines.Hex6, 2)), "·")</f>
        <v>134</v>
      </c>
      <c r="I326">
        <f t="shared" ref="I326" si="993" xml:space="preserve"> IF(LEN(ChartLines.Hex6)=6, HEX2DEC(MID(ChartLines.Hex6, 3, 2)), "·")</f>
        <v>12</v>
      </c>
      <c r="J326">
        <f t="shared" ref="J326" si="994" xml:space="preserve"> IF(LEN(ChartLines.Hex6)=6, HEX2DEC(RIGHT(ChartLines.Hex6, 2)), "·")</f>
        <v>20</v>
      </c>
      <c r="K326" cm="1">
        <f t="array" ref="K326" xml:space="preserve"> 1 + ROW() - _xlfn.SINGLE(ROW(ChartLines.RowNum))</f>
        <v>324</v>
      </c>
    </row>
    <row r="327" spans="2:11">
      <c r="B327" t="s">
        <v>1943</v>
      </c>
      <c r="C327" t="s">
        <v>1839</v>
      </c>
      <c r="E327">
        <f t="shared" ref="E327" si="995" xml:space="preserve"> IF(AND(LEN(ChartLines.ID)&gt;0,"Unused"&lt;&gt;ChartLines.ID), COUNTIFS(ChartLines.ID,ChartLines.ID), "·")</f>
        <v>2</v>
      </c>
      <c r="F327">
        <f t="shared" ref="F327" si="996"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f t="shared" ref="H327" si="997" xml:space="preserve"> IF(LEN(ChartLines.Hex6)=6, HEX2DEC(LEFT(ChartLines.Hex6, 2)), "·")</f>
        <v>255</v>
      </c>
      <c r="I327">
        <f t="shared" ref="I327" si="998" xml:space="preserve"> IF(LEN(ChartLines.Hex6)=6, HEX2DEC(MID(ChartLines.Hex6, 3, 2)), "·")</f>
        <v>255</v>
      </c>
      <c r="J327">
        <f t="shared" ref="J327" si="999" xml:space="preserve"> IF(LEN(ChartLines.Hex6)=6, HEX2DEC(RIGHT(ChartLines.Hex6, 2)), "·")</f>
        <v>255</v>
      </c>
      <c r="K327" cm="1">
        <f t="array" ref="K327" xml:space="preserve"> 1 + ROW() - _xlfn.SINGLE(ROW(ChartLines.RowNum))</f>
        <v>325</v>
      </c>
    </row>
    <row r="328" spans="2:11">
      <c r="B328" t="s">
        <v>955</v>
      </c>
      <c r="C328" t="str">
        <f xml:space="preserve"> "039355"</f>
        <v>039355</v>
      </c>
      <c r="E328">
        <f t="shared" ref="E328" si="1000" xml:space="preserve"> IF(AND(LEN(ChartLines.ID)&gt;0,"Unused"&lt;&gt;ChartLines.ID), COUNTIFS(ChartLines.ID,ChartLines.ID), "·")</f>
        <v>2</v>
      </c>
      <c r="F328">
        <f t="shared" ref="F328" si="100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Outer</v>
      </c>
      <c r="H328">
        <f t="shared" ref="H328" si="1002" xml:space="preserve"> IF(LEN(ChartLines.Hex6)=6, HEX2DEC(LEFT(ChartLines.Hex6, 2)), "·")</f>
        <v>3</v>
      </c>
      <c r="I328">
        <f t="shared" ref="I328" si="1003" xml:space="preserve"> IF(LEN(ChartLines.Hex6)=6, HEX2DEC(MID(ChartLines.Hex6, 3, 2)), "·")</f>
        <v>147</v>
      </c>
      <c r="J328">
        <f t="shared" ref="J328" si="1004" xml:space="preserve"> IF(LEN(ChartLines.Hex6)=6, HEX2DEC(RIGHT(ChartLines.Hex6, 2)), "·")</f>
        <v>85</v>
      </c>
      <c r="K328" cm="1">
        <f t="array" ref="K328" xml:space="preserve"> 1 + ROW() - _xlfn.SINGLE(ROW(ChartLines.RowNum))</f>
        <v>326</v>
      </c>
    </row>
    <row r="329" spans="2:11">
      <c r="B329" t="s">
        <v>955</v>
      </c>
      <c r="C329" t="s">
        <v>1839</v>
      </c>
      <c r="E329">
        <f t="shared" ref="E329" si="1005" xml:space="preserve"> IF(AND(LEN(ChartLines.ID)&gt;0,"Unused"&lt;&gt;ChartLines.ID), COUNTIFS(ChartLines.ID,ChartLines.ID), "·")</f>
        <v>2</v>
      </c>
      <c r="F329">
        <f t="shared" ref="F329" si="1006" xml:space="preserve"> IF(AND(LEN(ChartLines.ID)&gt;0,"Unused"&lt;&gt;ChartLines.ID), COUNTIFS(ChartLines.ID,ChartLines.ID,   ChartLines.RowNum,"&lt;="&amp;ChartLines.RowNum), "·")</f>
        <v>2</v>
      </c>
      <c r="G329" t="str" cm="1">
        <f t="array" ref="G329" xml:space="preserve"> _xlfn.IFS(OR(LEN(_xlfn.SINGLE(ChartLines.ID))=0,"Unused"=_xlfn.SINGLE(ChartLines.ID)), "·",   1=_xlfn.SINGLE(ChartLines.NumInstances), IF("USD"=_xlfn.SINGLE(ChartLines.ID), "SoleBig", "SoleOrdinary"),   1=_xlfn.SINGLE(ChartLines.InstanceNum), "Outer",   TRUE, "Inner")</f>
        <v>Inner</v>
      </c>
      <c r="H329">
        <f t="shared" ref="H329" si="1007" xml:space="preserve"> IF(LEN(ChartLines.Hex6)=6, HEX2DEC(LEFT(ChartLines.Hex6, 2)), "·")</f>
        <v>255</v>
      </c>
      <c r="I329">
        <f t="shared" ref="I329" si="1008" xml:space="preserve"> IF(LEN(ChartLines.Hex6)=6, HEX2DEC(MID(ChartLines.Hex6, 3, 2)), "·")</f>
        <v>255</v>
      </c>
      <c r="J329">
        <f t="shared" ref="J329" si="1009" xml:space="preserve"> IF(LEN(ChartLines.Hex6)=6, HEX2DEC(RIGHT(ChartLines.Hex6, 2)), "·")</f>
        <v>255</v>
      </c>
      <c r="K329" cm="1">
        <f t="array" ref="K329" xml:space="preserve"> 1 + ROW() - _xlfn.SINGLE(ROW(ChartLines.RowNum))</f>
        <v>327</v>
      </c>
    </row>
    <row r="330" spans="2:11">
      <c r="B330" t="s">
        <v>106</v>
      </c>
      <c r="C330" t="str">
        <f xml:space="preserve"> "000000"</f>
        <v>000000</v>
      </c>
      <c r="E330">
        <f t="shared" ref="E330" si="1010" xml:space="preserve"> IF(AND(LEN(ChartLines.ID)&gt;0,"Unused"&lt;&gt;ChartLines.ID), COUNTIFS(ChartLines.ID,ChartLines.ID), "·")</f>
        <v>2</v>
      </c>
      <c r="F330">
        <f t="shared" ref="F330" si="1011" xml:space="preserve"> IF(AND(LEN(ChartLines.ID)&gt;0,"Unused"&lt;&gt;ChartLines.ID), COUNTIFS(ChartLines.ID,ChartLines.ID,   ChartLines.RowNum,"&lt;="&amp;ChartLines.RowNum), "·")</f>
        <v>1</v>
      </c>
      <c r="G330" t="str" cm="1">
        <f t="array" ref="G330" xml:space="preserve"> _xlfn.IFS(OR(LEN(_xlfn.SINGLE(ChartLines.ID))=0,"Unused"=_xlfn.SINGLE(ChartLines.ID)), "·",   1=_xlfn.SINGLE(ChartLines.NumInstances), IF("USD"=_xlfn.SINGLE(ChartLines.ID), "SoleBig", "SoleOrdinary"),   1=_xlfn.SINGLE(ChartLines.InstanceNum), "Outer",   TRUE, "Inner")</f>
        <v>Outer</v>
      </c>
      <c r="H330">
        <f t="shared" ref="H330" si="1012" xml:space="preserve"> IF(LEN(ChartLines.Hex6)=6, HEX2DEC(LEFT(ChartLines.Hex6, 2)), "·")</f>
        <v>0</v>
      </c>
      <c r="I330">
        <f t="shared" ref="I330" si="1013" xml:space="preserve"> IF(LEN(ChartLines.Hex6)=6, HEX2DEC(MID(ChartLines.Hex6, 3, 2)), "·")</f>
        <v>0</v>
      </c>
      <c r="J330">
        <f t="shared" ref="J330" si="1014" xml:space="preserve"> IF(LEN(ChartLines.Hex6)=6, HEX2DEC(RIGHT(ChartLines.Hex6, 2)), "·")</f>
        <v>0</v>
      </c>
      <c r="K330" cm="1">
        <f t="array" ref="K330" xml:space="preserve"> 1 + ROW() - _xlfn.SINGLE(ROW(ChartLines.RowNum))</f>
        <v>328</v>
      </c>
    </row>
    <row r="331" spans="2:11">
      <c r="B331" t="s">
        <v>106</v>
      </c>
      <c r="C331" t="str">
        <f xml:space="preserve"> "039355"</f>
        <v>039355</v>
      </c>
      <c r="E331">
        <f t="shared" ref="E331:E333" si="1015" xml:space="preserve"> IF(AND(LEN(ChartLines.ID)&gt;0,"Unused"&lt;&gt;ChartLines.ID), COUNTIFS(ChartLines.ID,ChartLines.ID), "·")</f>
        <v>2</v>
      </c>
      <c r="F331">
        <f t="shared" ref="F331:F333" si="1016" xml:space="preserve"> IF(AND(LEN(ChartLines.ID)&gt;0,"Unused"&lt;&gt;ChartLines.ID), COUNTIFS(ChartLines.ID,ChartLines.ID,   ChartLines.RowNum,"&lt;="&amp;ChartLines.RowNum), "·")</f>
        <v>2</v>
      </c>
      <c r="G331" t="str" cm="1">
        <f t="array" ref="G331" xml:space="preserve"> _xlfn.IFS(OR(LEN(_xlfn.SINGLE(ChartLines.ID))=0,"Unused"=_xlfn.SINGLE(ChartLines.ID)), "·",   1=_xlfn.SINGLE(ChartLines.NumInstances), IF("USD"=_xlfn.SINGLE(ChartLines.ID), "SoleBig", "SoleOrdinary"),   1=_xlfn.SINGLE(ChartLines.InstanceNum), "Outer",   TRUE, "Inner")</f>
        <v>Inner</v>
      </c>
      <c r="H331">
        <f t="shared" ref="H331:H333" si="1017" xml:space="preserve"> IF(LEN(ChartLines.Hex6)=6, HEX2DEC(LEFT(ChartLines.Hex6, 2)), "·")</f>
        <v>3</v>
      </c>
      <c r="I331">
        <f t="shared" ref="I331:I333" si="1018" xml:space="preserve"> IF(LEN(ChartLines.Hex6)=6, HEX2DEC(MID(ChartLines.Hex6, 3, 2)), "·")</f>
        <v>147</v>
      </c>
      <c r="J331">
        <f t="shared" ref="J331:J333" si="1019" xml:space="preserve"> IF(LEN(ChartLines.Hex6)=6, HEX2DEC(RIGHT(ChartLines.Hex6, 2)), "·")</f>
        <v>85</v>
      </c>
      <c r="K331" cm="1">
        <f t="array" ref="K331" xml:space="preserve"> 1 + ROW() - _xlfn.SINGLE(ROW(ChartLines.RowNum))</f>
        <v>329</v>
      </c>
    </row>
    <row r="332" spans="2:11">
      <c r="B332" t="s">
        <v>2042</v>
      </c>
      <c r="C332" t="s">
        <v>2043</v>
      </c>
      <c r="E332">
        <f t="shared" si="1015"/>
        <v>2</v>
      </c>
      <c r="F332">
        <f t="shared" si="1016"/>
        <v>1</v>
      </c>
      <c r="G332" t="str" cm="1">
        <f t="array" ref="G332" xml:space="preserve"> _xlfn.IFS(OR(LEN(_xlfn.SINGLE(ChartLines.ID))=0,"Unused"=_xlfn.SINGLE(ChartLines.ID)), "·",   1=_xlfn.SINGLE(ChartLines.NumInstances), IF("USD"=_xlfn.SINGLE(ChartLines.ID), "SoleBig", "SoleOrdinary"),   1=_xlfn.SINGLE(ChartLines.InstanceNum), "Outer",   TRUE, "Inner")</f>
        <v>Outer</v>
      </c>
      <c r="H332">
        <f t="shared" si="1017"/>
        <v>25</v>
      </c>
      <c r="I332">
        <f t="shared" si="1018"/>
        <v>141</v>
      </c>
      <c r="J332">
        <f t="shared" si="1019"/>
        <v>102</v>
      </c>
      <c r="K332" cm="1">
        <f t="array" ref="K332" xml:space="preserve"> 1 + ROW() - _xlfn.SINGLE(ROW(ChartLines.RowNum))</f>
        <v>330</v>
      </c>
    </row>
    <row r="333" spans="2:11">
      <c r="B333" t="s">
        <v>2042</v>
      </c>
      <c r="C333" t="s">
        <v>2044</v>
      </c>
      <c r="E333">
        <f t="shared" si="1015"/>
        <v>2</v>
      </c>
      <c r="F333">
        <f t="shared" si="1016"/>
        <v>2</v>
      </c>
      <c r="G333" t="str" cm="1">
        <f t="array" ref="G333" xml:space="preserve"> _xlfn.IFS(OR(LEN(_xlfn.SINGLE(ChartLines.ID))=0,"Unused"=_xlfn.SINGLE(ChartLines.ID)), "·",   1=_xlfn.SINGLE(ChartLines.NumInstances), IF("USD"=_xlfn.SINGLE(ChartLines.ID), "SoleBig", "SoleOrdinary"),   1=_xlfn.SINGLE(ChartLines.InstanceNum), "Outer",   TRUE, "Inner")</f>
        <v>Inner</v>
      </c>
      <c r="H333">
        <f t="shared" si="1017"/>
        <v>252</v>
      </c>
      <c r="I333">
        <f t="shared" si="1018"/>
        <v>185</v>
      </c>
      <c r="J333">
        <f t="shared" si="1019"/>
        <v>14</v>
      </c>
      <c r="K333" cm="1">
        <f t="array" ref="K333" xml:space="preserve"> 1 + ROW() - _xlfn.SINGLE(ROW(ChartLines.RowNum))</f>
        <v>331</v>
      </c>
    </row>
    <row r="334" spans="2:11">
      <c r="B334" t="s">
        <v>992</v>
      </c>
      <c r="C334" t="str">
        <f xml:space="preserve"> "005073"</f>
        <v>005073</v>
      </c>
      <c r="E334">
        <f t="shared" ref="E334" si="1020" xml:space="preserve"> IF(AND(LEN(ChartLines.ID)&gt;0,"Unused"&lt;&gt;ChartLines.ID), COUNTIFS(ChartLines.ID,ChartLines.ID), "·")</f>
        <v>2</v>
      </c>
      <c r="F334">
        <f t="shared" ref="F334" si="1021"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f t="shared" ref="H334" si="1022" xml:space="preserve"> IF(LEN(ChartLines.Hex6)=6, HEX2DEC(LEFT(ChartLines.Hex6, 2)), "·")</f>
        <v>0</v>
      </c>
      <c r="I334">
        <f t="shared" ref="I334" si="1023" xml:space="preserve"> IF(LEN(ChartLines.Hex6)=6, HEX2DEC(MID(ChartLines.Hex6, 3, 2)), "·")</f>
        <v>80</v>
      </c>
      <c r="J334">
        <f t="shared" ref="J334" si="1024" xml:space="preserve"> IF(LEN(ChartLines.Hex6)=6, HEX2DEC(RIGHT(ChartLines.Hex6, 2)), "·")</f>
        <v>115</v>
      </c>
      <c r="K334" cm="1">
        <f t="array" ref="K334" xml:space="preserve"> 1 + ROW() - _xlfn.SINGLE(ROW(ChartLines.RowNum))</f>
        <v>332</v>
      </c>
    </row>
    <row r="335" spans="2:11">
      <c r="B335" t="s">
        <v>992</v>
      </c>
      <c r="C335" t="s">
        <v>1839</v>
      </c>
      <c r="E335">
        <f t="shared" ref="E335:E339" si="1025" xml:space="preserve"> IF(AND(LEN(ChartLines.ID)&gt;0,"Unused"&lt;&gt;ChartLines.ID), COUNTIFS(ChartLines.ID,ChartLines.ID), "·")</f>
        <v>2</v>
      </c>
      <c r="F335">
        <f t="shared" ref="F335:F339" si="1026"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f t="shared" ref="H335:H339" si="1027" xml:space="preserve"> IF(LEN(ChartLines.Hex6)=6, HEX2DEC(LEFT(ChartLines.Hex6, 2)), "·")</f>
        <v>255</v>
      </c>
      <c r="I335">
        <f t="shared" ref="I335:I339" si="1028" xml:space="preserve"> IF(LEN(ChartLines.Hex6)=6, HEX2DEC(MID(ChartLines.Hex6, 3, 2)), "·")</f>
        <v>255</v>
      </c>
      <c r="J335">
        <f t="shared" ref="J335:J339" si="1029" xml:space="preserve"> IF(LEN(ChartLines.Hex6)=6, HEX2DEC(RIGHT(ChartLines.Hex6, 2)), "·")</f>
        <v>255</v>
      </c>
      <c r="K335" cm="1">
        <f t="array" ref="K335" xml:space="preserve"> 1 + ROW() - _xlfn.SINGLE(ROW(ChartLines.RowNum))</f>
        <v>333</v>
      </c>
    </row>
    <row r="336" spans="2:11">
      <c r="B336" t="s">
        <v>2032</v>
      </c>
      <c r="C336" t="s">
        <v>2035</v>
      </c>
      <c r="E336">
        <f t="shared" si="1025"/>
        <v>2</v>
      </c>
      <c r="F336">
        <f t="shared" si="1026"/>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f t="shared" si="1027"/>
        <v>43</v>
      </c>
      <c r="I336">
        <f t="shared" si="1028"/>
        <v>206</v>
      </c>
      <c r="J336">
        <f t="shared" si="1029"/>
        <v>117</v>
      </c>
      <c r="K336" cm="1">
        <f t="array" ref="K336" xml:space="preserve"> 1 + ROW() - _xlfn.SINGLE(ROW(ChartLines.RowNum))</f>
        <v>334</v>
      </c>
    </row>
    <row r="337" spans="2:11">
      <c r="B337" t="s">
        <v>2032</v>
      </c>
      <c r="C337" t="s">
        <v>2036</v>
      </c>
      <c r="E337">
        <f t="shared" si="1025"/>
        <v>2</v>
      </c>
      <c r="F337">
        <f t="shared" si="1026"/>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f t="shared" si="1027"/>
        <v>0</v>
      </c>
      <c r="I337">
        <f t="shared" si="1028"/>
        <v>70</v>
      </c>
      <c r="J337">
        <f t="shared" si="1029"/>
        <v>194</v>
      </c>
      <c r="K337" cm="1">
        <f t="array" ref="K337" xml:space="preserve"> 1 + ROW() - _xlfn.SINGLE(ROW(ChartLines.RowNum))</f>
        <v>335</v>
      </c>
    </row>
    <row r="338" spans="2:11">
      <c r="B338" t="s">
        <v>2037</v>
      </c>
      <c r="C338" t="s">
        <v>2040</v>
      </c>
      <c r="E338">
        <f t="shared" si="1025"/>
        <v>2</v>
      </c>
      <c r="F338">
        <f t="shared" si="1026"/>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f t="shared" si="1027"/>
        <v>239</v>
      </c>
      <c r="I338">
        <f t="shared" si="1028"/>
        <v>190</v>
      </c>
      <c r="J338">
        <f t="shared" si="1029"/>
        <v>32</v>
      </c>
      <c r="K338" cm="1">
        <f t="array" ref="K338" xml:space="preserve"> 1 + ROW() - _xlfn.SINGLE(ROW(ChartLines.RowNum))</f>
        <v>336</v>
      </c>
    </row>
    <row r="339" spans="2:11">
      <c r="B339" t="s">
        <v>2037</v>
      </c>
      <c r="C339" t="s">
        <v>2041</v>
      </c>
      <c r="E339">
        <f t="shared" si="1025"/>
        <v>2</v>
      </c>
      <c r="F339">
        <f t="shared" si="1026"/>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f t="shared" si="1027"/>
        <v>11</v>
      </c>
      <c r="I339">
        <f t="shared" si="1028"/>
        <v>92</v>
      </c>
      <c r="J339">
        <f t="shared" si="1029"/>
        <v>174</v>
      </c>
      <c r="K339" cm="1">
        <f t="array" ref="K339" xml:space="preserve"> 1 + ROW() - _xlfn.SINGLE(ROW(ChartLines.RowNum))</f>
        <v>337</v>
      </c>
    </row>
    <row r="340" spans="2:11">
      <c r="B340" t="s">
        <v>1050</v>
      </c>
      <c r="C340" t="str">
        <f xml:space="preserve"> "056839"</f>
        <v>056839</v>
      </c>
      <c r="E340">
        <f t="shared" ref="E340" si="1030" xml:space="preserve"> IF(AND(LEN(ChartLines.ID)&gt;0,"Unused"&lt;&gt;ChartLines.ID), COUNTIFS(ChartLines.ID,ChartLines.ID), "·")</f>
        <v>2</v>
      </c>
      <c r="F340">
        <f t="shared" ref="F340" si="1031" xml:space="preserve"> IF(AND(LEN(ChartLines.ID)&gt;0,"Unused"&lt;&gt;ChartLines.ID), COUNTIFS(ChartLines.ID,ChartLines.ID,   ChartLines.RowNum,"&lt;="&amp;ChartLines.RowNum), "·")</f>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f t="shared" ref="H340" si="1032" xml:space="preserve"> IF(LEN(ChartLines.Hex6)=6, HEX2DEC(LEFT(ChartLines.Hex6, 2)), "·")</f>
        <v>5</v>
      </c>
      <c r="I340">
        <f t="shared" ref="I340" si="1033" xml:space="preserve"> IF(LEN(ChartLines.Hex6)=6, HEX2DEC(MID(ChartLines.Hex6, 3, 2)), "·")</f>
        <v>104</v>
      </c>
      <c r="J340">
        <f t="shared" ref="J340" si="1034" xml:space="preserve"> IF(LEN(ChartLines.Hex6)=6, HEX2DEC(RIGHT(ChartLines.Hex6, 2)), "·")</f>
        <v>57</v>
      </c>
      <c r="K340" cm="1">
        <f t="array" ref="K340" xml:space="preserve"> 1 + ROW() - _xlfn.SINGLE(ROW(ChartLines.RowNum))</f>
        <v>338</v>
      </c>
    </row>
    <row r="341" spans="2:11">
      <c r="B341" t="s">
        <v>1050</v>
      </c>
      <c r="C341" t="s">
        <v>1945</v>
      </c>
      <c r="E341">
        <f t="shared" ref="E341" si="1035" xml:space="preserve"> IF(AND(LEN(ChartLines.ID)&gt;0,"Unused"&lt;&gt;ChartLines.ID), COUNTIFS(ChartLines.ID,ChartLines.ID), "·")</f>
        <v>2</v>
      </c>
      <c r="F341">
        <f t="shared" ref="F341" si="1036" xml:space="preserve"> IF(AND(LEN(ChartLines.ID)&gt;0,"Unused"&lt;&gt;ChartLines.ID), COUNTIFS(ChartLines.ID,ChartLines.ID,   ChartLines.RowNum,"&lt;="&amp;ChartLines.RowNum), "·")</f>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f t="shared" ref="H341" si="1037" xml:space="preserve"> IF(LEN(ChartLines.Hex6)=6, HEX2DEC(LEFT(ChartLines.Hex6, 2)), "·")</f>
        <v>190</v>
      </c>
      <c r="I341">
        <f t="shared" ref="I341" si="1038" xml:space="preserve"> IF(LEN(ChartLines.Hex6)=6, HEX2DEC(MID(ChartLines.Hex6, 3, 2)), "·")</f>
        <v>214</v>
      </c>
      <c r="J341">
        <f t="shared" ref="J341" si="1039" xml:space="preserve"> IF(LEN(ChartLines.Hex6)=6, HEX2DEC(RIGHT(ChartLines.Hex6, 2)), "·")</f>
        <v>47</v>
      </c>
      <c r="K341" cm="1">
        <f t="array" ref="K341" xml:space="preserve"> 1 + ROW() - _xlfn.SINGLE(ROW(ChartLines.RowNum))</f>
        <v>339</v>
      </c>
    </row>
    <row r="342" spans="2:11">
      <c r="B342" t="s">
        <v>1946</v>
      </c>
      <c r="C342" t="str">
        <f xml:space="preserve"> "000000"</f>
        <v>000000</v>
      </c>
      <c r="E342">
        <f t="shared" ref="E342" si="1040" xml:space="preserve"> IF(AND(LEN(ChartLines.ID)&gt;0,"Unused"&lt;&gt;ChartLines.ID), COUNTIFS(ChartLines.ID,ChartLines.ID), "·")</f>
        <v>2</v>
      </c>
      <c r="F342">
        <f t="shared" ref="F342" si="1041"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f t="shared" ref="H342" si="1042" xml:space="preserve"> IF(LEN(ChartLines.Hex6)=6, HEX2DEC(LEFT(ChartLines.Hex6, 2)), "·")</f>
        <v>0</v>
      </c>
      <c r="I342">
        <f t="shared" ref="I342" si="1043" xml:space="preserve"> IF(LEN(ChartLines.Hex6)=6, HEX2DEC(MID(ChartLines.Hex6, 3, 2)), "·")</f>
        <v>0</v>
      </c>
      <c r="J342">
        <f t="shared" ref="J342" si="1044" xml:space="preserve"> IF(LEN(ChartLines.Hex6)=6, HEX2DEC(RIGHT(ChartLines.Hex6, 2)), "·")</f>
        <v>0</v>
      </c>
      <c r="K342" cm="1">
        <f t="array" ref="K342" xml:space="preserve"> 1 + ROW() - _xlfn.SINGLE(ROW(ChartLines.RowNum))</f>
        <v>340</v>
      </c>
    </row>
    <row r="343" spans="2:11">
      <c r="B343" t="s">
        <v>1946</v>
      </c>
      <c r="C343" t="s">
        <v>1839</v>
      </c>
      <c r="E343">
        <f t="shared" ref="E343" si="1045" xml:space="preserve"> IF(AND(LEN(ChartLines.ID)&gt;0,"Unused"&lt;&gt;ChartLines.ID), COUNTIFS(ChartLines.ID,ChartLines.ID), "·")</f>
        <v>2</v>
      </c>
      <c r="F343">
        <f t="shared" ref="F343" si="1046"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f t="shared" ref="H343" si="1047" xml:space="preserve"> IF(LEN(ChartLines.Hex6)=6, HEX2DEC(LEFT(ChartLines.Hex6, 2)), "·")</f>
        <v>255</v>
      </c>
      <c r="I343">
        <f t="shared" ref="I343" si="1048" xml:space="preserve"> IF(LEN(ChartLines.Hex6)=6, HEX2DEC(MID(ChartLines.Hex6, 3, 2)), "·")</f>
        <v>255</v>
      </c>
      <c r="J343">
        <f t="shared" ref="J343" si="1049" xml:space="preserve"> IF(LEN(ChartLines.Hex6)=6, HEX2DEC(RIGHT(ChartLines.Hex6, 2)), "·")</f>
        <v>255</v>
      </c>
      <c r="K343" cm="1">
        <f t="array" ref="K343" xml:space="preserve"> 1 + ROW() - _xlfn.SINGLE(ROW(ChartLines.RowNum))</f>
        <v>341</v>
      </c>
    </row>
    <row r="344" spans="2:11">
      <c r="B344" t="s">
        <v>1947</v>
      </c>
      <c r="C344" t="s">
        <v>1948</v>
      </c>
      <c r="E344">
        <f t="shared" ref="E344" si="1050" xml:space="preserve"> IF(AND(LEN(ChartLines.ID)&gt;0,"Unused"&lt;&gt;ChartLines.ID), COUNTIFS(ChartLines.ID,ChartLines.ID), "·")</f>
        <v>1</v>
      </c>
      <c r="F344">
        <f t="shared" ref="F344" si="1051" xml:space="preserve"> IF(AND(LEN(ChartLines.ID)&gt;0,"Unused"&lt;&gt;ChartLines.ID), COUNTIFS(ChartLines.ID,ChartLines.ID,   ChartLines.RowNum,"&lt;="&amp;ChartLines.RowNum), "·")</f>
        <v>1</v>
      </c>
      <c r="G344" t="str" cm="1">
        <f t="array" ref="G344" xml:space="preserve"> _xlfn.IFS(OR(LEN(_xlfn.SINGLE(ChartLines.ID))=0,"Unused"=_xlfn.SINGLE(ChartLines.ID)), "·",   1=_xlfn.SINGLE(ChartLines.NumInstances), IF("USD"=_xlfn.SINGLE(ChartLines.ID), "SoleBig", "SoleOrdinary"),   1=_xlfn.SINGLE(ChartLines.InstanceNum), "Outer",   TRUE, "Inner")</f>
        <v>SoleOrdinary</v>
      </c>
      <c r="H344">
        <f t="shared" ref="H344" si="1052" xml:space="preserve"> IF(LEN(ChartLines.Hex6)=6, HEX2DEC(LEFT(ChartLines.Hex6, 2)), "·")</f>
        <v>0</v>
      </c>
      <c r="I344">
        <f t="shared" ref="I344" si="1053" xml:space="preserve"> IF(LEN(ChartLines.Hex6)=6, HEX2DEC(MID(ChartLines.Hex6, 3, 2)), "·")</f>
        <v>76</v>
      </c>
      <c r="J344">
        <f t="shared" ref="J344" si="1054" xml:space="preserve"> IF(LEN(ChartLines.Hex6)=6, HEX2DEC(RIGHT(ChartLines.Hex6, 2)), "·")</f>
        <v>151</v>
      </c>
      <c r="K344" cm="1">
        <f t="array" ref="K344" xml:space="preserve"> 1 + ROW() - _xlfn.SINGLE(ROW(ChartLines.RowNum))</f>
        <v>342</v>
      </c>
    </row>
    <row r="345" spans="2:11">
      <c r="B345" t="s">
        <v>1835</v>
      </c>
      <c r="E345" t="str">
        <f t="shared" ref="E345" si="1055" xml:space="preserve"> IF(AND(LEN(ChartLines.ID)&gt;0,"Unused"&lt;&gt;ChartLines.ID), COUNTIFS(ChartLines.ID,ChartLines.ID), "·")</f>
        <v>·</v>
      </c>
      <c r="F345" t="str">
        <f t="shared" ref="F345" si="1056" xml:space="preserve"> IF(AND(LEN(ChartLines.ID)&gt;0,"Unused"&lt;&gt;ChartLines.ID), COUNTIFS(ChartLines.ID,ChartLines.ID,   ChartLines.RowNum,"&lt;="&amp;ChartLines.RowNum), "·")</f>
        <v>·</v>
      </c>
      <c r="G345" t="str" cm="1">
        <f t="array" ref="G345" xml:space="preserve"> _xlfn.IFS(OR(LEN(_xlfn.SINGLE(ChartLines.ID))=0,"Unused"=_xlfn.SINGLE(ChartLines.ID)), "·",   1=_xlfn.SINGLE(ChartLines.NumInstances), IF("USD"=_xlfn.SINGLE(ChartLines.ID), "SoleBig", "SoleOrdinary"),   1=_xlfn.SINGLE(ChartLines.InstanceNum), "Outer",   TRUE, "Inner")</f>
        <v>·</v>
      </c>
      <c r="H345" t="str">
        <f t="shared" ref="H345" si="1057" xml:space="preserve"> IF(LEN(ChartLines.Hex6)=6, HEX2DEC(LEFT(ChartLines.Hex6, 2)), "·")</f>
        <v>·</v>
      </c>
      <c r="I345" t="str">
        <f t="shared" ref="I345" si="1058" xml:space="preserve"> IF(LEN(ChartLines.Hex6)=6, HEX2DEC(MID(ChartLines.Hex6, 3, 2)), "·")</f>
        <v>·</v>
      </c>
      <c r="J345" t="str">
        <f t="shared" ref="J345" si="1059" xml:space="preserve"> IF(LEN(ChartLines.Hex6)=6, HEX2DEC(RIGHT(ChartLines.Hex6, 2)), "·")</f>
        <v>·</v>
      </c>
      <c r="K345" cm="1">
        <f t="array" ref="K345" xml:space="preserve"> 1 + ROW() - _xlfn.SINGLE(ROW(ChartLines.RowNum))</f>
        <v>343</v>
      </c>
    </row>
    <row r="346" spans="2:11">
      <c r="E346" t="str">
        <f t="shared" ref="E346" si="1060" xml:space="preserve"> IF(AND(LEN(ChartLines.ID)&gt;0,"Unused"&lt;&gt;ChartLines.ID), COUNTIFS(ChartLines.ID,ChartLines.ID), "·")</f>
        <v>·</v>
      </c>
      <c r="F346" t="str">
        <f t="shared" ref="F346" si="1061" xml:space="preserve"> IF(AND(LEN(ChartLines.ID)&gt;0,"Unused"&lt;&gt;ChartLines.ID), COUNTIFS(ChartLines.ID,ChartLines.ID,   ChartLines.RowNum,"&lt;="&amp;ChartLines.RowNum), "·")</f>
        <v>·</v>
      </c>
      <c r="G346" t="str" cm="1">
        <f t="array" ref="G346" xml:space="preserve"> _xlfn.IFS(OR(LEN(_xlfn.SINGLE(ChartLines.ID))=0,"Unused"=_xlfn.SINGLE(ChartLines.ID)), "·",   1=_xlfn.SINGLE(ChartLines.NumInstances), IF("USD"=_xlfn.SINGLE(ChartLines.ID), "SoleBig", "SoleOrdinary"),   1=_xlfn.SINGLE(ChartLines.InstanceNum), "Outer",   TRUE, "Inner")</f>
        <v>·</v>
      </c>
      <c r="H346" t="str">
        <f t="shared" ref="H346" si="1062" xml:space="preserve"> IF(LEN(ChartLines.Hex6)=6, HEX2DEC(LEFT(ChartLines.Hex6, 2)), "·")</f>
        <v>·</v>
      </c>
      <c r="I346" t="str">
        <f t="shared" ref="I346" si="1063" xml:space="preserve"> IF(LEN(ChartLines.Hex6)=6, HEX2DEC(MID(ChartLines.Hex6, 3, 2)), "·")</f>
        <v>·</v>
      </c>
      <c r="J346" t="str">
        <f t="shared" ref="J346" si="1064" xml:space="preserve"> IF(LEN(ChartLines.Hex6)=6, HEX2DEC(RIGHT(ChartLines.Hex6, 2)), "·")</f>
        <v>·</v>
      </c>
      <c r="K346" cm="1">
        <f t="array" ref="K346" xml:space="preserve"> 1 + ROW() - _xlfn.SINGLE(ROW(ChartLines.RowNum))</f>
        <v>344</v>
      </c>
    </row>
    <row r="347" spans="2:11">
      <c r="B347" t="s">
        <v>1949</v>
      </c>
      <c r="C347" t="str">
        <f xml:space="preserve"> "996515"</f>
        <v>996515</v>
      </c>
      <c r="E347">
        <f t="shared" ref="E347" si="1065" xml:space="preserve"> IF(AND(LEN(ChartLines.ID)&gt;0,"Unused"&lt;&gt;ChartLines.ID), COUNTIFS(ChartLines.ID,ChartLines.ID), "·")</f>
        <v>2</v>
      </c>
      <c r="F347">
        <f t="shared" ref="F347" si="1066" xml:space="preserve"> IF(AND(LEN(ChartLines.ID)&gt;0,"Unused"&lt;&gt;ChartLines.ID), COUNTIFS(ChartLines.ID,ChartLines.ID,   ChartLines.RowNum,"&lt;="&amp;ChartLines.RowNum), "·")</f>
        <v>1</v>
      </c>
      <c r="G347" t="str" cm="1">
        <f t="array" ref="G347" xml:space="preserve"> _xlfn.IFS(OR(LEN(_xlfn.SINGLE(ChartLines.ID))=0,"Unused"=_xlfn.SINGLE(ChartLines.ID)), "·",   1=_xlfn.SINGLE(ChartLines.NumInstances), IF("USD"=_xlfn.SINGLE(ChartLines.ID), "SoleBig", "SoleOrdinary"),   1=_xlfn.SINGLE(ChartLines.InstanceNum), "Outer",   TRUE, "Inner")</f>
        <v>Outer</v>
      </c>
      <c r="H347">
        <f t="shared" ref="H347" si="1067" xml:space="preserve"> IF(LEN(ChartLines.Hex6)=6, HEX2DEC(LEFT(ChartLines.Hex6, 2)), "·")</f>
        <v>153</v>
      </c>
      <c r="I347">
        <f t="shared" ref="I347" si="1068" xml:space="preserve"> IF(LEN(ChartLines.Hex6)=6, HEX2DEC(MID(ChartLines.Hex6, 3, 2)), "·")</f>
        <v>101</v>
      </c>
      <c r="J347">
        <f t="shared" ref="J347" si="1069" xml:space="preserve"> IF(LEN(ChartLines.Hex6)=6, HEX2DEC(RIGHT(ChartLines.Hex6, 2)), "·")</f>
        <v>21</v>
      </c>
      <c r="K347" cm="1">
        <f t="array" ref="K347" xml:space="preserve"> 1 + ROW() - _xlfn.SINGLE(ROW(ChartLines.RowNum))</f>
        <v>345</v>
      </c>
    </row>
    <row r="348" spans="2:11">
      <c r="B348" t="s">
        <v>1949</v>
      </c>
      <c r="C348" t="str">
        <f xml:space="preserve"> "D4AF37"</f>
        <v>D4AF37</v>
      </c>
      <c r="E348">
        <f t="shared" ref="E348" si="1070" xml:space="preserve"> IF(AND(LEN(ChartLines.ID)&gt;0,"Unused"&lt;&gt;ChartLines.ID), COUNTIFS(ChartLines.ID,ChartLines.ID), "·")</f>
        <v>2</v>
      </c>
      <c r="F348">
        <f t="shared" ref="F348" si="1071" xml:space="preserve"> IF(AND(LEN(ChartLines.ID)&gt;0,"Unused"&lt;&gt;ChartLines.ID), COUNTIFS(ChartLines.ID,ChartLines.ID,   ChartLines.RowNum,"&lt;="&amp;ChartLines.RowNum), "·")</f>
        <v>2</v>
      </c>
      <c r="G348" t="str" cm="1">
        <f t="array" ref="G348" xml:space="preserve"> _xlfn.IFS(OR(LEN(_xlfn.SINGLE(ChartLines.ID))=0,"Unused"=_xlfn.SINGLE(ChartLines.ID)), "·",   1=_xlfn.SINGLE(ChartLines.NumInstances), IF("USD"=_xlfn.SINGLE(ChartLines.ID), "SoleBig", "SoleOrdinary"),   1=_xlfn.SINGLE(ChartLines.InstanceNum), "Outer",   TRUE, "Inner")</f>
        <v>Inner</v>
      </c>
      <c r="H348">
        <f t="shared" ref="H348" si="1072" xml:space="preserve"> IF(LEN(ChartLines.Hex6)=6, HEX2DEC(LEFT(ChartLines.Hex6, 2)), "·")</f>
        <v>212</v>
      </c>
      <c r="I348">
        <f t="shared" ref="I348" si="1073" xml:space="preserve"> IF(LEN(ChartLines.Hex6)=6, HEX2DEC(MID(ChartLines.Hex6, 3, 2)), "·")</f>
        <v>175</v>
      </c>
      <c r="J348">
        <f t="shared" ref="J348" si="1074" xml:space="preserve"> IF(LEN(ChartLines.Hex6)=6, HEX2DEC(RIGHT(ChartLines.Hex6, 2)), "·")</f>
        <v>55</v>
      </c>
      <c r="K348" cm="1">
        <f t="array" ref="K348" xml:space="preserve"> 1 + ROW() - _xlfn.SINGLE(ROW(ChartLines.RowNum))</f>
        <v>346</v>
      </c>
    </row>
    <row r="349" spans="2:11">
      <c r="B349" t="s">
        <v>1950</v>
      </c>
      <c r="C349" t="s">
        <v>1951</v>
      </c>
      <c r="E349">
        <f t="shared" ref="E349" si="1075" xml:space="preserve"> IF(AND(LEN(ChartLines.ID)&gt;0,"Unused"&lt;&gt;ChartLines.ID), COUNTIFS(ChartLines.ID,ChartLines.ID), "·")</f>
        <v>2</v>
      </c>
      <c r="F349">
        <f t="shared" ref="F349" si="1076" xml:space="preserve"> IF(AND(LEN(ChartLines.ID)&gt;0,"Unused"&lt;&gt;ChartLines.ID), COUNTIFS(ChartLines.ID,ChartLines.ID,   ChartLines.RowNum,"&lt;="&amp;ChartLines.RowNum), "·")</f>
        <v>1</v>
      </c>
      <c r="G349" t="str" cm="1">
        <f t="array" ref="G349" xml:space="preserve"> _xlfn.IFS(OR(LEN(_xlfn.SINGLE(ChartLines.ID))=0,"Unused"=_xlfn.SINGLE(ChartLines.ID)), "·",   1=_xlfn.SINGLE(ChartLines.NumInstances), IF("USD"=_xlfn.SINGLE(ChartLines.ID), "SoleBig", "SoleOrdinary"),   1=_xlfn.SINGLE(ChartLines.InstanceNum), "Outer",   TRUE, "Inner")</f>
        <v>Outer</v>
      </c>
      <c r="H349">
        <f t="shared" ref="H349" si="1077" xml:space="preserve"> IF(LEN(ChartLines.Hex6)=6, HEX2DEC(LEFT(ChartLines.Hex6, 2)), "·")</f>
        <v>92</v>
      </c>
      <c r="I349">
        <f t="shared" ref="I349" si="1078" xml:space="preserve"> IF(LEN(ChartLines.Hex6)=6, HEX2DEC(MID(ChartLines.Hex6, 3, 2)), "·")</f>
        <v>92</v>
      </c>
      <c r="J349">
        <f t="shared" ref="J349" si="1079" xml:space="preserve"> IF(LEN(ChartLines.Hex6)=6, HEX2DEC(RIGHT(ChartLines.Hex6, 2)), "·")</f>
        <v>92</v>
      </c>
      <c r="K349" cm="1">
        <f t="array" ref="K349" xml:space="preserve"> 1 + ROW() - _xlfn.SINGLE(ROW(ChartLines.RowNum))</f>
        <v>347</v>
      </c>
    </row>
    <row r="350" spans="2:11">
      <c r="B350" t="s">
        <v>1950</v>
      </c>
      <c r="C350" t="str">
        <f xml:space="preserve"> "C0C0C0"</f>
        <v>C0C0C0</v>
      </c>
      <c r="E350">
        <f t="shared" ref="E350" si="1080" xml:space="preserve"> IF(AND(LEN(ChartLines.ID)&gt;0,"Unused"&lt;&gt;ChartLines.ID), COUNTIFS(ChartLines.ID,ChartLines.ID), "·")</f>
        <v>2</v>
      </c>
      <c r="F350">
        <f t="shared" ref="F350" si="1081" xml:space="preserve"> IF(AND(LEN(ChartLines.ID)&gt;0,"Unused"&lt;&gt;ChartLines.ID), COUNTIFS(ChartLines.ID,ChartLines.ID,   ChartLines.RowNum,"&lt;="&amp;ChartLines.RowNum), "·")</f>
        <v>2</v>
      </c>
      <c r="G350" t="str" cm="1">
        <f t="array" ref="G350" xml:space="preserve"> _xlfn.IFS(OR(LEN(_xlfn.SINGLE(ChartLines.ID))=0,"Unused"=_xlfn.SINGLE(ChartLines.ID)), "·",   1=_xlfn.SINGLE(ChartLines.NumInstances), IF("USD"=_xlfn.SINGLE(ChartLines.ID), "SoleBig", "SoleOrdinary"),   1=_xlfn.SINGLE(ChartLines.InstanceNum), "Outer",   TRUE, "Inner")</f>
        <v>Inner</v>
      </c>
      <c r="H350">
        <f t="shared" ref="H350" si="1082" xml:space="preserve"> IF(LEN(ChartLines.Hex6)=6, HEX2DEC(LEFT(ChartLines.Hex6, 2)), "·")</f>
        <v>192</v>
      </c>
      <c r="I350">
        <f t="shared" ref="I350" si="1083" xml:space="preserve"> IF(LEN(ChartLines.Hex6)=6, HEX2DEC(MID(ChartLines.Hex6, 3, 2)), "·")</f>
        <v>192</v>
      </c>
      <c r="J350">
        <f t="shared" ref="J350" si="1084" xml:space="preserve"> IF(LEN(ChartLines.Hex6)=6, HEX2DEC(RIGHT(ChartLines.Hex6, 2)), "·")</f>
        <v>192</v>
      </c>
      <c r="K350" cm="1">
        <f t="array" ref="K350" xml:space="preserve"> 1 + ROW() - _xlfn.SINGLE(ROW(ChartLines.RowNum))</f>
        <v>348</v>
      </c>
    </row>
    <row r="351" spans="2:11">
      <c r="B351" t="s">
        <v>929</v>
      </c>
      <c r="C351" t="s">
        <v>1952</v>
      </c>
      <c r="E351">
        <f t="shared" ref="E351" si="1085" xml:space="preserve"> IF(AND(LEN(ChartLines.ID)&gt;0,"Unused"&lt;&gt;ChartLines.ID), COUNTIFS(ChartLines.ID,ChartLines.ID), "·")</f>
        <v>2</v>
      </c>
      <c r="F351">
        <f t="shared" ref="F351" si="1086" xml:space="preserve"> IF(AND(LEN(ChartLines.ID)&gt;0,"Unused"&lt;&gt;ChartLines.ID), COUNTIFS(ChartLines.ID,ChartLines.ID,   ChartLines.RowNum,"&lt;="&amp;ChartLines.RowNum), "·")</f>
        <v>1</v>
      </c>
      <c r="G351" t="str" cm="1">
        <f t="array" ref="G351" xml:space="preserve"> _xlfn.IFS(OR(LEN(_xlfn.SINGLE(ChartLines.ID))=0,"Unused"=_xlfn.SINGLE(ChartLines.ID)), "·",   1=_xlfn.SINGLE(ChartLines.NumInstances), IF("USD"=_xlfn.SINGLE(ChartLines.ID), "SoleBig", "SoleOrdinary"),   1=_xlfn.SINGLE(ChartLines.InstanceNum), "Outer",   TRUE, "Inner")</f>
        <v>Outer</v>
      </c>
      <c r="H351">
        <f t="shared" ref="H351" si="1087" xml:space="preserve"> IF(LEN(ChartLines.Hex6)=6, HEX2DEC(LEFT(ChartLines.Hex6, 2)), "·")</f>
        <v>217</v>
      </c>
      <c r="I351">
        <f t="shared" ref="I351" si="1088" xml:space="preserve"> IF(LEN(ChartLines.Hex6)=6, HEX2DEC(MID(ChartLines.Hex6, 3, 2)), "·")</f>
        <v>91</v>
      </c>
      <c r="J351">
        <f t="shared" ref="J351" si="1089" xml:space="preserve"> IF(LEN(ChartLines.Hex6)=6, HEX2DEC(RIGHT(ChartLines.Hex6, 2)), "·")</f>
        <v>20</v>
      </c>
      <c r="K351" cm="1">
        <f t="array" ref="K351" xml:space="preserve"> 1 + ROW() - _xlfn.SINGLE(ROW(ChartLines.RowNum))</f>
        <v>349</v>
      </c>
    </row>
    <row r="352" spans="2:11">
      <c r="B352" t="s">
        <v>929</v>
      </c>
      <c r="C352" t="s">
        <v>1953</v>
      </c>
      <c r="E352">
        <f t="shared" ref="E352:E354" si="1090" xml:space="preserve"> IF(AND(LEN(ChartLines.ID)&gt;0,"Unused"&lt;&gt;ChartLines.ID), COUNTIFS(ChartLines.ID,ChartLines.ID), "·")</f>
        <v>2</v>
      </c>
      <c r="F352">
        <f t="shared" ref="F352:F354" si="1091" xml:space="preserve"> IF(AND(LEN(ChartLines.ID)&gt;0,"Unused"&lt;&gt;ChartLines.ID), COUNTIFS(ChartLines.ID,ChartLines.ID,   ChartLines.RowNum,"&lt;="&amp;ChartLines.RowNum), "·")</f>
        <v>2</v>
      </c>
      <c r="G352" t="str" cm="1">
        <f t="array" ref="G352" xml:space="preserve"> _xlfn.IFS(OR(LEN(_xlfn.SINGLE(ChartLines.ID))=0,"Unused"=_xlfn.SINGLE(ChartLines.ID)), "·",   1=_xlfn.SINGLE(ChartLines.NumInstances), IF("USD"=_xlfn.SINGLE(ChartLines.ID), "SoleBig", "SoleOrdinary"),   1=_xlfn.SINGLE(ChartLines.InstanceNum), "Outer",   TRUE, "Inner")</f>
        <v>Inner</v>
      </c>
      <c r="H352">
        <f t="shared" ref="H352:H354" si="1092" xml:space="preserve"> IF(LEN(ChartLines.Hex6)=6, HEX2DEC(LEFT(ChartLines.Hex6, 2)), "·")</f>
        <v>199</v>
      </c>
      <c r="I352">
        <f t="shared" ref="I352:I354" si="1093" xml:space="preserve"> IF(LEN(ChartLines.Hex6)=6, HEX2DEC(MID(ChartLines.Hex6, 3, 2)), "·")</f>
        <v>199</v>
      </c>
      <c r="J352">
        <f t="shared" ref="J352:J354" si="1094" xml:space="preserve"> IF(LEN(ChartLines.Hex6)=6, HEX2DEC(RIGHT(ChartLines.Hex6, 2)), "·")</f>
        <v>199</v>
      </c>
      <c r="K352" cm="1">
        <f t="array" ref="K352" xml:space="preserve"> 1 + ROW() - _xlfn.SINGLE(ROW(ChartLines.RowNum))</f>
        <v>350</v>
      </c>
    </row>
    <row r="354" spans="2:11">
      <c r="B354" t="s">
        <v>2617</v>
      </c>
      <c r="C354" t="s">
        <v>2617</v>
      </c>
      <c r="E354">
        <f t="shared" si="1090"/>
        <v>1</v>
      </c>
      <c r="F354">
        <f t="shared" si="1091"/>
        <v>1</v>
      </c>
      <c r="G354" t="str" cm="1">
        <f t="array" ref="G354" xml:space="preserve"> _xlfn.IFS(OR(LEN(_xlfn.SINGLE(ChartLines.ID))=0,"Unused"=_xlfn.SINGLE(ChartLines.ID)), "·",   1=_xlfn.SINGLE(ChartLines.NumInstances), IF("USD"=_xlfn.SINGLE(ChartLines.ID), "SoleBig", "SoleOrdinary"),   1=_xlfn.SINGLE(ChartLines.InstanceNum), "Outer",   TRUE, "Inner")</f>
        <v>SoleOrdinary</v>
      </c>
      <c r="H354" t="str">
        <f t="shared" si="1092"/>
        <v>·</v>
      </c>
      <c r="I354" t="str">
        <f t="shared" si="1093"/>
        <v>·</v>
      </c>
      <c r="J354" t="str">
        <f t="shared" si="1094"/>
        <v>·</v>
      </c>
      <c r="K354" cm="1">
        <f t="array" ref="K354" xml:space="preserve"> 1 + ROW() - _xlfn.SINGLE(ROW(ChartLines.RowNum))</f>
        <v>352</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77"/>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customWidth="1"/>
    <col min="4" max="4" width="80.83203125" style="5" customWidth="1"/>
    <col min="5" max="5" width="40.83203125" style="5" customWidth="1"/>
  </cols>
  <sheetData>
    <row r="5" spans="2:5" ht="17" thickBot="1">
      <c r="B5" s="35" t="s">
        <v>2446</v>
      </c>
      <c r="C5" s="3" t="s">
        <v>2447</v>
      </c>
      <c r="D5" s="35" t="s">
        <v>2448</v>
      </c>
      <c r="E5" s="35" t="s">
        <v>2449</v>
      </c>
    </row>
    <row r="7" spans="2:5">
      <c r="B7" s="5" t="s">
        <v>2</v>
      </c>
      <c r="C7" t="s">
        <v>2640</v>
      </c>
      <c r="E7" s="5" t="s">
        <v>2641</v>
      </c>
    </row>
    <row r="8" spans="2:5">
      <c r="B8" s="5" t="s">
        <v>2648</v>
      </c>
      <c r="C8" t="s">
        <v>2662</v>
      </c>
      <c r="D8" s="5" t="s">
        <v>2664</v>
      </c>
    </row>
    <row r="9" spans="2:5">
      <c r="B9" s="5" t="s">
        <v>2651</v>
      </c>
      <c r="C9" t="s">
        <v>2663</v>
      </c>
      <c r="D9" s="5" t="s">
        <v>2665</v>
      </c>
    </row>
    <row r="10" spans="2:5">
      <c r="B10" s="5" t="s">
        <v>405</v>
      </c>
      <c r="C10" t="s">
        <v>2450</v>
      </c>
    </row>
    <row r="11" spans="2:5">
      <c r="B11" s="5" t="s">
        <v>0</v>
      </c>
      <c r="C11" t="s">
        <v>2451</v>
      </c>
      <c r="D11" s="5" t="s">
        <v>2452</v>
      </c>
    </row>
    <row r="12" spans="2:5">
      <c r="B12" s="5" t="s">
        <v>2256</v>
      </c>
      <c r="C12" t="s">
        <v>2453</v>
      </c>
    </row>
    <row r="13" spans="2:5">
      <c r="B13" s="5" t="s">
        <v>2254</v>
      </c>
      <c r="C13" t="s">
        <v>2454</v>
      </c>
    </row>
    <row r="14" spans="2:5">
      <c r="B14" s="5" t="s">
        <v>2257</v>
      </c>
      <c r="C14" t="s">
        <v>2455</v>
      </c>
    </row>
    <row r="15" spans="2:5">
      <c r="B15" s="5" t="s">
        <v>2255</v>
      </c>
      <c r="C15" t="s">
        <v>2456</v>
      </c>
    </row>
    <row r="16" spans="2:5">
      <c r="B16" s="5" t="s">
        <v>2258</v>
      </c>
      <c r="C16" t="s">
        <v>2457</v>
      </c>
      <c r="D16" s="5" t="s">
        <v>2626</v>
      </c>
    </row>
    <row r="17" spans="2:5">
      <c r="B17" s="5" t="s">
        <v>7</v>
      </c>
      <c r="C17" t="s">
        <v>2458</v>
      </c>
    </row>
    <row r="18" spans="2:5">
      <c r="B18" s="5" t="s">
        <v>1539</v>
      </c>
      <c r="C18" t="s">
        <v>2459</v>
      </c>
      <c r="D18" s="5" t="s">
        <v>2460</v>
      </c>
    </row>
    <row r="19" spans="2:5">
      <c r="B19" s="5" t="s">
        <v>2281</v>
      </c>
      <c r="C19" t="s">
        <v>2461</v>
      </c>
      <c r="D19" s="5" t="s">
        <v>2462</v>
      </c>
    </row>
    <row r="20" spans="2:5">
      <c r="B20" s="5" t="s">
        <v>1840</v>
      </c>
      <c r="C20" t="s">
        <v>2463</v>
      </c>
      <c r="D20" s="5" t="s">
        <v>2464</v>
      </c>
    </row>
    <row r="21" spans="2:5">
      <c r="B21" s="5" t="s">
        <v>2299</v>
      </c>
      <c r="C21" t="s">
        <v>2465</v>
      </c>
      <c r="D21" s="5" t="s">
        <v>2466</v>
      </c>
    </row>
    <row r="22" spans="2:5">
      <c r="B22" s="5" t="s">
        <v>1841</v>
      </c>
      <c r="C22" t="s">
        <v>2467</v>
      </c>
    </row>
    <row r="23" spans="2:5">
      <c r="B23" s="5" t="s">
        <v>122</v>
      </c>
      <c r="C23" t="s">
        <v>2468</v>
      </c>
    </row>
    <row r="24" spans="2:5">
      <c r="B24" s="5" t="s">
        <v>126</v>
      </c>
      <c r="C24" t="s">
        <v>2469</v>
      </c>
    </row>
    <row r="25" spans="2:5">
      <c r="B25" s="5" t="s">
        <v>128</v>
      </c>
      <c r="C25" t="s">
        <v>2470</v>
      </c>
    </row>
    <row r="26" spans="2:5">
      <c r="B26" s="5" t="s">
        <v>133</v>
      </c>
      <c r="C26" t="s">
        <v>2471</v>
      </c>
    </row>
    <row r="27" spans="2:5">
      <c r="B27" s="5" t="s">
        <v>1884</v>
      </c>
      <c r="C27" t="s">
        <v>2647</v>
      </c>
    </row>
    <row r="28" spans="2:5">
      <c r="B28" s="5" t="s">
        <v>203</v>
      </c>
      <c r="C28" t="s">
        <v>2472</v>
      </c>
    </row>
    <row r="29" spans="2:5">
      <c r="B29" s="5" t="s">
        <v>1886</v>
      </c>
      <c r="C29" t="s">
        <v>2630</v>
      </c>
      <c r="E29" s="5" t="s">
        <v>2631</v>
      </c>
    </row>
    <row r="30" spans="2:5">
      <c r="B30" s="5" t="s">
        <v>136</v>
      </c>
      <c r="C30" t="s">
        <v>2473</v>
      </c>
    </row>
    <row r="31" spans="2:5">
      <c r="B31" s="5" t="s">
        <v>235</v>
      </c>
      <c r="C31" t="s">
        <v>2632</v>
      </c>
      <c r="E31" s="5" t="s">
        <v>2633</v>
      </c>
    </row>
    <row r="32" spans="2:5">
      <c r="B32" s="5" t="s">
        <v>162</v>
      </c>
      <c r="C32" t="s">
        <v>2474</v>
      </c>
    </row>
    <row r="33" spans="2:3">
      <c r="B33" s="5" t="s">
        <v>163</v>
      </c>
      <c r="C33" t="s">
        <v>2475</v>
      </c>
    </row>
    <row r="34" spans="2:3">
      <c r="B34" s="5" t="s">
        <v>2379</v>
      </c>
      <c r="C34" t="s">
        <v>2476</v>
      </c>
    </row>
    <row r="35" spans="2:3">
      <c r="B35" s="5" t="s">
        <v>248</v>
      </c>
      <c r="C35" t="s">
        <v>2477</v>
      </c>
    </row>
    <row r="36" spans="2:3">
      <c r="B36" s="5" t="s">
        <v>261</v>
      </c>
      <c r="C36" t="s">
        <v>2478</v>
      </c>
    </row>
    <row r="37" spans="2:3">
      <c r="B37" s="5" t="s">
        <v>296</v>
      </c>
      <c r="C37" t="s">
        <v>2479</v>
      </c>
    </row>
    <row r="38" spans="2:3">
      <c r="B38" s="5" t="s">
        <v>135</v>
      </c>
      <c r="C38" t="s">
        <v>2480</v>
      </c>
    </row>
    <row r="39" spans="2:3">
      <c r="B39" s="5" t="s">
        <v>97</v>
      </c>
      <c r="C39" t="s">
        <v>2481</v>
      </c>
    </row>
    <row r="40" spans="2:3">
      <c r="B40" s="5" t="s">
        <v>164</v>
      </c>
      <c r="C40" t="s">
        <v>2482</v>
      </c>
    </row>
    <row r="41" spans="2:3">
      <c r="B41" s="5" t="s">
        <v>2420</v>
      </c>
      <c r="C41" t="s">
        <v>2625</v>
      </c>
    </row>
    <row r="42" spans="2:3">
      <c r="B42" s="5" t="s">
        <v>1900</v>
      </c>
      <c r="C42" t="s">
        <v>2483</v>
      </c>
    </row>
    <row r="43" spans="2:3">
      <c r="B43" s="5" t="s">
        <v>2311</v>
      </c>
      <c r="C43" t="s">
        <v>2484</v>
      </c>
    </row>
    <row r="44" spans="2:3">
      <c r="B44" s="5" t="s">
        <v>2409</v>
      </c>
      <c r="C44" t="s">
        <v>2485</v>
      </c>
    </row>
    <row r="45" spans="2:3">
      <c r="B45" s="5" t="s">
        <v>1614</v>
      </c>
      <c r="C45" t="s">
        <v>2486</v>
      </c>
    </row>
    <row r="46" spans="2:3">
      <c r="B46" s="5" t="s">
        <v>2268</v>
      </c>
      <c r="C46" t="s">
        <v>2487</v>
      </c>
    </row>
    <row r="47" spans="2:3">
      <c r="B47" s="5" t="s">
        <v>132</v>
      </c>
      <c r="C47" t="s">
        <v>2488</v>
      </c>
    </row>
    <row r="48" spans="2:3">
      <c r="B48" s="5" t="s">
        <v>1540</v>
      </c>
      <c r="C48" t="s">
        <v>2489</v>
      </c>
    </row>
    <row r="49" spans="2:5">
      <c r="B49" s="5" t="s">
        <v>326</v>
      </c>
      <c r="C49" t="s">
        <v>2490</v>
      </c>
    </row>
    <row r="50" spans="2:5">
      <c r="B50" s="5" t="s">
        <v>372</v>
      </c>
      <c r="C50" t="s">
        <v>2491</v>
      </c>
    </row>
    <row r="51" spans="2:5">
      <c r="B51" s="5" t="s">
        <v>357</v>
      </c>
      <c r="C51" t="s">
        <v>2638</v>
      </c>
    </row>
    <row r="52" spans="2:5">
      <c r="B52" s="5" t="s">
        <v>376</v>
      </c>
      <c r="C52" t="s">
        <v>2492</v>
      </c>
    </row>
    <row r="53" spans="2:5">
      <c r="B53" s="5" t="s">
        <v>393</v>
      </c>
      <c r="C53" t="s">
        <v>2493</v>
      </c>
    </row>
    <row r="54" spans="2:5">
      <c r="B54" s="5" t="s">
        <v>879</v>
      </c>
      <c r="C54" t="s">
        <v>2494</v>
      </c>
    </row>
    <row r="55" spans="2:5">
      <c r="B55" s="5" t="s">
        <v>394</v>
      </c>
      <c r="C55" t="s">
        <v>2495</v>
      </c>
    </row>
    <row r="56" spans="2:5">
      <c r="B56" s="5" t="s">
        <v>406</v>
      </c>
      <c r="C56" t="s">
        <v>2496</v>
      </c>
    </row>
    <row r="57" spans="2:5">
      <c r="B57" s="5" t="s">
        <v>1670</v>
      </c>
      <c r="C57" t="s">
        <v>2497</v>
      </c>
    </row>
    <row r="58" spans="2:5">
      <c r="B58" s="5" t="s">
        <v>165</v>
      </c>
      <c r="C58" t="s">
        <v>2498</v>
      </c>
    </row>
    <row r="59" spans="2:5">
      <c r="B59" s="5" t="s">
        <v>1912</v>
      </c>
      <c r="C59" t="s">
        <v>2499</v>
      </c>
      <c r="E59" s="5" t="s">
        <v>2500</v>
      </c>
    </row>
    <row r="60" spans="2:5">
      <c r="B60" s="5" t="s">
        <v>2414</v>
      </c>
      <c r="C60" t="s">
        <v>2501</v>
      </c>
    </row>
    <row r="61" spans="2:5">
      <c r="B61" s="5" t="s">
        <v>2415</v>
      </c>
      <c r="C61" t="s">
        <v>2502</v>
      </c>
    </row>
    <row r="62" spans="2:5">
      <c r="B62" s="5" t="s">
        <v>2154</v>
      </c>
      <c r="C62" t="s">
        <v>2503</v>
      </c>
    </row>
    <row r="63" spans="2:5">
      <c r="B63" s="5" t="s">
        <v>407</v>
      </c>
      <c r="C63" t="s">
        <v>2634</v>
      </c>
      <c r="E63" s="5" t="s">
        <v>2635</v>
      </c>
    </row>
    <row r="64" spans="2:5">
      <c r="B64" s="5" t="s">
        <v>134</v>
      </c>
      <c r="C64" t="s">
        <v>2642</v>
      </c>
    </row>
    <row r="65" spans="2:5">
      <c r="B65" s="5" t="s">
        <v>166</v>
      </c>
      <c r="C65" t="s">
        <v>2504</v>
      </c>
    </row>
    <row r="66" spans="2:5">
      <c r="B66" s="5" t="s">
        <v>459</v>
      </c>
      <c r="C66" t="s">
        <v>2505</v>
      </c>
    </row>
    <row r="67" spans="2:5">
      <c r="B67" s="5" t="s">
        <v>1978</v>
      </c>
      <c r="C67" t="s">
        <v>2506</v>
      </c>
    </row>
    <row r="68" spans="2:5">
      <c r="B68" s="5" t="s">
        <v>473</v>
      </c>
      <c r="C68" t="s">
        <v>2507</v>
      </c>
    </row>
    <row r="69" spans="2:5">
      <c r="B69" s="5" t="s">
        <v>2413</v>
      </c>
      <c r="C69" t="s">
        <v>2508</v>
      </c>
    </row>
    <row r="70" spans="2:5">
      <c r="B70" s="5" t="s">
        <v>1916</v>
      </c>
      <c r="C70" t="s">
        <v>2509</v>
      </c>
    </row>
    <row r="71" spans="2:5">
      <c r="B71" s="5" t="s">
        <v>2026</v>
      </c>
      <c r="C71" t="s">
        <v>2510</v>
      </c>
    </row>
    <row r="72" spans="2:5">
      <c r="B72" s="5" t="s">
        <v>491</v>
      </c>
      <c r="C72" t="s">
        <v>2511</v>
      </c>
    </row>
    <row r="73" spans="2:5">
      <c r="B73" s="5" t="s">
        <v>167</v>
      </c>
      <c r="C73" t="s">
        <v>2512</v>
      </c>
    </row>
    <row r="74" spans="2:5">
      <c r="B74" s="5" t="s">
        <v>2310</v>
      </c>
      <c r="C74" t="s">
        <v>2644</v>
      </c>
    </row>
    <row r="75" spans="2:5">
      <c r="B75" s="5" t="s">
        <v>2306</v>
      </c>
      <c r="C75" t="s">
        <v>2513</v>
      </c>
    </row>
    <row r="76" spans="2:5">
      <c r="B76" s="5" t="s">
        <v>1918</v>
      </c>
      <c r="C76" t="s">
        <v>2514</v>
      </c>
    </row>
    <row r="77" spans="2:5">
      <c r="B77" s="5" t="s">
        <v>137</v>
      </c>
      <c r="C77" t="s">
        <v>2515</v>
      </c>
    </row>
    <row r="78" spans="2:5">
      <c r="B78" s="5" t="s">
        <v>138</v>
      </c>
      <c r="C78" t="s">
        <v>2516</v>
      </c>
    </row>
    <row r="79" spans="2:5">
      <c r="B79" s="5" t="s">
        <v>1624</v>
      </c>
      <c r="C79" t="s">
        <v>2517</v>
      </c>
      <c r="E79" s="5" t="s">
        <v>2643</v>
      </c>
    </row>
    <row r="80" spans="2:5">
      <c r="B80" s="5" t="s">
        <v>492</v>
      </c>
      <c r="C80" t="s">
        <v>2518</v>
      </c>
    </row>
    <row r="81" spans="2:5">
      <c r="B81" s="5" t="s">
        <v>900</v>
      </c>
      <c r="C81" t="s">
        <v>2519</v>
      </c>
    </row>
    <row r="82" spans="2:5">
      <c r="B82" s="5" t="s">
        <v>510</v>
      </c>
      <c r="C82" t="s">
        <v>2628</v>
      </c>
      <c r="E82" s="5" t="s">
        <v>2629</v>
      </c>
    </row>
    <row r="83" spans="2:5">
      <c r="B83" s="5" t="s">
        <v>433</v>
      </c>
      <c r="C83" t="s">
        <v>2520</v>
      </c>
    </row>
    <row r="84" spans="2:5">
      <c r="B84" s="5" t="s">
        <v>168</v>
      </c>
      <c r="C84" t="s">
        <v>2521</v>
      </c>
    </row>
    <row r="85" spans="2:5">
      <c r="B85" s="5" t="s">
        <v>1617</v>
      </c>
      <c r="C85" t="s">
        <v>2522</v>
      </c>
    </row>
    <row r="86" spans="2:5">
      <c r="B86" s="5" t="s">
        <v>2005</v>
      </c>
      <c r="C86" t="s">
        <v>2523</v>
      </c>
    </row>
    <row r="87" spans="2:5">
      <c r="B87" s="5" t="s">
        <v>1627</v>
      </c>
      <c r="C87" t="s">
        <v>2524</v>
      </c>
    </row>
    <row r="88" spans="2:5">
      <c r="B88" s="5" t="s">
        <v>1623</v>
      </c>
      <c r="C88" t="s">
        <v>2525</v>
      </c>
    </row>
    <row r="89" spans="2:5">
      <c r="B89" s="5" t="s">
        <v>1637</v>
      </c>
      <c r="C89" t="s">
        <v>2526</v>
      </c>
    </row>
    <row r="90" spans="2:5">
      <c r="B90" s="5" t="s">
        <v>1620</v>
      </c>
      <c r="C90" t="s">
        <v>2527</v>
      </c>
    </row>
    <row r="91" spans="2:5">
      <c r="B91" s="5" t="s">
        <v>1959</v>
      </c>
      <c r="C91" t="s">
        <v>2528</v>
      </c>
    </row>
    <row r="92" spans="2:5">
      <c r="B92" s="5" t="s">
        <v>139</v>
      </c>
      <c r="C92" t="s">
        <v>2529</v>
      </c>
    </row>
    <row r="93" spans="2:5">
      <c r="B93" s="5" t="s">
        <v>99</v>
      </c>
      <c r="C93" t="s">
        <v>2530</v>
      </c>
    </row>
    <row r="94" spans="2:5">
      <c r="B94" s="5" t="s">
        <v>98</v>
      </c>
      <c r="C94" t="s">
        <v>2531</v>
      </c>
    </row>
    <row r="95" spans="2:5">
      <c r="B95" s="5" t="s">
        <v>2418</v>
      </c>
      <c r="C95" t="s">
        <v>2532</v>
      </c>
    </row>
    <row r="96" spans="2:5">
      <c r="B96" s="5" t="s">
        <v>2151</v>
      </c>
      <c r="C96" t="s">
        <v>2533</v>
      </c>
    </row>
    <row r="97" spans="2:5">
      <c r="B97" s="5" t="s">
        <v>526</v>
      </c>
      <c r="C97" t="s">
        <v>2534</v>
      </c>
    </row>
    <row r="98" spans="2:5">
      <c r="B98" s="5" t="s">
        <v>528</v>
      </c>
      <c r="C98" t="s">
        <v>2535</v>
      </c>
    </row>
    <row r="99" spans="2:5">
      <c r="B99" s="5" t="s">
        <v>140</v>
      </c>
      <c r="C99" t="s">
        <v>2536</v>
      </c>
      <c r="E99" s="5" t="s">
        <v>2537</v>
      </c>
    </row>
    <row r="100" spans="2:5">
      <c r="B100" s="5" t="s">
        <v>100</v>
      </c>
      <c r="C100" t="s">
        <v>2538</v>
      </c>
    </row>
    <row r="101" spans="2:5">
      <c r="B101" s="5" t="s">
        <v>101</v>
      </c>
      <c r="C101" t="s">
        <v>2539</v>
      </c>
    </row>
    <row r="102" spans="2:5">
      <c r="B102" s="5" t="s">
        <v>544</v>
      </c>
      <c r="C102" t="s">
        <v>2540</v>
      </c>
    </row>
    <row r="103" spans="2:5">
      <c r="B103" s="5" t="s">
        <v>102</v>
      </c>
      <c r="C103" t="s">
        <v>2541</v>
      </c>
    </row>
    <row r="104" spans="2:5">
      <c r="B104" s="5" t="s">
        <v>1936</v>
      </c>
      <c r="C104" t="s">
        <v>2542</v>
      </c>
    </row>
    <row r="105" spans="2:5">
      <c r="B105" s="5" t="s">
        <v>560</v>
      </c>
      <c r="C105" t="s">
        <v>2543</v>
      </c>
    </row>
    <row r="106" spans="2:5">
      <c r="B106" s="5" t="s">
        <v>563</v>
      </c>
      <c r="C106" t="s">
        <v>2544</v>
      </c>
    </row>
    <row r="107" spans="2:5">
      <c r="B107" s="5" t="s">
        <v>2314</v>
      </c>
      <c r="C107" t="s">
        <v>2545</v>
      </c>
    </row>
    <row r="108" spans="2:5">
      <c r="B108" s="5" t="s">
        <v>2309</v>
      </c>
      <c r="C108" t="s">
        <v>2546</v>
      </c>
    </row>
    <row r="109" spans="2:5">
      <c r="B109" s="5" t="s">
        <v>169</v>
      </c>
      <c r="C109" t="s">
        <v>2547</v>
      </c>
    </row>
    <row r="110" spans="2:5">
      <c r="B110" s="5" t="s">
        <v>2357</v>
      </c>
      <c r="C110" t="s">
        <v>2548</v>
      </c>
    </row>
    <row r="111" spans="2:5">
      <c r="B111" s="5" t="s">
        <v>2377</v>
      </c>
      <c r="C111" t="s">
        <v>2549</v>
      </c>
    </row>
    <row r="112" spans="2:5">
      <c r="B112" s="5" t="s">
        <v>1707</v>
      </c>
      <c r="C112" t="s">
        <v>2550</v>
      </c>
      <c r="E112" s="5" t="s">
        <v>2537</v>
      </c>
    </row>
    <row r="113" spans="2:4">
      <c r="B113" s="5" t="s">
        <v>578</v>
      </c>
      <c r="C113" t="s">
        <v>2551</v>
      </c>
    </row>
    <row r="114" spans="2:4">
      <c r="B114" s="5" t="s">
        <v>579</v>
      </c>
      <c r="C114" t="s">
        <v>2552</v>
      </c>
    </row>
    <row r="115" spans="2:4">
      <c r="B115" s="5" t="s">
        <v>580</v>
      </c>
      <c r="C115" t="s">
        <v>2553</v>
      </c>
    </row>
    <row r="116" spans="2:4">
      <c r="B116" s="5" t="s">
        <v>1776</v>
      </c>
      <c r="C116" t="s">
        <v>2554</v>
      </c>
    </row>
    <row r="117" spans="2:4">
      <c r="B117" s="5" t="s">
        <v>794</v>
      </c>
      <c r="C117" t="s">
        <v>2555</v>
      </c>
      <c r="D117" s="5" t="s">
        <v>2668</v>
      </c>
    </row>
    <row r="118" spans="2:4">
      <c r="B118" s="5" t="s">
        <v>2652</v>
      </c>
      <c r="C118" t="str">
        <f xml:space="preserve"> "Shape from `" &amp; $B$117 &amp; "` marker; with green."</f>
        <v>Shape from `EU` marker; with green.</v>
      </c>
      <c r="D118" s="5" t="s">
        <v>2666</v>
      </c>
    </row>
    <row r="119" spans="2:4">
      <c r="B119" s="5" t="s">
        <v>2653</v>
      </c>
      <c r="C119" t="str">
        <f xml:space="preserve"> "Shape from `" &amp; $B$117 &amp; "` marker; with blue and yellow from the [flag of Europe](http://en.wikipedia.org/wiki/Flag_of_Europe)."</f>
        <v>Shape from `EU` marker; with blue and yellow from the [flag of Europe](http://en.wikipedia.org/wiki/Flag_of_Europe).</v>
      </c>
      <c r="D119" s="5" t="s">
        <v>2667</v>
      </c>
    </row>
    <row r="120" spans="2:4">
      <c r="B120" s="5" t="s">
        <v>2654</v>
      </c>
      <c r="C120" t="str">
        <f xml:space="preserve"> "Shape from `" &amp; $B$117 &amp; "` marker; with blue from the [flag of Europe](http://en.wikipedia.org/wiki/Flag_of_Europe)."</f>
        <v>Shape from `EU` marker; with blue from the [flag of Europe](http://en.wikipedia.org/wiki/Flag_of_Europe).</v>
      </c>
      <c r="D120" s="5" t="s">
        <v>2669</v>
      </c>
    </row>
    <row r="121" spans="2:4">
      <c r="B121" s="5" t="s">
        <v>796</v>
      </c>
      <c r="C121" t="s">
        <v>2556</v>
      </c>
    </row>
    <row r="122" spans="2:4">
      <c r="B122" s="5" t="s">
        <v>581</v>
      </c>
      <c r="C122" t="s">
        <v>2557</v>
      </c>
      <c r="D122" s="5" t="s">
        <v>2558</v>
      </c>
    </row>
    <row r="123" spans="2:4">
      <c r="B123" s="5" t="str">
        <f xml:space="preserve"> B122&amp;"_2"</f>
        <v>DE_2</v>
      </c>
      <c r="C123" t="str">
        <f xml:space="preserve"> "Shape from `" &amp; $B122 &amp; "` marker; red replacing white."</f>
        <v>Shape from `DE` marker; red replacing white.</v>
      </c>
      <c r="D123" s="5" t="s">
        <v>2559</v>
      </c>
    </row>
    <row r="124" spans="2:4">
      <c r="B124" s="5" t="s">
        <v>598</v>
      </c>
      <c r="C124" t="s">
        <v>2560</v>
      </c>
      <c r="D124" s="5" t="s">
        <v>2561</v>
      </c>
    </row>
    <row r="125" spans="2:4">
      <c r="B125" s="5" t="str">
        <f xml:space="preserve"> B124&amp;"_2"</f>
        <v>FR_2</v>
      </c>
      <c r="C125" t="str">
        <f xml:space="preserve"> "Shape from `" &amp; $B124 &amp; "` marker; colours re-ordereed and black replacing white."</f>
        <v>Shape from `FR` marker; colours re-ordereed and black replacing white.</v>
      </c>
      <c r="D125" s="5" t="s">
        <v>2624</v>
      </c>
    </row>
    <row r="126" spans="2:4">
      <c r="B126" s="5" t="s">
        <v>635</v>
      </c>
      <c r="C126" t="s">
        <v>2562</v>
      </c>
      <c r="D126" s="5" t="s">
        <v>2563</v>
      </c>
    </row>
    <row r="127" spans="2:4">
      <c r="B127" s="5" t="str">
        <f xml:space="preserve"> B126&amp;"_2"</f>
        <v>IT_2</v>
      </c>
      <c r="C127" t="str">
        <f xml:space="preserve"> "Shape from `" &amp; $B126 &amp; "` marker; black replacing white."</f>
        <v>Shape from `IT` marker; black replacing white.</v>
      </c>
      <c r="D127" s="5" t="s">
        <v>2564</v>
      </c>
    </row>
    <row r="128" spans="2:4">
      <c r="B128" s="5" t="s">
        <v>170</v>
      </c>
      <c r="C128" t="s">
        <v>2565</v>
      </c>
      <c r="D128" s="5" t="s">
        <v>2639</v>
      </c>
    </row>
    <row r="129" spans="2:4">
      <c r="B129" s="5" t="str">
        <f xml:space="preserve"> B128&amp;"_2"</f>
        <v>ES_2</v>
      </c>
      <c r="C129" t="str">
        <f xml:space="preserve"> "Shape from `" &amp; $B128 &amp; "` marker; green replacing gold."</f>
        <v>Shape from `ES` marker; green replacing gold.</v>
      </c>
      <c r="D129" s="5" t="s">
        <v>2566</v>
      </c>
    </row>
    <row r="130" spans="2:4">
      <c r="B130" s="5" t="s">
        <v>636</v>
      </c>
      <c r="C130" t="s">
        <v>2567</v>
      </c>
      <c r="D130" s="5" t="s">
        <v>2568</v>
      </c>
    </row>
    <row r="131" spans="2:4">
      <c r="B131" s="5" t="str">
        <f xml:space="preserve"> B130&amp;"_2"</f>
        <v>NL_2</v>
      </c>
      <c r="C131" t="str">
        <f xml:space="preserve"> "Shape from `" &amp; $B130 &amp; "` marker; the colours switched."</f>
        <v>Shape from `NL` marker; the colours switched.</v>
      </c>
      <c r="D131" s="5" t="s">
        <v>2569</v>
      </c>
    </row>
    <row r="132" spans="2:4">
      <c r="B132" s="5" t="s">
        <v>655</v>
      </c>
      <c r="C132" t="s">
        <v>2570</v>
      </c>
      <c r="D132" s="5" t="s">
        <v>2618</v>
      </c>
    </row>
    <row r="133" spans="2:4">
      <c r="B133" s="5" t="str">
        <f xml:space="preserve"> B132&amp;"_2"</f>
        <v>BE_2</v>
      </c>
      <c r="C133" t="str">
        <f xml:space="preserve"> "Shape from `" &amp; $B132 &amp; "` marker; the colours switched."</f>
        <v>Shape from `BE` marker; the colours switched.</v>
      </c>
      <c r="D133" s="5" t="s">
        <v>2571</v>
      </c>
    </row>
    <row r="134" spans="2:4">
      <c r="B134" s="5" t="s">
        <v>656</v>
      </c>
      <c r="C134" t="s">
        <v>2572</v>
      </c>
      <c r="D134" s="5" t="s">
        <v>2573</v>
      </c>
    </row>
    <row r="135" spans="2:4">
      <c r="B135" s="5" t="str">
        <f xml:space="preserve"> B134&amp;"_2"</f>
        <v>AT_2</v>
      </c>
      <c r="C135" t="str">
        <f xml:space="preserve"> "Shape from `" &amp; $B134 &amp; "` marker; black replacing white."</f>
        <v>Shape from `AT` marker; black replacing white.</v>
      </c>
      <c r="D135" s="5" t="s">
        <v>2574</v>
      </c>
    </row>
    <row r="136" spans="2:4">
      <c r="B136" s="5" t="s">
        <v>103</v>
      </c>
      <c r="C136" t="s">
        <v>2575</v>
      </c>
      <c r="D136" s="5" t="s">
        <v>2576</v>
      </c>
    </row>
    <row r="137" spans="2:4">
      <c r="B137" s="5" t="str">
        <f xml:space="preserve"> B136&amp;"_2"</f>
        <v>PT_2</v>
      </c>
      <c r="C137" t="str">
        <f xml:space="preserve"> "Shape from `" &amp; $B136 &amp; "` marker; bright green replacing dark green."</f>
        <v>Shape from `PT` marker; bright green replacing dark green.</v>
      </c>
      <c r="D137" s="5" t="s">
        <v>2577</v>
      </c>
    </row>
    <row r="138" spans="2:4">
      <c r="B138" s="5" t="s">
        <v>171</v>
      </c>
      <c r="C138" t="s">
        <v>2578</v>
      </c>
      <c r="D138" s="5" t="s">
        <v>2579</v>
      </c>
    </row>
    <row r="139" spans="2:4">
      <c r="B139" s="5" t="str">
        <f xml:space="preserve"> B138&amp;"_2"</f>
        <v>GR_2</v>
      </c>
      <c r="C139" t="str">
        <f xml:space="preserve"> "Shape from `" &amp; $B138 &amp; "` marker; green replacing white."</f>
        <v>Shape from `GR` marker; green replacing white.</v>
      </c>
      <c r="D139" s="5" t="s">
        <v>2580</v>
      </c>
    </row>
    <row r="140" spans="2:4">
      <c r="B140" s="5" t="s">
        <v>675</v>
      </c>
      <c r="C140" t="s">
        <v>2627</v>
      </c>
      <c r="D140" s="5" t="s">
        <v>2581</v>
      </c>
    </row>
    <row r="141" spans="2:4">
      <c r="B141" s="5" t="str">
        <f xml:space="preserve"> B140&amp;"_2"</f>
        <v>IE_2</v>
      </c>
      <c r="C141" t="str">
        <f xml:space="preserve"> "Shape from `" &amp; $B140 &amp; "` marker; the colours switched."</f>
        <v>Shape from `IE` marker; the colours switched.</v>
      </c>
      <c r="D141" s="5" t="s">
        <v>2582</v>
      </c>
    </row>
    <row r="142" spans="2:4">
      <c r="B142" s="5" t="s">
        <v>657</v>
      </c>
      <c r="C142" t="s">
        <v>2583</v>
      </c>
      <c r="D142" s="5" t="s">
        <v>2584</v>
      </c>
    </row>
    <row r="143" spans="2:4">
      <c r="B143" s="5" t="str">
        <f xml:space="preserve"> B142&amp;"_2"</f>
        <v>FI_2</v>
      </c>
      <c r="C143" t="str">
        <f xml:space="preserve"> "Shape from `" &amp; $B142 &amp; "` marker; green replacing white."</f>
        <v>Shape from `FI` marker; green replacing white.</v>
      </c>
      <c r="D143" s="5" t="s">
        <v>2585</v>
      </c>
    </row>
    <row r="144" spans="2:4">
      <c r="B144" s="5" t="s">
        <v>358</v>
      </c>
      <c r="C144" t="s">
        <v>2586</v>
      </c>
      <c r="D144" s="5" t="s">
        <v>2587</v>
      </c>
    </row>
    <row r="145" spans="2:5">
      <c r="B145" s="5" t="str">
        <f xml:space="preserve"> B144&amp;"_2"</f>
        <v>SK_2</v>
      </c>
      <c r="C145" t="str">
        <f xml:space="preserve"> "Shape from `" &amp; $B144 &amp; "` marker; the colours switched."</f>
        <v>Shape from `SK` marker; the colours switched.</v>
      </c>
      <c r="D145" s="5" t="s">
        <v>2588</v>
      </c>
    </row>
    <row r="146" spans="2:5">
      <c r="B146" s="5" t="s">
        <v>1666</v>
      </c>
      <c r="C146" t="s">
        <v>2589</v>
      </c>
    </row>
    <row r="147" spans="2:5">
      <c r="B147" s="5" t="s">
        <v>359</v>
      </c>
      <c r="C147" t="s">
        <v>2590</v>
      </c>
    </row>
    <row r="148" spans="2:5">
      <c r="B148" s="5" t="s">
        <v>614</v>
      </c>
      <c r="C148" t="s">
        <v>2591</v>
      </c>
      <c r="E148" s="5" t="s">
        <v>2592</v>
      </c>
    </row>
    <row r="149" spans="2:5">
      <c r="B149" s="5" t="s">
        <v>676</v>
      </c>
      <c r="C149" t="s">
        <v>2593</v>
      </c>
    </row>
    <row r="150" spans="2:5">
      <c r="B150" s="5" t="s">
        <v>104</v>
      </c>
      <c r="C150" t="s">
        <v>2594</v>
      </c>
      <c r="E150" s="5" t="s">
        <v>2636</v>
      </c>
    </row>
    <row r="151" spans="2:5">
      <c r="B151" s="5" t="s">
        <v>105</v>
      </c>
      <c r="C151" t="s">
        <v>2595</v>
      </c>
    </row>
    <row r="152" spans="2:5">
      <c r="B152" s="5" t="s">
        <v>694</v>
      </c>
      <c r="C152" t="s">
        <v>2596</v>
      </c>
    </row>
    <row r="153" spans="2:5">
      <c r="B153" s="5" t="s">
        <v>714</v>
      </c>
      <c r="C153" t="s">
        <v>2597</v>
      </c>
    </row>
    <row r="154" spans="2:5">
      <c r="B154" s="5" t="s">
        <v>1704</v>
      </c>
      <c r="C154" t="s">
        <v>2598</v>
      </c>
      <c r="E154" s="5" t="s">
        <v>2599</v>
      </c>
    </row>
    <row r="155" spans="2:5">
      <c r="B155" s="5" t="s">
        <v>715</v>
      </c>
      <c r="C155" t="s">
        <v>2600</v>
      </c>
    </row>
    <row r="156" spans="2:5">
      <c r="B156" s="5" t="s">
        <v>795</v>
      </c>
      <c r="C156" t="s">
        <v>2601</v>
      </c>
    </row>
    <row r="157" spans="2:5">
      <c r="B157" s="5" t="s">
        <v>2131</v>
      </c>
      <c r="C157" t="s">
        <v>2637</v>
      </c>
    </row>
    <row r="158" spans="2:5">
      <c r="B158" s="5" t="s">
        <v>172</v>
      </c>
      <c r="C158" t="s">
        <v>2646</v>
      </c>
    </row>
    <row r="159" spans="2:5">
      <c r="B159" s="5" t="s">
        <v>971</v>
      </c>
      <c r="C159" t="s">
        <v>2602</v>
      </c>
    </row>
    <row r="160" spans="2:5">
      <c r="B160" s="5" t="s">
        <v>2246</v>
      </c>
      <c r="C160" t="s">
        <v>2603</v>
      </c>
    </row>
    <row r="161" spans="2:5">
      <c r="B161" s="5" t="s">
        <v>1941</v>
      </c>
      <c r="C161" t="s">
        <v>2604</v>
      </c>
    </row>
    <row r="162" spans="2:5">
      <c r="B162" s="5" t="s">
        <v>798</v>
      </c>
      <c r="C162" t="s">
        <v>2605</v>
      </c>
    </row>
    <row r="163" spans="2:5">
      <c r="B163" s="5" t="s">
        <v>2247</v>
      </c>
      <c r="C163" t="s">
        <v>2623</v>
      </c>
    </row>
    <row r="164" spans="2:5">
      <c r="B164" s="5" t="s">
        <v>173</v>
      </c>
      <c r="C164" t="s">
        <v>2606</v>
      </c>
    </row>
    <row r="165" spans="2:5">
      <c r="B165" s="5" t="s">
        <v>1943</v>
      </c>
      <c r="C165" t="s">
        <v>2607</v>
      </c>
    </row>
    <row r="166" spans="2:5">
      <c r="B166" s="5" t="s">
        <v>955</v>
      </c>
      <c r="C166" t="s">
        <v>2608</v>
      </c>
    </row>
    <row r="167" spans="2:5">
      <c r="B167" s="5" t="s">
        <v>106</v>
      </c>
      <c r="C167" t="s">
        <v>2609</v>
      </c>
    </row>
    <row r="168" spans="2:5">
      <c r="B168" s="5" t="s">
        <v>2042</v>
      </c>
      <c r="C168" t="s">
        <v>2645</v>
      </c>
    </row>
    <row r="169" spans="2:5">
      <c r="B169" s="5" t="s">
        <v>992</v>
      </c>
      <c r="C169" t="s">
        <v>2610</v>
      </c>
    </row>
    <row r="170" spans="2:5">
      <c r="B170" s="5" t="s">
        <v>2032</v>
      </c>
      <c r="C170" t="s">
        <v>2611</v>
      </c>
    </row>
    <row r="171" spans="2:5">
      <c r="B171" s="5" t="s">
        <v>2037</v>
      </c>
      <c r="C171" t="s">
        <v>2612</v>
      </c>
    </row>
    <row r="172" spans="2:5">
      <c r="B172" s="5" t="s">
        <v>1050</v>
      </c>
      <c r="C172" t="s">
        <v>2613</v>
      </c>
    </row>
    <row r="173" spans="2:5">
      <c r="B173" s="5" t="s">
        <v>1946</v>
      </c>
      <c r="C173" t="s">
        <v>2621</v>
      </c>
      <c r="E173" s="5" t="s">
        <v>2622</v>
      </c>
    </row>
    <row r="174" spans="2:5">
      <c r="B174" s="5" t="s">
        <v>1947</v>
      </c>
      <c r="C174" t="s">
        <v>2619</v>
      </c>
      <c r="D174" s="5" t="s">
        <v>2620</v>
      </c>
    </row>
    <row r="175" spans="2:5">
      <c r="B175" s="5" t="s">
        <v>1949</v>
      </c>
      <c r="C175" t="s">
        <v>2614</v>
      </c>
    </row>
    <row r="176" spans="2:5">
      <c r="B176" s="5" t="s">
        <v>1950</v>
      </c>
      <c r="C176" t="s">
        <v>2615</v>
      </c>
    </row>
    <row r="177" spans="2:3">
      <c r="B177" s="5" t="s">
        <v>929</v>
      </c>
      <c r="C177" t="s">
        <v>2616</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topLeftCell="B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1074</v>
      </c>
      <c r="S2" s="3" t="s">
        <v>1075</v>
      </c>
      <c r="T2" s="3" t="s">
        <v>1534</v>
      </c>
      <c r="W2" s="3" t="s">
        <v>2156</v>
      </c>
      <c r="AB2" s="3" t="s">
        <v>1823</v>
      </c>
      <c r="AD2" s="36" t="s">
        <v>96</v>
      </c>
    </row>
    <row r="3" spans="2:30">
      <c r="K3" cm="1">
        <f t="array" ref="K3" xml:space="preserve"> 1 + _xlfn.SINGLE(ROW()) - _xlfn.SINGLE(ROW(ExportSubstitutions.RowNum))</f>
        <v>-2</v>
      </c>
      <c r="L3" t="str">
        <f xml:space="preserve">  " -"</f>
        <v xml:space="preserve"> -</v>
      </c>
      <c r="M3" t="str">
        <f xml:space="preserve"> "-"</f>
        <v>-</v>
      </c>
      <c r="N3" t="s">
        <v>1714</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1073</v>
      </c>
      <c r="S5" s="3" t="s">
        <v>1076</v>
      </c>
      <c r="T5" s="3" t="s">
        <v>1077</v>
      </c>
      <c r="W5" s="3" t="s">
        <v>932</v>
      </c>
      <c r="X5" s="3" t="s">
        <v>2302</v>
      </c>
      <c r="Y5" s="3" t="s">
        <v>2445</v>
      </c>
      <c r="Z5" s="3" t="s">
        <v>1954</v>
      </c>
      <c r="AA5" s="3" t="s">
        <v>2155</v>
      </c>
      <c r="AB5" s="3" t="s">
        <v>934</v>
      </c>
      <c r="AC5" s="3" t="s">
        <v>935</v>
      </c>
      <c r="AD5" s="36" t="s">
        <v>933</v>
      </c>
    </row>
    <row r="6" spans="2:30">
      <c r="K6" cm="1">
        <f t="array" ref="K6" xml:space="preserve"> 1 + _xlfn.SINGLE(ROW()) - _xlfn.SINGLE(ROW(ExportSubstitutions.RowNum))</f>
        <v>1</v>
      </c>
      <c r="L6" t="s">
        <v>726</v>
      </c>
      <c r="M6" t="str">
        <f xml:space="preserve"> REPT(" ", 1)</f>
        <v xml:space="preserve"> </v>
      </c>
      <c r="N6" t="s">
        <v>1703</v>
      </c>
      <c r="R6" cm="1">
        <f t="array" ref="R6" xml:space="preserve"> 1 + _xlfn.SINGLE(ROW()) - _xlfn.SINGLE(ROW(ExportSubstitutions_Within.RowNum))</f>
        <v>1</v>
      </c>
      <c r="S6" t="s">
        <v>1078</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1059</v>
      </c>
      <c r="C7" s="32">
        <f ca="1" xml:space="preserve"> NOW()</f>
        <v>45880.953503935183</v>
      </c>
      <c r="K7" cm="1">
        <f t="array" ref="K7" xml:space="preserve"> 1 + _xlfn.SINGLE(ROW()) - _xlfn.SINGLE(ROW(ExportSubstitutions.RowNum))</f>
        <v>2</v>
      </c>
      <c r="L7" t="s">
        <v>2127</v>
      </c>
      <c r="N7" t="s">
        <v>1703</v>
      </c>
      <c r="R7" cm="1">
        <f t="array" ref="R7" xml:space="preserve"> 1 + _xlfn.SINGLE(ROW()) - _xlfn.SINGLE(ROW(ExportSubstitutions_Within.RowNum))</f>
        <v>2</v>
      </c>
      <c r="S7" t="s">
        <v>1079</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1060</v>
      </c>
      <c r="C8" s="43">
        <f ca="1" xml:space="preserve"> INT(Now)</f>
        <v>45880</v>
      </c>
      <c r="K8" cm="1">
        <f t="array" ref="K8" xml:space="preserve"> 1 + _xlfn.SINGLE(ROW()) - _xlfn.SINGLE(ROW(ExportSubstitutions.RowNum))</f>
        <v>3</v>
      </c>
      <c r="L8" t="s">
        <v>2128</v>
      </c>
      <c r="N8" t="s">
        <v>1703</v>
      </c>
      <c r="R8" cm="1">
        <f t="array" ref="R8" xml:space="preserve"> 1 + _xlfn.SINGLE(ROW()) - _xlfn.SINGLE(ROW(ExportSubstitutions_Within.RowNum))</f>
        <v>3</v>
      </c>
      <c r="S8" t="s">
        <v>1080</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1710</v>
      </c>
      <c r="M9" t="str">
        <f xml:space="preserve"> REPT(" ", 1)</f>
        <v xml:space="preserve"> </v>
      </c>
      <c r="N9" t="s">
        <v>1711</v>
      </c>
      <c r="R9" cm="1">
        <f t="array" ref="R9" xml:space="preserve"> 1 + _xlfn.SINGLE(ROW()) - _xlfn.SINGLE(ROW(ExportSubstitutions_Within.RowNum))</f>
        <v>4</v>
      </c>
      <c r="S9" t="s">
        <v>1081</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1712</v>
      </c>
      <c r="M10" t="str">
        <f xml:space="preserve"> REPT(" ", 1)</f>
        <v xml:space="preserve"> </v>
      </c>
      <c r="N10" t="s">
        <v>1711</v>
      </c>
      <c r="R10" cm="1">
        <f t="array" ref="R10" xml:space="preserve"> 1 + _xlfn.SINGLE(ROW()) - _xlfn.SINGLE(ROW(ExportSubstitutions_Within.RowNum))</f>
        <v>5</v>
      </c>
      <c r="S10" t="s">
        <v>1082</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1713</v>
      </c>
      <c r="N11" t="s">
        <v>1711</v>
      </c>
      <c r="R11" cm="1">
        <f t="array" ref="R11" xml:space="preserve"> 1 + _xlfn.SINGLE(ROW()) - _xlfn.SINGLE(ROW(ExportSubstitutions_Within.RowNum))</f>
        <v>6</v>
      </c>
      <c r="S11" t="s">
        <v>1083</v>
      </c>
      <c r="T11" t="str">
        <f t="shared" si="2"/>
        <v>5A</v>
      </c>
    </row>
    <row r="12" spans="2:30">
      <c r="B12" s="4" t="s">
        <v>2157</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1084</v>
      </c>
      <c r="T12" t="str">
        <f t="shared" si="2"/>
        <v>6A</v>
      </c>
    </row>
    <row r="13" spans="2:30">
      <c r="B13" s="4" t="s">
        <v>2159</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1085</v>
      </c>
      <c r="T13" t="str">
        <f t="shared" si="2"/>
        <v>7A</v>
      </c>
    </row>
    <row r="14" spans="2:30">
      <c r="B14" s="4" t="s">
        <v>2158</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1086</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1087</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1088</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1089</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1090</v>
      </c>
      <c r="T18" t="str">
        <f t="shared" si="2"/>
        <v>A2</v>
      </c>
    </row>
    <row r="19" spans="2:30">
      <c r="B19" s="4" t="s">
        <v>1505</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1091</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1092</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1093</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1094</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1095</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1096</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1097</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1580</v>
      </c>
      <c r="T26" t="str">
        <f t="shared" si="2"/>
        <v>A.</v>
      </c>
    </row>
    <row r="27" spans="2:30">
      <c r="B27" s="4" t="s">
        <v>188</v>
      </c>
      <c r="C27">
        <v>177</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1589</v>
      </c>
      <c r="T27" t="str">
        <f t="shared" si="2"/>
        <v>A-</v>
      </c>
    </row>
    <row r="28" spans="2:30">
      <c r="B28" s="4" t="s">
        <v>575</v>
      </c>
      <c r="C28" s="37">
        <v>122119</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1098</v>
      </c>
      <c r="T28" t="str">
        <f t="shared" si="2"/>
        <v>0a</v>
      </c>
    </row>
    <row r="29" spans="2:30">
      <c r="B29" s="4" t="s">
        <v>186</v>
      </c>
      <c r="C29" s="5" t="s">
        <v>2672</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1099</v>
      </c>
      <c r="T29" t="str">
        <f t="shared" si="2"/>
        <v>1a</v>
      </c>
    </row>
    <row r="30" spans="2:30">
      <c r="B30" s="4" t="s">
        <v>187</v>
      </c>
      <c r="C30" s="32">
        <v>45880.953125</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1100</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1101</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1102</v>
      </c>
      <c r="T32" t="str">
        <f t="shared" si="2"/>
        <v>4a</v>
      </c>
    </row>
    <row r="33" spans="2:20">
      <c r="B33" s="4" t="s">
        <v>1577</v>
      </c>
      <c r="C33" t="s">
        <v>1576</v>
      </c>
      <c r="K33" cm="1">
        <f t="array" ref="K33" xml:space="preserve"> 1 + _xlfn.SINGLE(ROW()) - _xlfn.SINGLE(ROW(ExportSubstitutions.RowNum))</f>
        <v>28</v>
      </c>
      <c r="L33" t="str">
        <f xml:space="preserve"> REPT(" ", 2)</f>
        <v xml:space="preserve">  </v>
      </c>
      <c r="M33" t="str">
        <f t="shared" ref="M33" si="7" xml:space="preserve"> REPT(" ", 1)</f>
        <v xml:space="preserve"> </v>
      </c>
      <c r="N33" t="s">
        <v>1018</v>
      </c>
      <c r="R33" cm="1">
        <f t="array" ref="R33" xml:space="preserve"> 1 + _xlfn.SINGLE(ROW()) - _xlfn.SINGLE(ROW(ExportSubstitutions_Within.RowNum))</f>
        <v>28</v>
      </c>
      <c r="S33" t="s">
        <v>1103</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1104</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1105</v>
      </c>
      <c r="T35" t="str">
        <f t="shared" si="2"/>
        <v>7a</v>
      </c>
    </row>
    <row r="36" spans="2:20">
      <c r="C36">
        <v>1</v>
      </c>
      <c r="K36" cm="1">
        <f t="array" ref="K36" xml:space="preserve"> 1 + _xlfn.SINGLE(ROW()) - _xlfn.SINGLE(ROW(ExportSubstitutions.RowNum))</f>
        <v>31</v>
      </c>
      <c r="L36" t="s">
        <v>2094</v>
      </c>
      <c r="M36" t="s">
        <v>2123</v>
      </c>
      <c r="N36" t="s">
        <v>2126</v>
      </c>
      <c r="R36" cm="1">
        <f t="array" ref="R36" xml:space="preserve"> 1 + _xlfn.SINGLE(ROW()) - _xlfn.SINGLE(ROW(ExportSubstitutions_Within.RowNum))</f>
        <v>31</v>
      </c>
      <c r="S36" t="s">
        <v>1106</v>
      </c>
      <c r="T36" t="str">
        <f t="shared" si="2"/>
        <v>8a</v>
      </c>
    </row>
    <row r="37" spans="2:20">
      <c r="B37" s="4" t="s">
        <v>1697</v>
      </c>
      <c r="C37">
        <v>10</v>
      </c>
      <c r="K37" cm="1">
        <f t="array" ref="K37" xml:space="preserve"> 1 + _xlfn.SINGLE(ROW()) - _xlfn.SINGLE(ROW(ExportSubstitutions.RowNum))</f>
        <v>32</v>
      </c>
      <c r="L37" t="s">
        <v>47</v>
      </c>
      <c r="M37" t="s">
        <v>46</v>
      </c>
      <c r="N37" t="s">
        <v>2126</v>
      </c>
      <c r="R37" cm="1">
        <f t="array" ref="R37" xml:space="preserve"> 1 + _xlfn.SINGLE(ROW()) - _xlfn.SINGLE(ROW(ExportSubstitutions_Within.RowNum))</f>
        <v>32</v>
      </c>
      <c r="S37" t="s">
        <v>1107</v>
      </c>
      <c r="T37" t="str">
        <f t="shared" si="2"/>
        <v>9a</v>
      </c>
    </row>
    <row r="38" spans="2:20">
      <c r="B38" s="4" t="s">
        <v>1696</v>
      </c>
      <c r="C38">
        <f xml:space="preserve"> Thirds_I * 2 - C$36</f>
        <v>19</v>
      </c>
      <c r="K38" cm="1">
        <f t="array" ref="K38" xml:space="preserve"> 1 + _xlfn.SINGLE(ROW()) - _xlfn.SINGLE(ROW(ExportSubstitutions.RowNum))</f>
        <v>33</v>
      </c>
      <c r="L38" t="s">
        <v>2091</v>
      </c>
      <c r="M38" t="s">
        <v>2120</v>
      </c>
      <c r="N38" t="s">
        <v>2126</v>
      </c>
      <c r="R38" cm="1">
        <f t="array" ref="R38" xml:space="preserve"> 1 + _xlfn.SINGLE(ROW()) - _xlfn.SINGLE(ROW(ExportSubstitutions_Within.RowNum))</f>
        <v>33</v>
      </c>
      <c r="S38" t="s">
        <v>1108</v>
      </c>
      <c r="T38" t="str">
        <f t="shared" si="2"/>
        <v>a0</v>
      </c>
    </row>
    <row r="39" spans="2:20">
      <c r="B39" s="4" t="s">
        <v>1695</v>
      </c>
      <c r="C39">
        <f xml:space="preserve"> 2 * Thirds_M - Thirds_I - C$36</f>
        <v>27</v>
      </c>
      <c r="K39" cm="1">
        <f t="array" ref="K39" xml:space="preserve"> 1 + _xlfn.SINGLE(ROW()) - _xlfn.SINGLE(ROW(ExportSubstitutions.RowNum))</f>
        <v>34</v>
      </c>
      <c r="L39" t="s">
        <v>38</v>
      </c>
      <c r="M39" t="s">
        <v>37</v>
      </c>
      <c r="N39" t="s">
        <v>2126</v>
      </c>
      <c r="R39" cm="1">
        <f t="array" ref="R39" xml:space="preserve"> 1 + _xlfn.SINGLE(ROW()) - _xlfn.SINGLE(ROW(ExportSubstitutions_Within.RowNum))</f>
        <v>34</v>
      </c>
      <c r="S39" t="s">
        <v>1109</v>
      </c>
      <c r="T39" t="str">
        <f t="shared" si="2"/>
        <v>a1</v>
      </c>
    </row>
    <row r="40" spans="2:20">
      <c r="K40" cm="1">
        <f t="array" ref="K40" xml:space="preserve"> 1 + _xlfn.SINGLE(ROW()) - _xlfn.SINGLE(ROW(ExportSubstitutions.RowNum))</f>
        <v>35</v>
      </c>
      <c r="L40" t="s">
        <v>61</v>
      </c>
      <c r="M40" t="s">
        <v>60</v>
      </c>
      <c r="N40" t="s">
        <v>2126</v>
      </c>
      <c r="R40" cm="1">
        <f t="array" ref="R40" xml:space="preserve"> 1 + _xlfn.SINGLE(ROW()) - _xlfn.SINGLE(ROW(ExportSubstitutions_Within.RowNum))</f>
        <v>35</v>
      </c>
      <c r="S40" t="s">
        <v>1110</v>
      </c>
      <c r="T40" t="str">
        <f t="shared" si="2"/>
        <v>a2</v>
      </c>
    </row>
    <row r="41" spans="2:20">
      <c r="K41" cm="1">
        <f t="array" ref="K41" xml:space="preserve"> 1 + _xlfn.SINGLE(ROW()) - _xlfn.SINGLE(ROW(ExportSubstitutions.RowNum))</f>
        <v>36</v>
      </c>
      <c r="L41" t="s">
        <v>2092</v>
      </c>
      <c r="M41" t="s">
        <v>2121</v>
      </c>
      <c r="N41" t="s">
        <v>2126</v>
      </c>
      <c r="R41" cm="1">
        <f t="array" ref="R41" xml:space="preserve"> 1 + _xlfn.SINGLE(ROW()) - _xlfn.SINGLE(ROW(ExportSubstitutions_Within.RowNum))</f>
        <v>36</v>
      </c>
      <c r="S41" t="s">
        <v>1111</v>
      </c>
      <c r="T41" t="str">
        <f t="shared" si="2"/>
        <v>a3</v>
      </c>
    </row>
    <row r="42" spans="2:20">
      <c r="B42" s="4" t="s">
        <v>1629</v>
      </c>
      <c r="C42">
        <f xml:space="preserve"> SQRT(2)</f>
        <v>1.4142135623730951</v>
      </c>
      <c r="K42" cm="1">
        <f t="array" ref="K42" xml:space="preserve"> 1 + _xlfn.SINGLE(ROW()) - _xlfn.SINGLE(ROW(ExportSubstitutions.RowNum))</f>
        <v>37</v>
      </c>
      <c r="L42" t="s">
        <v>2093</v>
      </c>
      <c r="M42" t="s">
        <v>2122</v>
      </c>
      <c r="N42" t="s">
        <v>2126</v>
      </c>
      <c r="R42" cm="1">
        <f t="array" ref="R42" xml:space="preserve"> 1 + _xlfn.SINGLE(ROW()) - _xlfn.SINGLE(ROW(ExportSubstitutions_Within.RowNum))</f>
        <v>37</v>
      </c>
      <c r="S42" t="s">
        <v>1112</v>
      </c>
      <c r="T42" t="str">
        <f t="shared" si="2"/>
        <v>a4</v>
      </c>
    </row>
    <row r="43" spans="2:20">
      <c r="B43" s="4" t="s">
        <v>1630</v>
      </c>
      <c r="C43">
        <f xml:space="preserve"> SQRT(3)</f>
        <v>1.7320508075688772</v>
      </c>
      <c r="K43" cm="1">
        <f t="array" ref="K43" xml:space="preserve"> 1 + _xlfn.SINGLE(ROW()) - _xlfn.SINGLE(ROW(ExportSubstitutions.RowNum))</f>
        <v>38</v>
      </c>
      <c r="L43" t="s">
        <v>2096</v>
      </c>
      <c r="M43" t="s">
        <v>2108</v>
      </c>
      <c r="N43" t="s">
        <v>2126</v>
      </c>
      <c r="R43" cm="1">
        <f t="array" ref="R43" xml:space="preserve"> 1 + _xlfn.SINGLE(ROW()) - _xlfn.SINGLE(ROW(ExportSubstitutions_Within.RowNum))</f>
        <v>38</v>
      </c>
      <c r="S43" t="s">
        <v>1113</v>
      </c>
      <c r="T43" t="str">
        <f t="shared" si="2"/>
        <v>a5</v>
      </c>
    </row>
    <row r="44" spans="2:20">
      <c r="B44" s="4" t="s">
        <v>1631</v>
      </c>
      <c r="C44">
        <f xml:space="preserve"> SQRT(5)</f>
        <v>2.2360679774997898</v>
      </c>
      <c r="K44" cm="1">
        <f t="array" ref="K44" xml:space="preserve"> 1 + _xlfn.SINGLE(ROW()) - _xlfn.SINGLE(ROW(ExportSubstitutions.RowNum))</f>
        <v>39</v>
      </c>
      <c r="L44" t="s">
        <v>2303</v>
      </c>
      <c r="M44" t="s">
        <v>2304</v>
      </c>
      <c r="N44" t="s">
        <v>2126</v>
      </c>
      <c r="R44" cm="1">
        <f t="array" ref="R44" xml:space="preserve"> 1 + _xlfn.SINGLE(ROW()) - _xlfn.SINGLE(ROW(ExportSubstitutions_Within.RowNum))</f>
        <v>39</v>
      </c>
      <c r="S44" t="s">
        <v>1114</v>
      </c>
      <c r="T44" t="str">
        <f t="shared" si="2"/>
        <v>a6</v>
      </c>
    </row>
    <row r="45" spans="2:20">
      <c r="B45" s="4" t="s">
        <v>1669</v>
      </c>
      <c r="C45">
        <f xml:space="preserve"> SQRT(13)</f>
        <v>3.6055512754639891</v>
      </c>
      <c r="K45" cm="1">
        <f t="array" ref="K45" xml:space="preserve"> 1 + _xlfn.SINGLE(ROW()) - _xlfn.SINGLE(ROW(ExportSubstitutions.RowNum))</f>
        <v>40</v>
      </c>
      <c r="L45" t="s">
        <v>2097</v>
      </c>
      <c r="M45" t="s">
        <v>2109</v>
      </c>
      <c r="N45" t="s">
        <v>2126</v>
      </c>
      <c r="R45" cm="1">
        <f t="array" ref="R45" xml:space="preserve"> 1 + _xlfn.SINGLE(ROW()) - _xlfn.SINGLE(ROW(ExportSubstitutions_Within.RowNum))</f>
        <v>40</v>
      </c>
      <c r="S45" t="s">
        <v>1115</v>
      </c>
      <c r="T45" t="str">
        <f t="shared" si="2"/>
        <v>a7</v>
      </c>
    </row>
    <row r="46" spans="2:20">
      <c r="B46" s="4" t="s">
        <v>1632</v>
      </c>
      <c r="C46">
        <f xml:space="preserve"> SQRT(15)</f>
        <v>3.872983346207417</v>
      </c>
      <c r="K46" cm="1">
        <f t="array" ref="K46" xml:space="preserve"> 1 + _xlfn.SINGLE(ROW()) - _xlfn.SINGLE(ROW(ExportSubstitutions.RowNum))</f>
        <v>41</v>
      </c>
      <c r="L46" t="s">
        <v>2098</v>
      </c>
      <c r="M46" t="s">
        <v>2110</v>
      </c>
      <c r="N46" t="s">
        <v>2126</v>
      </c>
      <c r="R46" cm="1">
        <f t="array" ref="R46" xml:space="preserve"> 1 + _xlfn.SINGLE(ROW()) - _xlfn.SINGLE(ROW(ExportSubstitutions_Within.RowNum))</f>
        <v>41</v>
      </c>
      <c r="S46" t="s">
        <v>1116</v>
      </c>
      <c r="T46" t="str">
        <f t="shared" si="2"/>
        <v>a8</v>
      </c>
    </row>
    <row r="47" spans="2:20">
      <c r="B47" s="4" t="s">
        <v>1633</v>
      </c>
      <c r="C47">
        <f xml:space="preserve"> SQRT(30)</f>
        <v>5.4772255750516612</v>
      </c>
      <c r="K47" cm="1">
        <f t="array" ref="K47" xml:space="preserve"> 1 + _xlfn.SINGLE(ROW()) - _xlfn.SINGLE(ROW(ExportSubstitutions.RowNum))</f>
        <v>42</v>
      </c>
      <c r="L47" t="s">
        <v>49</v>
      </c>
      <c r="M47" t="s">
        <v>48</v>
      </c>
      <c r="N47" t="s">
        <v>2126</v>
      </c>
      <c r="R47" cm="1">
        <f t="array" ref="R47" xml:space="preserve"> 1 + _xlfn.SINGLE(ROW()) - _xlfn.SINGLE(ROW(ExportSubstitutions_Within.RowNum))</f>
        <v>42</v>
      </c>
      <c r="S47" t="s">
        <v>1117</v>
      </c>
      <c r="T47" t="str">
        <f t="shared" si="2"/>
        <v>a9</v>
      </c>
    </row>
    <row r="48" spans="2:20">
      <c r="B48" s="4" t="s">
        <v>1634</v>
      </c>
      <c r="C48">
        <f xml:space="preserve"> SQRT(1/2)</f>
        <v>0.70710678118654757</v>
      </c>
      <c r="K48" cm="1">
        <f t="array" ref="K48" xml:space="preserve"> 1 + _xlfn.SINGLE(ROW()) - _xlfn.SINGLE(ROW(ExportSubstitutions.RowNum))</f>
        <v>43</v>
      </c>
      <c r="L48" t="s">
        <v>36</v>
      </c>
      <c r="M48" t="s">
        <v>39</v>
      </c>
      <c r="N48" t="s">
        <v>2126</v>
      </c>
      <c r="R48" cm="1">
        <f t="array" ref="R48" xml:space="preserve"> 1 + _xlfn.SINGLE(ROW()) - _xlfn.SINGLE(ROW(ExportSubstitutions_Within.RowNum))</f>
        <v>43</v>
      </c>
      <c r="S48" t="s">
        <v>1581</v>
      </c>
      <c r="T48" t="str">
        <f t="shared" si="2"/>
        <v>a.</v>
      </c>
    </row>
    <row r="49" spans="2:20">
      <c r="B49" s="4" t="s">
        <v>1635</v>
      </c>
      <c r="C49" cm="1">
        <f t="array" ref="C49" xml:space="preserve"> (Sqrt5 + 1) / 2</f>
        <v>1.6180339887498949</v>
      </c>
      <c r="K49" cm="1">
        <f t="array" ref="K49" xml:space="preserve"> 1 + _xlfn.SINGLE(ROW()) - _xlfn.SINGLE(ROW(ExportSubstitutions.RowNum))</f>
        <v>44</v>
      </c>
      <c r="L49" t="s">
        <v>2099</v>
      </c>
      <c r="M49" t="s">
        <v>2111</v>
      </c>
      <c r="N49" t="s">
        <v>2126</v>
      </c>
      <c r="R49" cm="1">
        <f t="array" ref="R49" xml:space="preserve"> 1 + _xlfn.SINGLE(ROW()) - _xlfn.SINGLE(ROW(ExportSubstitutions_Within.RowNum))</f>
        <v>44</v>
      </c>
      <c r="S49" t="s">
        <v>1590</v>
      </c>
      <c r="T49" t="str">
        <f t="shared" si="2"/>
        <v>a-</v>
      </c>
    </row>
    <row r="50" spans="2:20">
      <c r="B50" s="4" t="s">
        <v>1636</v>
      </c>
      <c r="C50">
        <v>0.79295350639999995</v>
      </c>
      <c r="K50" cm="1">
        <f t="array" ref="K50" xml:space="preserve"> 1 + _xlfn.SINGLE(ROW()) - _xlfn.SINGLE(ROW(ExportSubstitutions.RowNum))</f>
        <v>45</v>
      </c>
      <c r="L50" t="s">
        <v>30</v>
      </c>
      <c r="M50" t="s">
        <v>29</v>
      </c>
      <c r="N50" t="s">
        <v>2126</v>
      </c>
      <c r="R50" cm="1">
        <f t="array" ref="R50" xml:space="preserve"> 1 + _xlfn.SINGLE(ROW()) - _xlfn.SINGLE(ROW(ExportSubstitutions_Within.RowNum))</f>
        <v>45</v>
      </c>
      <c r="S50" t="s">
        <v>1118</v>
      </c>
      <c r="T50" t="str">
        <f t="shared" si="2"/>
        <v>0C</v>
      </c>
    </row>
    <row r="51" spans="2:20">
      <c r="K51" cm="1">
        <f t="array" ref="K51" xml:space="preserve"> 1 + _xlfn.SINGLE(ROW()) - _xlfn.SINGLE(ROW(ExportSubstitutions.RowNum))</f>
        <v>46</v>
      </c>
      <c r="L51" t="s">
        <v>2100</v>
      </c>
      <c r="M51" t="s">
        <v>2112</v>
      </c>
      <c r="N51" t="s">
        <v>2126</v>
      </c>
      <c r="R51" cm="1">
        <f t="array" ref="R51" xml:space="preserve"> 1 + _xlfn.SINGLE(ROW()) - _xlfn.SINGLE(ROW(ExportSubstitutions_Within.RowNum))</f>
        <v>46</v>
      </c>
      <c r="S51" t="s">
        <v>1119</v>
      </c>
      <c r="T51" t="str">
        <f t="shared" si="2"/>
        <v>1C</v>
      </c>
    </row>
    <row r="52" spans="2:20">
      <c r="K52" cm="1">
        <f t="array" ref="K52" xml:space="preserve"> 1 + _xlfn.SINGLE(ROW()) - _xlfn.SINGLE(ROW(ExportSubstitutions.RowNum))</f>
        <v>47</v>
      </c>
      <c r="L52" t="s">
        <v>51</v>
      </c>
      <c r="M52" t="s">
        <v>50</v>
      </c>
      <c r="N52" t="s">
        <v>2126</v>
      </c>
      <c r="R52" cm="1">
        <f t="array" ref="R52" xml:space="preserve"> 1 + _xlfn.SINGLE(ROW()) - _xlfn.SINGLE(ROW(ExportSubstitutions_Within.RowNum))</f>
        <v>47</v>
      </c>
      <c r="S52" t="s">
        <v>1120</v>
      </c>
      <c r="T52" t="str">
        <f t="shared" si="2"/>
        <v>2C</v>
      </c>
    </row>
    <row r="53" spans="2:20">
      <c r="K53" cm="1">
        <f t="array" ref="K53" xml:space="preserve"> 1 + _xlfn.SINGLE(ROW()) - _xlfn.SINGLE(ROW(ExportSubstitutions.RowNum))</f>
        <v>48</v>
      </c>
      <c r="L53" t="s">
        <v>59</v>
      </c>
      <c r="M53" t="s">
        <v>58</v>
      </c>
      <c r="N53" t="s">
        <v>2126</v>
      </c>
      <c r="R53" cm="1">
        <f t="array" ref="R53" xml:space="preserve"> 1 + _xlfn.SINGLE(ROW()) - _xlfn.SINGLE(ROW(ExportSubstitutions_Within.RowNum))</f>
        <v>48</v>
      </c>
      <c r="S53" t="s">
        <v>1121</v>
      </c>
      <c r="T53" t="str">
        <f t="shared" si="2"/>
        <v>3C</v>
      </c>
    </row>
    <row r="54" spans="2:20">
      <c r="B54" s="4" t="s">
        <v>2670</v>
      </c>
      <c r="C54" s="64" t="str">
        <f xml:space="preserve"> " RSD BGN BG "</f>
        <v xml:space="preserve"> RSD BGN BG </v>
      </c>
      <c r="K54" cm="1">
        <f t="array" ref="K54" xml:space="preserve"> 1 + _xlfn.SINGLE(ROW()) - _xlfn.SINGLE(ROW(ExportSubstitutions.RowNum))</f>
        <v>49</v>
      </c>
      <c r="L54" t="s">
        <v>2101</v>
      </c>
      <c r="M54" t="s">
        <v>2113</v>
      </c>
      <c r="N54" t="s">
        <v>2126</v>
      </c>
      <c r="R54" cm="1">
        <f t="array" ref="R54" xml:space="preserve"> 1 + _xlfn.SINGLE(ROW()) - _xlfn.SINGLE(ROW(ExportSubstitutions_Within.RowNum))</f>
        <v>49</v>
      </c>
      <c r="S54" t="s">
        <v>1122</v>
      </c>
      <c r="T54" t="str">
        <f t="shared" si="2"/>
        <v>4C</v>
      </c>
    </row>
    <row r="55" spans="2:20">
      <c r="B55" s="4" t="s">
        <v>2671</v>
      </c>
      <c r="C55" s="67">
        <f xml:space="preserve"> DATE(2025,8,12) + TIME(23, 45, 0)</f>
        <v>45881.989583333336</v>
      </c>
      <c r="K55" cm="1">
        <f t="array" ref="K55" xml:space="preserve"> 1 + _xlfn.SINGLE(ROW()) - _xlfn.SINGLE(ROW(ExportSubstitutions.RowNum))</f>
        <v>50</v>
      </c>
      <c r="L55" t="s">
        <v>55</v>
      </c>
      <c r="M55" t="s">
        <v>54</v>
      </c>
      <c r="N55" t="s">
        <v>2126</v>
      </c>
      <c r="R55" cm="1">
        <f t="array" ref="R55" xml:space="preserve"> 1 + _xlfn.SINGLE(ROW()) - _xlfn.SINGLE(ROW(ExportSubstitutions_Within.RowNum))</f>
        <v>50</v>
      </c>
      <c r="S55" t="s">
        <v>1123</v>
      </c>
      <c r="T55" t="str">
        <f t="shared" si="2"/>
        <v>5C</v>
      </c>
    </row>
    <row r="56" spans="2:20">
      <c r="K56" cm="1">
        <f t="array" ref="K56" xml:space="preserve"> 1 + _xlfn.SINGLE(ROW()) - _xlfn.SINGLE(ROW(ExportSubstitutions.RowNum))</f>
        <v>51</v>
      </c>
      <c r="L56" t="s">
        <v>2102</v>
      </c>
      <c r="M56" t="s">
        <v>2114</v>
      </c>
      <c r="N56" t="s">
        <v>2126</v>
      </c>
      <c r="R56" cm="1">
        <f t="array" ref="R56" xml:space="preserve"> 1 + _xlfn.SINGLE(ROW()) - _xlfn.SINGLE(ROW(ExportSubstitutions_Within.RowNum))</f>
        <v>51</v>
      </c>
      <c r="S56" t="s">
        <v>1124</v>
      </c>
      <c r="T56" t="str">
        <f t="shared" si="2"/>
        <v>6C</v>
      </c>
    </row>
    <row r="57" spans="2:20">
      <c r="K57" cm="1">
        <f t="array" ref="K57" xml:space="preserve"> 1 + _xlfn.SINGLE(ROW()) - _xlfn.SINGLE(ROW(ExportSubstitutions.RowNum))</f>
        <v>52</v>
      </c>
      <c r="L57" t="s">
        <v>43</v>
      </c>
      <c r="M57" t="s">
        <v>42</v>
      </c>
      <c r="N57" t="s">
        <v>2126</v>
      </c>
      <c r="R57" cm="1">
        <f t="array" ref="R57" xml:space="preserve"> 1 + _xlfn.SINGLE(ROW()) - _xlfn.SINGLE(ROW(ExportSubstitutions_Within.RowNum))</f>
        <v>52</v>
      </c>
      <c r="S57" t="s">
        <v>1125</v>
      </c>
      <c r="T57" t="str">
        <f t="shared" si="2"/>
        <v>7C</v>
      </c>
    </row>
    <row r="58" spans="2:20">
      <c r="K58" cm="1">
        <f t="array" ref="K58" xml:space="preserve"> 1 + _xlfn.SINGLE(ROW()) - _xlfn.SINGLE(ROW(ExportSubstitutions.RowNum))</f>
        <v>53</v>
      </c>
      <c r="L58" t="s">
        <v>26</v>
      </c>
      <c r="M58" t="s">
        <v>25</v>
      </c>
      <c r="N58" t="s">
        <v>2126</v>
      </c>
      <c r="R58" cm="1">
        <f t="array" ref="R58" xml:space="preserve"> 1 + _xlfn.SINGLE(ROW()) - _xlfn.SINGLE(ROW(ExportSubstitutions_Within.RowNum))</f>
        <v>53</v>
      </c>
      <c r="S58" t="s">
        <v>1126</v>
      </c>
      <c r="T58" t="str">
        <f t="shared" si="2"/>
        <v>8C</v>
      </c>
    </row>
    <row r="59" spans="2:20">
      <c r="K59" cm="1">
        <f t="array" ref="K59" xml:space="preserve"> 1 + _xlfn.SINGLE(ROW()) - _xlfn.SINGLE(ROW(ExportSubstitutions.RowNum))</f>
        <v>54</v>
      </c>
      <c r="L59" t="s">
        <v>63</v>
      </c>
      <c r="M59" t="s">
        <v>62</v>
      </c>
      <c r="N59" t="s">
        <v>2126</v>
      </c>
      <c r="R59" cm="1">
        <f t="array" ref="R59" xml:space="preserve"> 1 + _xlfn.SINGLE(ROW()) - _xlfn.SINGLE(ROW(ExportSubstitutions_Within.RowNum))</f>
        <v>54</v>
      </c>
      <c r="S59" t="s">
        <v>1127</v>
      </c>
      <c r="T59" t="str">
        <f t="shared" si="2"/>
        <v>9C</v>
      </c>
    </row>
    <row r="60" spans="2:20">
      <c r="K60" cm="1">
        <f t="array" ref="K60" xml:space="preserve"> 1 + _xlfn.SINGLE(ROW()) - _xlfn.SINGLE(ROW(ExportSubstitutions.RowNum))</f>
        <v>55</v>
      </c>
      <c r="L60" t="s">
        <v>28</v>
      </c>
      <c r="M60" t="s">
        <v>27</v>
      </c>
      <c r="N60" t="s">
        <v>2126</v>
      </c>
      <c r="R60" cm="1">
        <f t="array" ref="R60" xml:space="preserve"> 1 + _xlfn.SINGLE(ROW()) - _xlfn.SINGLE(ROW(ExportSubstitutions_Within.RowNum))</f>
        <v>55</v>
      </c>
      <c r="S60" t="s">
        <v>1128</v>
      </c>
      <c r="T60" t="str">
        <f t="shared" si="2"/>
        <v>C0</v>
      </c>
    </row>
    <row r="61" spans="2:20">
      <c r="K61" cm="1">
        <f t="array" ref="K61" xml:space="preserve"> 1 + _xlfn.SINGLE(ROW()) - _xlfn.SINGLE(ROW(ExportSubstitutions.RowNum))</f>
        <v>56</v>
      </c>
      <c r="L61" t="s">
        <v>2103</v>
      </c>
      <c r="M61" t="s">
        <v>2115</v>
      </c>
      <c r="N61" t="s">
        <v>2126</v>
      </c>
      <c r="R61" cm="1">
        <f t="array" ref="R61" xml:space="preserve"> 1 + _xlfn.SINGLE(ROW()) - _xlfn.SINGLE(ROW(ExportSubstitutions_Within.RowNum))</f>
        <v>56</v>
      </c>
      <c r="S61" t="s">
        <v>1129</v>
      </c>
      <c r="T61" t="str">
        <f t="shared" si="2"/>
        <v>C1</v>
      </c>
    </row>
    <row r="62" spans="2:20">
      <c r="K62" cm="1">
        <f t="array" ref="K62" xml:space="preserve"> 1 + _xlfn.SINGLE(ROW()) - _xlfn.SINGLE(ROW(ExportSubstitutions.RowNum))</f>
        <v>57</v>
      </c>
      <c r="L62" t="s">
        <v>45</v>
      </c>
      <c r="M62" t="s">
        <v>44</v>
      </c>
      <c r="N62" t="s">
        <v>2126</v>
      </c>
      <c r="R62" cm="1">
        <f t="array" ref="R62" xml:space="preserve"> 1 + _xlfn.SINGLE(ROW()) - _xlfn.SINGLE(ROW(ExportSubstitutions_Within.RowNum))</f>
        <v>57</v>
      </c>
      <c r="S62" t="s">
        <v>1130</v>
      </c>
      <c r="T62" t="str">
        <f t="shared" si="2"/>
        <v>C2</v>
      </c>
    </row>
    <row r="63" spans="2:20">
      <c r="K63" cm="1">
        <f t="array" ref="K63" xml:space="preserve"> 1 + _xlfn.SINGLE(ROW()) - _xlfn.SINGLE(ROW(ExportSubstitutions.RowNum))</f>
        <v>58</v>
      </c>
      <c r="L63" t="s">
        <v>2090</v>
      </c>
      <c r="M63" t="s">
        <v>2119</v>
      </c>
      <c r="N63" t="s">
        <v>2126</v>
      </c>
      <c r="R63" cm="1">
        <f t="array" ref="R63" xml:space="preserve"> 1 + _xlfn.SINGLE(ROW()) - _xlfn.SINGLE(ROW(ExportSubstitutions_Within.RowNum))</f>
        <v>58</v>
      </c>
      <c r="S63" t="s">
        <v>1131</v>
      </c>
      <c r="T63" t="str">
        <f t="shared" si="2"/>
        <v>C3</v>
      </c>
    </row>
    <row r="64" spans="2:20">
      <c r="K64" cm="1">
        <f t="array" ref="K64" xml:space="preserve"> 1 + _xlfn.SINGLE(ROW()) - _xlfn.SINGLE(ROW(ExportSubstitutions.RowNum))</f>
        <v>59</v>
      </c>
      <c r="L64" t="s">
        <v>2104</v>
      </c>
      <c r="M64" t="s">
        <v>2116</v>
      </c>
      <c r="N64" t="s">
        <v>2126</v>
      </c>
      <c r="R64" cm="1">
        <f t="array" ref="R64" xml:space="preserve"> 1 + _xlfn.SINGLE(ROW()) - _xlfn.SINGLE(ROW(ExportSubstitutions_Within.RowNum))</f>
        <v>59</v>
      </c>
      <c r="S64" t="s">
        <v>1132</v>
      </c>
      <c r="T64" t="str">
        <f t="shared" si="2"/>
        <v>C4</v>
      </c>
    </row>
    <row r="65" spans="11:20">
      <c r="K65" cm="1">
        <f t="array" ref="K65" xml:space="preserve"> 1 + _xlfn.SINGLE(ROW()) - _xlfn.SINGLE(ROW(ExportSubstitutions.RowNum))</f>
        <v>60</v>
      </c>
      <c r="L65" t="s">
        <v>32</v>
      </c>
      <c r="M65" t="s">
        <v>31</v>
      </c>
      <c r="N65" t="s">
        <v>2126</v>
      </c>
      <c r="R65" cm="1">
        <f t="array" ref="R65" xml:space="preserve"> 1 + _xlfn.SINGLE(ROW()) - _xlfn.SINGLE(ROW(ExportSubstitutions_Within.RowNum))</f>
        <v>60</v>
      </c>
      <c r="S65" t="s">
        <v>1133</v>
      </c>
      <c r="T65" t="str">
        <f t="shared" si="2"/>
        <v>C5</v>
      </c>
    </row>
    <row r="66" spans="11:20">
      <c r="K66" cm="1">
        <f t="array" ref="K66" xml:space="preserve"> 1 + _xlfn.SINGLE(ROW()) - _xlfn.SINGLE(ROW(ExportSubstitutions.RowNum))</f>
        <v>61</v>
      </c>
      <c r="L66" t="s">
        <v>2105</v>
      </c>
      <c r="M66" t="s">
        <v>2117</v>
      </c>
      <c r="N66" t="s">
        <v>2126</v>
      </c>
      <c r="R66" cm="1">
        <f t="array" ref="R66" xml:space="preserve"> 1 + _xlfn.SINGLE(ROW()) - _xlfn.SINGLE(ROW(ExportSubstitutions_Within.RowNum))</f>
        <v>61</v>
      </c>
      <c r="S66" t="s">
        <v>1134</v>
      </c>
      <c r="T66" t="str">
        <f t="shared" si="2"/>
        <v>C6</v>
      </c>
    </row>
    <row r="67" spans="11:20">
      <c r="K67" cm="1">
        <f t="array" ref="K67" xml:space="preserve"> 1 + _xlfn.SINGLE(ROW()) - _xlfn.SINGLE(ROW(ExportSubstitutions.RowNum))</f>
        <v>62</v>
      </c>
      <c r="L67" t="s">
        <v>53</v>
      </c>
      <c r="M67" t="s">
        <v>52</v>
      </c>
      <c r="N67" t="s">
        <v>2126</v>
      </c>
      <c r="R67" cm="1">
        <f t="array" ref="R67" xml:space="preserve"> 1 + _xlfn.SINGLE(ROW()) - _xlfn.SINGLE(ROW(ExportSubstitutions_Within.RowNum))</f>
        <v>62</v>
      </c>
      <c r="S67" t="s">
        <v>1135</v>
      </c>
      <c r="T67" t="str">
        <f t="shared" si="2"/>
        <v>C7</v>
      </c>
    </row>
    <row r="68" spans="11:20">
      <c r="K68" cm="1">
        <f t="array" ref="K68" xml:space="preserve"> 1 + _xlfn.SINGLE(ROW()) - _xlfn.SINGLE(ROW(ExportSubstitutions.RowNum))</f>
        <v>63</v>
      </c>
      <c r="L68" t="s">
        <v>34</v>
      </c>
      <c r="M68" t="s">
        <v>33</v>
      </c>
      <c r="N68" t="s">
        <v>2126</v>
      </c>
      <c r="R68" cm="1">
        <f t="array" ref="R68" xml:space="preserve"> 1 + _xlfn.SINGLE(ROW()) - _xlfn.SINGLE(ROW(ExportSubstitutions_Within.RowNum))</f>
        <v>63</v>
      </c>
      <c r="S68" t="s">
        <v>1136</v>
      </c>
      <c r="T68" t="str">
        <f t="shared" si="2"/>
        <v>C8</v>
      </c>
    </row>
    <row r="69" spans="11:20">
      <c r="K69" cm="1">
        <f t="array" ref="K69" xml:space="preserve"> 1 + _xlfn.SINGLE(ROW()) - _xlfn.SINGLE(ROW(ExportSubstitutions.RowNum))</f>
        <v>64</v>
      </c>
      <c r="L69" t="s">
        <v>2106</v>
      </c>
      <c r="M69" t="s">
        <v>2118</v>
      </c>
      <c r="N69" t="s">
        <v>2126</v>
      </c>
      <c r="R69" cm="1">
        <f t="array" ref="R69" xml:space="preserve"> 1 + _xlfn.SINGLE(ROW()) - _xlfn.SINGLE(ROW(ExportSubstitutions_Within.RowNum))</f>
        <v>64</v>
      </c>
      <c r="S69" t="s">
        <v>1137</v>
      </c>
      <c r="T69" t="str">
        <f t="shared" si="2"/>
        <v>C9</v>
      </c>
    </row>
    <row r="70" spans="11:20">
      <c r="K70" cm="1">
        <f t="array" ref="K70" xml:space="preserve"> 1 + _xlfn.SINGLE(ROW()) - _xlfn.SINGLE(ROW(ExportSubstitutions.RowNum))</f>
        <v>65</v>
      </c>
      <c r="L70" t="s">
        <v>57</v>
      </c>
      <c r="M70" t="s">
        <v>56</v>
      </c>
      <c r="N70" t="s">
        <v>2126</v>
      </c>
      <c r="R70" cm="1">
        <f t="array" ref="R70" xml:space="preserve"> 1 + _xlfn.SINGLE(ROW()) - _xlfn.SINGLE(ROW(ExportSubstitutions_Within.RowNum))</f>
        <v>65</v>
      </c>
      <c r="S70" t="s">
        <v>1582</v>
      </c>
      <c r="T70" t="str">
        <f t="shared" ref="T70:T133" si="8" xml:space="preserve"> SUBSTITUTE(ExportSubstitutions_Within.From, " ", "")</f>
        <v>C.</v>
      </c>
    </row>
    <row r="71" spans="11:20">
      <c r="K71" cm="1">
        <f t="array" ref="K71" xml:space="preserve"> 1 + _xlfn.SINGLE(ROW()) - _xlfn.SINGLE(ROW(ExportSubstitutions.RowNum))</f>
        <v>66</v>
      </c>
      <c r="L71" t="s">
        <v>2107</v>
      </c>
      <c r="M71" t="s">
        <v>2125</v>
      </c>
      <c r="N71" t="s">
        <v>2126</v>
      </c>
      <c r="R71" cm="1">
        <f t="array" ref="R71" xml:space="preserve"> 1 + _xlfn.SINGLE(ROW()) - _xlfn.SINGLE(ROW(ExportSubstitutions_Within.RowNum))</f>
        <v>66</v>
      </c>
      <c r="S71" t="s">
        <v>1591</v>
      </c>
      <c r="T71" t="str">
        <f t="shared" si="8"/>
        <v>C-</v>
      </c>
    </row>
    <row r="72" spans="11:20">
      <c r="K72" cm="1">
        <f t="array" ref="K72" xml:space="preserve"> 1 + _xlfn.SINGLE(ROW()) - _xlfn.SINGLE(ROW(ExportSubstitutions.RowNum))</f>
        <v>67</v>
      </c>
      <c r="L72" t="s">
        <v>41</v>
      </c>
      <c r="M72" t="s">
        <v>40</v>
      </c>
      <c r="N72" t="s">
        <v>2126</v>
      </c>
      <c r="R72" cm="1">
        <f t="array" ref="R72" xml:space="preserve"> 1 + _xlfn.SINGLE(ROW()) - _xlfn.SINGLE(ROW(ExportSubstitutions_Within.RowNum))</f>
        <v>67</v>
      </c>
      <c r="S72" t="s">
        <v>1138</v>
      </c>
      <c r="T72" t="str">
        <f t="shared" si="8"/>
        <v>0c</v>
      </c>
    </row>
    <row r="73" spans="11:20">
      <c r="K73" cm="1">
        <f t="array" ref="K73" xml:space="preserve"> 1 + _xlfn.SINGLE(ROW()) - _xlfn.SINGLE(ROW(ExportSubstitutions.RowNum))</f>
        <v>68</v>
      </c>
      <c r="L73" t="s">
        <v>2095</v>
      </c>
      <c r="M73" t="s">
        <v>2124</v>
      </c>
      <c r="N73" t="s">
        <v>2126</v>
      </c>
      <c r="R73" cm="1">
        <f t="array" ref="R73" xml:space="preserve"> 1 + _xlfn.SINGLE(ROW()) - _xlfn.SINGLE(ROW(ExportSubstitutions_Within.RowNum))</f>
        <v>68</v>
      </c>
      <c r="S73" t="s">
        <v>1139</v>
      </c>
      <c r="T73" t="str">
        <f t="shared" si="8"/>
        <v>1c</v>
      </c>
    </row>
    <row r="74" spans="11:20">
      <c r="R74" cm="1">
        <f t="array" ref="R74" xml:space="preserve"> 1 + _xlfn.SINGLE(ROW()) - _xlfn.SINGLE(ROW(ExportSubstitutions_Within.RowNum))</f>
        <v>69</v>
      </c>
      <c r="S74" t="s">
        <v>1140</v>
      </c>
      <c r="T74" t="str">
        <f t="shared" si="8"/>
        <v>2c</v>
      </c>
    </row>
    <row r="75" spans="11:20">
      <c r="R75" cm="1">
        <f t="array" ref="R75" xml:space="preserve"> 1 + _xlfn.SINGLE(ROW()) - _xlfn.SINGLE(ROW(ExportSubstitutions_Within.RowNum))</f>
        <v>70</v>
      </c>
      <c r="S75" t="s">
        <v>1141</v>
      </c>
      <c r="T75" t="str">
        <f t="shared" si="8"/>
        <v>3c</v>
      </c>
    </row>
    <row r="76" spans="11:20">
      <c r="R76" cm="1">
        <f t="array" ref="R76" xml:space="preserve"> 1 + _xlfn.SINGLE(ROW()) - _xlfn.SINGLE(ROW(ExportSubstitutions_Within.RowNum))</f>
        <v>71</v>
      </c>
      <c r="S76" t="s">
        <v>1142</v>
      </c>
      <c r="T76" t="str">
        <f t="shared" si="8"/>
        <v>4c</v>
      </c>
    </row>
    <row r="77" spans="11:20">
      <c r="R77" cm="1">
        <f t="array" ref="R77" xml:space="preserve"> 1 + _xlfn.SINGLE(ROW()) - _xlfn.SINGLE(ROW(ExportSubstitutions_Within.RowNum))</f>
        <v>72</v>
      </c>
      <c r="S77" t="s">
        <v>1143</v>
      </c>
      <c r="T77" t="str">
        <f t="shared" si="8"/>
        <v>5c</v>
      </c>
    </row>
    <row r="78" spans="11:20">
      <c r="R78" cm="1">
        <f t="array" ref="R78" xml:space="preserve"> 1 + _xlfn.SINGLE(ROW()) - _xlfn.SINGLE(ROW(ExportSubstitutions_Within.RowNum))</f>
        <v>73</v>
      </c>
      <c r="S78" t="s">
        <v>1144</v>
      </c>
      <c r="T78" t="str">
        <f t="shared" si="8"/>
        <v>6c</v>
      </c>
    </row>
    <row r="79" spans="11:20">
      <c r="R79" cm="1">
        <f t="array" ref="R79" xml:space="preserve"> 1 + _xlfn.SINGLE(ROW()) - _xlfn.SINGLE(ROW(ExportSubstitutions_Within.RowNum))</f>
        <v>74</v>
      </c>
      <c r="S79" t="s">
        <v>1145</v>
      </c>
      <c r="T79" t="str">
        <f t="shared" si="8"/>
        <v>7c</v>
      </c>
    </row>
    <row r="80" spans="11:20">
      <c r="R80" cm="1">
        <f t="array" ref="R80" xml:space="preserve"> 1 + _xlfn.SINGLE(ROW()) - _xlfn.SINGLE(ROW(ExportSubstitutions_Within.RowNum))</f>
        <v>75</v>
      </c>
      <c r="S80" t="s">
        <v>1146</v>
      </c>
      <c r="T80" t="str">
        <f t="shared" si="8"/>
        <v>8c</v>
      </c>
    </row>
    <row r="81" spans="18:20">
      <c r="R81" cm="1">
        <f t="array" ref="R81" xml:space="preserve"> 1 + _xlfn.SINGLE(ROW()) - _xlfn.SINGLE(ROW(ExportSubstitutions_Within.RowNum))</f>
        <v>76</v>
      </c>
      <c r="S81" t="s">
        <v>1147</v>
      </c>
      <c r="T81" t="str">
        <f t="shared" si="8"/>
        <v>9c</v>
      </c>
    </row>
    <row r="82" spans="18:20">
      <c r="R82" cm="1">
        <f t="array" ref="R82" xml:space="preserve"> 1 + _xlfn.SINGLE(ROW()) - _xlfn.SINGLE(ROW(ExportSubstitutions_Within.RowNum))</f>
        <v>77</v>
      </c>
      <c r="S82" t="s">
        <v>1148</v>
      </c>
      <c r="T82" t="str">
        <f t="shared" si="8"/>
        <v>c0</v>
      </c>
    </row>
    <row r="83" spans="18:20">
      <c r="R83" cm="1">
        <f t="array" ref="R83" xml:space="preserve"> 1 + _xlfn.SINGLE(ROW()) - _xlfn.SINGLE(ROW(ExportSubstitutions_Within.RowNum))</f>
        <v>78</v>
      </c>
      <c r="S83" t="s">
        <v>1149</v>
      </c>
      <c r="T83" t="str">
        <f t="shared" si="8"/>
        <v>c1</v>
      </c>
    </row>
    <row r="84" spans="18:20">
      <c r="R84" cm="1">
        <f t="array" ref="R84" xml:space="preserve"> 1 + _xlfn.SINGLE(ROW()) - _xlfn.SINGLE(ROW(ExportSubstitutions_Within.RowNum))</f>
        <v>79</v>
      </c>
      <c r="S84" t="s">
        <v>1150</v>
      </c>
      <c r="T84" t="str">
        <f t="shared" si="8"/>
        <v>c2</v>
      </c>
    </row>
    <row r="85" spans="18:20">
      <c r="R85" cm="1">
        <f t="array" ref="R85" xml:space="preserve"> 1 + _xlfn.SINGLE(ROW()) - _xlfn.SINGLE(ROW(ExportSubstitutions_Within.RowNum))</f>
        <v>80</v>
      </c>
      <c r="S85" t="s">
        <v>1151</v>
      </c>
      <c r="T85" t="str">
        <f t="shared" si="8"/>
        <v>c3</v>
      </c>
    </row>
    <row r="86" spans="18:20">
      <c r="R86" cm="1">
        <f t="array" ref="R86" xml:space="preserve"> 1 + _xlfn.SINGLE(ROW()) - _xlfn.SINGLE(ROW(ExportSubstitutions_Within.RowNum))</f>
        <v>81</v>
      </c>
      <c r="S86" t="s">
        <v>1152</v>
      </c>
      <c r="T86" t="str">
        <f t="shared" si="8"/>
        <v>c4</v>
      </c>
    </row>
    <row r="87" spans="18:20">
      <c r="R87" cm="1">
        <f t="array" ref="R87" xml:space="preserve"> 1 + _xlfn.SINGLE(ROW()) - _xlfn.SINGLE(ROW(ExportSubstitutions_Within.RowNum))</f>
        <v>82</v>
      </c>
      <c r="S87" t="s">
        <v>1153</v>
      </c>
      <c r="T87" t="str">
        <f t="shared" si="8"/>
        <v>c5</v>
      </c>
    </row>
    <row r="88" spans="18:20">
      <c r="R88" cm="1">
        <f t="array" ref="R88" xml:space="preserve"> 1 + _xlfn.SINGLE(ROW()) - _xlfn.SINGLE(ROW(ExportSubstitutions_Within.RowNum))</f>
        <v>83</v>
      </c>
      <c r="S88" t="s">
        <v>1154</v>
      </c>
      <c r="T88" t="str">
        <f t="shared" si="8"/>
        <v>c6</v>
      </c>
    </row>
    <row r="89" spans="18:20">
      <c r="R89" cm="1">
        <f t="array" ref="R89" xml:space="preserve"> 1 + _xlfn.SINGLE(ROW()) - _xlfn.SINGLE(ROW(ExportSubstitutions_Within.RowNum))</f>
        <v>84</v>
      </c>
      <c r="S89" t="s">
        <v>1155</v>
      </c>
      <c r="T89" t="str">
        <f t="shared" si="8"/>
        <v>c7</v>
      </c>
    </row>
    <row r="90" spans="18:20">
      <c r="R90" cm="1">
        <f t="array" ref="R90" xml:space="preserve"> 1 + _xlfn.SINGLE(ROW()) - _xlfn.SINGLE(ROW(ExportSubstitutions_Within.RowNum))</f>
        <v>85</v>
      </c>
      <c r="S90" t="s">
        <v>1156</v>
      </c>
      <c r="T90" t="str">
        <f t="shared" si="8"/>
        <v>c8</v>
      </c>
    </row>
    <row r="91" spans="18:20">
      <c r="R91" cm="1">
        <f t="array" ref="R91" xml:space="preserve"> 1 + _xlfn.SINGLE(ROW()) - _xlfn.SINGLE(ROW(ExportSubstitutions_Within.RowNum))</f>
        <v>86</v>
      </c>
      <c r="S91" t="s">
        <v>1157</v>
      </c>
      <c r="T91" t="str">
        <f t="shared" si="8"/>
        <v>c9</v>
      </c>
    </row>
    <row r="92" spans="18:20">
      <c r="R92" cm="1">
        <f t="array" ref="R92" xml:space="preserve"> 1 + _xlfn.SINGLE(ROW()) - _xlfn.SINGLE(ROW(ExportSubstitutions_Within.RowNum))</f>
        <v>87</v>
      </c>
      <c r="S92" t="s">
        <v>1583</v>
      </c>
      <c r="T92" t="str">
        <f t="shared" si="8"/>
        <v>c.</v>
      </c>
    </row>
    <row r="93" spans="18:20">
      <c r="R93" cm="1">
        <f t="array" ref="R93" xml:space="preserve"> 1 + _xlfn.SINGLE(ROW()) - _xlfn.SINGLE(ROW(ExportSubstitutions_Within.RowNum))</f>
        <v>88</v>
      </c>
      <c r="S93" t="s">
        <v>1592</v>
      </c>
      <c r="T93" t="str">
        <f t="shared" si="8"/>
        <v>c-</v>
      </c>
    </row>
    <row r="94" spans="18:20">
      <c r="R94" cm="1">
        <f t="array" ref="R94" xml:space="preserve"> 1 + _xlfn.SINGLE(ROW()) - _xlfn.SINGLE(ROW(ExportSubstitutions_Within.RowNum))</f>
        <v>89</v>
      </c>
      <c r="S94" t="s">
        <v>1158</v>
      </c>
      <c r="T94" t="str">
        <f t="shared" si="8"/>
        <v>0H</v>
      </c>
    </row>
    <row r="95" spans="18:20">
      <c r="R95" cm="1">
        <f t="array" ref="R95" xml:space="preserve"> 1 + _xlfn.SINGLE(ROW()) - _xlfn.SINGLE(ROW(ExportSubstitutions_Within.RowNum))</f>
        <v>90</v>
      </c>
      <c r="S95" t="s">
        <v>1159</v>
      </c>
      <c r="T95" t="str">
        <f t="shared" si="8"/>
        <v>1H</v>
      </c>
    </row>
    <row r="96" spans="18:20">
      <c r="R96" cm="1">
        <f t="array" ref="R96" xml:space="preserve"> 1 + _xlfn.SINGLE(ROW()) - _xlfn.SINGLE(ROW(ExportSubstitutions_Within.RowNum))</f>
        <v>91</v>
      </c>
      <c r="S96" t="s">
        <v>1160</v>
      </c>
      <c r="T96" t="str">
        <f t="shared" si="8"/>
        <v>2H</v>
      </c>
    </row>
    <row r="97" spans="18:20">
      <c r="R97" cm="1">
        <f t="array" ref="R97" xml:space="preserve"> 1 + _xlfn.SINGLE(ROW()) - _xlfn.SINGLE(ROW(ExportSubstitutions_Within.RowNum))</f>
        <v>92</v>
      </c>
      <c r="S97" t="s">
        <v>1161</v>
      </c>
      <c r="T97" t="str">
        <f t="shared" si="8"/>
        <v>3H</v>
      </c>
    </row>
    <row r="98" spans="18:20">
      <c r="R98" cm="1">
        <f t="array" ref="R98" xml:space="preserve"> 1 + _xlfn.SINGLE(ROW()) - _xlfn.SINGLE(ROW(ExportSubstitutions_Within.RowNum))</f>
        <v>93</v>
      </c>
      <c r="S98" t="s">
        <v>1162</v>
      </c>
      <c r="T98" t="str">
        <f t="shared" si="8"/>
        <v>4H</v>
      </c>
    </row>
    <row r="99" spans="18:20">
      <c r="R99" cm="1">
        <f t="array" ref="R99" xml:space="preserve"> 1 + _xlfn.SINGLE(ROW()) - _xlfn.SINGLE(ROW(ExportSubstitutions_Within.RowNum))</f>
        <v>94</v>
      </c>
      <c r="S99" t="s">
        <v>1163</v>
      </c>
      <c r="T99" t="str">
        <f t="shared" si="8"/>
        <v>5H</v>
      </c>
    </row>
    <row r="100" spans="18:20">
      <c r="R100" cm="1">
        <f t="array" ref="R100" xml:space="preserve"> 1 + _xlfn.SINGLE(ROW()) - _xlfn.SINGLE(ROW(ExportSubstitutions_Within.RowNum))</f>
        <v>95</v>
      </c>
      <c r="S100" t="s">
        <v>1164</v>
      </c>
      <c r="T100" t="str">
        <f t="shared" si="8"/>
        <v>6H</v>
      </c>
    </row>
    <row r="101" spans="18:20">
      <c r="R101" cm="1">
        <f t="array" ref="R101" xml:space="preserve"> 1 + _xlfn.SINGLE(ROW()) - _xlfn.SINGLE(ROW(ExportSubstitutions_Within.RowNum))</f>
        <v>96</v>
      </c>
      <c r="S101" t="s">
        <v>1165</v>
      </c>
      <c r="T101" t="str">
        <f t="shared" si="8"/>
        <v>7H</v>
      </c>
    </row>
    <row r="102" spans="18:20">
      <c r="R102" cm="1">
        <f t="array" ref="R102" xml:space="preserve"> 1 + _xlfn.SINGLE(ROW()) - _xlfn.SINGLE(ROW(ExportSubstitutions_Within.RowNum))</f>
        <v>97</v>
      </c>
      <c r="S102" t="s">
        <v>1166</v>
      </c>
      <c r="T102" t="str">
        <f t="shared" si="8"/>
        <v>8H</v>
      </c>
    </row>
    <row r="103" spans="18:20">
      <c r="R103" cm="1">
        <f t="array" ref="R103" xml:space="preserve"> 1 + _xlfn.SINGLE(ROW()) - _xlfn.SINGLE(ROW(ExportSubstitutions_Within.RowNum))</f>
        <v>98</v>
      </c>
      <c r="S103" t="s">
        <v>1167</v>
      </c>
      <c r="T103" t="str">
        <f t="shared" si="8"/>
        <v>9H</v>
      </c>
    </row>
    <row r="104" spans="18:20">
      <c r="R104" cm="1">
        <f t="array" ref="R104" xml:space="preserve"> 1 + _xlfn.SINGLE(ROW()) - _xlfn.SINGLE(ROW(ExportSubstitutions_Within.RowNum))</f>
        <v>99</v>
      </c>
      <c r="S104" t="s">
        <v>1168</v>
      </c>
      <c r="T104" t="str">
        <f t="shared" si="8"/>
        <v>H0</v>
      </c>
    </row>
    <row r="105" spans="18:20">
      <c r="R105" cm="1">
        <f t="array" ref="R105" xml:space="preserve"> 1 + _xlfn.SINGLE(ROW()) - _xlfn.SINGLE(ROW(ExportSubstitutions_Within.RowNum))</f>
        <v>100</v>
      </c>
      <c r="S105" t="s">
        <v>1169</v>
      </c>
      <c r="T105" t="str">
        <f t="shared" si="8"/>
        <v>H1</v>
      </c>
    </row>
    <row r="106" spans="18:20">
      <c r="R106" cm="1">
        <f t="array" ref="R106" xml:space="preserve"> 1 + _xlfn.SINGLE(ROW()) - _xlfn.SINGLE(ROW(ExportSubstitutions_Within.RowNum))</f>
        <v>101</v>
      </c>
      <c r="S106" t="s">
        <v>1170</v>
      </c>
      <c r="T106" t="str">
        <f t="shared" si="8"/>
        <v>H2</v>
      </c>
    </row>
    <row r="107" spans="18:20">
      <c r="R107" cm="1">
        <f t="array" ref="R107" xml:space="preserve"> 1 + _xlfn.SINGLE(ROW()) - _xlfn.SINGLE(ROW(ExportSubstitutions_Within.RowNum))</f>
        <v>102</v>
      </c>
      <c r="S107" t="s">
        <v>1171</v>
      </c>
      <c r="T107" t="str">
        <f t="shared" si="8"/>
        <v>H3</v>
      </c>
    </row>
    <row r="108" spans="18:20">
      <c r="R108" cm="1">
        <f t="array" ref="R108" xml:space="preserve"> 1 + _xlfn.SINGLE(ROW()) - _xlfn.SINGLE(ROW(ExportSubstitutions_Within.RowNum))</f>
        <v>103</v>
      </c>
      <c r="S108" t="s">
        <v>1172</v>
      </c>
      <c r="T108" t="str">
        <f t="shared" si="8"/>
        <v>H4</v>
      </c>
    </row>
    <row r="109" spans="18:20">
      <c r="R109" cm="1">
        <f t="array" ref="R109" xml:space="preserve"> 1 + _xlfn.SINGLE(ROW()) - _xlfn.SINGLE(ROW(ExportSubstitutions_Within.RowNum))</f>
        <v>104</v>
      </c>
      <c r="S109" t="s">
        <v>1173</v>
      </c>
      <c r="T109" t="str">
        <f t="shared" si="8"/>
        <v>H5</v>
      </c>
    </row>
    <row r="110" spans="18:20">
      <c r="R110" cm="1">
        <f t="array" ref="R110" xml:space="preserve"> 1 + _xlfn.SINGLE(ROW()) - _xlfn.SINGLE(ROW(ExportSubstitutions_Within.RowNum))</f>
        <v>105</v>
      </c>
      <c r="S110" t="s">
        <v>1174</v>
      </c>
      <c r="T110" t="str">
        <f t="shared" si="8"/>
        <v>H6</v>
      </c>
    </row>
    <row r="111" spans="18:20">
      <c r="R111" cm="1">
        <f t="array" ref="R111" xml:space="preserve"> 1 + _xlfn.SINGLE(ROW()) - _xlfn.SINGLE(ROW(ExportSubstitutions_Within.RowNum))</f>
        <v>106</v>
      </c>
      <c r="S111" t="s">
        <v>1175</v>
      </c>
      <c r="T111" t="str">
        <f t="shared" si="8"/>
        <v>H7</v>
      </c>
    </row>
    <row r="112" spans="18:20">
      <c r="R112" cm="1">
        <f t="array" ref="R112" xml:space="preserve"> 1 + _xlfn.SINGLE(ROW()) - _xlfn.SINGLE(ROW(ExportSubstitutions_Within.RowNum))</f>
        <v>107</v>
      </c>
      <c r="S112" t="s">
        <v>1176</v>
      </c>
      <c r="T112" t="str">
        <f t="shared" si="8"/>
        <v>H8</v>
      </c>
    </row>
    <row r="113" spans="18:20">
      <c r="R113" cm="1">
        <f t="array" ref="R113" xml:space="preserve"> 1 + _xlfn.SINGLE(ROW()) - _xlfn.SINGLE(ROW(ExportSubstitutions_Within.RowNum))</f>
        <v>108</v>
      </c>
      <c r="S113" t="s">
        <v>1177</v>
      </c>
      <c r="T113" t="str">
        <f t="shared" si="8"/>
        <v>H9</v>
      </c>
    </row>
    <row r="114" spans="18:20">
      <c r="R114" cm="1">
        <f t="array" ref="R114" xml:space="preserve"> 1 + _xlfn.SINGLE(ROW()) - _xlfn.SINGLE(ROW(ExportSubstitutions_Within.RowNum))</f>
        <v>109</v>
      </c>
      <c r="S114" t="s">
        <v>1584</v>
      </c>
      <c r="T114" t="str">
        <f t="shared" si="8"/>
        <v>H.</v>
      </c>
    </row>
    <row r="115" spans="18:20">
      <c r="R115" cm="1">
        <f t="array" ref="R115" xml:space="preserve"> 1 + _xlfn.SINGLE(ROW()) - _xlfn.SINGLE(ROW(ExportSubstitutions_Within.RowNum))</f>
        <v>110</v>
      </c>
      <c r="S115" t="s">
        <v>1593</v>
      </c>
      <c r="T115" t="str">
        <f t="shared" si="8"/>
        <v>H-</v>
      </c>
    </row>
    <row r="116" spans="18:20">
      <c r="R116" cm="1">
        <f t="array" ref="R116" xml:space="preserve"> 1 + _xlfn.SINGLE(ROW()) - _xlfn.SINGLE(ROW(ExportSubstitutions_Within.RowNum))</f>
        <v>111</v>
      </c>
      <c r="S116" t="s">
        <v>1178</v>
      </c>
      <c r="T116" t="str">
        <f t="shared" si="8"/>
        <v>0h</v>
      </c>
    </row>
    <row r="117" spans="18:20">
      <c r="R117" cm="1">
        <f t="array" ref="R117" xml:space="preserve"> 1 + _xlfn.SINGLE(ROW()) - _xlfn.SINGLE(ROW(ExportSubstitutions_Within.RowNum))</f>
        <v>112</v>
      </c>
      <c r="S117" t="s">
        <v>1179</v>
      </c>
      <c r="T117" t="str">
        <f t="shared" si="8"/>
        <v>1h</v>
      </c>
    </row>
    <row r="118" spans="18:20">
      <c r="R118" cm="1">
        <f t="array" ref="R118" xml:space="preserve"> 1 + _xlfn.SINGLE(ROW()) - _xlfn.SINGLE(ROW(ExportSubstitutions_Within.RowNum))</f>
        <v>113</v>
      </c>
      <c r="S118" t="s">
        <v>1180</v>
      </c>
      <c r="T118" t="str">
        <f t="shared" si="8"/>
        <v>2h</v>
      </c>
    </row>
    <row r="119" spans="18:20">
      <c r="R119" cm="1">
        <f t="array" ref="R119" xml:space="preserve"> 1 + _xlfn.SINGLE(ROW()) - _xlfn.SINGLE(ROW(ExportSubstitutions_Within.RowNum))</f>
        <v>114</v>
      </c>
      <c r="S119" t="s">
        <v>1181</v>
      </c>
      <c r="T119" t="str">
        <f t="shared" si="8"/>
        <v>3h</v>
      </c>
    </row>
    <row r="120" spans="18:20">
      <c r="R120" cm="1">
        <f t="array" ref="R120" xml:space="preserve"> 1 + _xlfn.SINGLE(ROW()) - _xlfn.SINGLE(ROW(ExportSubstitutions_Within.RowNum))</f>
        <v>115</v>
      </c>
      <c r="S120" t="s">
        <v>1182</v>
      </c>
      <c r="T120" t="str">
        <f t="shared" si="8"/>
        <v>4h</v>
      </c>
    </row>
    <row r="121" spans="18:20">
      <c r="R121" cm="1">
        <f t="array" ref="R121" xml:space="preserve"> 1 + _xlfn.SINGLE(ROW()) - _xlfn.SINGLE(ROW(ExportSubstitutions_Within.RowNum))</f>
        <v>116</v>
      </c>
      <c r="S121" t="s">
        <v>1183</v>
      </c>
      <c r="T121" t="str">
        <f t="shared" si="8"/>
        <v>5h</v>
      </c>
    </row>
    <row r="122" spans="18:20">
      <c r="R122" cm="1">
        <f t="array" ref="R122" xml:space="preserve"> 1 + _xlfn.SINGLE(ROW()) - _xlfn.SINGLE(ROW(ExportSubstitutions_Within.RowNum))</f>
        <v>117</v>
      </c>
      <c r="S122" t="s">
        <v>1184</v>
      </c>
      <c r="T122" t="str">
        <f t="shared" si="8"/>
        <v>6h</v>
      </c>
    </row>
    <row r="123" spans="18:20">
      <c r="R123" cm="1">
        <f t="array" ref="R123" xml:space="preserve"> 1 + _xlfn.SINGLE(ROW()) - _xlfn.SINGLE(ROW(ExportSubstitutions_Within.RowNum))</f>
        <v>118</v>
      </c>
      <c r="S123" t="s">
        <v>1185</v>
      </c>
      <c r="T123" t="str">
        <f t="shared" si="8"/>
        <v>7h</v>
      </c>
    </row>
    <row r="124" spans="18:20">
      <c r="R124" cm="1">
        <f t="array" ref="R124" xml:space="preserve"> 1 + _xlfn.SINGLE(ROW()) - _xlfn.SINGLE(ROW(ExportSubstitutions_Within.RowNum))</f>
        <v>119</v>
      </c>
      <c r="S124" t="s">
        <v>1186</v>
      </c>
      <c r="T124" t="str">
        <f t="shared" si="8"/>
        <v>8h</v>
      </c>
    </row>
    <row r="125" spans="18:20">
      <c r="R125" cm="1">
        <f t="array" ref="R125" xml:space="preserve"> 1 + _xlfn.SINGLE(ROW()) - _xlfn.SINGLE(ROW(ExportSubstitutions_Within.RowNum))</f>
        <v>120</v>
      </c>
      <c r="S125" t="s">
        <v>1187</v>
      </c>
      <c r="T125" t="str">
        <f t="shared" si="8"/>
        <v>9h</v>
      </c>
    </row>
    <row r="126" spans="18:20">
      <c r="R126" cm="1">
        <f t="array" ref="R126" xml:space="preserve"> 1 + _xlfn.SINGLE(ROW()) - _xlfn.SINGLE(ROW(ExportSubstitutions_Within.RowNum))</f>
        <v>121</v>
      </c>
      <c r="S126" t="s">
        <v>1188</v>
      </c>
      <c r="T126" t="str">
        <f t="shared" si="8"/>
        <v>h0</v>
      </c>
    </row>
    <row r="127" spans="18:20">
      <c r="R127" cm="1">
        <f t="array" ref="R127" xml:space="preserve"> 1 + _xlfn.SINGLE(ROW()) - _xlfn.SINGLE(ROW(ExportSubstitutions_Within.RowNum))</f>
        <v>122</v>
      </c>
      <c r="S127" t="s">
        <v>1189</v>
      </c>
      <c r="T127" t="str">
        <f t="shared" si="8"/>
        <v>h1</v>
      </c>
    </row>
    <row r="128" spans="18:20">
      <c r="R128" cm="1">
        <f t="array" ref="R128" xml:space="preserve"> 1 + _xlfn.SINGLE(ROW()) - _xlfn.SINGLE(ROW(ExportSubstitutions_Within.RowNum))</f>
        <v>123</v>
      </c>
      <c r="S128" t="s">
        <v>1190</v>
      </c>
      <c r="T128" t="str">
        <f t="shared" si="8"/>
        <v>h2</v>
      </c>
    </row>
    <row r="129" spans="18:20">
      <c r="R129" cm="1">
        <f t="array" ref="R129" xml:space="preserve"> 1 + _xlfn.SINGLE(ROW()) - _xlfn.SINGLE(ROW(ExportSubstitutions_Within.RowNum))</f>
        <v>124</v>
      </c>
      <c r="S129" t="s">
        <v>1191</v>
      </c>
      <c r="T129" t="str">
        <f t="shared" si="8"/>
        <v>h3</v>
      </c>
    </row>
    <row r="130" spans="18:20">
      <c r="R130" cm="1">
        <f t="array" ref="R130" xml:space="preserve"> 1 + _xlfn.SINGLE(ROW()) - _xlfn.SINGLE(ROW(ExportSubstitutions_Within.RowNum))</f>
        <v>125</v>
      </c>
      <c r="S130" t="s">
        <v>1192</v>
      </c>
      <c r="T130" t="str">
        <f t="shared" si="8"/>
        <v>h4</v>
      </c>
    </row>
    <row r="131" spans="18:20">
      <c r="R131" cm="1">
        <f t="array" ref="R131" xml:space="preserve"> 1 + _xlfn.SINGLE(ROW()) - _xlfn.SINGLE(ROW(ExportSubstitutions_Within.RowNum))</f>
        <v>126</v>
      </c>
      <c r="S131" t="s">
        <v>1193</v>
      </c>
      <c r="T131" t="str">
        <f t="shared" si="8"/>
        <v>h5</v>
      </c>
    </row>
    <row r="132" spans="18:20">
      <c r="R132" cm="1">
        <f t="array" ref="R132" xml:space="preserve"> 1 + _xlfn.SINGLE(ROW()) - _xlfn.SINGLE(ROW(ExportSubstitutions_Within.RowNum))</f>
        <v>127</v>
      </c>
      <c r="S132" t="s">
        <v>1194</v>
      </c>
      <c r="T132" t="str">
        <f t="shared" si="8"/>
        <v>h6</v>
      </c>
    </row>
    <row r="133" spans="18:20">
      <c r="R133" cm="1">
        <f t="array" ref="R133" xml:space="preserve"> 1 + _xlfn.SINGLE(ROW()) - _xlfn.SINGLE(ROW(ExportSubstitutions_Within.RowNum))</f>
        <v>128</v>
      </c>
      <c r="S133" t="s">
        <v>1195</v>
      </c>
      <c r="T133" t="str">
        <f t="shared" si="8"/>
        <v>h7</v>
      </c>
    </row>
    <row r="134" spans="18:20">
      <c r="R134" cm="1">
        <f t="array" ref="R134" xml:space="preserve"> 1 + _xlfn.SINGLE(ROW()) - _xlfn.SINGLE(ROW(ExportSubstitutions_Within.RowNum))</f>
        <v>129</v>
      </c>
      <c r="S134" t="s">
        <v>1196</v>
      </c>
      <c r="T134" t="str">
        <f t="shared" ref="T134:T197" si="9" xml:space="preserve"> SUBSTITUTE(ExportSubstitutions_Within.From, " ", "")</f>
        <v>h8</v>
      </c>
    </row>
    <row r="135" spans="18:20">
      <c r="R135" cm="1">
        <f t="array" ref="R135" xml:space="preserve"> 1 + _xlfn.SINGLE(ROW()) - _xlfn.SINGLE(ROW(ExportSubstitutions_Within.RowNum))</f>
        <v>130</v>
      </c>
      <c r="S135" t="s">
        <v>1197</v>
      </c>
      <c r="T135" t="str">
        <f t="shared" si="9"/>
        <v>h9</v>
      </c>
    </row>
    <row r="136" spans="18:20">
      <c r="R136" cm="1">
        <f t="array" ref="R136" xml:space="preserve"> 1 + _xlfn.SINGLE(ROW()) - _xlfn.SINGLE(ROW(ExportSubstitutions_Within.RowNum))</f>
        <v>131</v>
      </c>
      <c r="S136" t="s">
        <v>1585</v>
      </c>
      <c r="T136" t="str">
        <f t="shared" si="9"/>
        <v>h.</v>
      </c>
    </row>
    <row r="137" spans="18:20">
      <c r="R137" cm="1">
        <f t="array" ref="R137" xml:space="preserve"> 1 + _xlfn.SINGLE(ROW()) - _xlfn.SINGLE(ROW(ExportSubstitutions_Within.RowNum))</f>
        <v>132</v>
      </c>
      <c r="S137" t="s">
        <v>1594</v>
      </c>
      <c r="T137" t="str">
        <f t="shared" si="9"/>
        <v>h-</v>
      </c>
    </row>
    <row r="138" spans="18:20">
      <c r="R138" cm="1">
        <f t="array" ref="R138" xml:space="preserve"> 1 + _xlfn.SINGLE(ROW()) - _xlfn.SINGLE(ROW(ExportSubstitutions_Within.RowNum))</f>
        <v>133</v>
      </c>
      <c r="S138" t="s">
        <v>1198</v>
      </c>
      <c r="T138" t="str">
        <f t="shared" si="9"/>
        <v>0L</v>
      </c>
    </row>
    <row r="139" spans="18:20">
      <c r="R139" cm="1">
        <f t="array" ref="R139" xml:space="preserve"> 1 + _xlfn.SINGLE(ROW()) - _xlfn.SINGLE(ROW(ExportSubstitutions_Within.RowNum))</f>
        <v>134</v>
      </c>
      <c r="S139" t="s">
        <v>1199</v>
      </c>
      <c r="T139" t="str">
        <f t="shared" si="9"/>
        <v>1L</v>
      </c>
    </row>
    <row r="140" spans="18:20">
      <c r="R140" cm="1">
        <f t="array" ref="R140" xml:space="preserve"> 1 + _xlfn.SINGLE(ROW()) - _xlfn.SINGLE(ROW(ExportSubstitutions_Within.RowNum))</f>
        <v>135</v>
      </c>
      <c r="S140" t="s">
        <v>1200</v>
      </c>
      <c r="T140" t="str">
        <f t="shared" si="9"/>
        <v>2L</v>
      </c>
    </row>
    <row r="141" spans="18:20">
      <c r="R141" cm="1">
        <f t="array" ref="R141" xml:space="preserve"> 1 + _xlfn.SINGLE(ROW()) - _xlfn.SINGLE(ROW(ExportSubstitutions_Within.RowNum))</f>
        <v>136</v>
      </c>
      <c r="S141" t="s">
        <v>1201</v>
      </c>
      <c r="T141" t="str">
        <f t="shared" si="9"/>
        <v>3L</v>
      </c>
    </row>
    <row r="142" spans="18:20">
      <c r="R142" cm="1">
        <f t="array" ref="R142" xml:space="preserve"> 1 + _xlfn.SINGLE(ROW()) - _xlfn.SINGLE(ROW(ExportSubstitutions_Within.RowNum))</f>
        <v>137</v>
      </c>
      <c r="S142" t="s">
        <v>1202</v>
      </c>
      <c r="T142" t="str">
        <f t="shared" si="9"/>
        <v>4L</v>
      </c>
    </row>
    <row r="143" spans="18:20">
      <c r="R143" cm="1">
        <f t="array" ref="R143" xml:space="preserve"> 1 + _xlfn.SINGLE(ROW()) - _xlfn.SINGLE(ROW(ExportSubstitutions_Within.RowNum))</f>
        <v>138</v>
      </c>
      <c r="S143" t="s">
        <v>1203</v>
      </c>
      <c r="T143" t="str">
        <f t="shared" si="9"/>
        <v>5L</v>
      </c>
    </row>
    <row r="144" spans="18:20">
      <c r="R144" cm="1">
        <f t="array" ref="R144" xml:space="preserve"> 1 + _xlfn.SINGLE(ROW()) - _xlfn.SINGLE(ROW(ExportSubstitutions_Within.RowNum))</f>
        <v>139</v>
      </c>
      <c r="S144" t="s">
        <v>1204</v>
      </c>
      <c r="T144" t="str">
        <f t="shared" si="9"/>
        <v>6L</v>
      </c>
    </row>
    <row r="145" spans="18:20">
      <c r="R145" cm="1">
        <f t="array" ref="R145" xml:space="preserve"> 1 + _xlfn.SINGLE(ROW()) - _xlfn.SINGLE(ROW(ExportSubstitutions_Within.RowNum))</f>
        <v>140</v>
      </c>
      <c r="S145" t="s">
        <v>1205</v>
      </c>
      <c r="T145" t="str">
        <f t="shared" si="9"/>
        <v>7L</v>
      </c>
    </row>
    <row r="146" spans="18:20">
      <c r="R146" cm="1">
        <f t="array" ref="R146" xml:space="preserve"> 1 + _xlfn.SINGLE(ROW()) - _xlfn.SINGLE(ROW(ExportSubstitutions_Within.RowNum))</f>
        <v>141</v>
      </c>
      <c r="S146" t="s">
        <v>1206</v>
      </c>
      <c r="T146" t="str">
        <f t="shared" si="9"/>
        <v>8L</v>
      </c>
    </row>
    <row r="147" spans="18:20">
      <c r="R147" cm="1">
        <f t="array" ref="R147" xml:space="preserve"> 1 + _xlfn.SINGLE(ROW()) - _xlfn.SINGLE(ROW(ExportSubstitutions_Within.RowNum))</f>
        <v>142</v>
      </c>
      <c r="S147" t="s">
        <v>1207</v>
      </c>
      <c r="T147" t="str">
        <f t="shared" si="9"/>
        <v>9L</v>
      </c>
    </row>
    <row r="148" spans="18:20">
      <c r="R148" cm="1">
        <f t="array" ref="R148" xml:space="preserve"> 1 + _xlfn.SINGLE(ROW()) - _xlfn.SINGLE(ROW(ExportSubstitutions_Within.RowNum))</f>
        <v>143</v>
      </c>
      <c r="S148" t="s">
        <v>1208</v>
      </c>
      <c r="T148" t="str">
        <f t="shared" si="9"/>
        <v>L0</v>
      </c>
    </row>
    <row r="149" spans="18:20">
      <c r="R149" cm="1">
        <f t="array" ref="R149" xml:space="preserve"> 1 + _xlfn.SINGLE(ROW()) - _xlfn.SINGLE(ROW(ExportSubstitutions_Within.RowNum))</f>
        <v>144</v>
      </c>
      <c r="S149" t="s">
        <v>1209</v>
      </c>
      <c r="T149" t="str">
        <f t="shared" si="9"/>
        <v>L1</v>
      </c>
    </row>
    <row r="150" spans="18:20">
      <c r="R150" cm="1">
        <f t="array" ref="R150" xml:space="preserve"> 1 + _xlfn.SINGLE(ROW()) - _xlfn.SINGLE(ROW(ExportSubstitutions_Within.RowNum))</f>
        <v>145</v>
      </c>
      <c r="S150" t="s">
        <v>1210</v>
      </c>
      <c r="T150" t="str">
        <f t="shared" si="9"/>
        <v>L2</v>
      </c>
    </row>
    <row r="151" spans="18:20">
      <c r="R151" cm="1">
        <f t="array" ref="R151" xml:space="preserve"> 1 + _xlfn.SINGLE(ROW()) - _xlfn.SINGLE(ROW(ExportSubstitutions_Within.RowNum))</f>
        <v>146</v>
      </c>
      <c r="S151" t="s">
        <v>1211</v>
      </c>
      <c r="T151" t="str">
        <f t="shared" si="9"/>
        <v>L3</v>
      </c>
    </row>
    <row r="152" spans="18:20">
      <c r="R152" cm="1">
        <f t="array" ref="R152" xml:space="preserve"> 1 + _xlfn.SINGLE(ROW()) - _xlfn.SINGLE(ROW(ExportSubstitutions_Within.RowNum))</f>
        <v>147</v>
      </c>
      <c r="S152" t="s">
        <v>1212</v>
      </c>
      <c r="T152" t="str">
        <f t="shared" si="9"/>
        <v>L4</v>
      </c>
    </row>
    <row r="153" spans="18:20">
      <c r="R153" cm="1">
        <f t="array" ref="R153" xml:space="preserve"> 1 + _xlfn.SINGLE(ROW()) - _xlfn.SINGLE(ROW(ExportSubstitutions_Within.RowNum))</f>
        <v>148</v>
      </c>
      <c r="S153" t="s">
        <v>1213</v>
      </c>
      <c r="T153" t="str">
        <f t="shared" si="9"/>
        <v>L5</v>
      </c>
    </row>
    <row r="154" spans="18:20">
      <c r="R154" cm="1">
        <f t="array" ref="R154" xml:space="preserve"> 1 + _xlfn.SINGLE(ROW()) - _xlfn.SINGLE(ROW(ExportSubstitutions_Within.RowNum))</f>
        <v>149</v>
      </c>
      <c r="S154" t="s">
        <v>1214</v>
      </c>
      <c r="T154" t="str">
        <f t="shared" si="9"/>
        <v>L6</v>
      </c>
    </row>
    <row r="155" spans="18:20">
      <c r="R155" cm="1">
        <f t="array" ref="R155" xml:space="preserve"> 1 + _xlfn.SINGLE(ROW()) - _xlfn.SINGLE(ROW(ExportSubstitutions_Within.RowNum))</f>
        <v>150</v>
      </c>
      <c r="S155" t="s">
        <v>1215</v>
      </c>
      <c r="T155" t="str">
        <f t="shared" si="9"/>
        <v>L7</v>
      </c>
    </row>
    <row r="156" spans="18:20">
      <c r="R156" cm="1">
        <f t="array" ref="R156" xml:space="preserve"> 1 + _xlfn.SINGLE(ROW()) - _xlfn.SINGLE(ROW(ExportSubstitutions_Within.RowNum))</f>
        <v>151</v>
      </c>
      <c r="S156" t="s">
        <v>1216</v>
      </c>
      <c r="T156" t="str">
        <f t="shared" si="9"/>
        <v>L8</v>
      </c>
    </row>
    <row r="157" spans="18:20">
      <c r="R157" cm="1">
        <f t="array" ref="R157" xml:space="preserve"> 1 + _xlfn.SINGLE(ROW()) - _xlfn.SINGLE(ROW(ExportSubstitutions_Within.RowNum))</f>
        <v>152</v>
      </c>
      <c r="S157" t="s">
        <v>1217</v>
      </c>
      <c r="T157" t="str">
        <f t="shared" si="9"/>
        <v>L9</v>
      </c>
    </row>
    <row r="158" spans="18:20">
      <c r="R158" cm="1">
        <f t="array" ref="R158" xml:space="preserve"> 1 + _xlfn.SINGLE(ROW()) - _xlfn.SINGLE(ROW(ExportSubstitutions_Within.RowNum))</f>
        <v>153</v>
      </c>
      <c r="S158" t="s">
        <v>1586</v>
      </c>
      <c r="T158" t="str">
        <f t="shared" si="9"/>
        <v>L.</v>
      </c>
    </row>
    <row r="159" spans="18:20">
      <c r="R159" cm="1">
        <f t="array" ref="R159" xml:space="preserve"> 1 + _xlfn.SINGLE(ROW()) - _xlfn.SINGLE(ROW(ExportSubstitutions_Within.RowNum))</f>
        <v>154</v>
      </c>
      <c r="S159" t="s">
        <v>1595</v>
      </c>
      <c r="T159" t="str">
        <f t="shared" si="9"/>
        <v>L-</v>
      </c>
    </row>
    <row r="160" spans="18:20">
      <c r="R160" cm="1">
        <f t="array" ref="R160" xml:space="preserve"> 1 + _xlfn.SINGLE(ROW()) - _xlfn.SINGLE(ROW(ExportSubstitutions_Within.RowNum))</f>
        <v>155</v>
      </c>
      <c r="S160" t="s">
        <v>1218</v>
      </c>
      <c r="T160" t="str">
        <f t="shared" si="9"/>
        <v>0l</v>
      </c>
    </row>
    <row r="161" spans="18:20">
      <c r="R161" cm="1">
        <f t="array" ref="R161" xml:space="preserve"> 1 + _xlfn.SINGLE(ROW()) - _xlfn.SINGLE(ROW(ExportSubstitutions_Within.RowNum))</f>
        <v>156</v>
      </c>
      <c r="S161" t="s">
        <v>1219</v>
      </c>
      <c r="T161" t="str">
        <f t="shared" si="9"/>
        <v>1l</v>
      </c>
    </row>
    <row r="162" spans="18:20">
      <c r="R162" cm="1">
        <f t="array" ref="R162" xml:space="preserve"> 1 + _xlfn.SINGLE(ROW()) - _xlfn.SINGLE(ROW(ExportSubstitutions_Within.RowNum))</f>
        <v>157</v>
      </c>
      <c r="S162" t="s">
        <v>1220</v>
      </c>
      <c r="T162" t="str">
        <f t="shared" si="9"/>
        <v>2l</v>
      </c>
    </row>
    <row r="163" spans="18:20">
      <c r="R163" cm="1">
        <f t="array" ref="R163" xml:space="preserve"> 1 + _xlfn.SINGLE(ROW()) - _xlfn.SINGLE(ROW(ExportSubstitutions_Within.RowNum))</f>
        <v>158</v>
      </c>
      <c r="S163" t="s">
        <v>1221</v>
      </c>
      <c r="T163" t="str">
        <f t="shared" si="9"/>
        <v>3l</v>
      </c>
    </row>
    <row r="164" spans="18:20">
      <c r="R164" cm="1">
        <f t="array" ref="R164" xml:space="preserve"> 1 + _xlfn.SINGLE(ROW()) - _xlfn.SINGLE(ROW(ExportSubstitutions_Within.RowNum))</f>
        <v>159</v>
      </c>
      <c r="S164" t="s">
        <v>1222</v>
      </c>
      <c r="T164" t="str">
        <f t="shared" si="9"/>
        <v>4l</v>
      </c>
    </row>
    <row r="165" spans="18:20">
      <c r="R165" cm="1">
        <f t="array" ref="R165" xml:space="preserve"> 1 + _xlfn.SINGLE(ROW()) - _xlfn.SINGLE(ROW(ExportSubstitutions_Within.RowNum))</f>
        <v>160</v>
      </c>
      <c r="S165" t="s">
        <v>1223</v>
      </c>
      <c r="T165" t="str">
        <f t="shared" si="9"/>
        <v>5l</v>
      </c>
    </row>
    <row r="166" spans="18:20">
      <c r="R166" cm="1">
        <f t="array" ref="R166" xml:space="preserve"> 1 + _xlfn.SINGLE(ROW()) - _xlfn.SINGLE(ROW(ExportSubstitutions_Within.RowNum))</f>
        <v>161</v>
      </c>
      <c r="S166" t="s">
        <v>1224</v>
      </c>
      <c r="T166" t="str">
        <f t="shared" si="9"/>
        <v>6l</v>
      </c>
    </row>
    <row r="167" spans="18:20">
      <c r="R167" cm="1">
        <f t="array" ref="R167" xml:space="preserve"> 1 + _xlfn.SINGLE(ROW()) - _xlfn.SINGLE(ROW(ExportSubstitutions_Within.RowNum))</f>
        <v>162</v>
      </c>
      <c r="S167" t="s">
        <v>1225</v>
      </c>
      <c r="T167" t="str">
        <f t="shared" si="9"/>
        <v>7l</v>
      </c>
    </row>
    <row r="168" spans="18:20">
      <c r="R168" cm="1">
        <f t="array" ref="R168" xml:space="preserve"> 1 + _xlfn.SINGLE(ROW()) - _xlfn.SINGLE(ROW(ExportSubstitutions_Within.RowNum))</f>
        <v>163</v>
      </c>
      <c r="S168" t="s">
        <v>1226</v>
      </c>
      <c r="T168" t="str">
        <f t="shared" si="9"/>
        <v>8l</v>
      </c>
    </row>
    <row r="169" spans="18:20">
      <c r="R169" cm="1">
        <f t="array" ref="R169" xml:space="preserve"> 1 + _xlfn.SINGLE(ROW()) - _xlfn.SINGLE(ROW(ExportSubstitutions_Within.RowNum))</f>
        <v>164</v>
      </c>
      <c r="S169" t="s">
        <v>1227</v>
      </c>
      <c r="T169" t="str">
        <f t="shared" si="9"/>
        <v>9l</v>
      </c>
    </row>
    <row r="170" spans="18:20">
      <c r="R170" cm="1">
        <f t="array" ref="R170" xml:space="preserve"> 1 + _xlfn.SINGLE(ROW()) - _xlfn.SINGLE(ROW(ExportSubstitutions_Within.RowNum))</f>
        <v>165</v>
      </c>
      <c r="S170" t="s">
        <v>1228</v>
      </c>
      <c r="T170" t="str">
        <f t="shared" si="9"/>
        <v>l0</v>
      </c>
    </row>
    <row r="171" spans="18:20">
      <c r="R171" cm="1">
        <f t="array" ref="R171" xml:space="preserve"> 1 + _xlfn.SINGLE(ROW()) - _xlfn.SINGLE(ROW(ExportSubstitutions_Within.RowNum))</f>
        <v>166</v>
      </c>
      <c r="S171" t="s">
        <v>1229</v>
      </c>
      <c r="T171" t="str">
        <f t="shared" si="9"/>
        <v>l1</v>
      </c>
    </row>
    <row r="172" spans="18:20">
      <c r="R172" cm="1">
        <f t="array" ref="R172" xml:space="preserve"> 1 + _xlfn.SINGLE(ROW()) - _xlfn.SINGLE(ROW(ExportSubstitutions_Within.RowNum))</f>
        <v>167</v>
      </c>
      <c r="S172" t="s">
        <v>1230</v>
      </c>
      <c r="T172" t="str">
        <f t="shared" si="9"/>
        <v>l2</v>
      </c>
    </row>
    <row r="173" spans="18:20">
      <c r="R173" cm="1">
        <f t="array" ref="R173" xml:space="preserve"> 1 + _xlfn.SINGLE(ROW()) - _xlfn.SINGLE(ROW(ExportSubstitutions_Within.RowNum))</f>
        <v>168</v>
      </c>
      <c r="S173" t="s">
        <v>1231</v>
      </c>
      <c r="T173" t="str">
        <f t="shared" si="9"/>
        <v>l3</v>
      </c>
    </row>
    <row r="174" spans="18:20">
      <c r="R174" cm="1">
        <f t="array" ref="R174" xml:space="preserve"> 1 + _xlfn.SINGLE(ROW()) - _xlfn.SINGLE(ROW(ExportSubstitutions_Within.RowNum))</f>
        <v>169</v>
      </c>
      <c r="S174" t="s">
        <v>1232</v>
      </c>
      <c r="T174" t="str">
        <f t="shared" si="9"/>
        <v>l4</v>
      </c>
    </row>
    <row r="175" spans="18:20">
      <c r="R175" cm="1">
        <f t="array" ref="R175" xml:space="preserve"> 1 + _xlfn.SINGLE(ROW()) - _xlfn.SINGLE(ROW(ExportSubstitutions_Within.RowNum))</f>
        <v>170</v>
      </c>
      <c r="S175" t="s">
        <v>1233</v>
      </c>
      <c r="T175" t="str">
        <f t="shared" si="9"/>
        <v>l5</v>
      </c>
    </row>
    <row r="176" spans="18:20">
      <c r="R176" cm="1">
        <f t="array" ref="R176" xml:space="preserve"> 1 + _xlfn.SINGLE(ROW()) - _xlfn.SINGLE(ROW(ExportSubstitutions_Within.RowNum))</f>
        <v>171</v>
      </c>
      <c r="S176" t="s">
        <v>1234</v>
      </c>
      <c r="T176" t="str">
        <f t="shared" si="9"/>
        <v>l6</v>
      </c>
    </row>
    <row r="177" spans="18:20">
      <c r="R177" cm="1">
        <f t="array" ref="R177" xml:space="preserve"> 1 + _xlfn.SINGLE(ROW()) - _xlfn.SINGLE(ROW(ExportSubstitutions_Within.RowNum))</f>
        <v>172</v>
      </c>
      <c r="S177" t="s">
        <v>1235</v>
      </c>
      <c r="T177" t="str">
        <f t="shared" si="9"/>
        <v>l7</v>
      </c>
    </row>
    <row r="178" spans="18:20">
      <c r="R178" cm="1">
        <f t="array" ref="R178" xml:space="preserve"> 1 + _xlfn.SINGLE(ROW()) - _xlfn.SINGLE(ROW(ExportSubstitutions_Within.RowNum))</f>
        <v>173</v>
      </c>
      <c r="S178" t="s">
        <v>1236</v>
      </c>
      <c r="T178" t="str">
        <f t="shared" si="9"/>
        <v>l8</v>
      </c>
    </row>
    <row r="179" spans="18:20">
      <c r="R179" cm="1">
        <f t="array" ref="R179" xml:space="preserve"> 1 + _xlfn.SINGLE(ROW()) - _xlfn.SINGLE(ROW(ExportSubstitutions_Within.RowNum))</f>
        <v>174</v>
      </c>
      <c r="S179" t="s">
        <v>1237</v>
      </c>
      <c r="T179" t="str">
        <f t="shared" si="9"/>
        <v>l9</v>
      </c>
    </row>
    <row r="180" spans="18:20">
      <c r="R180" cm="1">
        <f t="array" ref="R180" xml:space="preserve"> 1 + _xlfn.SINGLE(ROW()) - _xlfn.SINGLE(ROW(ExportSubstitutions_Within.RowNum))</f>
        <v>175</v>
      </c>
      <c r="S180" t="s">
        <v>1587</v>
      </c>
      <c r="T180" t="str">
        <f t="shared" si="9"/>
        <v>l.</v>
      </c>
    </row>
    <row r="181" spans="18:20">
      <c r="R181" cm="1">
        <f t="array" ref="R181" xml:space="preserve"> 1 + _xlfn.SINGLE(ROW()) - _xlfn.SINGLE(ROW(ExportSubstitutions_Within.RowNum))</f>
        <v>176</v>
      </c>
      <c r="S181" t="s">
        <v>1596</v>
      </c>
      <c r="T181" t="str">
        <f t="shared" si="9"/>
        <v>l-</v>
      </c>
    </row>
    <row r="182" spans="18:20">
      <c r="R182" cm="1">
        <f t="array" ref="R182" xml:space="preserve"> 1 + _xlfn.SINGLE(ROW()) - _xlfn.SINGLE(ROW(ExportSubstitutions_Within.RowNum))</f>
        <v>177</v>
      </c>
      <c r="S182" t="s">
        <v>1238</v>
      </c>
      <c r="T182" t="str">
        <f t="shared" si="9"/>
        <v>0M</v>
      </c>
    </row>
    <row r="183" spans="18:20">
      <c r="R183" cm="1">
        <f t="array" ref="R183" xml:space="preserve"> 1 + _xlfn.SINGLE(ROW()) - _xlfn.SINGLE(ROW(ExportSubstitutions_Within.RowNum))</f>
        <v>178</v>
      </c>
      <c r="S183" t="s">
        <v>1239</v>
      </c>
      <c r="T183" t="str">
        <f t="shared" si="9"/>
        <v>1M</v>
      </c>
    </row>
    <row r="184" spans="18:20">
      <c r="R184" cm="1">
        <f t="array" ref="R184" xml:space="preserve"> 1 + _xlfn.SINGLE(ROW()) - _xlfn.SINGLE(ROW(ExportSubstitutions_Within.RowNum))</f>
        <v>179</v>
      </c>
      <c r="S184" t="s">
        <v>1240</v>
      </c>
      <c r="T184" t="str">
        <f t="shared" si="9"/>
        <v>2M</v>
      </c>
    </row>
    <row r="185" spans="18:20">
      <c r="R185" cm="1">
        <f t="array" ref="R185" xml:space="preserve"> 1 + _xlfn.SINGLE(ROW()) - _xlfn.SINGLE(ROW(ExportSubstitutions_Within.RowNum))</f>
        <v>180</v>
      </c>
      <c r="S185" t="s">
        <v>1241</v>
      </c>
      <c r="T185" t="str">
        <f t="shared" si="9"/>
        <v>3M</v>
      </c>
    </row>
    <row r="186" spans="18:20">
      <c r="R186" cm="1">
        <f t="array" ref="R186" xml:space="preserve"> 1 + _xlfn.SINGLE(ROW()) - _xlfn.SINGLE(ROW(ExportSubstitutions_Within.RowNum))</f>
        <v>181</v>
      </c>
      <c r="S186" t="s">
        <v>1242</v>
      </c>
      <c r="T186" t="str">
        <f t="shared" si="9"/>
        <v>4M</v>
      </c>
    </row>
    <row r="187" spans="18:20">
      <c r="R187" cm="1">
        <f t="array" ref="R187" xml:space="preserve"> 1 + _xlfn.SINGLE(ROW()) - _xlfn.SINGLE(ROW(ExportSubstitutions_Within.RowNum))</f>
        <v>182</v>
      </c>
      <c r="S187" t="s">
        <v>1243</v>
      </c>
      <c r="T187" t="str">
        <f t="shared" si="9"/>
        <v>5M</v>
      </c>
    </row>
    <row r="188" spans="18:20">
      <c r="R188" cm="1">
        <f t="array" ref="R188" xml:space="preserve"> 1 + _xlfn.SINGLE(ROW()) - _xlfn.SINGLE(ROW(ExportSubstitutions_Within.RowNum))</f>
        <v>183</v>
      </c>
      <c r="S188" t="s">
        <v>1244</v>
      </c>
      <c r="T188" t="str">
        <f t="shared" si="9"/>
        <v>6M</v>
      </c>
    </row>
    <row r="189" spans="18:20">
      <c r="R189" cm="1">
        <f t="array" ref="R189" xml:space="preserve"> 1 + _xlfn.SINGLE(ROW()) - _xlfn.SINGLE(ROW(ExportSubstitutions_Within.RowNum))</f>
        <v>184</v>
      </c>
      <c r="S189" t="s">
        <v>1245</v>
      </c>
      <c r="T189" t="str">
        <f t="shared" si="9"/>
        <v>7M</v>
      </c>
    </row>
    <row r="190" spans="18:20">
      <c r="R190" cm="1">
        <f t="array" ref="R190" xml:space="preserve"> 1 + _xlfn.SINGLE(ROW()) - _xlfn.SINGLE(ROW(ExportSubstitutions_Within.RowNum))</f>
        <v>185</v>
      </c>
      <c r="S190" t="s">
        <v>1246</v>
      </c>
      <c r="T190" t="str">
        <f t="shared" si="9"/>
        <v>8M</v>
      </c>
    </row>
    <row r="191" spans="18:20">
      <c r="R191" cm="1">
        <f t="array" ref="R191" xml:space="preserve"> 1 + _xlfn.SINGLE(ROW()) - _xlfn.SINGLE(ROW(ExportSubstitutions_Within.RowNum))</f>
        <v>186</v>
      </c>
      <c r="S191" t="s">
        <v>1247</v>
      </c>
      <c r="T191" t="str">
        <f t="shared" si="9"/>
        <v>9M</v>
      </c>
    </row>
    <row r="192" spans="18:20">
      <c r="R192" cm="1">
        <f t="array" ref="R192" xml:space="preserve"> 1 + _xlfn.SINGLE(ROW()) - _xlfn.SINGLE(ROW(ExportSubstitutions_Within.RowNum))</f>
        <v>187</v>
      </c>
      <c r="S192" t="s">
        <v>1248</v>
      </c>
      <c r="T192" t="str">
        <f t="shared" si="9"/>
        <v>M0</v>
      </c>
    </row>
    <row r="193" spans="18:20">
      <c r="R193" cm="1">
        <f t="array" ref="R193" xml:space="preserve"> 1 + _xlfn.SINGLE(ROW()) - _xlfn.SINGLE(ROW(ExportSubstitutions_Within.RowNum))</f>
        <v>188</v>
      </c>
      <c r="S193" t="s">
        <v>1249</v>
      </c>
      <c r="T193" t="str">
        <f t="shared" si="9"/>
        <v>M1</v>
      </c>
    </row>
    <row r="194" spans="18:20">
      <c r="R194" cm="1">
        <f t="array" ref="R194" xml:space="preserve"> 1 + _xlfn.SINGLE(ROW()) - _xlfn.SINGLE(ROW(ExportSubstitutions_Within.RowNum))</f>
        <v>189</v>
      </c>
      <c r="S194" t="s">
        <v>1250</v>
      </c>
      <c r="T194" t="str">
        <f t="shared" si="9"/>
        <v>M2</v>
      </c>
    </row>
    <row r="195" spans="18:20">
      <c r="R195" cm="1">
        <f t="array" ref="R195" xml:space="preserve"> 1 + _xlfn.SINGLE(ROW()) - _xlfn.SINGLE(ROW(ExportSubstitutions_Within.RowNum))</f>
        <v>190</v>
      </c>
      <c r="S195" t="s">
        <v>1251</v>
      </c>
      <c r="T195" t="str">
        <f t="shared" si="9"/>
        <v>M3</v>
      </c>
    </row>
    <row r="196" spans="18:20">
      <c r="R196" cm="1">
        <f t="array" ref="R196" xml:space="preserve"> 1 + _xlfn.SINGLE(ROW()) - _xlfn.SINGLE(ROW(ExportSubstitutions_Within.RowNum))</f>
        <v>191</v>
      </c>
      <c r="S196" t="s">
        <v>1252</v>
      </c>
      <c r="T196" t="str">
        <f t="shared" si="9"/>
        <v>M4</v>
      </c>
    </row>
    <row r="197" spans="18:20">
      <c r="R197" cm="1">
        <f t="array" ref="R197" xml:space="preserve"> 1 + _xlfn.SINGLE(ROW()) - _xlfn.SINGLE(ROW(ExportSubstitutions_Within.RowNum))</f>
        <v>192</v>
      </c>
      <c r="S197" t="s">
        <v>1253</v>
      </c>
      <c r="T197" t="str">
        <f t="shared" si="9"/>
        <v>M5</v>
      </c>
    </row>
    <row r="198" spans="18:20">
      <c r="R198" cm="1">
        <f t="array" ref="R198" xml:space="preserve"> 1 + _xlfn.SINGLE(ROW()) - _xlfn.SINGLE(ROW(ExportSubstitutions_Within.RowNum))</f>
        <v>193</v>
      </c>
      <c r="S198" t="s">
        <v>1254</v>
      </c>
      <c r="T198" t="str">
        <f t="shared" ref="T198:T261" si="10" xml:space="preserve"> SUBSTITUTE(ExportSubstitutions_Within.From, " ", "")</f>
        <v>M6</v>
      </c>
    </row>
    <row r="199" spans="18:20">
      <c r="R199" cm="1">
        <f t="array" ref="R199" xml:space="preserve"> 1 + _xlfn.SINGLE(ROW()) - _xlfn.SINGLE(ROW(ExportSubstitutions_Within.RowNum))</f>
        <v>194</v>
      </c>
      <c r="S199" t="s">
        <v>1255</v>
      </c>
      <c r="T199" t="str">
        <f t="shared" si="10"/>
        <v>M7</v>
      </c>
    </row>
    <row r="200" spans="18:20">
      <c r="R200" cm="1">
        <f t="array" ref="R200" xml:space="preserve"> 1 + _xlfn.SINGLE(ROW()) - _xlfn.SINGLE(ROW(ExportSubstitutions_Within.RowNum))</f>
        <v>195</v>
      </c>
      <c r="S200" t="s">
        <v>1256</v>
      </c>
      <c r="T200" t="str">
        <f t="shared" si="10"/>
        <v>M8</v>
      </c>
    </row>
    <row r="201" spans="18:20">
      <c r="R201" cm="1">
        <f t="array" ref="R201" xml:space="preserve"> 1 + _xlfn.SINGLE(ROW()) - _xlfn.SINGLE(ROW(ExportSubstitutions_Within.RowNum))</f>
        <v>196</v>
      </c>
      <c r="S201" t="s">
        <v>1257</v>
      </c>
      <c r="T201" t="str">
        <f t="shared" si="10"/>
        <v>M9</v>
      </c>
    </row>
    <row r="202" spans="18:20">
      <c r="R202" cm="1">
        <f t="array" ref="R202" xml:space="preserve"> 1 + _xlfn.SINGLE(ROW()) - _xlfn.SINGLE(ROW(ExportSubstitutions_Within.RowNum))</f>
        <v>197</v>
      </c>
      <c r="S202" t="s">
        <v>1588</v>
      </c>
      <c r="T202" t="str">
        <f t="shared" si="10"/>
        <v>M.</v>
      </c>
    </row>
    <row r="203" spans="18:20">
      <c r="R203" cm="1">
        <f t="array" ref="R203" xml:space="preserve"> 1 + _xlfn.SINGLE(ROW()) - _xlfn.SINGLE(ROW(ExportSubstitutions_Within.RowNum))</f>
        <v>198</v>
      </c>
      <c r="S203" t="s">
        <v>1597</v>
      </c>
      <c r="T203" t="str">
        <f t="shared" si="10"/>
        <v>M-</v>
      </c>
    </row>
    <row r="204" spans="18:20">
      <c r="R204" cm="1">
        <f t="array" ref="R204" xml:space="preserve"> 1 + _xlfn.SINGLE(ROW()) - _xlfn.SINGLE(ROW(ExportSubstitutions_Within.RowNum))</f>
        <v>199</v>
      </c>
      <c r="S204" t="s">
        <v>1258</v>
      </c>
      <c r="T204" t="str">
        <f t="shared" si="10"/>
        <v>0m</v>
      </c>
    </row>
    <row r="205" spans="18:20">
      <c r="R205" cm="1">
        <f t="array" ref="R205" xml:space="preserve"> 1 + _xlfn.SINGLE(ROW()) - _xlfn.SINGLE(ROW(ExportSubstitutions_Within.RowNum))</f>
        <v>200</v>
      </c>
      <c r="S205" t="s">
        <v>1259</v>
      </c>
      <c r="T205" t="str">
        <f t="shared" si="10"/>
        <v>1m</v>
      </c>
    </row>
    <row r="206" spans="18:20">
      <c r="R206" cm="1">
        <f t="array" ref="R206" xml:space="preserve"> 1 + _xlfn.SINGLE(ROW()) - _xlfn.SINGLE(ROW(ExportSubstitutions_Within.RowNum))</f>
        <v>201</v>
      </c>
      <c r="S206" t="s">
        <v>1260</v>
      </c>
      <c r="T206" t="str">
        <f t="shared" si="10"/>
        <v>2m</v>
      </c>
    </row>
    <row r="207" spans="18:20">
      <c r="R207" cm="1">
        <f t="array" ref="R207" xml:space="preserve"> 1 + _xlfn.SINGLE(ROW()) - _xlfn.SINGLE(ROW(ExportSubstitutions_Within.RowNum))</f>
        <v>202</v>
      </c>
      <c r="S207" t="s">
        <v>1261</v>
      </c>
      <c r="T207" t="str">
        <f t="shared" si="10"/>
        <v>3m</v>
      </c>
    </row>
    <row r="208" spans="18:20">
      <c r="R208" cm="1">
        <f t="array" ref="R208" xml:space="preserve"> 1 + _xlfn.SINGLE(ROW()) - _xlfn.SINGLE(ROW(ExportSubstitutions_Within.RowNum))</f>
        <v>203</v>
      </c>
      <c r="S208" t="s">
        <v>1262</v>
      </c>
      <c r="T208" t="str">
        <f t="shared" si="10"/>
        <v>4m</v>
      </c>
    </row>
    <row r="209" spans="18:20">
      <c r="R209" cm="1">
        <f t="array" ref="R209" xml:space="preserve"> 1 + _xlfn.SINGLE(ROW()) - _xlfn.SINGLE(ROW(ExportSubstitutions_Within.RowNum))</f>
        <v>204</v>
      </c>
      <c r="S209" t="s">
        <v>1263</v>
      </c>
      <c r="T209" t="str">
        <f t="shared" si="10"/>
        <v>5m</v>
      </c>
    </row>
    <row r="210" spans="18:20">
      <c r="R210" cm="1">
        <f t="array" ref="R210" xml:space="preserve"> 1 + _xlfn.SINGLE(ROW()) - _xlfn.SINGLE(ROW(ExportSubstitutions_Within.RowNum))</f>
        <v>205</v>
      </c>
      <c r="S210" t="s">
        <v>1264</v>
      </c>
      <c r="T210" t="str">
        <f t="shared" si="10"/>
        <v>6m</v>
      </c>
    </row>
    <row r="211" spans="18:20">
      <c r="R211" cm="1">
        <f t="array" ref="R211" xml:space="preserve"> 1 + _xlfn.SINGLE(ROW()) - _xlfn.SINGLE(ROW(ExportSubstitutions_Within.RowNum))</f>
        <v>206</v>
      </c>
      <c r="S211" t="s">
        <v>1265</v>
      </c>
      <c r="T211" t="str">
        <f t="shared" si="10"/>
        <v>7m</v>
      </c>
    </row>
    <row r="212" spans="18:20">
      <c r="R212" cm="1">
        <f t="array" ref="R212" xml:space="preserve"> 1 + _xlfn.SINGLE(ROW()) - _xlfn.SINGLE(ROW(ExportSubstitutions_Within.RowNum))</f>
        <v>207</v>
      </c>
      <c r="S212" t="s">
        <v>1266</v>
      </c>
      <c r="T212" t="str">
        <f t="shared" si="10"/>
        <v>8m</v>
      </c>
    </row>
    <row r="213" spans="18:20">
      <c r="R213" cm="1">
        <f t="array" ref="R213" xml:space="preserve"> 1 + _xlfn.SINGLE(ROW()) - _xlfn.SINGLE(ROW(ExportSubstitutions_Within.RowNum))</f>
        <v>208</v>
      </c>
      <c r="S213" t="s">
        <v>1267</v>
      </c>
      <c r="T213" t="str">
        <f t="shared" si="10"/>
        <v>9m</v>
      </c>
    </row>
    <row r="214" spans="18:20">
      <c r="R214" cm="1">
        <f t="array" ref="R214" xml:space="preserve"> 1 + _xlfn.SINGLE(ROW()) - _xlfn.SINGLE(ROW(ExportSubstitutions_Within.RowNum))</f>
        <v>209</v>
      </c>
      <c r="S214" t="s">
        <v>1268</v>
      </c>
      <c r="T214" t="str">
        <f t="shared" si="10"/>
        <v>m0</v>
      </c>
    </row>
    <row r="215" spans="18:20">
      <c r="R215" cm="1">
        <f t="array" ref="R215" xml:space="preserve"> 1 + _xlfn.SINGLE(ROW()) - _xlfn.SINGLE(ROW(ExportSubstitutions_Within.RowNum))</f>
        <v>210</v>
      </c>
      <c r="S215" t="s">
        <v>1269</v>
      </c>
      <c r="T215" t="str">
        <f t="shared" si="10"/>
        <v>m1</v>
      </c>
    </row>
    <row r="216" spans="18:20">
      <c r="R216" cm="1">
        <f t="array" ref="R216" xml:space="preserve"> 1 + _xlfn.SINGLE(ROW()) - _xlfn.SINGLE(ROW(ExportSubstitutions_Within.RowNum))</f>
        <v>211</v>
      </c>
      <c r="S216" t="s">
        <v>1270</v>
      </c>
      <c r="T216" t="str">
        <f t="shared" si="10"/>
        <v>m2</v>
      </c>
    </row>
    <row r="217" spans="18:20">
      <c r="R217" cm="1">
        <f t="array" ref="R217" xml:space="preserve"> 1 + _xlfn.SINGLE(ROW()) - _xlfn.SINGLE(ROW(ExportSubstitutions_Within.RowNum))</f>
        <v>212</v>
      </c>
      <c r="S217" t="s">
        <v>1271</v>
      </c>
      <c r="T217" t="str">
        <f t="shared" si="10"/>
        <v>m3</v>
      </c>
    </row>
    <row r="218" spans="18:20">
      <c r="R218" cm="1">
        <f t="array" ref="R218" xml:space="preserve"> 1 + _xlfn.SINGLE(ROW()) - _xlfn.SINGLE(ROW(ExportSubstitutions_Within.RowNum))</f>
        <v>213</v>
      </c>
      <c r="S218" t="s">
        <v>1272</v>
      </c>
      <c r="T218" t="str">
        <f t="shared" si="10"/>
        <v>m4</v>
      </c>
    </row>
    <row r="219" spans="18:20">
      <c r="R219" cm="1">
        <f t="array" ref="R219" xml:space="preserve"> 1 + _xlfn.SINGLE(ROW()) - _xlfn.SINGLE(ROW(ExportSubstitutions_Within.RowNum))</f>
        <v>214</v>
      </c>
      <c r="S219" t="s">
        <v>1273</v>
      </c>
      <c r="T219" t="str">
        <f t="shared" si="10"/>
        <v>m5</v>
      </c>
    </row>
    <row r="220" spans="18:20">
      <c r="R220" cm="1">
        <f t="array" ref="R220" xml:space="preserve"> 1 + _xlfn.SINGLE(ROW()) - _xlfn.SINGLE(ROW(ExportSubstitutions_Within.RowNum))</f>
        <v>215</v>
      </c>
      <c r="S220" t="s">
        <v>1274</v>
      </c>
      <c r="T220" t="str">
        <f t="shared" si="10"/>
        <v>m6</v>
      </c>
    </row>
    <row r="221" spans="18:20">
      <c r="R221" cm="1">
        <f t="array" ref="R221" xml:space="preserve"> 1 + _xlfn.SINGLE(ROW()) - _xlfn.SINGLE(ROW(ExportSubstitutions_Within.RowNum))</f>
        <v>216</v>
      </c>
      <c r="S221" t="s">
        <v>1275</v>
      </c>
      <c r="T221" t="str">
        <f t="shared" si="10"/>
        <v>m7</v>
      </c>
    </row>
    <row r="222" spans="18:20">
      <c r="R222" cm="1">
        <f t="array" ref="R222" xml:space="preserve"> 1 + _xlfn.SINGLE(ROW()) - _xlfn.SINGLE(ROW(ExportSubstitutions_Within.RowNum))</f>
        <v>217</v>
      </c>
      <c r="S222" t="s">
        <v>1276</v>
      </c>
      <c r="T222" t="str">
        <f t="shared" si="10"/>
        <v>m8</v>
      </c>
    </row>
    <row r="223" spans="18:20">
      <c r="R223" cm="1">
        <f t="array" ref="R223" xml:space="preserve"> 1 + _xlfn.SINGLE(ROW()) - _xlfn.SINGLE(ROW(ExportSubstitutions_Within.RowNum))</f>
        <v>218</v>
      </c>
      <c r="S223" t="s">
        <v>1277</v>
      </c>
      <c r="T223" t="str">
        <f t="shared" si="10"/>
        <v>m9</v>
      </c>
    </row>
    <row r="224" spans="18:20">
      <c r="R224" cm="1">
        <f t="array" ref="R224" xml:space="preserve"> 1 + _xlfn.SINGLE(ROW()) - _xlfn.SINGLE(ROW(ExportSubstitutions_Within.RowNum))</f>
        <v>219</v>
      </c>
      <c r="S224" t="s">
        <v>1598</v>
      </c>
      <c r="T224" t="str">
        <f t="shared" si="10"/>
        <v>m.</v>
      </c>
    </row>
    <row r="225" spans="18:20">
      <c r="R225" cm="1">
        <f t="array" ref="R225" xml:space="preserve"> 1 + _xlfn.SINGLE(ROW()) - _xlfn.SINGLE(ROW(ExportSubstitutions_Within.RowNum))</f>
        <v>220</v>
      </c>
      <c r="S225" t="s">
        <v>1599</v>
      </c>
      <c r="T225" t="str">
        <f t="shared" si="10"/>
        <v>m-</v>
      </c>
    </row>
    <row r="226" spans="18:20">
      <c r="R226" cm="1">
        <f t="array" ref="R226" xml:space="preserve"> 1 + _xlfn.SINGLE(ROW()) - _xlfn.SINGLE(ROW(ExportSubstitutions_Within.RowNum))</f>
        <v>221</v>
      </c>
      <c r="S226" t="s">
        <v>1278</v>
      </c>
      <c r="T226" t="str">
        <f t="shared" si="10"/>
        <v>0Q</v>
      </c>
    </row>
    <row r="227" spans="18:20">
      <c r="R227" cm="1">
        <f t="array" ref="R227" xml:space="preserve"> 1 + _xlfn.SINGLE(ROW()) - _xlfn.SINGLE(ROW(ExportSubstitutions_Within.RowNum))</f>
        <v>222</v>
      </c>
      <c r="S227" t="s">
        <v>1279</v>
      </c>
      <c r="T227" t="str">
        <f t="shared" si="10"/>
        <v>1Q</v>
      </c>
    </row>
    <row r="228" spans="18:20">
      <c r="R228" cm="1">
        <f t="array" ref="R228" xml:space="preserve"> 1 + _xlfn.SINGLE(ROW()) - _xlfn.SINGLE(ROW(ExportSubstitutions_Within.RowNum))</f>
        <v>223</v>
      </c>
      <c r="S228" t="s">
        <v>1280</v>
      </c>
      <c r="T228" t="str">
        <f t="shared" si="10"/>
        <v>2Q</v>
      </c>
    </row>
    <row r="229" spans="18:20">
      <c r="R229" cm="1">
        <f t="array" ref="R229" xml:space="preserve"> 1 + _xlfn.SINGLE(ROW()) - _xlfn.SINGLE(ROW(ExportSubstitutions_Within.RowNum))</f>
        <v>224</v>
      </c>
      <c r="S229" t="s">
        <v>1281</v>
      </c>
      <c r="T229" t="str">
        <f t="shared" si="10"/>
        <v>3Q</v>
      </c>
    </row>
    <row r="230" spans="18:20">
      <c r="R230" cm="1">
        <f t="array" ref="R230" xml:space="preserve"> 1 + _xlfn.SINGLE(ROW()) - _xlfn.SINGLE(ROW(ExportSubstitutions_Within.RowNum))</f>
        <v>225</v>
      </c>
      <c r="S230" t="s">
        <v>1282</v>
      </c>
      <c r="T230" t="str">
        <f t="shared" si="10"/>
        <v>4Q</v>
      </c>
    </row>
    <row r="231" spans="18:20">
      <c r="R231" cm="1">
        <f t="array" ref="R231" xml:space="preserve"> 1 + _xlfn.SINGLE(ROW()) - _xlfn.SINGLE(ROW(ExportSubstitutions_Within.RowNum))</f>
        <v>226</v>
      </c>
      <c r="S231" t="s">
        <v>1283</v>
      </c>
      <c r="T231" t="str">
        <f t="shared" si="10"/>
        <v>5Q</v>
      </c>
    </row>
    <row r="232" spans="18:20">
      <c r="R232" cm="1">
        <f t="array" ref="R232" xml:space="preserve"> 1 + _xlfn.SINGLE(ROW()) - _xlfn.SINGLE(ROW(ExportSubstitutions_Within.RowNum))</f>
        <v>227</v>
      </c>
      <c r="S232" t="s">
        <v>1284</v>
      </c>
      <c r="T232" t="str">
        <f t="shared" si="10"/>
        <v>6Q</v>
      </c>
    </row>
    <row r="233" spans="18:20">
      <c r="R233" cm="1">
        <f t="array" ref="R233" xml:space="preserve"> 1 + _xlfn.SINGLE(ROW()) - _xlfn.SINGLE(ROW(ExportSubstitutions_Within.RowNum))</f>
        <v>228</v>
      </c>
      <c r="S233" t="s">
        <v>1285</v>
      </c>
      <c r="T233" t="str">
        <f t="shared" si="10"/>
        <v>7Q</v>
      </c>
    </row>
    <row r="234" spans="18:20">
      <c r="R234" cm="1">
        <f t="array" ref="R234" xml:space="preserve"> 1 + _xlfn.SINGLE(ROW()) - _xlfn.SINGLE(ROW(ExportSubstitutions_Within.RowNum))</f>
        <v>229</v>
      </c>
      <c r="S234" t="s">
        <v>1286</v>
      </c>
      <c r="T234" t="str">
        <f t="shared" si="10"/>
        <v>8Q</v>
      </c>
    </row>
    <row r="235" spans="18:20">
      <c r="R235" cm="1">
        <f t="array" ref="R235" xml:space="preserve"> 1 + _xlfn.SINGLE(ROW()) - _xlfn.SINGLE(ROW(ExportSubstitutions_Within.RowNum))</f>
        <v>230</v>
      </c>
      <c r="S235" t="s">
        <v>1287</v>
      </c>
      <c r="T235" t="str">
        <f t="shared" si="10"/>
        <v>9Q</v>
      </c>
    </row>
    <row r="236" spans="18:20">
      <c r="R236" cm="1">
        <f t="array" ref="R236" xml:space="preserve"> 1 + _xlfn.SINGLE(ROW()) - _xlfn.SINGLE(ROW(ExportSubstitutions_Within.RowNum))</f>
        <v>231</v>
      </c>
      <c r="S236" t="s">
        <v>1288</v>
      </c>
      <c r="T236" t="str">
        <f t="shared" si="10"/>
        <v>Q0</v>
      </c>
    </row>
    <row r="237" spans="18:20">
      <c r="R237" cm="1">
        <f t="array" ref="R237" xml:space="preserve"> 1 + _xlfn.SINGLE(ROW()) - _xlfn.SINGLE(ROW(ExportSubstitutions_Within.RowNum))</f>
        <v>232</v>
      </c>
      <c r="S237" t="s">
        <v>1289</v>
      </c>
      <c r="T237" t="str">
        <f t="shared" si="10"/>
        <v>Q1</v>
      </c>
    </row>
    <row r="238" spans="18:20">
      <c r="R238" cm="1">
        <f t="array" ref="R238" xml:space="preserve"> 1 + _xlfn.SINGLE(ROW()) - _xlfn.SINGLE(ROW(ExportSubstitutions_Within.RowNum))</f>
        <v>233</v>
      </c>
      <c r="S238" t="s">
        <v>1290</v>
      </c>
      <c r="T238" t="str">
        <f t="shared" si="10"/>
        <v>Q2</v>
      </c>
    </row>
    <row r="239" spans="18:20">
      <c r="R239" cm="1">
        <f t="array" ref="R239" xml:space="preserve"> 1 + _xlfn.SINGLE(ROW()) - _xlfn.SINGLE(ROW(ExportSubstitutions_Within.RowNum))</f>
        <v>234</v>
      </c>
      <c r="S239" t="s">
        <v>1291</v>
      </c>
      <c r="T239" t="str">
        <f t="shared" si="10"/>
        <v>Q3</v>
      </c>
    </row>
    <row r="240" spans="18:20">
      <c r="R240" cm="1">
        <f t="array" ref="R240" xml:space="preserve"> 1 + _xlfn.SINGLE(ROW()) - _xlfn.SINGLE(ROW(ExportSubstitutions_Within.RowNum))</f>
        <v>235</v>
      </c>
      <c r="S240" t="s">
        <v>1292</v>
      </c>
      <c r="T240" t="str">
        <f t="shared" si="10"/>
        <v>Q4</v>
      </c>
    </row>
    <row r="241" spans="18:20">
      <c r="R241" cm="1">
        <f t="array" ref="R241" xml:space="preserve"> 1 + _xlfn.SINGLE(ROW()) - _xlfn.SINGLE(ROW(ExportSubstitutions_Within.RowNum))</f>
        <v>236</v>
      </c>
      <c r="S241" t="s">
        <v>1293</v>
      </c>
      <c r="T241" t="str">
        <f t="shared" si="10"/>
        <v>Q5</v>
      </c>
    </row>
    <row r="242" spans="18:20">
      <c r="R242" cm="1">
        <f t="array" ref="R242" xml:space="preserve"> 1 + _xlfn.SINGLE(ROW()) - _xlfn.SINGLE(ROW(ExportSubstitutions_Within.RowNum))</f>
        <v>237</v>
      </c>
      <c r="S242" t="s">
        <v>1294</v>
      </c>
      <c r="T242" t="str">
        <f t="shared" si="10"/>
        <v>Q6</v>
      </c>
    </row>
    <row r="243" spans="18:20">
      <c r="R243" cm="1">
        <f t="array" ref="R243" xml:space="preserve"> 1 + _xlfn.SINGLE(ROW()) - _xlfn.SINGLE(ROW(ExportSubstitutions_Within.RowNum))</f>
        <v>238</v>
      </c>
      <c r="S243" t="s">
        <v>1295</v>
      </c>
      <c r="T243" t="str">
        <f t="shared" si="10"/>
        <v>Q7</v>
      </c>
    </row>
    <row r="244" spans="18:20">
      <c r="R244" cm="1">
        <f t="array" ref="R244" xml:space="preserve"> 1 + _xlfn.SINGLE(ROW()) - _xlfn.SINGLE(ROW(ExportSubstitutions_Within.RowNum))</f>
        <v>239</v>
      </c>
      <c r="S244" t="s">
        <v>1296</v>
      </c>
      <c r="T244" t="str">
        <f t="shared" si="10"/>
        <v>Q8</v>
      </c>
    </row>
    <row r="245" spans="18:20">
      <c r="R245" cm="1">
        <f t="array" ref="R245" xml:space="preserve"> 1 + _xlfn.SINGLE(ROW()) - _xlfn.SINGLE(ROW(ExportSubstitutions_Within.RowNum))</f>
        <v>240</v>
      </c>
      <c r="S245" t="s">
        <v>1297</v>
      </c>
      <c r="T245" t="str">
        <f t="shared" si="10"/>
        <v>Q9</v>
      </c>
    </row>
    <row r="246" spans="18:20">
      <c r="R246" cm="1">
        <f t="array" ref="R246" xml:space="preserve"> 1 + _xlfn.SINGLE(ROW()) - _xlfn.SINGLE(ROW(ExportSubstitutions_Within.RowNum))</f>
        <v>241</v>
      </c>
      <c r="S246" t="s">
        <v>1600</v>
      </c>
      <c r="T246" t="str">
        <f t="shared" si="10"/>
        <v>Q.</v>
      </c>
    </row>
    <row r="247" spans="18:20">
      <c r="R247" cm="1">
        <f t="array" ref="R247" xml:space="preserve"> 1 + _xlfn.SINGLE(ROW()) - _xlfn.SINGLE(ROW(ExportSubstitutions_Within.RowNum))</f>
        <v>242</v>
      </c>
      <c r="S247" t="s">
        <v>1601</v>
      </c>
      <c r="T247" t="str">
        <f t="shared" si="10"/>
        <v>Q-</v>
      </c>
    </row>
    <row r="248" spans="18:20">
      <c r="R248" cm="1">
        <f t="array" ref="R248" xml:space="preserve"> 1 + _xlfn.SINGLE(ROW()) - _xlfn.SINGLE(ROW(ExportSubstitutions_Within.RowNum))</f>
        <v>243</v>
      </c>
      <c r="S248" t="s">
        <v>1298</v>
      </c>
      <c r="T248" t="str">
        <f t="shared" si="10"/>
        <v>0q</v>
      </c>
    </row>
    <row r="249" spans="18:20">
      <c r="R249" cm="1">
        <f t="array" ref="R249" xml:space="preserve"> 1 + _xlfn.SINGLE(ROW()) - _xlfn.SINGLE(ROW(ExportSubstitutions_Within.RowNum))</f>
        <v>244</v>
      </c>
      <c r="S249" t="s">
        <v>1299</v>
      </c>
      <c r="T249" t="str">
        <f t="shared" si="10"/>
        <v>1q</v>
      </c>
    </row>
    <row r="250" spans="18:20">
      <c r="R250" cm="1">
        <f t="array" ref="R250" xml:space="preserve"> 1 + _xlfn.SINGLE(ROW()) - _xlfn.SINGLE(ROW(ExportSubstitutions_Within.RowNum))</f>
        <v>245</v>
      </c>
      <c r="S250" t="s">
        <v>1300</v>
      </c>
      <c r="T250" t="str">
        <f t="shared" si="10"/>
        <v>2q</v>
      </c>
    </row>
    <row r="251" spans="18:20">
      <c r="R251" cm="1">
        <f t="array" ref="R251" xml:space="preserve"> 1 + _xlfn.SINGLE(ROW()) - _xlfn.SINGLE(ROW(ExportSubstitutions_Within.RowNum))</f>
        <v>246</v>
      </c>
      <c r="S251" t="s">
        <v>1301</v>
      </c>
      <c r="T251" t="str">
        <f t="shared" si="10"/>
        <v>3q</v>
      </c>
    </row>
    <row r="252" spans="18:20">
      <c r="R252" cm="1">
        <f t="array" ref="R252" xml:space="preserve"> 1 + _xlfn.SINGLE(ROW()) - _xlfn.SINGLE(ROW(ExportSubstitutions_Within.RowNum))</f>
        <v>247</v>
      </c>
      <c r="S252" t="s">
        <v>1302</v>
      </c>
      <c r="T252" t="str">
        <f t="shared" si="10"/>
        <v>4q</v>
      </c>
    </row>
    <row r="253" spans="18:20">
      <c r="R253" cm="1">
        <f t="array" ref="R253" xml:space="preserve"> 1 + _xlfn.SINGLE(ROW()) - _xlfn.SINGLE(ROW(ExportSubstitutions_Within.RowNum))</f>
        <v>248</v>
      </c>
      <c r="S253" t="s">
        <v>1303</v>
      </c>
      <c r="T253" t="str">
        <f t="shared" si="10"/>
        <v>5q</v>
      </c>
    </row>
    <row r="254" spans="18:20">
      <c r="R254" cm="1">
        <f t="array" ref="R254" xml:space="preserve"> 1 + _xlfn.SINGLE(ROW()) - _xlfn.SINGLE(ROW(ExportSubstitutions_Within.RowNum))</f>
        <v>249</v>
      </c>
      <c r="S254" t="s">
        <v>1304</v>
      </c>
      <c r="T254" t="str">
        <f t="shared" si="10"/>
        <v>6q</v>
      </c>
    </row>
    <row r="255" spans="18:20">
      <c r="R255" cm="1">
        <f t="array" ref="R255" xml:space="preserve"> 1 + _xlfn.SINGLE(ROW()) - _xlfn.SINGLE(ROW(ExportSubstitutions_Within.RowNum))</f>
        <v>250</v>
      </c>
      <c r="S255" t="s">
        <v>1305</v>
      </c>
      <c r="T255" t="str">
        <f t="shared" si="10"/>
        <v>7q</v>
      </c>
    </row>
    <row r="256" spans="18:20">
      <c r="R256" cm="1">
        <f t="array" ref="R256" xml:space="preserve"> 1 + _xlfn.SINGLE(ROW()) - _xlfn.SINGLE(ROW(ExportSubstitutions_Within.RowNum))</f>
        <v>251</v>
      </c>
      <c r="S256" t="s">
        <v>1306</v>
      </c>
      <c r="T256" t="str">
        <f t="shared" si="10"/>
        <v>8q</v>
      </c>
    </row>
    <row r="257" spans="18:20">
      <c r="R257" cm="1">
        <f t="array" ref="R257" xml:space="preserve"> 1 + _xlfn.SINGLE(ROW()) - _xlfn.SINGLE(ROW(ExportSubstitutions_Within.RowNum))</f>
        <v>252</v>
      </c>
      <c r="S257" t="s">
        <v>1307</v>
      </c>
      <c r="T257" t="str">
        <f t="shared" si="10"/>
        <v>9q</v>
      </c>
    </row>
    <row r="258" spans="18:20">
      <c r="R258" cm="1">
        <f t="array" ref="R258" xml:space="preserve"> 1 + _xlfn.SINGLE(ROW()) - _xlfn.SINGLE(ROW(ExportSubstitutions_Within.RowNum))</f>
        <v>253</v>
      </c>
      <c r="S258" t="s">
        <v>1308</v>
      </c>
      <c r="T258" t="str">
        <f t="shared" si="10"/>
        <v>q0</v>
      </c>
    </row>
    <row r="259" spans="18:20">
      <c r="R259" cm="1">
        <f t="array" ref="R259" xml:space="preserve"> 1 + _xlfn.SINGLE(ROW()) - _xlfn.SINGLE(ROW(ExportSubstitutions_Within.RowNum))</f>
        <v>254</v>
      </c>
      <c r="S259" t="s">
        <v>1309</v>
      </c>
      <c r="T259" t="str">
        <f t="shared" si="10"/>
        <v>q1</v>
      </c>
    </row>
    <row r="260" spans="18:20">
      <c r="R260" cm="1">
        <f t="array" ref="R260" xml:space="preserve"> 1 + _xlfn.SINGLE(ROW()) - _xlfn.SINGLE(ROW(ExportSubstitutions_Within.RowNum))</f>
        <v>255</v>
      </c>
      <c r="S260" t="s">
        <v>1310</v>
      </c>
      <c r="T260" t="str">
        <f t="shared" si="10"/>
        <v>q2</v>
      </c>
    </row>
    <row r="261" spans="18:20">
      <c r="R261" cm="1">
        <f t="array" ref="R261" xml:space="preserve"> 1 + _xlfn.SINGLE(ROW()) - _xlfn.SINGLE(ROW(ExportSubstitutions_Within.RowNum))</f>
        <v>256</v>
      </c>
      <c r="S261" t="s">
        <v>1311</v>
      </c>
      <c r="T261" t="str">
        <f t="shared" si="10"/>
        <v>q3</v>
      </c>
    </row>
    <row r="262" spans="18:20">
      <c r="R262" cm="1">
        <f t="array" ref="R262" xml:space="preserve"> 1 + _xlfn.SINGLE(ROW()) - _xlfn.SINGLE(ROW(ExportSubstitutions_Within.RowNum))</f>
        <v>257</v>
      </c>
      <c r="S262" t="s">
        <v>1312</v>
      </c>
      <c r="T262" t="str">
        <f t="shared" ref="T262:T325" si="11" xml:space="preserve"> SUBSTITUTE(ExportSubstitutions_Within.From, " ", "")</f>
        <v>q4</v>
      </c>
    </row>
    <row r="263" spans="18:20">
      <c r="R263" cm="1">
        <f t="array" ref="R263" xml:space="preserve"> 1 + _xlfn.SINGLE(ROW()) - _xlfn.SINGLE(ROW(ExportSubstitutions_Within.RowNum))</f>
        <v>258</v>
      </c>
      <c r="S263" t="s">
        <v>1313</v>
      </c>
      <c r="T263" t="str">
        <f t="shared" si="11"/>
        <v>q5</v>
      </c>
    </row>
    <row r="264" spans="18:20">
      <c r="R264" cm="1">
        <f t="array" ref="R264" xml:space="preserve"> 1 + _xlfn.SINGLE(ROW()) - _xlfn.SINGLE(ROW(ExportSubstitutions_Within.RowNum))</f>
        <v>259</v>
      </c>
      <c r="S264" t="s">
        <v>1314</v>
      </c>
      <c r="T264" t="str">
        <f t="shared" si="11"/>
        <v>q6</v>
      </c>
    </row>
    <row r="265" spans="18:20">
      <c r="R265" cm="1">
        <f t="array" ref="R265" xml:space="preserve"> 1 + _xlfn.SINGLE(ROW()) - _xlfn.SINGLE(ROW(ExportSubstitutions_Within.RowNum))</f>
        <v>260</v>
      </c>
      <c r="S265" t="s">
        <v>1315</v>
      </c>
      <c r="T265" t="str">
        <f t="shared" si="11"/>
        <v>q7</v>
      </c>
    </row>
    <row r="266" spans="18:20">
      <c r="R266" cm="1">
        <f t="array" ref="R266" xml:space="preserve"> 1 + _xlfn.SINGLE(ROW()) - _xlfn.SINGLE(ROW(ExportSubstitutions_Within.RowNum))</f>
        <v>261</v>
      </c>
      <c r="S266" t="s">
        <v>1316</v>
      </c>
      <c r="T266" t="str">
        <f t="shared" si="11"/>
        <v>q8</v>
      </c>
    </row>
    <row r="267" spans="18:20">
      <c r="R267" cm="1">
        <f t="array" ref="R267" xml:space="preserve"> 1 + _xlfn.SINGLE(ROW()) - _xlfn.SINGLE(ROW(ExportSubstitutions_Within.RowNum))</f>
        <v>262</v>
      </c>
      <c r="S267" t="s">
        <v>1317</v>
      </c>
      <c r="T267" t="str">
        <f t="shared" si="11"/>
        <v>q9</v>
      </c>
    </row>
    <row r="268" spans="18:20">
      <c r="R268" cm="1">
        <f t="array" ref="R268" xml:space="preserve"> 1 + _xlfn.SINGLE(ROW()) - _xlfn.SINGLE(ROW(ExportSubstitutions_Within.RowNum))</f>
        <v>263</v>
      </c>
      <c r="S268" t="s">
        <v>1602</v>
      </c>
      <c r="T268" t="str">
        <f t="shared" si="11"/>
        <v>q.</v>
      </c>
    </row>
    <row r="269" spans="18:20">
      <c r="R269" cm="1">
        <f t="array" ref="R269" xml:space="preserve"> 1 + _xlfn.SINGLE(ROW()) - _xlfn.SINGLE(ROW(ExportSubstitutions_Within.RowNum))</f>
        <v>264</v>
      </c>
      <c r="S269" t="s">
        <v>1603</v>
      </c>
      <c r="T269" t="str">
        <f t="shared" si="11"/>
        <v>q-</v>
      </c>
    </row>
    <row r="270" spans="18:20">
      <c r="R270" cm="1">
        <f t="array" ref="R270" xml:space="preserve"> 1 + _xlfn.SINGLE(ROW()) - _xlfn.SINGLE(ROW(ExportSubstitutions_Within.RowNum))</f>
        <v>265</v>
      </c>
      <c r="S270" t="s">
        <v>1318</v>
      </c>
      <c r="T270" t="str">
        <f t="shared" si="11"/>
        <v>0S</v>
      </c>
    </row>
    <row r="271" spans="18:20">
      <c r="R271" cm="1">
        <f t="array" ref="R271" xml:space="preserve"> 1 + _xlfn.SINGLE(ROW()) - _xlfn.SINGLE(ROW(ExportSubstitutions_Within.RowNum))</f>
        <v>266</v>
      </c>
      <c r="S271" t="s">
        <v>1319</v>
      </c>
      <c r="T271" t="str">
        <f t="shared" si="11"/>
        <v>1S</v>
      </c>
    </row>
    <row r="272" spans="18:20">
      <c r="R272" cm="1">
        <f t="array" ref="R272" xml:space="preserve"> 1 + _xlfn.SINGLE(ROW()) - _xlfn.SINGLE(ROW(ExportSubstitutions_Within.RowNum))</f>
        <v>267</v>
      </c>
      <c r="S272" t="s">
        <v>1320</v>
      </c>
      <c r="T272" t="str">
        <f t="shared" si="11"/>
        <v>2S</v>
      </c>
    </row>
    <row r="273" spans="18:20">
      <c r="R273" cm="1">
        <f t="array" ref="R273" xml:space="preserve"> 1 + _xlfn.SINGLE(ROW()) - _xlfn.SINGLE(ROW(ExportSubstitutions_Within.RowNum))</f>
        <v>268</v>
      </c>
      <c r="S273" t="s">
        <v>1321</v>
      </c>
      <c r="T273" t="str">
        <f t="shared" si="11"/>
        <v>3S</v>
      </c>
    </row>
    <row r="274" spans="18:20">
      <c r="R274" cm="1">
        <f t="array" ref="R274" xml:space="preserve"> 1 + _xlfn.SINGLE(ROW()) - _xlfn.SINGLE(ROW(ExportSubstitutions_Within.RowNum))</f>
        <v>269</v>
      </c>
      <c r="S274" t="s">
        <v>1322</v>
      </c>
      <c r="T274" t="str">
        <f t="shared" si="11"/>
        <v>4S</v>
      </c>
    </row>
    <row r="275" spans="18:20">
      <c r="R275" cm="1">
        <f t="array" ref="R275" xml:space="preserve"> 1 + _xlfn.SINGLE(ROW()) - _xlfn.SINGLE(ROW(ExportSubstitutions_Within.RowNum))</f>
        <v>270</v>
      </c>
      <c r="S275" t="s">
        <v>1323</v>
      </c>
      <c r="T275" t="str">
        <f t="shared" si="11"/>
        <v>5S</v>
      </c>
    </row>
    <row r="276" spans="18:20">
      <c r="R276" cm="1">
        <f t="array" ref="R276" xml:space="preserve"> 1 + _xlfn.SINGLE(ROW()) - _xlfn.SINGLE(ROW(ExportSubstitutions_Within.RowNum))</f>
        <v>271</v>
      </c>
      <c r="S276" t="s">
        <v>1324</v>
      </c>
      <c r="T276" t="str">
        <f t="shared" si="11"/>
        <v>6S</v>
      </c>
    </row>
    <row r="277" spans="18:20">
      <c r="R277" cm="1">
        <f t="array" ref="R277" xml:space="preserve"> 1 + _xlfn.SINGLE(ROW()) - _xlfn.SINGLE(ROW(ExportSubstitutions_Within.RowNum))</f>
        <v>272</v>
      </c>
      <c r="S277" t="s">
        <v>1325</v>
      </c>
      <c r="T277" t="str">
        <f t="shared" si="11"/>
        <v>7S</v>
      </c>
    </row>
    <row r="278" spans="18:20">
      <c r="R278" cm="1">
        <f t="array" ref="R278" xml:space="preserve"> 1 + _xlfn.SINGLE(ROW()) - _xlfn.SINGLE(ROW(ExportSubstitutions_Within.RowNum))</f>
        <v>273</v>
      </c>
      <c r="S278" t="s">
        <v>1326</v>
      </c>
      <c r="T278" t="str">
        <f t="shared" si="11"/>
        <v>8S</v>
      </c>
    </row>
    <row r="279" spans="18:20">
      <c r="R279" cm="1">
        <f t="array" ref="R279" xml:space="preserve"> 1 + _xlfn.SINGLE(ROW()) - _xlfn.SINGLE(ROW(ExportSubstitutions_Within.RowNum))</f>
        <v>274</v>
      </c>
      <c r="S279" t="s">
        <v>1327</v>
      </c>
      <c r="T279" t="str">
        <f t="shared" si="11"/>
        <v>9S</v>
      </c>
    </row>
    <row r="280" spans="18:20">
      <c r="R280" cm="1">
        <f t="array" ref="R280" xml:space="preserve"> 1 + _xlfn.SINGLE(ROW()) - _xlfn.SINGLE(ROW(ExportSubstitutions_Within.RowNum))</f>
        <v>275</v>
      </c>
      <c r="S280" t="s">
        <v>1328</v>
      </c>
      <c r="T280" t="str">
        <f t="shared" si="11"/>
        <v>S0</v>
      </c>
    </row>
    <row r="281" spans="18:20">
      <c r="R281" cm="1">
        <f t="array" ref="R281" xml:space="preserve"> 1 + _xlfn.SINGLE(ROW()) - _xlfn.SINGLE(ROW(ExportSubstitutions_Within.RowNum))</f>
        <v>276</v>
      </c>
      <c r="S281" t="s">
        <v>1329</v>
      </c>
      <c r="T281" t="str">
        <f t="shared" si="11"/>
        <v>S1</v>
      </c>
    </row>
    <row r="282" spans="18:20">
      <c r="R282" cm="1">
        <f t="array" ref="R282" xml:space="preserve"> 1 + _xlfn.SINGLE(ROW()) - _xlfn.SINGLE(ROW(ExportSubstitutions_Within.RowNum))</f>
        <v>277</v>
      </c>
      <c r="S282" t="s">
        <v>1330</v>
      </c>
      <c r="T282" t="str">
        <f t="shared" si="11"/>
        <v>S2</v>
      </c>
    </row>
    <row r="283" spans="18:20">
      <c r="R283" cm="1">
        <f t="array" ref="R283" xml:space="preserve"> 1 + _xlfn.SINGLE(ROW()) - _xlfn.SINGLE(ROW(ExportSubstitutions_Within.RowNum))</f>
        <v>278</v>
      </c>
      <c r="S283" t="s">
        <v>1331</v>
      </c>
      <c r="T283" t="str">
        <f t="shared" si="11"/>
        <v>S3</v>
      </c>
    </row>
    <row r="284" spans="18:20">
      <c r="R284" cm="1">
        <f t="array" ref="R284" xml:space="preserve"> 1 + _xlfn.SINGLE(ROW()) - _xlfn.SINGLE(ROW(ExportSubstitutions_Within.RowNum))</f>
        <v>279</v>
      </c>
      <c r="S284" t="s">
        <v>1332</v>
      </c>
      <c r="T284" t="str">
        <f t="shared" si="11"/>
        <v>S4</v>
      </c>
    </row>
    <row r="285" spans="18:20">
      <c r="R285" cm="1">
        <f t="array" ref="R285" xml:space="preserve"> 1 + _xlfn.SINGLE(ROW()) - _xlfn.SINGLE(ROW(ExportSubstitutions_Within.RowNum))</f>
        <v>280</v>
      </c>
      <c r="S285" t="s">
        <v>1333</v>
      </c>
      <c r="T285" t="str">
        <f t="shared" si="11"/>
        <v>S5</v>
      </c>
    </row>
    <row r="286" spans="18:20">
      <c r="R286" cm="1">
        <f t="array" ref="R286" xml:space="preserve"> 1 + _xlfn.SINGLE(ROW()) - _xlfn.SINGLE(ROW(ExportSubstitutions_Within.RowNum))</f>
        <v>281</v>
      </c>
      <c r="S286" t="s">
        <v>1334</v>
      </c>
      <c r="T286" t="str">
        <f t="shared" si="11"/>
        <v>S6</v>
      </c>
    </row>
    <row r="287" spans="18:20">
      <c r="R287" cm="1">
        <f t="array" ref="R287" xml:space="preserve"> 1 + _xlfn.SINGLE(ROW()) - _xlfn.SINGLE(ROW(ExportSubstitutions_Within.RowNum))</f>
        <v>282</v>
      </c>
      <c r="S287" t="s">
        <v>1335</v>
      </c>
      <c r="T287" t="str">
        <f t="shared" si="11"/>
        <v>S7</v>
      </c>
    </row>
    <row r="288" spans="18:20">
      <c r="R288" cm="1">
        <f t="array" ref="R288" xml:space="preserve"> 1 + _xlfn.SINGLE(ROW()) - _xlfn.SINGLE(ROW(ExportSubstitutions_Within.RowNum))</f>
        <v>283</v>
      </c>
      <c r="S288" t="s">
        <v>1336</v>
      </c>
      <c r="T288" t="str">
        <f t="shared" si="11"/>
        <v>S8</v>
      </c>
    </row>
    <row r="289" spans="18:20">
      <c r="R289" cm="1">
        <f t="array" ref="R289" xml:space="preserve"> 1 + _xlfn.SINGLE(ROW()) - _xlfn.SINGLE(ROW(ExportSubstitutions_Within.RowNum))</f>
        <v>284</v>
      </c>
      <c r="S289" t="s">
        <v>1337</v>
      </c>
      <c r="T289" t="str">
        <f t="shared" si="11"/>
        <v>S9</v>
      </c>
    </row>
    <row r="290" spans="18:20">
      <c r="R290" cm="1">
        <f t="array" ref="R290" xml:space="preserve"> 1 + _xlfn.SINGLE(ROW()) - _xlfn.SINGLE(ROW(ExportSubstitutions_Within.RowNum))</f>
        <v>285</v>
      </c>
      <c r="S290" t="s">
        <v>1604</v>
      </c>
      <c r="T290" t="str">
        <f t="shared" si="11"/>
        <v>S.</v>
      </c>
    </row>
    <row r="291" spans="18:20">
      <c r="R291" cm="1">
        <f t="array" ref="R291" xml:space="preserve"> 1 + _xlfn.SINGLE(ROW()) - _xlfn.SINGLE(ROW(ExportSubstitutions_Within.RowNum))</f>
        <v>286</v>
      </c>
      <c r="S291" t="s">
        <v>1605</v>
      </c>
      <c r="T291" t="str">
        <f t="shared" si="11"/>
        <v>S-</v>
      </c>
    </row>
    <row r="292" spans="18:20">
      <c r="R292" cm="1">
        <f t="array" ref="R292" xml:space="preserve"> 1 + _xlfn.SINGLE(ROW()) - _xlfn.SINGLE(ROW(ExportSubstitutions_Within.RowNum))</f>
        <v>287</v>
      </c>
      <c r="S292" t="s">
        <v>1338</v>
      </c>
      <c r="T292" t="str">
        <f t="shared" si="11"/>
        <v>0s</v>
      </c>
    </row>
    <row r="293" spans="18:20">
      <c r="R293" cm="1">
        <f t="array" ref="R293" xml:space="preserve"> 1 + _xlfn.SINGLE(ROW()) - _xlfn.SINGLE(ROW(ExportSubstitutions_Within.RowNum))</f>
        <v>288</v>
      </c>
      <c r="S293" t="s">
        <v>1339</v>
      </c>
      <c r="T293" t="str">
        <f t="shared" si="11"/>
        <v>1s</v>
      </c>
    </row>
    <row r="294" spans="18:20">
      <c r="R294" cm="1">
        <f t="array" ref="R294" xml:space="preserve"> 1 + _xlfn.SINGLE(ROW()) - _xlfn.SINGLE(ROW(ExportSubstitutions_Within.RowNum))</f>
        <v>289</v>
      </c>
      <c r="S294" t="s">
        <v>1340</v>
      </c>
      <c r="T294" t="str">
        <f t="shared" si="11"/>
        <v>2s</v>
      </c>
    </row>
    <row r="295" spans="18:20">
      <c r="R295" cm="1">
        <f t="array" ref="R295" xml:space="preserve"> 1 + _xlfn.SINGLE(ROW()) - _xlfn.SINGLE(ROW(ExportSubstitutions_Within.RowNum))</f>
        <v>290</v>
      </c>
      <c r="S295" t="s">
        <v>1341</v>
      </c>
      <c r="T295" t="str">
        <f t="shared" si="11"/>
        <v>3s</v>
      </c>
    </row>
    <row r="296" spans="18:20">
      <c r="R296" cm="1">
        <f t="array" ref="R296" xml:space="preserve"> 1 + _xlfn.SINGLE(ROW()) - _xlfn.SINGLE(ROW(ExportSubstitutions_Within.RowNum))</f>
        <v>291</v>
      </c>
      <c r="S296" t="s">
        <v>1342</v>
      </c>
      <c r="T296" t="str">
        <f t="shared" si="11"/>
        <v>4s</v>
      </c>
    </row>
    <row r="297" spans="18:20">
      <c r="R297" cm="1">
        <f t="array" ref="R297" xml:space="preserve"> 1 + _xlfn.SINGLE(ROW()) - _xlfn.SINGLE(ROW(ExportSubstitutions_Within.RowNum))</f>
        <v>292</v>
      </c>
      <c r="S297" t="s">
        <v>1343</v>
      </c>
      <c r="T297" t="str">
        <f t="shared" si="11"/>
        <v>5s</v>
      </c>
    </row>
    <row r="298" spans="18:20">
      <c r="R298" cm="1">
        <f t="array" ref="R298" xml:space="preserve"> 1 + _xlfn.SINGLE(ROW()) - _xlfn.SINGLE(ROW(ExportSubstitutions_Within.RowNum))</f>
        <v>293</v>
      </c>
      <c r="S298" t="s">
        <v>1344</v>
      </c>
      <c r="T298" t="str">
        <f t="shared" si="11"/>
        <v>6s</v>
      </c>
    </row>
    <row r="299" spans="18:20">
      <c r="R299" cm="1">
        <f t="array" ref="R299" xml:space="preserve"> 1 + _xlfn.SINGLE(ROW()) - _xlfn.SINGLE(ROW(ExportSubstitutions_Within.RowNum))</f>
        <v>294</v>
      </c>
      <c r="S299" t="s">
        <v>1345</v>
      </c>
      <c r="T299" t="str">
        <f t="shared" si="11"/>
        <v>7s</v>
      </c>
    </row>
    <row r="300" spans="18:20">
      <c r="R300" cm="1">
        <f t="array" ref="R300" xml:space="preserve"> 1 + _xlfn.SINGLE(ROW()) - _xlfn.SINGLE(ROW(ExportSubstitutions_Within.RowNum))</f>
        <v>295</v>
      </c>
      <c r="S300" t="s">
        <v>1346</v>
      </c>
      <c r="T300" t="str">
        <f t="shared" si="11"/>
        <v>8s</v>
      </c>
    </row>
    <row r="301" spans="18:20">
      <c r="R301" cm="1">
        <f t="array" ref="R301" xml:space="preserve"> 1 + _xlfn.SINGLE(ROW()) - _xlfn.SINGLE(ROW(ExportSubstitutions_Within.RowNum))</f>
        <v>296</v>
      </c>
      <c r="S301" t="s">
        <v>1347</v>
      </c>
      <c r="T301" t="str">
        <f t="shared" si="11"/>
        <v>9s</v>
      </c>
    </row>
    <row r="302" spans="18:20">
      <c r="R302" cm="1">
        <f t="array" ref="R302" xml:space="preserve"> 1 + _xlfn.SINGLE(ROW()) - _xlfn.SINGLE(ROW(ExportSubstitutions_Within.RowNum))</f>
        <v>297</v>
      </c>
      <c r="S302" t="s">
        <v>1348</v>
      </c>
      <c r="T302" t="str">
        <f t="shared" si="11"/>
        <v>s0</v>
      </c>
    </row>
    <row r="303" spans="18:20">
      <c r="R303" cm="1">
        <f t="array" ref="R303" xml:space="preserve"> 1 + _xlfn.SINGLE(ROW()) - _xlfn.SINGLE(ROW(ExportSubstitutions_Within.RowNum))</f>
        <v>298</v>
      </c>
      <c r="S303" t="s">
        <v>1349</v>
      </c>
      <c r="T303" t="str">
        <f t="shared" si="11"/>
        <v>s1</v>
      </c>
    </row>
    <row r="304" spans="18:20">
      <c r="R304" cm="1">
        <f t="array" ref="R304" xml:space="preserve"> 1 + _xlfn.SINGLE(ROW()) - _xlfn.SINGLE(ROW(ExportSubstitutions_Within.RowNum))</f>
        <v>299</v>
      </c>
      <c r="S304" t="s">
        <v>1350</v>
      </c>
      <c r="T304" t="str">
        <f t="shared" si="11"/>
        <v>s2</v>
      </c>
    </row>
    <row r="305" spans="18:20">
      <c r="R305" cm="1">
        <f t="array" ref="R305" xml:space="preserve"> 1 + _xlfn.SINGLE(ROW()) - _xlfn.SINGLE(ROW(ExportSubstitutions_Within.RowNum))</f>
        <v>300</v>
      </c>
      <c r="S305" t="s">
        <v>1351</v>
      </c>
      <c r="T305" t="str">
        <f t="shared" si="11"/>
        <v>s3</v>
      </c>
    </row>
    <row r="306" spans="18:20">
      <c r="R306" cm="1">
        <f t="array" ref="R306" xml:space="preserve"> 1 + _xlfn.SINGLE(ROW()) - _xlfn.SINGLE(ROW(ExportSubstitutions_Within.RowNum))</f>
        <v>301</v>
      </c>
      <c r="S306" t="s">
        <v>1352</v>
      </c>
      <c r="T306" t="str">
        <f t="shared" si="11"/>
        <v>s4</v>
      </c>
    </row>
    <row r="307" spans="18:20">
      <c r="R307" cm="1">
        <f t="array" ref="R307" xml:space="preserve"> 1 + _xlfn.SINGLE(ROW()) - _xlfn.SINGLE(ROW(ExportSubstitutions_Within.RowNum))</f>
        <v>302</v>
      </c>
      <c r="S307" t="s">
        <v>1353</v>
      </c>
      <c r="T307" t="str">
        <f t="shared" si="11"/>
        <v>s5</v>
      </c>
    </row>
    <row r="308" spans="18:20">
      <c r="R308" cm="1">
        <f t="array" ref="R308" xml:space="preserve"> 1 + _xlfn.SINGLE(ROW()) - _xlfn.SINGLE(ROW(ExportSubstitutions_Within.RowNum))</f>
        <v>303</v>
      </c>
      <c r="S308" t="s">
        <v>1354</v>
      </c>
      <c r="T308" t="str">
        <f t="shared" si="11"/>
        <v>s6</v>
      </c>
    </row>
    <row r="309" spans="18:20">
      <c r="R309" cm="1">
        <f t="array" ref="R309" xml:space="preserve"> 1 + _xlfn.SINGLE(ROW()) - _xlfn.SINGLE(ROW(ExportSubstitutions_Within.RowNum))</f>
        <v>304</v>
      </c>
      <c r="S309" t="s">
        <v>1355</v>
      </c>
      <c r="T309" t="str">
        <f t="shared" si="11"/>
        <v>s7</v>
      </c>
    </row>
    <row r="310" spans="18:20">
      <c r="R310" cm="1">
        <f t="array" ref="R310" xml:space="preserve"> 1 + _xlfn.SINGLE(ROW()) - _xlfn.SINGLE(ROW(ExportSubstitutions_Within.RowNum))</f>
        <v>305</v>
      </c>
      <c r="S310" t="s">
        <v>1356</v>
      </c>
      <c r="T310" t="str">
        <f t="shared" si="11"/>
        <v>s8</v>
      </c>
    </row>
    <row r="311" spans="18:20">
      <c r="R311" cm="1">
        <f t="array" ref="R311" xml:space="preserve"> 1 + _xlfn.SINGLE(ROW()) - _xlfn.SINGLE(ROW(ExportSubstitutions_Within.RowNum))</f>
        <v>306</v>
      </c>
      <c r="S311" t="s">
        <v>1357</v>
      </c>
      <c r="T311" t="str">
        <f t="shared" si="11"/>
        <v>s9</v>
      </c>
    </row>
    <row r="312" spans="18:20">
      <c r="R312" cm="1">
        <f t="array" ref="R312" xml:space="preserve"> 1 + _xlfn.SINGLE(ROW()) - _xlfn.SINGLE(ROW(ExportSubstitutions_Within.RowNum))</f>
        <v>307</v>
      </c>
      <c r="S312" t="s">
        <v>1606</v>
      </c>
      <c r="T312" t="str">
        <f t="shared" si="11"/>
        <v>s.</v>
      </c>
    </row>
    <row r="313" spans="18:20">
      <c r="R313" cm="1">
        <f t="array" ref="R313" xml:space="preserve"> 1 + _xlfn.SINGLE(ROW()) - _xlfn.SINGLE(ROW(ExportSubstitutions_Within.RowNum))</f>
        <v>308</v>
      </c>
      <c r="S313" t="s">
        <v>1607</v>
      </c>
      <c r="T313" t="str">
        <f t="shared" si="11"/>
        <v>s-</v>
      </c>
    </row>
    <row r="314" spans="18:20">
      <c r="R314" cm="1">
        <f t="array" ref="R314" xml:space="preserve"> 1 + _xlfn.SINGLE(ROW()) - _xlfn.SINGLE(ROW(ExportSubstitutions_Within.RowNum))</f>
        <v>309</v>
      </c>
      <c r="S314" t="s">
        <v>1358</v>
      </c>
      <c r="T314" t="str">
        <f t="shared" si="11"/>
        <v>0T</v>
      </c>
    </row>
    <row r="315" spans="18:20">
      <c r="R315" cm="1">
        <f t="array" ref="R315" xml:space="preserve"> 1 + _xlfn.SINGLE(ROW()) - _xlfn.SINGLE(ROW(ExportSubstitutions_Within.RowNum))</f>
        <v>310</v>
      </c>
      <c r="S315" t="s">
        <v>1359</v>
      </c>
      <c r="T315" t="str">
        <f t="shared" si="11"/>
        <v>1T</v>
      </c>
    </row>
    <row r="316" spans="18:20">
      <c r="R316" cm="1">
        <f t="array" ref="R316" xml:space="preserve"> 1 + _xlfn.SINGLE(ROW()) - _xlfn.SINGLE(ROW(ExportSubstitutions_Within.RowNum))</f>
        <v>311</v>
      </c>
      <c r="S316" t="s">
        <v>1360</v>
      </c>
      <c r="T316" t="str">
        <f t="shared" si="11"/>
        <v>2T</v>
      </c>
    </row>
    <row r="317" spans="18:20">
      <c r="R317" cm="1">
        <f t="array" ref="R317" xml:space="preserve"> 1 + _xlfn.SINGLE(ROW()) - _xlfn.SINGLE(ROW(ExportSubstitutions_Within.RowNum))</f>
        <v>312</v>
      </c>
      <c r="S317" t="s">
        <v>1361</v>
      </c>
      <c r="T317" t="str">
        <f t="shared" si="11"/>
        <v>3T</v>
      </c>
    </row>
    <row r="318" spans="18:20">
      <c r="R318" cm="1">
        <f t="array" ref="R318" xml:space="preserve"> 1 + _xlfn.SINGLE(ROW()) - _xlfn.SINGLE(ROW(ExportSubstitutions_Within.RowNum))</f>
        <v>313</v>
      </c>
      <c r="S318" t="s">
        <v>1362</v>
      </c>
      <c r="T318" t="str">
        <f t="shared" si="11"/>
        <v>4T</v>
      </c>
    </row>
    <row r="319" spans="18:20">
      <c r="R319" cm="1">
        <f t="array" ref="R319" xml:space="preserve"> 1 + _xlfn.SINGLE(ROW()) - _xlfn.SINGLE(ROW(ExportSubstitutions_Within.RowNum))</f>
        <v>314</v>
      </c>
      <c r="S319" t="s">
        <v>1363</v>
      </c>
      <c r="T319" t="str">
        <f t="shared" si="11"/>
        <v>5T</v>
      </c>
    </row>
    <row r="320" spans="18:20">
      <c r="R320" cm="1">
        <f t="array" ref="R320" xml:space="preserve"> 1 + _xlfn.SINGLE(ROW()) - _xlfn.SINGLE(ROW(ExportSubstitutions_Within.RowNum))</f>
        <v>315</v>
      </c>
      <c r="S320" t="s">
        <v>1364</v>
      </c>
      <c r="T320" t="str">
        <f t="shared" si="11"/>
        <v>6T</v>
      </c>
    </row>
    <row r="321" spans="18:20">
      <c r="R321" cm="1">
        <f t="array" ref="R321" xml:space="preserve"> 1 + _xlfn.SINGLE(ROW()) - _xlfn.SINGLE(ROW(ExportSubstitutions_Within.RowNum))</f>
        <v>316</v>
      </c>
      <c r="S321" t="s">
        <v>1365</v>
      </c>
      <c r="T321" t="str">
        <f t="shared" si="11"/>
        <v>7T</v>
      </c>
    </row>
    <row r="322" spans="18:20">
      <c r="R322" cm="1">
        <f t="array" ref="R322" xml:space="preserve"> 1 + _xlfn.SINGLE(ROW()) - _xlfn.SINGLE(ROW(ExportSubstitutions_Within.RowNum))</f>
        <v>317</v>
      </c>
      <c r="S322" t="s">
        <v>1366</v>
      </c>
      <c r="T322" t="str">
        <f t="shared" si="11"/>
        <v>8T</v>
      </c>
    </row>
    <row r="323" spans="18:20">
      <c r="R323" cm="1">
        <f t="array" ref="R323" xml:space="preserve"> 1 + _xlfn.SINGLE(ROW()) - _xlfn.SINGLE(ROW(ExportSubstitutions_Within.RowNum))</f>
        <v>318</v>
      </c>
      <c r="S323" t="s">
        <v>1367</v>
      </c>
      <c r="T323" t="str">
        <f t="shared" si="11"/>
        <v>9T</v>
      </c>
    </row>
    <row r="324" spans="18:20">
      <c r="R324" cm="1">
        <f t="array" ref="R324" xml:space="preserve"> 1 + _xlfn.SINGLE(ROW()) - _xlfn.SINGLE(ROW(ExportSubstitutions_Within.RowNum))</f>
        <v>319</v>
      </c>
      <c r="S324" t="s">
        <v>1368</v>
      </c>
      <c r="T324" t="str">
        <f t="shared" si="11"/>
        <v>T0</v>
      </c>
    </row>
    <row r="325" spans="18:20">
      <c r="R325" cm="1">
        <f t="array" ref="R325" xml:space="preserve"> 1 + _xlfn.SINGLE(ROW()) - _xlfn.SINGLE(ROW(ExportSubstitutions_Within.RowNum))</f>
        <v>320</v>
      </c>
      <c r="S325" t="s">
        <v>1369</v>
      </c>
      <c r="T325" t="str">
        <f t="shared" si="11"/>
        <v>T1</v>
      </c>
    </row>
    <row r="326" spans="18:20">
      <c r="R326" cm="1">
        <f t="array" ref="R326" xml:space="preserve"> 1 + _xlfn.SINGLE(ROW()) - _xlfn.SINGLE(ROW(ExportSubstitutions_Within.RowNum))</f>
        <v>321</v>
      </c>
      <c r="S326" t="s">
        <v>1370</v>
      </c>
      <c r="T326" t="str">
        <f t="shared" ref="T326:T389" si="12" xml:space="preserve"> SUBSTITUTE(ExportSubstitutions_Within.From, " ", "")</f>
        <v>T2</v>
      </c>
    </row>
    <row r="327" spans="18:20">
      <c r="R327" cm="1">
        <f t="array" ref="R327" xml:space="preserve"> 1 + _xlfn.SINGLE(ROW()) - _xlfn.SINGLE(ROW(ExportSubstitutions_Within.RowNum))</f>
        <v>322</v>
      </c>
      <c r="S327" t="s">
        <v>1371</v>
      </c>
      <c r="T327" t="str">
        <f t="shared" si="12"/>
        <v>T3</v>
      </c>
    </row>
    <row r="328" spans="18:20">
      <c r="R328" cm="1">
        <f t="array" ref="R328" xml:space="preserve"> 1 + _xlfn.SINGLE(ROW()) - _xlfn.SINGLE(ROW(ExportSubstitutions_Within.RowNum))</f>
        <v>323</v>
      </c>
      <c r="S328" t="s">
        <v>1372</v>
      </c>
      <c r="T328" t="str">
        <f t="shared" si="12"/>
        <v>T4</v>
      </c>
    </row>
    <row r="329" spans="18:20">
      <c r="R329" cm="1">
        <f t="array" ref="R329" xml:space="preserve"> 1 + _xlfn.SINGLE(ROW()) - _xlfn.SINGLE(ROW(ExportSubstitutions_Within.RowNum))</f>
        <v>324</v>
      </c>
      <c r="S329" t="s">
        <v>1373</v>
      </c>
      <c r="T329" t="str">
        <f t="shared" si="12"/>
        <v>T5</v>
      </c>
    </row>
    <row r="330" spans="18:20">
      <c r="R330" cm="1">
        <f t="array" ref="R330" xml:space="preserve"> 1 + _xlfn.SINGLE(ROW()) - _xlfn.SINGLE(ROW(ExportSubstitutions_Within.RowNum))</f>
        <v>325</v>
      </c>
      <c r="S330" t="s">
        <v>1374</v>
      </c>
      <c r="T330" t="str">
        <f t="shared" si="12"/>
        <v>T6</v>
      </c>
    </row>
    <row r="331" spans="18:20">
      <c r="R331" cm="1">
        <f t="array" ref="R331" xml:space="preserve"> 1 + _xlfn.SINGLE(ROW()) - _xlfn.SINGLE(ROW(ExportSubstitutions_Within.RowNum))</f>
        <v>326</v>
      </c>
      <c r="S331" t="s">
        <v>1375</v>
      </c>
      <c r="T331" t="str">
        <f t="shared" si="12"/>
        <v>T7</v>
      </c>
    </row>
    <row r="332" spans="18:20">
      <c r="R332" cm="1">
        <f t="array" ref="R332" xml:space="preserve"> 1 + _xlfn.SINGLE(ROW()) - _xlfn.SINGLE(ROW(ExportSubstitutions_Within.RowNum))</f>
        <v>327</v>
      </c>
      <c r="S332" t="s">
        <v>1376</v>
      </c>
      <c r="T332" t="str">
        <f t="shared" si="12"/>
        <v>T8</v>
      </c>
    </row>
    <row r="333" spans="18:20">
      <c r="R333" cm="1">
        <f t="array" ref="R333" xml:space="preserve"> 1 + _xlfn.SINGLE(ROW()) - _xlfn.SINGLE(ROW(ExportSubstitutions_Within.RowNum))</f>
        <v>328</v>
      </c>
      <c r="S333" t="s">
        <v>1377</v>
      </c>
      <c r="T333" t="str">
        <f t="shared" si="12"/>
        <v>T9</v>
      </c>
    </row>
    <row r="334" spans="18:20">
      <c r="R334" cm="1">
        <f t="array" ref="R334" xml:space="preserve"> 1 + _xlfn.SINGLE(ROW()) - _xlfn.SINGLE(ROW(ExportSubstitutions_Within.RowNum))</f>
        <v>329</v>
      </c>
      <c r="S334" t="s">
        <v>1608</v>
      </c>
      <c r="T334" t="str">
        <f t="shared" si="12"/>
        <v>T.</v>
      </c>
    </row>
    <row r="335" spans="18:20">
      <c r="R335" cm="1">
        <f t="array" ref="R335" xml:space="preserve"> 1 + _xlfn.SINGLE(ROW()) - _xlfn.SINGLE(ROW(ExportSubstitutions_Within.RowNum))</f>
        <v>330</v>
      </c>
      <c r="S335" t="s">
        <v>1609</v>
      </c>
      <c r="T335" t="str">
        <f t="shared" si="12"/>
        <v>T-</v>
      </c>
    </row>
    <row r="336" spans="18:20">
      <c r="R336" cm="1">
        <f t="array" ref="R336" xml:space="preserve"> 1 + _xlfn.SINGLE(ROW()) - _xlfn.SINGLE(ROW(ExportSubstitutions_Within.RowNum))</f>
        <v>331</v>
      </c>
      <c r="S336" t="s">
        <v>1378</v>
      </c>
      <c r="T336" t="str">
        <f t="shared" si="12"/>
        <v>0t</v>
      </c>
    </row>
    <row r="337" spans="18:20">
      <c r="R337" cm="1">
        <f t="array" ref="R337" xml:space="preserve"> 1 + _xlfn.SINGLE(ROW()) - _xlfn.SINGLE(ROW(ExportSubstitutions_Within.RowNum))</f>
        <v>332</v>
      </c>
      <c r="S337" t="s">
        <v>1379</v>
      </c>
      <c r="T337" t="str">
        <f t="shared" si="12"/>
        <v>1t</v>
      </c>
    </row>
    <row r="338" spans="18:20">
      <c r="R338" cm="1">
        <f t="array" ref="R338" xml:space="preserve"> 1 + _xlfn.SINGLE(ROW()) - _xlfn.SINGLE(ROW(ExportSubstitutions_Within.RowNum))</f>
        <v>333</v>
      </c>
      <c r="S338" t="s">
        <v>1380</v>
      </c>
      <c r="T338" t="str">
        <f t="shared" si="12"/>
        <v>2t</v>
      </c>
    </row>
    <row r="339" spans="18:20">
      <c r="R339" cm="1">
        <f t="array" ref="R339" xml:space="preserve"> 1 + _xlfn.SINGLE(ROW()) - _xlfn.SINGLE(ROW(ExportSubstitutions_Within.RowNum))</f>
        <v>334</v>
      </c>
      <c r="S339" t="s">
        <v>1381</v>
      </c>
      <c r="T339" t="str">
        <f t="shared" si="12"/>
        <v>3t</v>
      </c>
    </row>
    <row r="340" spans="18:20">
      <c r="R340" cm="1">
        <f t="array" ref="R340" xml:space="preserve"> 1 + _xlfn.SINGLE(ROW()) - _xlfn.SINGLE(ROW(ExportSubstitutions_Within.RowNum))</f>
        <v>335</v>
      </c>
      <c r="S340" t="s">
        <v>1382</v>
      </c>
      <c r="T340" t="str">
        <f t="shared" si="12"/>
        <v>4t</v>
      </c>
    </row>
    <row r="341" spans="18:20">
      <c r="R341" cm="1">
        <f t="array" ref="R341" xml:space="preserve"> 1 + _xlfn.SINGLE(ROW()) - _xlfn.SINGLE(ROW(ExportSubstitutions_Within.RowNum))</f>
        <v>336</v>
      </c>
      <c r="S341" t="s">
        <v>1383</v>
      </c>
      <c r="T341" t="str">
        <f t="shared" si="12"/>
        <v>5t</v>
      </c>
    </row>
    <row r="342" spans="18:20">
      <c r="R342" cm="1">
        <f t="array" ref="R342" xml:space="preserve"> 1 + _xlfn.SINGLE(ROW()) - _xlfn.SINGLE(ROW(ExportSubstitutions_Within.RowNum))</f>
        <v>337</v>
      </c>
      <c r="S342" t="s">
        <v>1384</v>
      </c>
      <c r="T342" t="str">
        <f t="shared" si="12"/>
        <v>6t</v>
      </c>
    </row>
    <row r="343" spans="18:20">
      <c r="R343" cm="1">
        <f t="array" ref="R343" xml:space="preserve"> 1 + _xlfn.SINGLE(ROW()) - _xlfn.SINGLE(ROW(ExportSubstitutions_Within.RowNum))</f>
        <v>338</v>
      </c>
      <c r="S343" t="s">
        <v>1385</v>
      </c>
      <c r="T343" t="str">
        <f t="shared" si="12"/>
        <v>7t</v>
      </c>
    </row>
    <row r="344" spans="18:20">
      <c r="R344" cm="1">
        <f t="array" ref="R344" xml:space="preserve"> 1 + _xlfn.SINGLE(ROW()) - _xlfn.SINGLE(ROW(ExportSubstitutions_Within.RowNum))</f>
        <v>339</v>
      </c>
      <c r="S344" t="s">
        <v>1386</v>
      </c>
      <c r="T344" t="str">
        <f t="shared" si="12"/>
        <v>8t</v>
      </c>
    </row>
    <row r="345" spans="18:20">
      <c r="R345" cm="1">
        <f t="array" ref="R345" xml:space="preserve"> 1 + _xlfn.SINGLE(ROW()) - _xlfn.SINGLE(ROW(ExportSubstitutions_Within.RowNum))</f>
        <v>340</v>
      </c>
      <c r="S345" t="s">
        <v>1387</v>
      </c>
      <c r="T345" t="str">
        <f t="shared" si="12"/>
        <v>9t</v>
      </c>
    </row>
    <row r="346" spans="18:20">
      <c r="R346" cm="1">
        <f t="array" ref="R346" xml:space="preserve"> 1 + _xlfn.SINGLE(ROW()) - _xlfn.SINGLE(ROW(ExportSubstitutions_Within.RowNum))</f>
        <v>341</v>
      </c>
      <c r="S346" t="s">
        <v>1388</v>
      </c>
      <c r="T346" t="str">
        <f t="shared" si="12"/>
        <v>t0</v>
      </c>
    </row>
    <row r="347" spans="18:20">
      <c r="R347" cm="1">
        <f t="array" ref="R347" xml:space="preserve"> 1 + _xlfn.SINGLE(ROW()) - _xlfn.SINGLE(ROW(ExportSubstitutions_Within.RowNum))</f>
        <v>342</v>
      </c>
      <c r="S347" t="s">
        <v>1389</v>
      </c>
      <c r="T347" t="str">
        <f t="shared" si="12"/>
        <v>t1</v>
      </c>
    </row>
    <row r="348" spans="18:20">
      <c r="R348" cm="1">
        <f t="array" ref="R348" xml:space="preserve"> 1 + _xlfn.SINGLE(ROW()) - _xlfn.SINGLE(ROW(ExportSubstitutions_Within.RowNum))</f>
        <v>343</v>
      </c>
      <c r="S348" t="s">
        <v>1390</v>
      </c>
      <c r="T348" t="str">
        <f t="shared" si="12"/>
        <v>t2</v>
      </c>
    </row>
    <row r="349" spans="18:20">
      <c r="R349" cm="1">
        <f t="array" ref="R349" xml:space="preserve"> 1 + _xlfn.SINGLE(ROW()) - _xlfn.SINGLE(ROW(ExportSubstitutions_Within.RowNum))</f>
        <v>344</v>
      </c>
      <c r="S349" t="s">
        <v>1391</v>
      </c>
      <c r="T349" t="str">
        <f t="shared" si="12"/>
        <v>t3</v>
      </c>
    </row>
    <row r="350" spans="18:20">
      <c r="R350" cm="1">
        <f t="array" ref="R350" xml:space="preserve"> 1 + _xlfn.SINGLE(ROW()) - _xlfn.SINGLE(ROW(ExportSubstitutions_Within.RowNum))</f>
        <v>345</v>
      </c>
      <c r="S350" t="s">
        <v>1392</v>
      </c>
      <c r="T350" t="str">
        <f t="shared" si="12"/>
        <v>t4</v>
      </c>
    </row>
    <row r="351" spans="18:20">
      <c r="R351" cm="1">
        <f t="array" ref="R351" xml:space="preserve"> 1 + _xlfn.SINGLE(ROW()) - _xlfn.SINGLE(ROW(ExportSubstitutions_Within.RowNum))</f>
        <v>346</v>
      </c>
      <c r="S351" t="s">
        <v>1393</v>
      </c>
      <c r="T351" t="str">
        <f t="shared" si="12"/>
        <v>t5</v>
      </c>
    </row>
    <row r="352" spans="18:20">
      <c r="R352" cm="1">
        <f t="array" ref="R352" xml:space="preserve"> 1 + _xlfn.SINGLE(ROW()) - _xlfn.SINGLE(ROW(ExportSubstitutions_Within.RowNum))</f>
        <v>347</v>
      </c>
      <c r="S352" t="s">
        <v>1394</v>
      </c>
      <c r="T352" t="str">
        <f t="shared" si="12"/>
        <v>t6</v>
      </c>
    </row>
    <row r="353" spans="18:20">
      <c r="R353" cm="1">
        <f t="array" ref="R353" xml:space="preserve"> 1 + _xlfn.SINGLE(ROW()) - _xlfn.SINGLE(ROW(ExportSubstitutions_Within.RowNum))</f>
        <v>348</v>
      </c>
      <c r="S353" t="s">
        <v>1395</v>
      </c>
      <c r="T353" t="str">
        <f t="shared" si="12"/>
        <v>t7</v>
      </c>
    </row>
    <row r="354" spans="18:20">
      <c r="R354" cm="1">
        <f t="array" ref="R354" xml:space="preserve"> 1 + _xlfn.SINGLE(ROW()) - _xlfn.SINGLE(ROW(ExportSubstitutions_Within.RowNum))</f>
        <v>349</v>
      </c>
      <c r="S354" t="s">
        <v>1396</v>
      </c>
      <c r="T354" t="str">
        <f t="shared" si="12"/>
        <v>t8</v>
      </c>
    </row>
    <row r="355" spans="18:20">
      <c r="R355" cm="1">
        <f t="array" ref="R355" xml:space="preserve"> 1 + _xlfn.SINGLE(ROW()) - _xlfn.SINGLE(ROW(ExportSubstitutions_Within.RowNum))</f>
        <v>350</v>
      </c>
      <c r="S355" t="s">
        <v>1397</v>
      </c>
      <c r="T355" t="str">
        <f t="shared" si="12"/>
        <v>t9</v>
      </c>
    </row>
    <row r="356" spans="18:20">
      <c r="R356" cm="1">
        <f t="array" ref="R356" xml:space="preserve"> 1 + _xlfn.SINGLE(ROW()) - _xlfn.SINGLE(ROW(ExportSubstitutions_Within.RowNum))</f>
        <v>351</v>
      </c>
      <c r="S356" t="s">
        <v>1610</v>
      </c>
      <c r="T356" t="str">
        <f t="shared" si="12"/>
        <v>t.</v>
      </c>
    </row>
    <row r="357" spans="18:20">
      <c r="R357" cm="1">
        <f t="array" ref="R357" xml:space="preserve"> 1 + _xlfn.SINGLE(ROW()) - _xlfn.SINGLE(ROW(ExportSubstitutions_Within.RowNum))</f>
        <v>352</v>
      </c>
      <c r="S357" t="s">
        <v>1611</v>
      </c>
      <c r="T357" t="str">
        <f t="shared" si="12"/>
        <v>t-</v>
      </c>
    </row>
    <row r="358" spans="18:20">
      <c r="R358" cm="1">
        <f t="array" ref="R358" xml:space="preserve"> 1 + _xlfn.SINGLE(ROW()) - _xlfn.SINGLE(ROW(ExportSubstitutions_Within.RowNum))</f>
        <v>353</v>
      </c>
      <c r="S358" t="s">
        <v>1398</v>
      </c>
      <c r="T358" t="str">
        <f t="shared" si="12"/>
        <v>0V</v>
      </c>
    </row>
    <row r="359" spans="18:20">
      <c r="R359" cm="1">
        <f t="array" ref="R359" xml:space="preserve"> 1 + _xlfn.SINGLE(ROW()) - _xlfn.SINGLE(ROW(ExportSubstitutions_Within.RowNum))</f>
        <v>354</v>
      </c>
      <c r="S359" t="s">
        <v>1399</v>
      </c>
      <c r="T359" t="str">
        <f t="shared" si="12"/>
        <v>1V</v>
      </c>
    </row>
    <row r="360" spans="18:20">
      <c r="R360" cm="1">
        <f t="array" ref="R360" xml:space="preserve"> 1 + _xlfn.SINGLE(ROW()) - _xlfn.SINGLE(ROW(ExportSubstitutions_Within.RowNum))</f>
        <v>355</v>
      </c>
      <c r="S360" t="s">
        <v>1400</v>
      </c>
      <c r="T360" t="str">
        <f t="shared" si="12"/>
        <v>2V</v>
      </c>
    </row>
    <row r="361" spans="18:20">
      <c r="R361" cm="1">
        <f t="array" ref="R361" xml:space="preserve"> 1 + _xlfn.SINGLE(ROW()) - _xlfn.SINGLE(ROW(ExportSubstitutions_Within.RowNum))</f>
        <v>356</v>
      </c>
      <c r="S361" t="s">
        <v>1401</v>
      </c>
      <c r="T361" t="str">
        <f t="shared" si="12"/>
        <v>3V</v>
      </c>
    </row>
    <row r="362" spans="18:20">
      <c r="R362" cm="1">
        <f t="array" ref="R362" xml:space="preserve"> 1 + _xlfn.SINGLE(ROW()) - _xlfn.SINGLE(ROW(ExportSubstitutions_Within.RowNum))</f>
        <v>357</v>
      </c>
      <c r="S362" t="s">
        <v>1402</v>
      </c>
      <c r="T362" t="str">
        <f t="shared" si="12"/>
        <v>4V</v>
      </c>
    </row>
    <row r="363" spans="18:20">
      <c r="R363" cm="1">
        <f t="array" ref="R363" xml:space="preserve"> 1 + _xlfn.SINGLE(ROW()) - _xlfn.SINGLE(ROW(ExportSubstitutions_Within.RowNum))</f>
        <v>358</v>
      </c>
      <c r="S363" t="s">
        <v>1403</v>
      </c>
      <c r="T363" t="str">
        <f t="shared" si="12"/>
        <v>5V</v>
      </c>
    </row>
    <row r="364" spans="18:20">
      <c r="R364" cm="1">
        <f t="array" ref="R364" xml:space="preserve"> 1 + _xlfn.SINGLE(ROW()) - _xlfn.SINGLE(ROW(ExportSubstitutions_Within.RowNum))</f>
        <v>359</v>
      </c>
      <c r="S364" t="s">
        <v>1404</v>
      </c>
      <c r="T364" t="str">
        <f t="shared" si="12"/>
        <v>6V</v>
      </c>
    </row>
    <row r="365" spans="18:20">
      <c r="R365" cm="1">
        <f t="array" ref="R365" xml:space="preserve"> 1 + _xlfn.SINGLE(ROW()) - _xlfn.SINGLE(ROW(ExportSubstitutions_Within.RowNum))</f>
        <v>360</v>
      </c>
      <c r="S365" t="s">
        <v>1405</v>
      </c>
      <c r="T365" t="str">
        <f t="shared" si="12"/>
        <v>7V</v>
      </c>
    </row>
    <row r="366" spans="18:20">
      <c r="R366" cm="1">
        <f t="array" ref="R366" xml:space="preserve"> 1 + _xlfn.SINGLE(ROW()) - _xlfn.SINGLE(ROW(ExportSubstitutions_Within.RowNum))</f>
        <v>361</v>
      </c>
      <c r="S366" t="s">
        <v>1406</v>
      </c>
      <c r="T366" t="str">
        <f t="shared" si="12"/>
        <v>8V</v>
      </c>
    </row>
    <row r="367" spans="18:20">
      <c r="R367" cm="1">
        <f t="array" ref="R367" xml:space="preserve"> 1 + _xlfn.SINGLE(ROW()) - _xlfn.SINGLE(ROW(ExportSubstitutions_Within.RowNum))</f>
        <v>362</v>
      </c>
      <c r="S367" t="s">
        <v>1407</v>
      </c>
      <c r="T367" t="str">
        <f t="shared" si="12"/>
        <v>9V</v>
      </c>
    </row>
    <row r="368" spans="18:20">
      <c r="R368" cm="1">
        <f t="array" ref="R368" xml:space="preserve"> 1 + _xlfn.SINGLE(ROW()) - _xlfn.SINGLE(ROW(ExportSubstitutions_Within.RowNum))</f>
        <v>363</v>
      </c>
      <c r="S368" t="s">
        <v>1408</v>
      </c>
      <c r="T368" t="str">
        <f t="shared" si="12"/>
        <v>V0</v>
      </c>
    </row>
    <row r="369" spans="18:20">
      <c r="R369" cm="1">
        <f t="array" ref="R369" xml:space="preserve"> 1 + _xlfn.SINGLE(ROW()) - _xlfn.SINGLE(ROW(ExportSubstitutions_Within.RowNum))</f>
        <v>364</v>
      </c>
      <c r="S369" t="s">
        <v>1409</v>
      </c>
      <c r="T369" t="str">
        <f t="shared" si="12"/>
        <v>V1</v>
      </c>
    </row>
    <row r="370" spans="18:20">
      <c r="R370" cm="1">
        <f t="array" ref="R370" xml:space="preserve"> 1 + _xlfn.SINGLE(ROW()) - _xlfn.SINGLE(ROW(ExportSubstitutions_Within.RowNum))</f>
        <v>365</v>
      </c>
      <c r="S370" t="s">
        <v>1410</v>
      </c>
      <c r="T370" t="str">
        <f t="shared" si="12"/>
        <v>V2</v>
      </c>
    </row>
    <row r="371" spans="18:20">
      <c r="R371" cm="1">
        <f t="array" ref="R371" xml:space="preserve"> 1 + _xlfn.SINGLE(ROW()) - _xlfn.SINGLE(ROW(ExportSubstitutions_Within.RowNum))</f>
        <v>366</v>
      </c>
      <c r="S371" t="s">
        <v>1411</v>
      </c>
      <c r="T371" t="str">
        <f t="shared" si="12"/>
        <v>V3</v>
      </c>
    </row>
    <row r="372" spans="18:20">
      <c r="R372" cm="1">
        <f t="array" ref="R372" xml:space="preserve"> 1 + _xlfn.SINGLE(ROW()) - _xlfn.SINGLE(ROW(ExportSubstitutions_Within.RowNum))</f>
        <v>367</v>
      </c>
      <c r="S372" t="s">
        <v>1412</v>
      </c>
      <c r="T372" t="str">
        <f t="shared" si="12"/>
        <v>V4</v>
      </c>
    </row>
    <row r="373" spans="18:20">
      <c r="R373" cm="1">
        <f t="array" ref="R373" xml:space="preserve"> 1 + _xlfn.SINGLE(ROW()) - _xlfn.SINGLE(ROW(ExportSubstitutions_Within.RowNum))</f>
        <v>368</v>
      </c>
      <c r="S373" t="s">
        <v>1413</v>
      </c>
      <c r="T373" t="str">
        <f t="shared" si="12"/>
        <v>V5</v>
      </c>
    </row>
    <row r="374" spans="18:20">
      <c r="R374" cm="1">
        <f t="array" ref="R374" xml:space="preserve"> 1 + _xlfn.SINGLE(ROW()) - _xlfn.SINGLE(ROW(ExportSubstitutions_Within.RowNum))</f>
        <v>369</v>
      </c>
      <c r="S374" t="s">
        <v>1414</v>
      </c>
      <c r="T374" t="str">
        <f t="shared" si="12"/>
        <v>V6</v>
      </c>
    </row>
    <row r="375" spans="18:20">
      <c r="R375" cm="1">
        <f t="array" ref="R375" xml:space="preserve"> 1 + _xlfn.SINGLE(ROW()) - _xlfn.SINGLE(ROW(ExportSubstitutions_Within.RowNum))</f>
        <v>370</v>
      </c>
      <c r="S375" t="s">
        <v>1415</v>
      </c>
      <c r="T375" t="str">
        <f t="shared" si="12"/>
        <v>V7</v>
      </c>
    </row>
    <row r="376" spans="18:20">
      <c r="R376" cm="1">
        <f t="array" ref="R376" xml:space="preserve"> 1 + _xlfn.SINGLE(ROW()) - _xlfn.SINGLE(ROW(ExportSubstitutions_Within.RowNum))</f>
        <v>371</v>
      </c>
      <c r="S376" t="s">
        <v>1416</v>
      </c>
      <c r="T376" t="str">
        <f t="shared" si="12"/>
        <v>V8</v>
      </c>
    </row>
    <row r="377" spans="18:20">
      <c r="R377" cm="1">
        <f t="array" ref="R377" xml:space="preserve"> 1 + _xlfn.SINGLE(ROW()) - _xlfn.SINGLE(ROW(ExportSubstitutions_Within.RowNum))</f>
        <v>372</v>
      </c>
      <c r="S377" t="s">
        <v>1417</v>
      </c>
      <c r="T377" t="str">
        <f t="shared" si="12"/>
        <v>V9</v>
      </c>
    </row>
    <row r="378" spans="18:20">
      <c r="R378" cm="1">
        <f t="array" ref="R378" xml:space="preserve"> 1 + _xlfn.SINGLE(ROW()) - _xlfn.SINGLE(ROW(ExportSubstitutions_Within.RowNum))</f>
        <v>373</v>
      </c>
      <c r="S378" t="s">
        <v>1612</v>
      </c>
      <c r="T378" t="str">
        <f t="shared" si="12"/>
        <v>V.</v>
      </c>
    </row>
    <row r="379" spans="18:20">
      <c r="R379" cm="1">
        <f t="array" ref="R379" xml:space="preserve"> 1 + _xlfn.SINGLE(ROW()) - _xlfn.SINGLE(ROW(ExportSubstitutions_Within.RowNum))</f>
        <v>374</v>
      </c>
      <c r="S379" t="s">
        <v>1613</v>
      </c>
      <c r="T379" t="str">
        <f t="shared" si="12"/>
        <v>V-</v>
      </c>
    </row>
    <row r="380" spans="18:20">
      <c r="R380" cm="1">
        <f t="array" ref="R380" xml:space="preserve"> 1 + _xlfn.SINGLE(ROW()) - _xlfn.SINGLE(ROW(ExportSubstitutions_Within.RowNum))</f>
        <v>375</v>
      </c>
      <c r="S380" t="s">
        <v>1418</v>
      </c>
      <c r="T380" t="str">
        <f t="shared" si="12"/>
        <v>0v</v>
      </c>
    </row>
    <row r="381" spans="18:20">
      <c r="R381" cm="1">
        <f t="array" ref="R381" xml:space="preserve"> 1 + _xlfn.SINGLE(ROW()) - _xlfn.SINGLE(ROW(ExportSubstitutions_Within.RowNum))</f>
        <v>376</v>
      </c>
      <c r="S381" t="s">
        <v>1419</v>
      </c>
      <c r="T381" t="str">
        <f t="shared" si="12"/>
        <v>1v</v>
      </c>
    </row>
    <row r="382" spans="18:20">
      <c r="R382" cm="1">
        <f t="array" ref="R382" xml:space="preserve"> 1 + _xlfn.SINGLE(ROW()) - _xlfn.SINGLE(ROW(ExportSubstitutions_Within.RowNum))</f>
        <v>377</v>
      </c>
      <c r="S382" t="s">
        <v>1420</v>
      </c>
      <c r="T382" t="str">
        <f t="shared" si="12"/>
        <v>2v</v>
      </c>
    </row>
    <row r="383" spans="18:20">
      <c r="R383" cm="1">
        <f t="array" ref="R383" xml:space="preserve"> 1 + _xlfn.SINGLE(ROW()) - _xlfn.SINGLE(ROW(ExportSubstitutions_Within.RowNum))</f>
        <v>378</v>
      </c>
      <c r="S383" t="s">
        <v>1421</v>
      </c>
      <c r="T383" t="str">
        <f t="shared" si="12"/>
        <v>3v</v>
      </c>
    </row>
    <row r="384" spans="18:20">
      <c r="R384" cm="1">
        <f t="array" ref="R384" xml:space="preserve"> 1 + _xlfn.SINGLE(ROW()) - _xlfn.SINGLE(ROW(ExportSubstitutions_Within.RowNum))</f>
        <v>379</v>
      </c>
      <c r="S384" t="s">
        <v>1422</v>
      </c>
      <c r="T384" t="str">
        <f t="shared" si="12"/>
        <v>4v</v>
      </c>
    </row>
    <row r="385" spans="18:20">
      <c r="R385" cm="1">
        <f t="array" ref="R385" xml:space="preserve"> 1 + _xlfn.SINGLE(ROW()) - _xlfn.SINGLE(ROW(ExportSubstitutions_Within.RowNum))</f>
        <v>380</v>
      </c>
      <c r="S385" t="s">
        <v>1423</v>
      </c>
      <c r="T385" t="str">
        <f t="shared" si="12"/>
        <v>5v</v>
      </c>
    </row>
    <row r="386" spans="18:20">
      <c r="R386" cm="1">
        <f t="array" ref="R386" xml:space="preserve"> 1 + _xlfn.SINGLE(ROW()) - _xlfn.SINGLE(ROW(ExportSubstitutions_Within.RowNum))</f>
        <v>381</v>
      </c>
      <c r="S386" t="s">
        <v>1424</v>
      </c>
      <c r="T386" t="str">
        <f t="shared" si="12"/>
        <v>6v</v>
      </c>
    </row>
    <row r="387" spans="18:20">
      <c r="R387" cm="1">
        <f t="array" ref="R387" xml:space="preserve"> 1 + _xlfn.SINGLE(ROW()) - _xlfn.SINGLE(ROW(ExportSubstitutions_Within.RowNum))</f>
        <v>382</v>
      </c>
      <c r="S387" t="s">
        <v>1425</v>
      </c>
      <c r="T387" t="str">
        <f t="shared" si="12"/>
        <v>7v</v>
      </c>
    </row>
    <row r="388" spans="18:20">
      <c r="R388" cm="1">
        <f t="array" ref="R388" xml:space="preserve"> 1 + _xlfn.SINGLE(ROW()) - _xlfn.SINGLE(ROW(ExportSubstitutions_Within.RowNum))</f>
        <v>383</v>
      </c>
      <c r="S388" t="s">
        <v>1426</v>
      </c>
      <c r="T388" t="str">
        <f t="shared" si="12"/>
        <v>8v</v>
      </c>
    </row>
    <row r="389" spans="18:20">
      <c r="R389" cm="1">
        <f t="array" ref="R389" xml:space="preserve"> 1 + _xlfn.SINGLE(ROW()) - _xlfn.SINGLE(ROW(ExportSubstitutions_Within.RowNum))</f>
        <v>384</v>
      </c>
      <c r="S389" t="s">
        <v>1427</v>
      </c>
      <c r="T389" t="str">
        <f t="shared" si="12"/>
        <v>9v</v>
      </c>
    </row>
    <row r="390" spans="18:20">
      <c r="R390" cm="1">
        <f t="array" ref="R390" xml:space="preserve"> 1 + _xlfn.SINGLE(ROW()) - _xlfn.SINGLE(ROW(ExportSubstitutions_Within.RowNum))</f>
        <v>385</v>
      </c>
      <c r="S390" t="s">
        <v>1428</v>
      </c>
      <c r="T390" t="str">
        <f t="shared" ref="T390:T419" si="13" xml:space="preserve"> SUBSTITUTE(ExportSubstitutions_Within.From, " ", "")</f>
        <v>v0</v>
      </c>
    </row>
    <row r="391" spans="18:20">
      <c r="R391" cm="1">
        <f t="array" ref="R391" xml:space="preserve"> 1 + _xlfn.SINGLE(ROW()) - _xlfn.SINGLE(ROW(ExportSubstitutions_Within.RowNum))</f>
        <v>386</v>
      </c>
      <c r="S391" t="s">
        <v>1429</v>
      </c>
      <c r="T391" t="str">
        <f t="shared" si="13"/>
        <v>v1</v>
      </c>
    </row>
    <row r="392" spans="18:20">
      <c r="R392" cm="1">
        <f t="array" ref="R392" xml:space="preserve"> 1 + _xlfn.SINGLE(ROW()) - _xlfn.SINGLE(ROW(ExportSubstitutions_Within.RowNum))</f>
        <v>387</v>
      </c>
      <c r="S392" t="s">
        <v>1430</v>
      </c>
      <c r="T392" t="str">
        <f t="shared" si="13"/>
        <v>v2</v>
      </c>
    </row>
    <row r="393" spans="18:20">
      <c r="R393" cm="1">
        <f t="array" ref="R393" xml:space="preserve"> 1 + _xlfn.SINGLE(ROW()) - _xlfn.SINGLE(ROW(ExportSubstitutions_Within.RowNum))</f>
        <v>388</v>
      </c>
      <c r="S393" t="s">
        <v>1431</v>
      </c>
      <c r="T393" t="str">
        <f t="shared" si="13"/>
        <v>v3</v>
      </c>
    </row>
    <row r="394" spans="18:20">
      <c r="R394" cm="1">
        <f t="array" ref="R394" xml:space="preserve"> 1 + _xlfn.SINGLE(ROW()) - _xlfn.SINGLE(ROW(ExportSubstitutions_Within.RowNum))</f>
        <v>389</v>
      </c>
      <c r="S394" t="s">
        <v>1432</v>
      </c>
      <c r="T394" t="str">
        <f t="shared" si="13"/>
        <v>v4</v>
      </c>
    </row>
    <row r="395" spans="18:20">
      <c r="R395" cm="1">
        <f t="array" ref="R395" xml:space="preserve"> 1 + _xlfn.SINGLE(ROW()) - _xlfn.SINGLE(ROW(ExportSubstitutions_Within.RowNum))</f>
        <v>390</v>
      </c>
      <c r="S395" t="s">
        <v>1433</v>
      </c>
      <c r="T395" t="str">
        <f t="shared" si="13"/>
        <v>v5</v>
      </c>
    </row>
    <row r="396" spans="18:20">
      <c r="R396" cm="1">
        <f t="array" ref="R396" xml:space="preserve"> 1 + _xlfn.SINGLE(ROW()) - _xlfn.SINGLE(ROW(ExportSubstitutions_Within.RowNum))</f>
        <v>391</v>
      </c>
      <c r="S396" t="s">
        <v>1434</v>
      </c>
      <c r="T396" t="str">
        <f t="shared" si="13"/>
        <v>v6</v>
      </c>
    </row>
    <row r="397" spans="18:20">
      <c r="R397" cm="1">
        <f t="array" ref="R397" xml:space="preserve"> 1 + _xlfn.SINGLE(ROW()) - _xlfn.SINGLE(ROW(ExportSubstitutions_Within.RowNum))</f>
        <v>392</v>
      </c>
      <c r="S397" t="s">
        <v>1435</v>
      </c>
      <c r="T397" t="str">
        <f t="shared" si="13"/>
        <v>v7</v>
      </c>
    </row>
    <row r="398" spans="18:20">
      <c r="R398" cm="1">
        <f t="array" ref="R398" xml:space="preserve"> 1 + _xlfn.SINGLE(ROW()) - _xlfn.SINGLE(ROW(ExportSubstitutions_Within.RowNum))</f>
        <v>393</v>
      </c>
      <c r="S398" t="s">
        <v>1436</v>
      </c>
      <c r="T398" t="str">
        <f t="shared" si="13"/>
        <v>v8</v>
      </c>
    </row>
    <row r="399" spans="18:20">
      <c r="R399" cm="1">
        <f t="array" ref="R399" xml:space="preserve"> 1 + _xlfn.SINGLE(ROW()) - _xlfn.SINGLE(ROW(ExportSubstitutions_Within.RowNum))</f>
        <v>394</v>
      </c>
      <c r="S399" t="s">
        <v>1437</v>
      </c>
      <c r="T399" t="str">
        <f t="shared" si="13"/>
        <v>v9</v>
      </c>
    </row>
    <row r="400" spans="18:20">
      <c r="R400" cm="1">
        <f t="array" ref="R400" xml:space="preserve"> 1 + _xlfn.SINGLE(ROW()) - _xlfn.SINGLE(ROW(ExportSubstitutions_Within.RowNum))</f>
        <v>395</v>
      </c>
      <c r="S400" t="s">
        <v>1438</v>
      </c>
      <c r="T400" t="str">
        <f t="shared" si="13"/>
        <v>0Z</v>
      </c>
    </row>
    <row r="401" spans="18:20">
      <c r="R401" cm="1">
        <f t="array" ref="R401" xml:space="preserve"> 1 + _xlfn.SINGLE(ROW()) - _xlfn.SINGLE(ROW(ExportSubstitutions_Within.RowNum))</f>
        <v>396</v>
      </c>
      <c r="S401" t="s">
        <v>1439</v>
      </c>
      <c r="T401" t="str">
        <f t="shared" si="13"/>
        <v>1Z</v>
      </c>
    </row>
    <row r="402" spans="18:20">
      <c r="R402" cm="1">
        <f t="array" ref="R402" xml:space="preserve"> 1 + _xlfn.SINGLE(ROW()) - _xlfn.SINGLE(ROW(ExportSubstitutions_Within.RowNum))</f>
        <v>397</v>
      </c>
      <c r="S402" t="s">
        <v>1440</v>
      </c>
      <c r="T402" t="str">
        <f t="shared" si="13"/>
        <v>2Z</v>
      </c>
    </row>
    <row r="403" spans="18:20">
      <c r="R403" cm="1">
        <f t="array" ref="R403" xml:space="preserve"> 1 + _xlfn.SINGLE(ROW()) - _xlfn.SINGLE(ROW(ExportSubstitutions_Within.RowNum))</f>
        <v>398</v>
      </c>
      <c r="S403" t="s">
        <v>1441</v>
      </c>
      <c r="T403" t="str">
        <f t="shared" si="13"/>
        <v>3Z</v>
      </c>
    </row>
    <row r="404" spans="18:20">
      <c r="R404" cm="1">
        <f t="array" ref="R404" xml:space="preserve"> 1 + _xlfn.SINGLE(ROW()) - _xlfn.SINGLE(ROW(ExportSubstitutions_Within.RowNum))</f>
        <v>399</v>
      </c>
      <c r="S404" t="s">
        <v>1442</v>
      </c>
      <c r="T404" t="str">
        <f t="shared" si="13"/>
        <v>4Z</v>
      </c>
    </row>
    <row r="405" spans="18:20">
      <c r="R405" cm="1">
        <f t="array" ref="R405" xml:space="preserve"> 1 + _xlfn.SINGLE(ROW()) - _xlfn.SINGLE(ROW(ExportSubstitutions_Within.RowNum))</f>
        <v>400</v>
      </c>
      <c r="S405" t="s">
        <v>1443</v>
      </c>
      <c r="T405" t="str">
        <f t="shared" si="13"/>
        <v>5Z</v>
      </c>
    </row>
    <row r="406" spans="18:20">
      <c r="R406" cm="1">
        <f t="array" ref="R406" xml:space="preserve"> 1 + _xlfn.SINGLE(ROW()) - _xlfn.SINGLE(ROW(ExportSubstitutions_Within.RowNum))</f>
        <v>401</v>
      </c>
      <c r="S406" t="s">
        <v>1444</v>
      </c>
      <c r="T406" t="str">
        <f t="shared" si="13"/>
        <v>6Z</v>
      </c>
    </row>
    <row r="407" spans="18:20">
      <c r="R407" cm="1">
        <f t="array" ref="R407" xml:space="preserve"> 1 + _xlfn.SINGLE(ROW()) - _xlfn.SINGLE(ROW(ExportSubstitutions_Within.RowNum))</f>
        <v>402</v>
      </c>
      <c r="S407" t="s">
        <v>1445</v>
      </c>
      <c r="T407" t="str">
        <f t="shared" si="13"/>
        <v>7Z</v>
      </c>
    </row>
    <row r="408" spans="18:20">
      <c r="R408" cm="1">
        <f t="array" ref="R408" xml:space="preserve"> 1 + _xlfn.SINGLE(ROW()) - _xlfn.SINGLE(ROW(ExportSubstitutions_Within.RowNum))</f>
        <v>403</v>
      </c>
      <c r="S408" t="s">
        <v>1446</v>
      </c>
      <c r="T408" t="str">
        <f t="shared" si="13"/>
        <v>8Z</v>
      </c>
    </row>
    <row r="409" spans="18:20">
      <c r="R409" cm="1">
        <f t="array" ref="R409" xml:space="preserve"> 1 + _xlfn.SINGLE(ROW()) - _xlfn.SINGLE(ROW(ExportSubstitutions_Within.RowNum))</f>
        <v>404</v>
      </c>
      <c r="S409" t="s">
        <v>1447</v>
      </c>
      <c r="T409" t="str">
        <f t="shared" si="13"/>
        <v>9Z</v>
      </c>
    </row>
    <row r="410" spans="18:20">
      <c r="R410" cm="1">
        <f t="array" ref="R410" xml:space="preserve"> 1 + _xlfn.SINGLE(ROW()) - _xlfn.SINGLE(ROW(ExportSubstitutions_Within.RowNum))</f>
        <v>405</v>
      </c>
      <c r="S410" t="s">
        <v>1448</v>
      </c>
      <c r="T410" t="str">
        <f t="shared" si="13"/>
        <v>0z</v>
      </c>
    </row>
    <row r="411" spans="18:20">
      <c r="R411" cm="1">
        <f t="array" ref="R411" xml:space="preserve"> 1 + _xlfn.SINGLE(ROW()) - _xlfn.SINGLE(ROW(ExportSubstitutions_Within.RowNum))</f>
        <v>406</v>
      </c>
      <c r="S411" t="s">
        <v>1449</v>
      </c>
      <c r="T411" t="str">
        <f t="shared" si="13"/>
        <v>1z</v>
      </c>
    </row>
    <row r="412" spans="18:20">
      <c r="R412" cm="1">
        <f t="array" ref="R412" xml:space="preserve"> 1 + _xlfn.SINGLE(ROW()) - _xlfn.SINGLE(ROW(ExportSubstitutions_Within.RowNum))</f>
        <v>407</v>
      </c>
      <c r="S412" t="s">
        <v>1450</v>
      </c>
      <c r="T412" t="str">
        <f t="shared" si="13"/>
        <v>2z</v>
      </c>
    </row>
    <row r="413" spans="18:20">
      <c r="R413" cm="1">
        <f t="array" ref="R413" xml:space="preserve"> 1 + _xlfn.SINGLE(ROW()) - _xlfn.SINGLE(ROW(ExportSubstitutions_Within.RowNum))</f>
        <v>408</v>
      </c>
      <c r="S413" t="s">
        <v>1451</v>
      </c>
      <c r="T413" t="str">
        <f t="shared" si="13"/>
        <v>3z</v>
      </c>
    </row>
    <row r="414" spans="18:20">
      <c r="R414" cm="1">
        <f t="array" ref="R414" xml:space="preserve"> 1 + _xlfn.SINGLE(ROW()) - _xlfn.SINGLE(ROW(ExportSubstitutions_Within.RowNum))</f>
        <v>409</v>
      </c>
      <c r="S414" t="s">
        <v>1452</v>
      </c>
      <c r="T414" t="str">
        <f t="shared" si="13"/>
        <v>4z</v>
      </c>
    </row>
    <row r="415" spans="18:20">
      <c r="R415" cm="1">
        <f t="array" ref="R415" xml:space="preserve"> 1 + _xlfn.SINGLE(ROW()) - _xlfn.SINGLE(ROW(ExportSubstitutions_Within.RowNum))</f>
        <v>410</v>
      </c>
      <c r="S415" t="s">
        <v>1453</v>
      </c>
      <c r="T415" t="str">
        <f t="shared" si="13"/>
        <v>5z</v>
      </c>
    </row>
    <row r="416" spans="18:20">
      <c r="R416" cm="1">
        <f t="array" ref="R416" xml:space="preserve"> 1 + _xlfn.SINGLE(ROW()) - _xlfn.SINGLE(ROW(ExportSubstitutions_Within.RowNum))</f>
        <v>411</v>
      </c>
      <c r="S416" t="s">
        <v>1454</v>
      </c>
      <c r="T416" t="str">
        <f t="shared" si="13"/>
        <v>6z</v>
      </c>
    </row>
    <row r="417" spans="18:20">
      <c r="R417" cm="1">
        <f t="array" ref="R417" xml:space="preserve"> 1 + _xlfn.SINGLE(ROW()) - _xlfn.SINGLE(ROW(ExportSubstitutions_Within.RowNum))</f>
        <v>412</v>
      </c>
      <c r="S417" t="s">
        <v>1455</v>
      </c>
      <c r="T417" t="str">
        <f t="shared" si="13"/>
        <v>7z</v>
      </c>
    </row>
    <row r="418" spans="18:20">
      <c r="R418" cm="1">
        <f t="array" ref="R418" xml:space="preserve"> 1 + _xlfn.SINGLE(ROW()) - _xlfn.SINGLE(ROW(ExportSubstitutions_Within.RowNum))</f>
        <v>413</v>
      </c>
      <c r="S418" t="s">
        <v>1456</v>
      </c>
      <c r="T418" t="str">
        <f t="shared" si="13"/>
        <v>8z</v>
      </c>
    </row>
    <row r="419" spans="18:20">
      <c r="R419" cm="1">
        <f t="array" ref="R419" xml:space="preserve"> 1 + _xlfn.SINGLE(ROW()) - _xlfn.SINGLE(ROW(ExportSubstitutions_Within.RowNum))</f>
        <v>414</v>
      </c>
      <c r="S419" t="s">
        <v>1457</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2090</v>
      </c>
      <c r="T422" t="s">
        <v>2119</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2091</v>
      </c>
      <c r="T424" t="s">
        <v>2120</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2092</v>
      </c>
      <c r="T426" t="s">
        <v>2121</v>
      </c>
    </row>
    <row r="427" spans="18:20">
      <c r="R427" cm="1">
        <f t="array" ref="R427" xml:space="preserve"> 1 + _xlfn.SINGLE(ROW()) - _xlfn.SINGLE(ROW(ExportSubstitutions_Within.RowNum))</f>
        <v>422</v>
      </c>
      <c r="S427" t="s">
        <v>2093</v>
      </c>
      <c r="T427" t="s">
        <v>2122</v>
      </c>
    </row>
    <row r="428" spans="18:20">
      <c r="R428" cm="1">
        <f t="array" ref="R428" xml:space="preserve"> 1 + _xlfn.SINGLE(ROW()) - _xlfn.SINGLE(ROW(ExportSubstitutions_Within.RowNum))</f>
        <v>423</v>
      </c>
      <c r="S428" t="s">
        <v>2093</v>
      </c>
      <c r="T428" t="s">
        <v>2122</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2094</v>
      </c>
      <c r="T436" t="s">
        <v>2123</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2095</v>
      </c>
      <c r="T447" t="s">
        <v>2124</v>
      </c>
    </row>
    <row r="448" spans="18:20">
      <c r="R448" cm="1">
        <f t="array" ref="R448" xml:space="preserve"> 1 + _xlfn.SINGLE(ROW()) - _xlfn.SINGLE(ROW(ExportSubstitutions_Within.RowNum))</f>
        <v>443</v>
      </c>
      <c r="S448" t="s">
        <v>2096</v>
      </c>
      <c r="T448" t="s">
        <v>2108</v>
      </c>
    </row>
    <row r="449" spans="18:20">
      <c r="R449" cm="1">
        <f t="array" ref="R449" xml:space="preserve"> 1 + _xlfn.SINGLE(ROW()) - _xlfn.SINGLE(ROW(ExportSubstitutions_Within.RowNum))</f>
        <v>444</v>
      </c>
      <c r="S449" t="s">
        <v>2097</v>
      </c>
      <c r="T449" t="s">
        <v>2109</v>
      </c>
    </row>
    <row r="450" spans="18:20">
      <c r="R450" cm="1">
        <f t="array" ref="R450" xml:space="preserve"> 1 + _xlfn.SINGLE(ROW()) - _xlfn.SINGLE(ROW(ExportSubstitutions_Within.RowNum))</f>
        <v>445</v>
      </c>
      <c r="S450" t="s">
        <v>2098</v>
      </c>
      <c r="T450" t="s">
        <v>2110</v>
      </c>
    </row>
    <row r="451" spans="18:20">
      <c r="R451" cm="1">
        <f t="array" ref="R451" xml:space="preserve"> 1 + _xlfn.SINGLE(ROW()) - _xlfn.SINGLE(ROW(ExportSubstitutions_Within.RowNum))</f>
        <v>446</v>
      </c>
      <c r="S451" t="s">
        <v>2099</v>
      </c>
      <c r="T451" t="s">
        <v>2111</v>
      </c>
    </row>
    <row r="452" spans="18:20">
      <c r="R452" cm="1">
        <f t="array" ref="R452" xml:space="preserve"> 1 + _xlfn.SINGLE(ROW()) - _xlfn.SINGLE(ROW(ExportSubstitutions_Within.RowNum))</f>
        <v>447</v>
      </c>
      <c r="S452" t="s">
        <v>2100</v>
      </c>
      <c r="T452" t="s">
        <v>2112</v>
      </c>
    </row>
    <row r="453" spans="18:20">
      <c r="R453" cm="1">
        <f t="array" ref="R453" xml:space="preserve"> 1 + _xlfn.SINGLE(ROW()) - _xlfn.SINGLE(ROW(ExportSubstitutions_Within.RowNum))</f>
        <v>448</v>
      </c>
      <c r="S453" t="s">
        <v>2101</v>
      </c>
      <c r="T453" t="s">
        <v>2113</v>
      </c>
    </row>
    <row r="454" spans="18:20">
      <c r="R454" cm="1">
        <f t="array" ref="R454" xml:space="preserve"> 1 + _xlfn.SINGLE(ROW()) - _xlfn.SINGLE(ROW(ExportSubstitutions_Within.RowNum))</f>
        <v>449</v>
      </c>
      <c r="S454" t="s">
        <v>2102</v>
      </c>
      <c r="T454" t="s">
        <v>2114</v>
      </c>
    </row>
    <row r="455" spans="18:20">
      <c r="R455" cm="1">
        <f t="array" ref="R455" xml:space="preserve"> 1 + _xlfn.SINGLE(ROW()) - _xlfn.SINGLE(ROW(ExportSubstitutions_Within.RowNum))</f>
        <v>450</v>
      </c>
      <c r="S455" t="s">
        <v>2103</v>
      </c>
      <c r="T455" t="s">
        <v>2115</v>
      </c>
    </row>
    <row r="456" spans="18:20">
      <c r="R456" cm="1">
        <f t="array" ref="R456" xml:space="preserve"> 1 + _xlfn.SINGLE(ROW()) - _xlfn.SINGLE(ROW(ExportSubstitutions_Within.RowNum))</f>
        <v>451</v>
      </c>
      <c r="S456" t="s">
        <v>2104</v>
      </c>
      <c r="T456" t="s">
        <v>2116</v>
      </c>
    </row>
    <row r="457" spans="18:20">
      <c r="R457" cm="1">
        <f t="array" ref="R457" xml:space="preserve"> 1 + _xlfn.SINGLE(ROW()) - _xlfn.SINGLE(ROW(ExportSubstitutions_Within.RowNum))</f>
        <v>452</v>
      </c>
      <c r="S457" t="s">
        <v>2105</v>
      </c>
      <c r="T457" t="s">
        <v>2117</v>
      </c>
    </row>
    <row r="458" spans="18:20">
      <c r="R458" cm="1">
        <f t="array" ref="R458" xml:space="preserve"> 1 + _xlfn.SINGLE(ROW()) - _xlfn.SINGLE(ROW(ExportSubstitutions_Within.RowNum))</f>
        <v>453</v>
      </c>
      <c r="S458" t="s">
        <v>2106</v>
      </c>
      <c r="T458" t="s">
        <v>2118</v>
      </c>
    </row>
    <row r="459" spans="18:20">
      <c r="R459" cm="1">
        <f t="array" ref="R459" xml:space="preserve"> 1 + _xlfn.SINGLE(ROW()) - _xlfn.SINGLE(ROW(ExportSubstitutions_Within.RowNum))</f>
        <v>454</v>
      </c>
      <c r="S459" t="s">
        <v>2107</v>
      </c>
      <c r="T459" t="s">
        <v>2125</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topLeftCell="A2"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1485</v>
      </c>
      <c r="G8" s="3" t="s">
        <v>1484</v>
      </c>
    </row>
    <row r="9" spans="1:9">
      <c r="B9" s="48">
        <f xml:space="preserve"> CHOOSE(2,      TAN(10*PI()/180),   TAN(15*PI()/180),   2 - SQRT(3) )</f>
        <v>0.2679491924311227</v>
      </c>
      <c r="C9" s="5" t="s">
        <v>1483</v>
      </c>
      <c r="G9">
        <f xml:space="preserve"> _xlfn.MAXIFS(Rational.RowNum,   Rational.Num,"&lt;1E307",   Rational.Den,"&lt;1E307")</f>
        <v>27</v>
      </c>
    </row>
    <row r="11" spans="1:9" ht="17" thickBot="1">
      <c r="A11" s="3" t="s">
        <v>1482</v>
      </c>
      <c r="B11" s="3" t="s">
        <v>1481</v>
      </c>
      <c r="C11" s="3" t="s">
        <v>1480</v>
      </c>
      <c r="D11" s="3" t="s">
        <v>1479</v>
      </c>
      <c r="E11" s="3" t="s">
        <v>1478</v>
      </c>
      <c r="F11" s="3" t="s">
        <v>1477</v>
      </c>
      <c r="G11" s="3" t="s">
        <v>1476</v>
      </c>
      <c r="H11" s="3" t="s">
        <v>1475</v>
      </c>
      <c r="I11" s="3" t="s">
        <v>1474</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62</vt:i4>
      </vt:variant>
      <vt:variant>
        <vt:lpstr>Named Ranges</vt:lpstr>
      </vt:variant>
      <vt:variant>
        <vt:i4>1333</vt:i4>
      </vt:variant>
    </vt:vector>
  </HeadingPairs>
  <TitlesOfParts>
    <vt:vector size="1395"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2025-08-11T21:53:16Z</dcterms:modified>
</cp:coreProperties>
</file>