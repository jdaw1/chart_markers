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omments1.xml" ContentType="application/vnd.openxmlformats-officedocument.spreadsheetml.comments+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C5C7A872-D108-674C-981E-04A2380B3CA0}" xr6:coauthVersionLast="47" xr6:coauthVersionMax="47" xr10:uidLastSave="{00000000-0000-0000-0000-000000000000}"/>
  <bookViews>
    <workbookView xWindow="200" yWindow="500" windowWidth="42080" windowHeight="26540" firstSheet="42"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_xlpm.hex"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ChartLines!$J$3:$J$356</definedName>
    <definedName name="ChartLines.G">ChartLines!$I$3:$I$356</definedName>
    <definedName name="ChartLines.Hex6">ChartLines!$C$3:$C$356</definedName>
    <definedName name="ChartLines.ID">ChartLines!$B$3:$B$356</definedName>
    <definedName name="ChartLines.InstanceNum">ChartLines!$F$3:$F$356</definedName>
    <definedName name="ChartLines.NumInstances">ChartLines!$E$3:$E$356</definedName>
    <definedName name="ChartLines.R">ChartLines!$H$3:$H$356</definedName>
    <definedName name="ChartLines.RowNum">ChartLines!$K$3:$K$356</definedName>
    <definedName name="ChartLines.ThicknessText">ChartLines!$G$3:$G$356</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Notes!$E$6:$E$178</definedName>
    <definedName name="Notes.ID">Notes!$B$6:$B$178</definedName>
    <definedName name="Notes.Mnemonic">Notes!$C$6:$C$178</definedName>
    <definedName name="Notes.Usage">Notes!$D$6:$D$178</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Simples!$C$3:$CA$3</definedName>
    <definedName name="Simple.Aspect">Simples!$C$17:$CA$17</definedName>
    <definedName name="Simple.Height">Simples!$C$18:$CA$18</definedName>
    <definedName name="Simple.ID">Simples!$C$2:$CA$2</definedName>
    <definedName name="Simple.MaxX">Simples!$C$11:$CA$11</definedName>
    <definedName name="Simple.MaxY">Simples!$C$12:$CA$12</definedName>
    <definedName name="Simple.MinX">Simples!$C$13:$CA$13</definedName>
    <definedName name="Simple.MinY">Simples!$C$14:$CA$14</definedName>
    <definedName name="Simple.svg">Simples!$C$24:$CA$29</definedName>
    <definedName name="Simple.SVG_borderWidth">Simples!$C$5:$CA$5</definedName>
    <definedName name="Simple.SVG_painting_0">Simples!$C$9:$CA$9</definedName>
    <definedName name="Simple.SVG_painting_1">Simples!$C$8:$CA$8</definedName>
    <definedName name="Simple.SVG_painting_2">Simples!$C$7:$CA$7</definedName>
    <definedName name="Simple.SVG_painting_3">Simples!$C$6:$CA$6</definedName>
    <definedName name="Simple.Width">Simples!$C$19:$CA$19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5" i="5" l="1"/>
  <c r="C54" i="5"/>
  <c r="E3" i="71"/>
  <c r="K3" i="63" a="1"/>
  <c r="K3" i="63" s="1"/>
  <c r="E11" i="63"/>
  <c r="E10" i="63"/>
  <c r="C11" i="63"/>
  <c r="F35" i="25"/>
  <c r="F34" i="25"/>
  <c r="F32" i="25"/>
  <c r="G29" i="25"/>
  <c r="G28" i="25"/>
  <c r="G27" i="25"/>
  <c r="G26" i="25"/>
  <c r="G25" i="25"/>
  <c r="G24" i="25"/>
  <c r="F13" i="25"/>
  <c r="F12" i="25"/>
  <c r="F26" i="25" s="1"/>
  <c r="L25" i="25"/>
  <c r="J25" i="25"/>
  <c r="J11" i="25"/>
  <c r="L11" i="25" s="1"/>
  <c r="L26" i="25" s="1"/>
  <c r="C121" i="77"/>
  <c r="C120" i="77"/>
  <c r="C119" i="77"/>
  <c r="C51" i="63"/>
  <c r="E4" i="63"/>
  <c r="E5" i="63"/>
  <c r="E6" i="63"/>
  <c r="E7" i="63"/>
  <c r="E51" i="63"/>
  <c r="E50" i="63"/>
  <c r="E49" i="63"/>
  <c r="E48" i="63"/>
  <c r="E47" i="63"/>
  <c r="E46" i="63"/>
  <c r="F5" i="63"/>
  <c r="C7" i="63"/>
  <c r="C4" i="63"/>
  <c r="C6" i="63"/>
  <c r="AH27" i="25"/>
  <c r="AH26" i="25"/>
  <c r="B9" i="57"/>
  <c r="C320" i="63"/>
  <c r="C312" i="63"/>
  <c r="C307" i="63"/>
  <c r="C279"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R27" i="25"/>
  <c r="AJ27" i="25"/>
  <c r="V27" i="25"/>
  <c r="BR26" i="25"/>
  <c r="AJ26" i="25"/>
  <c r="N26" i="25"/>
  <c r="BJ25" i="25"/>
  <c r="T25" i="25"/>
  <c r="BJ11" i="25"/>
  <c r="X11" i="25"/>
  <c r="X12" i="25" s="1"/>
  <c r="BJ8" i="25"/>
  <c r="BJ26" i="25" s="1"/>
  <c r="L87" i="58"/>
  <c r="D3" i="71" l="1"/>
  <c r="F10" i="63"/>
  <c r="G10" i="63" s="1" a="1"/>
  <c r="G10" i="63" s="1"/>
  <c r="F11" i="63"/>
  <c r="G11" i="63" s="1" a="1"/>
  <c r="G11" i="63" s="1"/>
  <c r="F36" i="25"/>
  <c r="F25" i="25"/>
  <c r="F14" i="25"/>
  <c r="F17" i="25" s="1"/>
  <c r="J26" i="25"/>
  <c r="F51" i="63"/>
  <c r="G51" i="63" s="1" a="1"/>
  <c r="G51" i="63" s="1"/>
  <c r="G5" i="63" a="1"/>
  <c r="G5"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D10" i="8"/>
  <c r="X99" i="58"/>
  <c r="V99" i="58"/>
  <c r="P99" i="58"/>
  <c r="N99" i="58"/>
  <c r="L99" i="58"/>
  <c r="J99" i="58"/>
  <c r="X87" i="58"/>
  <c r="AJ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2"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F27" i="25" l="1"/>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56" i="63"/>
  <c r="E356" i="63"/>
  <c r="C146" i="77"/>
  <c r="B146" i="77"/>
  <c r="C144" i="77"/>
  <c r="B144" i="77"/>
  <c r="C142" i="77"/>
  <c r="B142" i="77"/>
  <c r="C140" i="77"/>
  <c r="B140" i="77"/>
  <c r="C138" i="77"/>
  <c r="B138" i="77"/>
  <c r="C136" i="77"/>
  <c r="B136" i="77"/>
  <c r="C134" i="77"/>
  <c r="B134" i="77"/>
  <c r="C132" i="77"/>
  <c r="B132" i="77"/>
  <c r="C130" i="77"/>
  <c r="B130" i="77"/>
  <c r="C128" i="77"/>
  <c r="B128" i="77"/>
  <c r="C126" i="77"/>
  <c r="B126" i="77"/>
  <c r="C124" i="77"/>
  <c r="B124" i="77"/>
  <c r="AH62" i="61" l="1"/>
  <c r="AH64" i="61" s="1"/>
  <c r="AD8" i="61"/>
  <c r="AC8" i="61"/>
  <c r="Y8" i="61"/>
  <c r="Z8" i="61"/>
  <c r="AG8" i="61"/>
  <c r="AH8" i="61"/>
  <c r="AD78" i="61"/>
  <c r="AD75" i="61"/>
  <c r="AD62" i="61"/>
  <c r="Z78" i="61"/>
  <c r="Z75" i="61"/>
  <c r="Z62" i="61"/>
  <c r="R78" i="61"/>
  <c r="AH78" i="61"/>
  <c r="AH75" i="61"/>
  <c r="G356" i="63" a="1"/>
  <c r="G356" i="63" s="1"/>
  <c r="W6" i="5" a="1"/>
  <c r="W6" i="5" s="1"/>
  <c r="AH63" i="61" l="1"/>
  <c r="AH65" i="61" s="1"/>
  <c r="AH67" i="61" s="1"/>
  <c r="AD64" i="61"/>
  <c r="AD63" i="61"/>
  <c r="AD65" i="61" s="1"/>
  <c r="Z64" i="61"/>
  <c r="Z63" i="61"/>
  <c r="Z65" i="61" s="1"/>
  <c r="C314" i="63"/>
  <c r="AD67" i="61" l="1"/>
  <c r="Z67" i="61"/>
  <c r="BR25" i="25"/>
  <c r="BR28" i="25"/>
  <c r="C15" i="76" l="1"/>
  <c r="C16" i="76" s="1"/>
  <c r="C12" i="76"/>
  <c r="C10" i="76"/>
  <c r="C14" i="76" l="1"/>
  <c r="D15" i="76" s="1"/>
  <c r="F6" i="76"/>
  <c r="D9" i="76"/>
  <c r="D11" i="76"/>
  <c r="E181" i="63"/>
  <c r="C181" i="63"/>
  <c r="E180" i="63"/>
  <c r="BX29" i="25"/>
  <c r="BX28" i="25"/>
  <c r="BX27" i="25"/>
  <c r="BX26" i="25"/>
  <c r="BX25" i="25"/>
  <c r="BX24" i="25"/>
  <c r="BW29" i="25"/>
  <c r="BW28" i="25"/>
  <c r="BW27" i="25"/>
  <c r="BW26" i="25"/>
  <c r="BW25" i="25"/>
  <c r="BW24" i="25"/>
  <c r="E268" i="63"/>
  <c r="E269" i="63"/>
  <c r="AF37" i="14"/>
  <c r="AE34" i="14"/>
  <c r="AE33" i="14"/>
  <c r="AF32" i="14" a="1"/>
  <c r="AF32" i="14" s="1"/>
  <c r="AE32" i="14"/>
  <c r="AE31" i="14"/>
  <c r="AE30" i="14"/>
  <c r="AE29" i="14"/>
  <c r="AE28" i="14"/>
  <c r="AF4" i="14"/>
  <c r="F9" i="76" a="1"/>
  <c r="F269" i="63" l="1"/>
  <c r="G269" i="63" s="1" a="1"/>
  <c r="G269" i="63" s="1"/>
  <c r="F9" i="76"/>
  <c r="D16" i="76"/>
  <c r="F181" i="63"/>
  <c r="G181" i="63" s="1" a="1"/>
  <c r="G181" i="63" s="1"/>
  <c r="F180" i="63"/>
  <c r="G180" i="63" s="1" a="1"/>
  <c r="G180" i="63" s="1"/>
  <c r="F268" i="63"/>
  <c r="G268" i="63" s="1" a="1"/>
  <c r="G268" i="63" s="1"/>
  <c r="E197" i="63"/>
  <c r="E198" i="63"/>
  <c r="E199" i="63"/>
  <c r="E200" i="63"/>
  <c r="E216" i="63"/>
  <c r="F216" i="63"/>
  <c r="E294" i="63"/>
  <c r="E293" i="63"/>
  <c r="E177" i="63"/>
  <c r="E176" i="63"/>
  <c r="E159" i="63"/>
  <c r="E158" i="63"/>
  <c r="E300" i="63"/>
  <c r="E299" i="63"/>
  <c r="C299" i="63"/>
  <c r="E175" i="63"/>
  <c r="E174" i="63"/>
  <c r="E222" i="63"/>
  <c r="E221" i="63"/>
  <c r="E220" i="63"/>
  <c r="C222" i="63"/>
  <c r="E302" i="63"/>
  <c r="E301" i="63"/>
  <c r="F41" i="73"/>
  <c r="AC6" i="5"/>
  <c r="F14" i="76" a="1"/>
  <c r="G216" i="63" l="1" a="1"/>
  <c r="G216" i="63" s="1"/>
  <c r="F14" i="76"/>
  <c r="C18" i="76" a="1"/>
  <c r="F200" i="63"/>
  <c r="G200" i="63" s="1" a="1"/>
  <c r="G200" i="63" s="1"/>
  <c r="F198" i="63"/>
  <c r="G198" i="63" s="1" a="1"/>
  <c r="G198" i="63" s="1"/>
  <c r="F197" i="63"/>
  <c r="G197" i="63" s="1" a="1"/>
  <c r="G197" i="63" s="1"/>
  <c r="F199" i="63"/>
  <c r="G199" i="63" s="1" a="1"/>
  <c r="G199" i="63" s="1"/>
  <c r="F293" i="63"/>
  <c r="G293" i="63" s="1" a="1"/>
  <c r="G293" i="63" s="1"/>
  <c r="F294" i="63"/>
  <c r="G294" i="63" s="1" a="1"/>
  <c r="G294" i="63" s="1"/>
  <c r="F174" i="63"/>
  <c r="G174" i="63" s="1" a="1"/>
  <c r="G174" i="63" s="1"/>
  <c r="F299" i="63"/>
  <c r="G299" i="63" s="1" a="1"/>
  <c r="G299" i="63" s="1"/>
  <c r="F176" i="63"/>
  <c r="G176" i="63" s="1" a="1"/>
  <c r="G176" i="63" s="1"/>
  <c r="F158" i="63"/>
  <c r="G158" i="63" s="1" a="1"/>
  <c r="G158" i="63" s="1"/>
  <c r="F177" i="63"/>
  <c r="G177" i="63" s="1" a="1"/>
  <c r="G177" i="63" s="1"/>
  <c r="F159" i="63"/>
  <c r="G159" i="63" s="1" a="1"/>
  <c r="G159" i="63" s="1"/>
  <c r="F221" i="63"/>
  <c r="G221" i="63" s="1" a="1"/>
  <c r="G221" i="63" s="1"/>
  <c r="F300" i="63"/>
  <c r="G300" i="63" s="1" a="1"/>
  <c r="G300" i="63" s="1"/>
  <c r="F175" i="63"/>
  <c r="G175" i="63" s="1" a="1"/>
  <c r="G175" i="63" s="1"/>
  <c r="F222" i="63"/>
  <c r="G222" i="63" s="1" a="1"/>
  <c r="G222"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31" i="14" s="1" a="1"/>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U29" i="25"/>
  <c r="BU28" i="25"/>
  <c r="BU27" i="25"/>
  <c r="BU26" i="25"/>
  <c r="BU25" i="25"/>
  <c r="BU24" i="25"/>
  <c r="BV25" i="25"/>
  <c r="BV32" i="25"/>
  <c r="BV13" i="25"/>
  <c r="BV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CX8" i="61" l="1"/>
  <c r="CW8" i="61"/>
  <c r="CW7" i="61"/>
  <c r="CX7" i="61" s="1"/>
  <c r="BV17" i="25"/>
  <c r="BV26" i="25"/>
  <c r="BV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3" i="63"/>
  <c r="F40" i="73" l="1"/>
  <c r="D30" i="75"/>
  <c r="C29" i="75"/>
  <c r="E38" i="72" a="1"/>
  <c r="E38" i="72" s="1"/>
  <c r="E3" i="72"/>
  <c r="E24" i="72" s="1"/>
  <c r="BD11" i="25"/>
  <c r="C30" i="75" l="1"/>
  <c r="D31" i="75"/>
  <c r="E14" i="72"/>
  <c r="E11" i="72"/>
  <c r="E16" i="72"/>
  <c r="E13" i="72"/>
  <c r="E19" i="72"/>
  <c r="E21" i="72"/>
  <c r="E22" i="72"/>
  <c r="E18" i="72"/>
  <c r="E10" i="72"/>
  <c r="E23" i="72"/>
  <c r="E12" i="72"/>
  <c r="E20" i="72"/>
  <c r="E17" i="72"/>
  <c r="E7" i="72"/>
  <c r="E15" i="72"/>
  <c r="E9" i="72"/>
  <c r="CX76" i="61" a="1"/>
  <c r="CX76" i="61" s="1"/>
  <c r="CX67" i="61"/>
  <c r="X14" i="8"/>
  <c r="BD28" i="25"/>
  <c r="BD27" i="25"/>
  <c r="BD26" i="25"/>
  <c r="BD25" i="25"/>
  <c r="BD45" i="25"/>
  <c r="BD44" i="25" s="1"/>
  <c r="BD39" i="25"/>
  <c r="BD38" i="25" s="1"/>
  <c r="BD37" i="25" l="1"/>
  <c r="BE37" i="25" s="1"/>
  <c r="E45" i="72"/>
  <c r="C31" i="75"/>
  <c r="BD43" i="25"/>
  <c r="C227" i="63"/>
  <c r="C228" i="63"/>
  <c r="E228" i="63"/>
  <c r="E227" i="63"/>
  <c r="BD12" i="25"/>
  <c r="BD14" i="25" s="1"/>
  <c r="BD32" i="25"/>
  <c r="BE29" i="25"/>
  <c r="BE28" i="25"/>
  <c r="BE27" i="25"/>
  <c r="BE26" i="25"/>
  <c r="BE25" i="25"/>
  <c r="BE24" i="25"/>
  <c r="BE38" i="25" l="1"/>
  <c r="BE40" i="25"/>
  <c r="BE39" i="25"/>
  <c r="BE46" i="25"/>
  <c r="BE45" i="25"/>
  <c r="BE44" i="25"/>
  <c r="BE43" i="25"/>
  <c r="BD13" i="25"/>
  <c r="T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X10" i="8"/>
  <c r="X9" i="8"/>
  <c r="X5" i="8"/>
  <c r="X34" i="8"/>
  <c r="Y31" i="8"/>
  <c r="Y30" i="8"/>
  <c r="Y29" i="8"/>
  <c r="X29" i="8"/>
  <c r="Y28" i="8"/>
  <c r="X28" i="8"/>
  <c r="Y27" i="8"/>
  <c r="Y26" i="8"/>
  <c r="Y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V32" i="25"/>
  <c r="AW29" i="25"/>
  <c r="AW28" i="25"/>
  <c r="AW27" i="25"/>
  <c r="AW26" i="25"/>
  <c r="AW25" i="25"/>
  <c r="AW24" i="25"/>
  <c r="AV14" i="25"/>
  <c r="AV13" i="25"/>
  <c r="Z37" i="14"/>
  <c r="AA34" i="14"/>
  <c r="AA33" i="14"/>
  <c r="AA32" i="14"/>
  <c r="Z32" i="14" a="1"/>
  <c r="Z32" i="14" s="1"/>
  <c r="AA31" i="14"/>
  <c r="AA30" i="14"/>
  <c r="AA29" i="14"/>
  <c r="AA28" i="14"/>
  <c r="AV26" i="25" a="1"/>
  <c r="AV25" i="25" a="1"/>
  <c r="F93" i="63" l="1"/>
  <c r="G93" i="63" s="1" a="1"/>
  <c r="G93" i="63" s="1"/>
  <c r="X27" i="8"/>
  <c r="X26" i="8"/>
  <c r="F29" i="39"/>
  <c r="F85" i="63"/>
  <c r="G85" i="63" s="1" a="1"/>
  <c r="G85" i="63" s="1"/>
  <c r="F72" i="63"/>
  <c r="G72" i="63" s="1" a="1"/>
  <c r="G72" i="63" s="1"/>
  <c r="AV17" i="25"/>
  <c r="AV26" i="25"/>
  <c r="AV25" i="25"/>
  <c r="C65" i="63"/>
  <c r="E65" i="63"/>
  <c r="E64" i="63"/>
  <c r="C61" i="63"/>
  <c r="E61" i="63"/>
  <c r="E60" i="63"/>
  <c r="E57" i="63"/>
  <c r="E56" i="63"/>
  <c r="C56" i="63"/>
  <c r="E64" i="35"/>
  <c r="E62" i="35"/>
  <c r="AR32" i="25"/>
  <c r="AR26" i="25"/>
  <c r="AR14" i="25"/>
  <c r="AR13" i="25"/>
  <c r="AS29" i="25"/>
  <c r="AS28" i="25"/>
  <c r="AS27" i="25"/>
  <c r="AS26" i="25"/>
  <c r="AS25" i="25"/>
  <c r="AS24" i="25"/>
  <c r="H30" i="36"/>
  <c r="AR25" i="25" a="1"/>
  <c r="F56" i="63" l="1"/>
  <c r="G56" i="63" s="1" a="1"/>
  <c r="G56" i="63" s="1"/>
  <c r="F57" i="63"/>
  <c r="G57" i="63" s="1" a="1"/>
  <c r="G57" i="63" s="1"/>
  <c r="AR17" i="25"/>
  <c r="AR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Z26" i="25"/>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08" i="63"/>
  <c r="E323" i="63" l="1"/>
  <c r="E324" i="63"/>
  <c r="E325" i="63"/>
  <c r="F325" i="63"/>
  <c r="AF34" i="8"/>
  <c r="AF29" i="8"/>
  <c r="AF28" i="8"/>
  <c r="AF27" i="8"/>
  <c r="AF26" i="8"/>
  <c r="AF20" i="8"/>
  <c r="AF4" i="8"/>
  <c r="AG31" i="8"/>
  <c r="AG30" i="8"/>
  <c r="AG29" i="8"/>
  <c r="AG28" i="8"/>
  <c r="AG27" i="8"/>
  <c r="AG26" i="8"/>
  <c r="AG25" i="8"/>
  <c r="AE31" i="8"/>
  <c r="AE30" i="8"/>
  <c r="AE29" i="8"/>
  <c r="AE28" i="8"/>
  <c r="AE27" i="8"/>
  <c r="AE26" i="8"/>
  <c r="AE25" i="8"/>
  <c r="E318" i="63"/>
  <c r="E319" i="63"/>
  <c r="C318"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9" i="63" l="1"/>
  <c r="G319" i="63" s="1" a="1"/>
  <c r="G319" i="63" s="1"/>
  <c r="F323" i="63"/>
  <c r="G323" i="63" s="1" a="1"/>
  <c r="G323" i="63" s="1"/>
  <c r="F324" i="63"/>
  <c r="G324" i="63" s="1" a="1"/>
  <c r="G324" i="63" s="1"/>
  <c r="F318" i="63"/>
  <c r="G318" i="63" s="1" a="1"/>
  <c r="G318" i="63" s="1"/>
  <c r="G325" i="63" a="1"/>
  <c r="G325"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V26" i="25"/>
  <c r="V25" i="25"/>
  <c r="V13" i="25"/>
  <c r="V12" i="25"/>
  <c r="V14" i="25" s="1"/>
  <c r="V32" i="25"/>
  <c r="W29" i="25"/>
  <c r="W28" i="25"/>
  <c r="W27" i="25"/>
  <c r="W26" i="25"/>
  <c r="W25" i="25"/>
  <c r="W24" i="25"/>
  <c r="I32" i="70" l="1"/>
  <c r="F32" i="70"/>
  <c r="F33" i="70"/>
  <c r="F25" i="70"/>
  <c r="F26" i="70"/>
  <c r="D35" i="70"/>
  <c r="E27" i="70"/>
  <c r="I27" i="70" s="1"/>
  <c r="E34" i="70"/>
  <c r="V17" i="25"/>
  <c r="E270" i="63"/>
  <c r="E271" i="63"/>
  <c r="E272" i="63"/>
  <c r="F272" i="63"/>
  <c r="E273" i="63"/>
  <c r="E28" i="70" l="1"/>
  <c r="AA3" i="70" s="1" a="1"/>
  <c r="AA3" i="70" s="1"/>
  <c r="F27" i="70"/>
  <c r="I34" i="70"/>
  <c r="F34" i="70"/>
  <c r="E35" i="70"/>
  <c r="I35" i="70" s="1"/>
  <c r="G272" i="63" a="1"/>
  <c r="G272" i="63" s="1"/>
  <c r="F270" i="63"/>
  <c r="G270" i="63" s="1" a="1"/>
  <c r="G270" i="63" s="1"/>
  <c r="F271" i="63"/>
  <c r="G271" i="63" s="1" a="1"/>
  <c r="G271" i="63" s="1"/>
  <c r="F28" i="70" l="1"/>
  <c r="E36" i="70"/>
  <c r="F29" i="70"/>
  <c r="F35" i="70"/>
  <c r="I28" i="70"/>
  <c r="F30" i="8"/>
  <c r="F36" i="70" l="1"/>
  <c r="I36" i="70"/>
  <c r="AZ25" i="25"/>
  <c r="AZ26" i="25"/>
  <c r="BH26" i="25" l="1"/>
  <c r="BF26" i="25"/>
  <c r="BA29" i="25" l="1"/>
  <c r="BA28" i="25"/>
  <c r="BA27" i="25"/>
  <c r="BA26" i="25"/>
  <c r="BA25" i="25"/>
  <c r="BA24" i="25"/>
  <c r="AY29" i="25"/>
  <c r="AY28" i="25"/>
  <c r="AY27" i="25"/>
  <c r="AY26" i="25"/>
  <c r="AY25" i="25"/>
  <c r="AY24" i="25"/>
  <c r="BB27" i="25"/>
  <c r="BB32" i="25"/>
  <c r="BC29" i="25"/>
  <c r="BC28" i="25"/>
  <c r="BC27" i="25"/>
  <c r="BC26" i="25"/>
  <c r="BC25" i="25"/>
  <c r="BC24" i="25"/>
  <c r="AD27" i="25" l="1"/>
  <c r="AD26" i="25"/>
  <c r="AF27" i="25"/>
  <c r="AF26" i="25"/>
  <c r="C12" i="69"/>
  <c r="C13" i="69"/>
  <c r="C15" i="69"/>
  <c r="C16" i="69"/>
  <c r="C17" i="69"/>
  <c r="B13" i="69"/>
  <c r="B15" i="69"/>
  <c r="B16" i="69"/>
  <c r="B17" i="69"/>
  <c r="B12" i="69"/>
  <c r="AX27" i="25"/>
  <c r="E38" i="69" a="1"/>
  <c r="E3" i="69" l="1"/>
  <c r="E20" i="69" s="1"/>
  <c r="E38" i="69"/>
  <c r="BG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H9" i="25"/>
  <c r="BH7" i="25"/>
  <c r="BH25" i="25" s="1"/>
  <c r="BH32" i="25"/>
  <c r="BH13" i="25"/>
  <c r="BH12" i="25"/>
  <c r="BH14" i="25" s="1"/>
  <c r="BI29" i="25"/>
  <c r="BI28" i="25"/>
  <c r="BI27" i="25"/>
  <c r="BI26" i="25"/>
  <c r="BI25" i="25"/>
  <c r="BI24" i="25"/>
  <c r="BH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H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H27" i="25"/>
  <c r="BN26" i="25"/>
  <c r="BN12" i="25"/>
  <c r="BF25" i="25" l="1"/>
  <c r="BF27" i="25" a="1"/>
  <c r="BF27" i="25" l="1"/>
  <c r="C54" i="67"/>
  <c r="C55" i="67" l="1"/>
  <c r="K7" i="5" a="1"/>
  <c r="K7" i="5" s="1"/>
  <c r="K8" i="5" a="1"/>
  <c r="K8" i="5" s="1"/>
  <c r="K9" i="5" a="1"/>
  <c r="K9" i="5" s="1"/>
  <c r="BL27" i="25"/>
  <c r="BL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L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T27" i="25" a="1"/>
  <c r="BT27" i="25" s="1"/>
  <c r="BT26" i="25"/>
  <c r="BT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T12" i="25"/>
  <c r="BT14" i="25" s="1"/>
  <c r="BT32" i="25"/>
  <c r="BS29" i="25"/>
  <c r="BS28" i="25"/>
  <c r="BS27" i="25"/>
  <c r="BS26" i="25"/>
  <c r="BS25" i="25"/>
  <c r="BS24" i="25"/>
  <c r="BT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T17" i="25"/>
  <c r="E334" i="63"/>
  <c r="E335" i="63"/>
  <c r="E340" i="63"/>
  <c r="E341" i="63"/>
  <c r="AK31" i="8"/>
  <c r="AK30" i="8"/>
  <c r="AK29" i="8"/>
  <c r="AK28" i="8"/>
  <c r="AK27" i="8"/>
  <c r="AK26" i="8"/>
  <c r="AK25" i="8"/>
  <c r="AL4" i="8"/>
  <c r="AL34" i="8"/>
  <c r="AL29" i="8"/>
  <c r="AL26" i="8"/>
  <c r="AM31" i="8"/>
  <c r="AM30" i="8"/>
  <c r="AM29" i="8"/>
  <c r="AM28" i="8"/>
  <c r="AM27" i="8"/>
  <c r="AM26" i="8"/>
  <c r="AM25" i="8"/>
  <c r="F27" i="67" l="1"/>
  <c r="I27" i="67" s="1"/>
  <c r="H27" i="67"/>
  <c r="E29" i="67"/>
  <c r="F32" i="67"/>
  <c r="I29" i="67"/>
  <c r="E28" i="67"/>
  <c r="H28" i="67" s="1"/>
  <c r="H29" i="67" s="1"/>
  <c r="H30" i="67"/>
  <c r="K88" i="67" a="1"/>
  <c r="K88" i="67" s="1"/>
  <c r="F30" i="67"/>
  <c r="I30" i="67" s="1"/>
  <c r="K85" i="67" a="1"/>
  <c r="K85" i="67" s="1"/>
  <c r="D31" i="67" a="1"/>
  <c r="D31" i="67" s="1"/>
  <c r="I28" i="67"/>
  <c r="H32" i="67"/>
  <c r="F335" i="63"/>
  <c r="G335" i="63" s="1" a="1"/>
  <c r="G335" i="63" s="1"/>
  <c r="F334" i="63"/>
  <c r="G334" i="63" s="1" a="1"/>
  <c r="G334" i="63" s="1"/>
  <c r="F340" i="63"/>
  <c r="G340" i="63" s="1" a="1"/>
  <c r="G340" i="63" s="1"/>
  <c r="F341" i="63"/>
  <c r="G341" i="63" s="1" a="1"/>
  <c r="G341" i="63" s="1"/>
  <c r="AL27" i="8"/>
  <c r="AL20" i="8"/>
  <c r="AL28" i="8"/>
  <c r="E338" i="63"/>
  <c r="E339" i="63"/>
  <c r="BL12" i="25"/>
  <c r="BL14" i="25" s="1"/>
  <c r="BL32" i="25"/>
  <c r="BL13" i="25"/>
  <c r="BM29" i="25"/>
  <c r="BM28" i="25"/>
  <c r="BM27" i="25"/>
  <c r="BM26" i="25"/>
  <c r="BM25" i="25"/>
  <c r="BM24" i="25"/>
  <c r="BL25" i="25" a="1"/>
  <c r="F31" i="67" l="1"/>
  <c r="I31" i="67" s="1"/>
  <c r="E31" i="67"/>
  <c r="H31" i="67" s="1"/>
  <c r="J46" i="67" s="1"/>
  <c r="F338" i="63"/>
  <c r="G338" i="63" s="1" a="1"/>
  <c r="G338" i="63" s="1"/>
  <c r="BL17" i="25"/>
  <c r="F339" i="63"/>
  <c r="G339" i="63" s="1" a="1"/>
  <c r="G339" i="63" s="1"/>
  <c r="BL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9" i="63"/>
  <c r="F220" i="63"/>
  <c r="G220" i="63" s="1" a="1"/>
  <c r="G220" i="63" s="1"/>
  <c r="C220" i="63"/>
  <c r="F23" i="66"/>
  <c r="F33" i="66"/>
  <c r="F32" i="66"/>
  <c r="F219" i="63" l="1"/>
  <c r="G219" i="63" s="1" a="1"/>
  <c r="G219" i="63" s="1"/>
  <c r="F39" i="66" a="1"/>
  <c r="F39" i="66" s="1"/>
  <c r="E250" i="63" l="1"/>
  <c r="E251" i="63"/>
  <c r="C250" i="63"/>
  <c r="D11" i="65"/>
  <c r="D21" i="65" s="1"/>
  <c r="C17" i="65"/>
  <c r="C27" i="65" s="1"/>
  <c r="C16" i="65"/>
  <c r="D18" i="65" s="1"/>
  <c r="D28" i="65" s="1"/>
  <c r="C12" i="65"/>
  <c r="C22" i="65" s="1"/>
  <c r="C11" i="65"/>
  <c r="D14" i="65" s="1"/>
  <c r="D24" i="65" s="1"/>
  <c r="C7" i="65"/>
  <c r="C8" i="65" s="1"/>
  <c r="C9" i="65" s="1"/>
  <c r="D6" i="65"/>
  <c r="D7" i="65" s="1"/>
  <c r="D8" i="65" s="1"/>
  <c r="D9" i="65" s="1"/>
  <c r="F251" i="63" l="1"/>
  <c r="G251" i="63" s="1" a="1"/>
  <c r="G251" i="63" s="1"/>
  <c r="F250" i="63"/>
  <c r="G250" i="63" s="1" a="1"/>
  <c r="G250" i="63" s="1"/>
  <c r="C26" i="65"/>
  <c r="C21" i="65"/>
  <c r="D13" i="65"/>
  <c r="D23" i="65" s="1"/>
  <c r="D19" i="65"/>
  <c r="C14" i="65"/>
  <c r="D12" i="65"/>
  <c r="D22" i="65" s="1"/>
  <c r="AN32" i="25"/>
  <c r="AO29" i="25"/>
  <c r="AO28" i="25"/>
  <c r="AO27" i="25"/>
  <c r="AO26" i="25"/>
  <c r="AO25" i="25"/>
  <c r="AO24" i="25"/>
  <c r="AN13" i="25"/>
  <c r="AN12" i="25"/>
  <c r="AN14" i="25" s="1"/>
  <c r="AN26" i="25" a="1"/>
  <c r="C24" i="65" l="1"/>
  <c r="D29" i="65"/>
  <c r="C13" i="65"/>
  <c r="D16" i="65"/>
  <c r="D26" i="65" s="1"/>
  <c r="AN27" i="25"/>
  <c r="AN26" i="25"/>
  <c r="AN17" i="25"/>
  <c r="C23" i="65" l="1"/>
  <c r="D17" i="65"/>
  <c r="C19" i="65"/>
  <c r="D27" i="65" l="1"/>
  <c r="C29" i="65"/>
  <c r="C18" i="65"/>
  <c r="C28" i="65" s="1"/>
  <c r="R9" i="63"/>
  <c r="S9" i="63" s="1"/>
  <c r="T16" i="8" l="1"/>
  <c r="C164" i="63" l="1"/>
  <c r="F3" i="65" l="1"/>
  <c r="E212" i="63"/>
  <c r="E213"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2" i="63"/>
  <c r="G212" i="63" s="1" a="1"/>
  <c r="G212" i="63" s="1"/>
  <c r="F213" i="63"/>
  <c r="G213" i="63" s="1" a="1"/>
  <c r="G213" i="63" s="1"/>
  <c r="F47" i="65" a="1"/>
  <c r="F47" i="65" l="1"/>
  <c r="F48" i="65" a="1"/>
  <c r="F48" i="65" s="1"/>
  <c r="F38" i="65" a="1"/>
  <c r="F38" i="65" s="1"/>
  <c r="E20" i="64"/>
  <c r="E21" i="64" l="1"/>
  <c r="E22" i="64"/>
  <c r="C3" i="63"/>
  <c r="C13" i="63"/>
  <c r="C32" i="63"/>
  <c r="C37" i="63"/>
  <c r="C52" i="63"/>
  <c r="C54" i="63"/>
  <c r="C113" i="63"/>
  <c r="C120" i="63"/>
  <c r="C123" i="63"/>
  <c r="C187" i="63"/>
  <c r="C208" i="63"/>
  <c r="C210" i="63"/>
  <c r="C217" i="63"/>
  <c r="C224" i="63"/>
  <c r="C226" i="63"/>
  <c r="C229" i="63"/>
  <c r="C233" i="63"/>
  <c r="C235" i="63"/>
  <c r="C239" i="63"/>
  <c r="C244" i="63"/>
  <c r="C245" i="63"/>
  <c r="C246" i="63"/>
  <c r="C248" i="63"/>
  <c r="C253" i="63"/>
  <c r="C255" i="63"/>
  <c r="C256" i="63"/>
  <c r="C258" i="63"/>
  <c r="C260" i="63"/>
  <c r="C265" i="63"/>
  <c r="C273" i="63"/>
  <c r="C275" i="63"/>
  <c r="C287" i="63"/>
  <c r="C303" i="63"/>
  <c r="C305" i="63"/>
  <c r="C309" i="63"/>
  <c r="C310" i="63"/>
  <c r="C316" i="63"/>
  <c r="C321" i="63"/>
  <c r="C330" i="63"/>
  <c r="C332" i="63"/>
  <c r="C333" i="63"/>
  <c r="C336" i="63"/>
  <c r="C344" i="63"/>
  <c r="C349" i="63"/>
  <c r="C350" i="63"/>
  <c r="C352" i="63"/>
  <c r="E354" i="63"/>
  <c r="E353" i="63"/>
  <c r="E352" i="63"/>
  <c r="E351" i="63"/>
  <c r="E350" i="63"/>
  <c r="E349" i="63"/>
  <c r="F348" i="63"/>
  <c r="E348" i="63"/>
  <c r="F347" i="63"/>
  <c r="E347" i="63"/>
  <c r="F346" i="63"/>
  <c r="E346" i="63"/>
  <c r="E345" i="63"/>
  <c r="E344" i="63"/>
  <c r="E343" i="63"/>
  <c r="E342" i="63"/>
  <c r="E337" i="63"/>
  <c r="E336" i="63"/>
  <c r="E333" i="63"/>
  <c r="E332" i="63"/>
  <c r="E331" i="63"/>
  <c r="E330" i="63"/>
  <c r="E329" i="63"/>
  <c r="E328" i="63"/>
  <c r="F327" i="63"/>
  <c r="E327" i="63"/>
  <c r="F326" i="63"/>
  <c r="E326" i="63"/>
  <c r="F322" i="63"/>
  <c r="E322" i="63"/>
  <c r="E321" i="63"/>
  <c r="E320" i="63"/>
  <c r="E317" i="63"/>
  <c r="E316" i="63"/>
  <c r="E315" i="63"/>
  <c r="E314" i="63"/>
  <c r="F313" i="63"/>
  <c r="E313" i="63"/>
  <c r="E312" i="63"/>
  <c r="E311" i="63"/>
  <c r="E310" i="63"/>
  <c r="E309" i="63"/>
  <c r="E308" i="63"/>
  <c r="E307" i="63"/>
  <c r="E306" i="63"/>
  <c r="E305" i="63"/>
  <c r="E304" i="63"/>
  <c r="E303" i="63"/>
  <c r="E298" i="63"/>
  <c r="E297" i="63"/>
  <c r="E296" i="63"/>
  <c r="E295" i="63"/>
  <c r="E292" i="63"/>
  <c r="E291" i="63"/>
  <c r="E290" i="63"/>
  <c r="E289" i="63"/>
  <c r="E288" i="63"/>
  <c r="E287" i="63"/>
  <c r="E286" i="63"/>
  <c r="E285" i="63"/>
  <c r="E284" i="63"/>
  <c r="E283" i="63"/>
  <c r="E282" i="63"/>
  <c r="E281" i="63"/>
  <c r="E280" i="63"/>
  <c r="E279" i="63"/>
  <c r="E278" i="63"/>
  <c r="E277" i="63"/>
  <c r="E276" i="63"/>
  <c r="E275" i="63"/>
  <c r="F273" i="63"/>
  <c r="G273" i="63" s="1" a="1"/>
  <c r="G273" i="63" s="1"/>
  <c r="E274" i="63"/>
  <c r="E267" i="63"/>
  <c r="E266" i="63"/>
  <c r="E265" i="63"/>
  <c r="E264" i="63"/>
  <c r="E263" i="63"/>
  <c r="E262" i="63"/>
  <c r="E261" i="63"/>
  <c r="E260" i="63"/>
  <c r="E259" i="63"/>
  <c r="E258" i="63"/>
  <c r="E257" i="63"/>
  <c r="E256" i="63"/>
  <c r="E255" i="63"/>
  <c r="E254" i="63"/>
  <c r="E253" i="63"/>
  <c r="E252" i="63"/>
  <c r="E249" i="63"/>
  <c r="E248" i="63"/>
  <c r="E247" i="63"/>
  <c r="E246" i="63"/>
  <c r="E245" i="63"/>
  <c r="E244" i="63"/>
  <c r="F243" i="63"/>
  <c r="E243" i="63"/>
  <c r="E242" i="63"/>
  <c r="E241" i="63"/>
  <c r="E240" i="63"/>
  <c r="E239" i="63"/>
  <c r="E238" i="63"/>
  <c r="E237" i="63"/>
  <c r="E236" i="63"/>
  <c r="E235" i="63"/>
  <c r="E234" i="63"/>
  <c r="E233" i="63"/>
  <c r="E232" i="63"/>
  <c r="E231" i="63"/>
  <c r="E230" i="63"/>
  <c r="E229" i="63"/>
  <c r="E226" i="63"/>
  <c r="E225" i="63"/>
  <c r="E224" i="63"/>
  <c r="E223" i="63"/>
  <c r="E218" i="63"/>
  <c r="E217" i="63"/>
  <c r="E215" i="63"/>
  <c r="E214" i="63"/>
  <c r="E211" i="63"/>
  <c r="E210" i="63"/>
  <c r="E209" i="63"/>
  <c r="E208" i="63"/>
  <c r="F207" i="63"/>
  <c r="E207" i="63"/>
  <c r="F206" i="63"/>
  <c r="E206" i="63"/>
  <c r="F205" i="63"/>
  <c r="E205" i="63"/>
  <c r="E204" i="63"/>
  <c r="E203" i="63"/>
  <c r="E202" i="63"/>
  <c r="E201" i="63"/>
  <c r="E196" i="63"/>
  <c r="E195" i="63"/>
  <c r="E194" i="63"/>
  <c r="E193" i="63"/>
  <c r="E192" i="63"/>
  <c r="E191" i="63"/>
  <c r="E190" i="63"/>
  <c r="E189" i="63"/>
  <c r="E188" i="63"/>
  <c r="E187" i="63"/>
  <c r="E186" i="63"/>
  <c r="E185" i="63"/>
  <c r="F184" i="63"/>
  <c r="E184"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I3" i="63" s="1"/>
  <c r="J3" i="63" a="1"/>
  <c r="J3" i="63" s="1"/>
  <c r="H3" i="63" a="1"/>
  <c r="H3" i="63" s="1"/>
  <c r="F301" i="63"/>
  <c r="G301" i="63" s="1" a="1"/>
  <c r="G301" i="63" s="1"/>
  <c r="F302" i="63"/>
  <c r="G302" i="63" s="1" a="1"/>
  <c r="G302" i="63" s="1"/>
  <c r="F228" i="63"/>
  <c r="G228" i="63" s="1" a="1"/>
  <c r="G228" i="63" s="1"/>
  <c r="F227" i="63"/>
  <c r="G227" i="63" s="1" a="1"/>
  <c r="G227"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46" i="63" a="1"/>
  <c r="G346" i="63" s="1"/>
  <c r="F244" i="63"/>
  <c r="G244" i="63" s="1" a="1"/>
  <c r="G244" i="63" s="1"/>
  <c r="G322" i="63" a="1"/>
  <c r="G322" i="63" s="1"/>
  <c r="G326" i="63" a="1"/>
  <c r="G326" i="63" s="1"/>
  <c r="G206" i="63" a="1"/>
  <c r="G206" i="63" s="1"/>
  <c r="G12" i="63" a="1"/>
  <c r="G12" i="63" s="1"/>
  <c r="G13" i="63" a="1"/>
  <c r="G13" i="63" s="1"/>
  <c r="G205" i="63" a="1"/>
  <c r="G205" i="63" s="1"/>
  <c r="G8" i="63" a="1"/>
  <c r="G8" i="63" s="1"/>
  <c r="G43" i="63" a="1"/>
  <c r="G43" i="63" s="1"/>
  <c r="G243" i="63" a="1"/>
  <c r="G243" i="63" s="1"/>
  <c r="G313" i="63" a="1"/>
  <c r="G313" i="63" s="1"/>
  <c r="G327" i="63" a="1"/>
  <c r="G327" i="63" s="1"/>
  <c r="F331" i="63"/>
  <c r="G331" i="63" s="1" a="1"/>
  <c r="G331" i="63" s="1"/>
  <c r="F345" i="63"/>
  <c r="G345" i="63" s="1" a="1"/>
  <c r="G345" i="63" s="1"/>
  <c r="G150" i="63" a="1"/>
  <c r="G150" i="63" s="1"/>
  <c r="G347" i="63" a="1"/>
  <c r="G347" i="63" s="1"/>
  <c r="G14" i="63" a="1"/>
  <c r="G14" i="63" s="1"/>
  <c r="G151" i="63" a="1"/>
  <c r="G151" i="63" s="1"/>
  <c r="F354" i="63"/>
  <c r="G354" i="63" s="1" a="1"/>
  <c r="G354" i="63" s="1"/>
  <c r="G184" i="63" a="1"/>
  <c r="G184" i="63" s="1"/>
  <c r="G9" i="63" a="1"/>
  <c r="G9" i="63" s="1"/>
  <c r="G83" i="63" a="1"/>
  <c r="G83" i="63" s="1"/>
  <c r="G207" i="63" a="1"/>
  <c r="G207" i="63" s="1"/>
  <c r="G348" i="63" a="1"/>
  <c r="G348" i="63" s="1"/>
  <c r="G3" i="63" a="1"/>
  <c r="G3" i="63" s="1"/>
  <c r="F343" i="63"/>
  <c r="G343" i="63" s="1" a="1"/>
  <c r="G343" i="63" s="1"/>
  <c r="F162" i="63"/>
  <c r="G162" i="63" s="1" a="1"/>
  <c r="G162" i="63" s="1"/>
  <c r="F351" i="63"/>
  <c r="G351" i="63" s="1" a="1"/>
  <c r="G351" i="63" s="1"/>
  <c r="F315" i="63"/>
  <c r="G315" i="63" s="1" a="1"/>
  <c r="G315" i="63" s="1"/>
  <c r="F316" i="63"/>
  <c r="G316" i="63" s="1" a="1"/>
  <c r="G316" i="63" s="1"/>
  <c r="F311" i="63"/>
  <c r="G311" i="63" s="1" a="1"/>
  <c r="G311" i="63" s="1"/>
  <c r="F320" i="63"/>
  <c r="G320" i="63" s="1" a="1"/>
  <c r="G320" i="63" s="1"/>
  <c r="F342" i="63"/>
  <c r="G342" i="63" s="1" a="1"/>
  <c r="G342" i="63" s="1"/>
  <c r="F352" i="63"/>
  <c r="G352" i="63" s="1" a="1"/>
  <c r="G352" i="63" s="1"/>
  <c r="F344" i="63"/>
  <c r="G344" i="63" s="1" a="1"/>
  <c r="G344" i="63" s="1"/>
  <c r="F160" i="63"/>
  <c r="G160" i="63" s="1" a="1"/>
  <c r="G160" i="63" s="1"/>
  <c r="F163" i="63"/>
  <c r="G163" i="63" s="1" a="1"/>
  <c r="G163" i="63" s="1"/>
  <c r="F349" i="63"/>
  <c r="G349" i="63" s="1" a="1"/>
  <c r="G349" i="63" s="1"/>
  <c r="F266" i="63"/>
  <c r="G266" i="63" s="1" a="1"/>
  <c r="G266" i="63" s="1"/>
  <c r="E23" i="64"/>
  <c r="E29" i="64" s="1" a="1"/>
  <c r="E29" i="64" s="1"/>
  <c r="F353" i="63"/>
  <c r="G353" i="63" s="1" a="1"/>
  <c r="G353" i="63" s="1"/>
  <c r="F39" i="63"/>
  <c r="G39" i="63" s="1" a="1"/>
  <c r="G39" i="63" s="1"/>
  <c r="F329" i="63"/>
  <c r="G329" i="63" s="1" a="1"/>
  <c r="G329" i="63" s="1"/>
  <c r="F41" i="63"/>
  <c r="G41" i="63" s="1" a="1"/>
  <c r="G41" i="63" s="1"/>
  <c r="F114" i="63"/>
  <c r="G114" i="63" s="1" a="1"/>
  <c r="G114" i="63" s="1"/>
  <c r="F210" i="63"/>
  <c r="G210" i="63" s="1" a="1"/>
  <c r="G210" i="63" s="1"/>
  <c r="F235" i="63"/>
  <c r="G235" i="63" s="1" a="1"/>
  <c r="G235" i="63" s="1"/>
  <c r="F118" i="63"/>
  <c r="G118" i="63" s="1" a="1"/>
  <c r="G118" i="63" s="1"/>
  <c r="F248" i="63"/>
  <c r="G248" i="63" s="1" a="1"/>
  <c r="G248" i="63" s="1"/>
  <c r="F296" i="63"/>
  <c r="G296" i="63" s="1" a="1"/>
  <c r="G296" i="63" s="1"/>
  <c r="F332" i="63"/>
  <c r="G332" i="63" s="1" a="1"/>
  <c r="G332" i="63" s="1"/>
  <c r="F330" i="63"/>
  <c r="G330" i="63" s="1" a="1"/>
  <c r="G330"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1" i="63"/>
  <c r="G191" i="63" s="1" a="1"/>
  <c r="G191" i="63" s="1"/>
  <c r="F195" i="63"/>
  <c r="G195" i="63" s="1" a="1"/>
  <c r="G195" i="63" s="1"/>
  <c r="F203" i="63"/>
  <c r="G203" i="63" s="1" a="1"/>
  <c r="G203" i="63" s="1"/>
  <c r="F225" i="63"/>
  <c r="G225" i="63" s="1" a="1"/>
  <c r="G225" i="63" s="1"/>
  <c r="F297" i="63"/>
  <c r="G297" i="63" s="1" a="1"/>
  <c r="G297" i="63" s="1"/>
  <c r="F168" i="63"/>
  <c r="G168" i="63" s="1" a="1"/>
  <c r="G168" i="63" s="1"/>
  <c r="F172" i="63"/>
  <c r="G172" i="63" s="1" a="1"/>
  <c r="G172" i="63" s="1"/>
  <c r="F211" i="63"/>
  <c r="G211" i="63" s="1" a="1"/>
  <c r="G211" i="63" s="1"/>
  <c r="F188" i="63"/>
  <c r="G188" i="63" s="1" a="1"/>
  <c r="G188" i="63" s="1"/>
  <c r="F193" i="63"/>
  <c r="G193" i="63" s="1" a="1"/>
  <c r="G193" i="63" s="1"/>
  <c r="F231" i="63"/>
  <c r="G231" i="63" s="1" a="1"/>
  <c r="G231"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6" i="63"/>
  <c r="G186" i="63" s="1" a="1"/>
  <c r="G186" i="63" s="1"/>
  <c r="F190" i="63"/>
  <c r="G190" i="63" s="1" a="1"/>
  <c r="G190" i="63" s="1"/>
  <c r="F202" i="63"/>
  <c r="G202" i="63" s="1" a="1"/>
  <c r="G202" i="63" s="1"/>
  <c r="F208" i="63"/>
  <c r="G208" i="63" s="1" a="1"/>
  <c r="G208" i="63" s="1"/>
  <c r="F233" i="63"/>
  <c r="G233" i="63" s="1" a="1"/>
  <c r="G233" i="63" s="1"/>
  <c r="F253" i="63"/>
  <c r="G253" i="63" s="1" a="1"/>
  <c r="G253" i="63" s="1"/>
  <c r="F282" i="63"/>
  <c r="G282" i="63" s="1" a="1"/>
  <c r="G282" i="63" s="1"/>
  <c r="F286" i="63"/>
  <c r="G286" i="63" s="1" a="1"/>
  <c r="G286" i="63" s="1"/>
  <c r="F291" i="63"/>
  <c r="G291" i="63" s="1" a="1"/>
  <c r="G291" i="63" s="1"/>
  <c r="F303" i="63"/>
  <c r="G303" i="63" s="1" a="1"/>
  <c r="G303" i="63" s="1"/>
  <c r="F42" i="63"/>
  <c r="G42" i="63" s="1" a="1"/>
  <c r="G42" i="63" s="1"/>
  <c r="F152" i="63"/>
  <c r="G152" i="63" s="1" a="1"/>
  <c r="G152" i="63" s="1"/>
  <c r="F156" i="63"/>
  <c r="G156" i="63" s="1" a="1"/>
  <c r="G156" i="63" s="1"/>
  <c r="F164" i="63"/>
  <c r="G164" i="63" s="1" a="1"/>
  <c r="G164" i="63" s="1"/>
  <c r="F178" i="63"/>
  <c r="G178" i="63" s="1" a="1"/>
  <c r="G178" i="63" s="1"/>
  <c r="F204" i="63"/>
  <c r="G204" i="63" s="1" a="1"/>
  <c r="G204" i="63" s="1"/>
  <c r="F238" i="63"/>
  <c r="G238" i="63" s="1" a="1"/>
  <c r="G238" i="63" s="1"/>
  <c r="F241" i="63"/>
  <c r="G241" i="63" s="1" a="1"/>
  <c r="G241" i="63" s="1"/>
  <c r="F255" i="63"/>
  <c r="G255" i="63" s="1" a="1"/>
  <c r="G255" i="63" s="1"/>
  <c r="F280" i="63"/>
  <c r="G280" i="63" s="1" a="1"/>
  <c r="G280" i="63" s="1"/>
  <c r="F295" i="63"/>
  <c r="G295" i="63" s="1" a="1"/>
  <c r="G295" i="63" s="1"/>
  <c r="F40" i="63"/>
  <c r="G40" i="63" s="1" a="1"/>
  <c r="G40" i="63" s="1"/>
  <c r="F104" i="63"/>
  <c r="G104" i="63" s="1" a="1"/>
  <c r="G104" i="63" s="1"/>
  <c r="F215" i="63"/>
  <c r="G215" i="63" s="1" a="1"/>
  <c r="G215" i="63" s="1"/>
  <c r="F261" i="63"/>
  <c r="G261" i="63" s="1" a="1"/>
  <c r="G261" i="63" s="1"/>
  <c r="F290" i="63"/>
  <c r="G290" i="63" s="1" a="1"/>
  <c r="G290" i="63" s="1"/>
  <c r="F246" i="63"/>
  <c r="G246" i="63" s="1" a="1"/>
  <c r="G246" i="63" s="1"/>
  <c r="F274" i="63"/>
  <c r="G274" i="63" s="1" a="1"/>
  <c r="G274" i="63" s="1"/>
  <c r="F279" i="63"/>
  <c r="G279" i="63" s="1" a="1"/>
  <c r="G279" i="63" s="1"/>
  <c r="F55" i="63"/>
  <c r="G55" i="63" s="1" a="1"/>
  <c r="G55" i="63" s="1"/>
  <c r="F63" i="63"/>
  <c r="G63" i="63" s="1" a="1"/>
  <c r="G63" i="63" s="1"/>
  <c r="F71" i="63"/>
  <c r="G71" i="63" s="1" a="1"/>
  <c r="G71" i="63" s="1"/>
  <c r="F79" i="63"/>
  <c r="G79" i="63" s="1" a="1"/>
  <c r="G79" i="63" s="1"/>
  <c r="F192" i="63"/>
  <c r="G192" i="63" s="1" a="1"/>
  <c r="G192" i="63" s="1"/>
  <c r="F44" i="63"/>
  <c r="G44" i="63" s="1" a="1"/>
  <c r="G44" i="63" s="1"/>
  <c r="F58" i="63"/>
  <c r="G58" i="63" s="1" a="1"/>
  <c r="G58" i="63" s="1"/>
  <c r="F66" i="63"/>
  <c r="G66" i="63" s="1" a="1"/>
  <c r="G66" i="63" s="1"/>
  <c r="F74" i="63"/>
  <c r="G74" i="63" s="1" a="1"/>
  <c r="G74" i="63" s="1"/>
  <c r="F86" i="63"/>
  <c r="G86" i="63" s="1" a="1"/>
  <c r="G86" i="63" s="1"/>
  <c r="F120" i="63"/>
  <c r="G120" i="63" s="1" a="1"/>
  <c r="G120" i="63" s="1"/>
  <c r="F189" i="63"/>
  <c r="G189" i="63" s="1" a="1"/>
  <c r="G189" i="63" s="1"/>
  <c r="F201" i="63"/>
  <c r="G201" i="63" s="1" a="1"/>
  <c r="G201" i="63" s="1"/>
  <c r="F281" i="63"/>
  <c r="G281" i="63" s="1" a="1"/>
  <c r="G281"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5" i="63"/>
  <c r="G185" i="63" s="1" a="1"/>
  <c r="G185" i="63" s="1"/>
  <c r="F223" i="63"/>
  <c r="G223" i="63" s="1" a="1"/>
  <c r="G223" i="63" s="1"/>
  <c r="F239" i="63"/>
  <c r="G239" i="63" s="1" a="1"/>
  <c r="G239" i="63" s="1"/>
  <c r="F267" i="63"/>
  <c r="G267" i="63" s="1" a="1"/>
  <c r="G267" i="63" s="1"/>
  <c r="F284" i="63"/>
  <c r="G284" i="63" s="1" a="1"/>
  <c r="G284" i="63" s="1"/>
  <c r="F309" i="63"/>
  <c r="G309" i="63" s="1" a="1"/>
  <c r="G309" i="63" s="1"/>
  <c r="F317" i="63"/>
  <c r="G317" i="63" s="1" a="1"/>
  <c r="G317" i="63" s="1"/>
  <c r="F98" i="63"/>
  <c r="G98" i="63" s="1" a="1"/>
  <c r="G98" i="63" s="1"/>
  <c r="F171" i="63"/>
  <c r="G171" i="63" s="1" a="1"/>
  <c r="G171" i="63" s="1"/>
  <c r="F187" i="63"/>
  <c r="G187" i="63" s="1" a="1"/>
  <c r="G187" i="63" s="1"/>
  <c r="F194" i="63"/>
  <c r="G194" i="63" s="1" a="1"/>
  <c r="G194" i="63" s="1"/>
  <c r="F196" i="63"/>
  <c r="G196" i="63" s="1" a="1"/>
  <c r="G196" i="63" s="1"/>
  <c r="F214" i="63"/>
  <c r="G214" i="63" s="1" a="1"/>
  <c r="G214" i="63" s="1"/>
  <c r="F229" i="63"/>
  <c r="G229" i="63" s="1" a="1"/>
  <c r="G229" i="63" s="1"/>
  <c r="F232" i="63"/>
  <c r="G232" i="63" s="1" a="1"/>
  <c r="G232" i="63" s="1"/>
  <c r="F236" i="63"/>
  <c r="G236" i="63" s="1" a="1"/>
  <c r="G236" i="63" s="1"/>
  <c r="F259" i="63"/>
  <c r="G259" i="63" s="1" a="1"/>
  <c r="G259" i="63" s="1"/>
  <c r="F277" i="63"/>
  <c r="G277" i="63" s="1" a="1"/>
  <c r="G277" i="63" s="1"/>
  <c r="F287" i="63"/>
  <c r="G287" i="63" s="1" a="1"/>
  <c r="G287" i="63" s="1"/>
  <c r="F289" i="63"/>
  <c r="G289" i="63" s="1" a="1"/>
  <c r="G289" i="63" s="1"/>
  <c r="F305" i="63"/>
  <c r="G305" i="63" s="1" a="1"/>
  <c r="G305" i="63" s="1"/>
  <c r="F314" i="63"/>
  <c r="G314" i="63" s="1" a="1"/>
  <c r="G314" i="63" s="1"/>
  <c r="F333" i="63"/>
  <c r="G333" i="63" s="1" a="1"/>
  <c r="G333"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18" i="63"/>
  <c r="G218" i="63" s="1" a="1"/>
  <c r="G218" i="63" s="1"/>
  <c r="F252" i="63"/>
  <c r="G252" i="63" s="1" a="1"/>
  <c r="G252" i="63" s="1"/>
  <c r="F262" i="63"/>
  <c r="G262" i="63" s="1" a="1"/>
  <c r="G262" i="63" s="1"/>
  <c r="F275" i="63"/>
  <c r="G275" i="63" s="1" a="1"/>
  <c r="G275" i="63" s="1"/>
  <c r="F285" i="63"/>
  <c r="G285" i="63" s="1" a="1"/>
  <c r="G285" i="63" s="1"/>
  <c r="F307" i="63"/>
  <c r="G307" i="63" s="1" a="1"/>
  <c r="G307" i="63" s="1"/>
  <c r="F336" i="63"/>
  <c r="G336" i="63" s="1" a="1"/>
  <c r="G336" i="63" s="1"/>
  <c r="F237" i="63"/>
  <c r="G237" i="63" s="1" a="1"/>
  <c r="G237"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0" i="63"/>
  <c r="G230" i="63" s="1" a="1"/>
  <c r="G230" i="63" s="1"/>
  <c r="F245" i="63"/>
  <c r="G245" i="63" s="1" a="1"/>
  <c r="G245" i="63" s="1"/>
  <c r="F209" i="63"/>
  <c r="G209" i="63" s="1" a="1"/>
  <c r="G209" i="63" s="1"/>
  <c r="F224" i="63"/>
  <c r="G224" i="63" s="1" a="1"/>
  <c r="G224" i="63" s="1"/>
  <c r="F234" i="63"/>
  <c r="G234" i="63" s="1" a="1"/>
  <c r="G234" i="63" s="1"/>
  <c r="F240" i="63"/>
  <c r="G240" i="63" s="1" a="1"/>
  <c r="G240" i="63" s="1"/>
  <c r="F242" i="63"/>
  <c r="G242" i="63" s="1" a="1"/>
  <c r="G242" i="63" s="1"/>
  <c r="F263" i="63"/>
  <c r="G263" i="63" s="1" a="1"/>
  <c r="G263" i="63" s="1"/>
  <c r="F217" i="63"/>
  <c r="G217" i="63" s="1" a="1"/>
  <c r="G217" i="63" s="1"/>
  <c r="F226" i="63"/>
  <c r="G226" i="63" s="1" a="1"/>
  <c r="G226" i="63" s="1"/>
  <c r="F247" i="63"/>
  <c r="G247" i="63" s="1" a="1"/>
  <c r="G247" i="63" s="1"/>
  <c r="F249" i="63"/>
  <c r="G249" i="63" s="1" a="1"/>
  <c r="G249" i="63" s="1"/>
  <c r="F254" i="63"/>
  <c r="G254" i="63" s="1" a="1"/>
  <c r="G254" i="63" s="1"/>
  <c r="F256" i="63"/>
  <c r="G256" i="63" s="1" a="1"/>
  <c r="G256" i="63" s="1"/>
  <c r="F257" i="63"/>
  <c r="G257" i="63" s="1" a="1"/>
  <c r="G257" i="63" s="1"/>
  <c r="F260" i="63"/>
  <c r="G260" i="63" s="1" a="1"/>
  <c r="G260" i="63" s="1"/>
  <c r="F265" i="63"/>
  <c r="G265" i="63" s="1" a="1"/>
  <c r="G265" i="63" s="1"/>
  <c r="F264" i="63"/>
  <c r="G264" i="63" s="1" a="1"/>
  <c r="G264" i="63" s="1"/>
  <c r="F258" i="63"/>
  <c r="G258" i="63" s="1" a="1"/>
  <c r="G258" i="63" s="1"/>
  <c r="F276" i="63"/>
  <c r="G276" i="63" s="1" a="1"/>
  <c r="G276" i="63" s="1"/>
  <c r="F288" i="63"/>
  <c r="G288" i="63" s="1" a="1"/>
  <c r="G288" i="63" s="1"/>
  <c r="F292" i="63"/>
  <c r="G292" i="63" s="1" a="1"/>
  <c r="G292" i="63" s="1"/>
  <c r="F298" i="63"/>
  <c r="G298" i="63" s="1" a="1"/>
  <c r="G298" i="63" s="1"/>
  <c r="F304" i="63"/>
  <c r="G304" i="63" s="1" a="1"/>
  <c r="G304" i="63" s="1"/>
  <c r="F312" i="63"/>
  <c r="G312" i="63" s="1" a="1"/>
  <c r="G312" i="63" s="1"/>
  <c r="F321" i="63"/>
  <c r="G321" i="63" s="1" a="1"/>
  <c r="G321" i="63" s="1"/>
  <c r="F328" i="63"/>
  <c r="G328" i="63" s="1" a="1"/>
  <c r="G328" i="63" s="1"/>
  <c r="F283" i="63"/>
  <c r="G283" i="63" s="1" a="1"/>
  <c r="G283" i="63" s="1"/>
  <c r="F306" i="63"/>
  <c r="G306" i="63" s="1" a="1"/>
  <c r="G306" i="63" s="1"/>
  <c r="F278" i="63"/>
  <c r="G278" i="63" s="1" a="1"/>
  <c r="G278" i="63" s="1"/>
  <c r="F308" i="63"/>
  <c r="G308" i="63" s="1" a="1"/>
  <c r="G308" i="63" s="1"/>
  <c r="F310" i="63"/>
  <c r="G310" i="63" s="1" a="1"/>
  <c r="G310" i="63" s="1"/>
  <c r="F337" i="63"/>
  <c r="G337" i="63" s="1" a="1"/>
  <c r="G337" i="63" s="1"/>
  <c r="F350" i="63"/>
  <c r="G350" i="63" s="1" a="1"/>
  <c r="G350" i="63" s="1"/>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D112" i="61" l="1"/>
  <c r="D113" i="61" s="1"/>
  <c r="J113" i="61" s="1"/>
  <c r="V6" i="14"/>
  <c r="V7" i="14" s="1"/>
  <c r="AD6" i="14"/>
  <c r="AD7" i="14" s="1"/>
  <c r="J6" i="14"/>
  <c r="J7" i="14" s="1"/>
  <c r="F41" i="75" a="1"/>
  <c r="F41" i="75" s="1"/>
  <c r="F42" i="75" s="1" a="1"/>
  <c r="F42" i="75" s="1"/>
  <c r="AR18" i="25"/>
  <c r="AR19" i="25" s="1"/>
  <c r="AV18" i="25"/>
  <c r="AV19" i="25" s="1"/>
  <c r="AL6" i="8"/>
  <c r="AL7" i="8" s="1"/>
  <c r="AF6" i="8"/>
  <c r="AF7" i="8" s="1"/>
  <c r="C13" i="5"/>
  <c r="AX113" i="61"/>
  <c r="AP113" i="61"/>
  <c r="AB29" i="14"/>
  <c r="AB31" i="14"/>
  <c r="AB30" i="14"/>
  <c r="F30" i="14"/>
  <c r="F29" i="14"/>
  <c r="D29" i="14"/>
  <c r="R26" i="25"/>
  <c r="AT25" i="25" a="1"/>
  <c r="AT26" i="25" a="1"/>
  <c r="R25" i="25" a="1"/>
  <c r="AP25" i="25" a="1"/>
  <c r="BR113" i="61" l="1"/>
  <c r="R25" i="25"/>
  <c r="AT26" i="25"/>
  <c r="AT25" i="25"/>
  <c r="AP25" i="25"/>
  <c r="P27" i="25" a="1"/>
  <c r="P27" i="25" l="1"/>
  <c r="BN25" i="25" a="1"/>
  <c r="BN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29" i="14" s="1" a="1"/>
  <c r="R30"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A24" i="25"/>
  <c r="AA25" i="25"/>
  <c r="AA26" i="25"/>
  <c r="AA27" i="25"/>
  <c r="AA28" i="25"/>
  <c r="AA29" i="25"/>
  <c r="C36" i="30" l="1"/>
  <c r="D35" i="30"/>
  <c r="Z32" i="25"/>
  <c r="Z13" i="25"/>
  <c r="Z14" i="25"/>
  <c r="Z25" i="25" l="1"/>
  <c r="D36" i="30"/>
  <c r="C37" i="30"/>
  <c r="C38" i="30"/>
  <c r="Z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N32" i="25"/>
  <c r="BN13" i="25"/>
  <c r="BN14" i="25"/>
  <c r="BO29" i="25"/>
  <c r="BO28" i="25"/>
  <c r="BO27" i="25"/>
  <c r="BO26" i="25"/>
  <c r="BO25" i="25"/>
  <c r="BO24" i="25"/>
  <c r="BK29" i="25"/>
  <c r="BK28" i="25"/>
  <c r="BK27" i="25"/>
  <c r="BK26" i="25"/>
  <c r="BK25" i="25"/>
  <c r="BK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N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B26" i="25"/>
  <c r="L10" i="8"/>
  <c r="AJ10" i="8" s="1"/>
  <c r="AX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AF31" i="14" l="1"/>
  <c r="AD31" i="14"/>
  <c r="AD10" i="14"/>
  <c r="AF10" i="14"/>
  <c r="H31" i="14"/>
  <c r="J9" i="14"/>
  <c r="J19" i="14" s="1"/>
  <c r="CR5" i="61"/>
  <c r="V9" i="14"/>
  <c r="V19" i="14" s="1"/>
  <c r="CT81" i="61" a="1"/>
  <c r="CT81" i="61" s="1"/>
  <c r="T28" i="25"/>
  <c r="T27" i="25"/>
  <c r="F31" i="36"/>
  <c r="H32" i="36"/>
  <c r="H31" i="36"/>
  <c r="Z27" i="25"/>
  <c r="F42" i="32"/>
  <c r="F32" i="36"/>
  <c r="F43" i="32"/>
  <c r="Z28" i="25"/>
  <c r="P10" i="8"/>
  <c r="Z10" i="8"/>
  <c r="T10" i="8"/>
  <c r="N10" i="8"/>
  <c r="BB25" i="25"/>
  <c r="BB11" i="25"/>
  <c r="BB13" i="25" s="1"/>
  <c r="BB12" i="25"/>
  <c r="BB14" i="25" s="1"/>
  <c r="L9" i="8"/>
  <c r="N9" i="8" s="1"/>
  <c r="AX25" i="25"/>
  <c r="H38" i="25"/>
  <c r="H37" i="25"/>
  <c r="T30" i="14"/>
  <c r="CL81" i="61" a="1"/>
  <c r="CL81" i="61" s="1"/>
  <c r="BV81" i="61" a="1"/>
  <c r="BV81" i="61" s="1"/>
  <c r="CJ5" i="61"/>
  <c r="BT5" i="61"/>
  <c r="C40" i="60"/>
  <c r="D40" i="60"/>
  <c r="O41" i="60" a="1"/>
  <c r="O41" i="60" s="1"/>
  <c r="P41" i="60" a="1"/>
  <c r="P41" i="60" s="1"/>
  <c r="B13" i="35"/>
  <c r="C13" i="35" s="1"/>
  <c r="H9" i="14"/>
  <c r="T9" i="14"/>
  <c r="AX11" i="25"/>
  <c r="H13" i="25"/>
  <c r="H12" i="25"/>
  <c r="C3" i="53"/>
  <c r="C8" i="53" s="1"/>
  <c r="C5" i="53"/>
  <c r="C27" i="53"/>
  <c r="C12" i="53"/>
  <c r="H30" i="14" a="1"/>
  <c r="AF30" i="14" a="1"/>
  <c r="AD30" i="14" a="1"/>
  <c r="J30" i="14" a="1"/>
  <c r="V30" i="14" a="1"/>
  <c r="T29" i="14" a="1"/>
  <c r="AF30" i="14" l="1"/>
  <c r="AD30" i="14"/>
  <c r="AD9" i="14"/>
  <c r="AD19" i="14" s="1"/>
  <c r="AF9" i="14"/>
  <c r="J30" i="14"/>
  <c r="H30" i="14"/>
  <c r="V30" i="14"/>
  <c r="CS5" i="61"/>
  <c r="CT5" i="61" s="1"/>
  <c r="CR8" i="61"/>
  <c r="CR13" i="61"/>
  <c r="CS13" i="61" s="1"/>
  <c r="CT13" i="61" s="1"/>
  <c r="BD17" i="25"/>
  <c r="BB17" i="25"/>
  <c r="P9" i="8"/>
  <c r="Z9" i="8"/>
  <c r="T9" i="8"/>
  <c r="AJ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AF29" i="14" a="1"/>
  <c r="J29" i="14" a="1"/>
  <c r="Z29" i="14" a="1"/>
  <c r="H29" i="14" a="1"/>
  <c r="V29" i="14" a="1"/>
  <c r="Z30" i="14" a="1"/>
  <c r="V29" i="14" l="1"/>
  <c r="CS8" i="6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X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P26" i="25"/>
  <c r="BP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J25" i="25" l="1"/>
  <c r="AJ32" i="25" l="1"/>
  <c r="AJ13" i="25"/>
  <c r="AJ14" i="25"/>
  <c r="AK29" i="25"/>
  <c r="AK28" i="25"/>
  <c r="AK27" i="25"/>
  <c r="AK26" i="25"/>
  <c r="AK25" i="25"/>
  <c r="AK24" i="25"/>
  <c r="AJ17" i="25" l="1"/>
  <c r="I3" i="21"/>
  <c r="I23" i="21"/>
  <c r="AL32" i="25" l="1"/>
  <c r="AL13" i="25"/>
  <c r="AL12" i="25"/>
  <c r="AM29" i="25"/>
  <c r="AM28" i="25"/>
  <c r="AM27" i="25"/>
  <c r="AM26" i="25"/>
  <c r="AM25" i="25"/>
  <c r="AM24" i="25"/>
  <c r="AL26" i="25" a="1"/>
  <c r="AL26" i="25" l="1"/>
  <c r="AL14" i="25"/>
  <c r="AL27" i="25" s="1"/>
  <c r="AL17" i="25" l="1"/>
  <c r="N27" i="25"/>
  <c r="N25" i="25"/>
  <c r="BQ29" i="25"/>
  <c r="BQ28" i="25"/>
  <c r="BQ27" i="25"/>
  <c r="BQ26" i="25"/>
  <c r="BQ25" i="25"/>
  <c r="BQ24" i="25"/>
  <c r="BG29" i="25"/>
  <c r="BG28" i="25"/>
  <c r="BG27" i="25"/>
  <c r="BG25" i="25"/>
  <c r="BG24" i="25"/>
  <c r="AU29" i="25"/>
  <c r="AU28" i="25"/>
  <c r="AU27" i="25"/>
  <c r="AU26" i="25"/>
  <c r="AU25" i="25"/>
  <c r="AU24" i="25"/>
  <c r="AQ29" i="25"/>
  <c r="AQ28" i="25"/>
  <c r="AQ27" i="25"/>
  <c r="AQ26" i="25"/>
  <c r="AQ25" i="25"/>
  <c r="AQ24" i="25"/>
  <c r="AI29" i="25"/>
  <c r="AI28" i="25"/>
  <c r="AI27" i="25"/>
  <c r="AI26" i="25"/>
  <c r="AI25" i="25"/>
  <c r="AI24" i="25"/>
  <c r="AG29" i="25"/>
  <c r="AG28" i="25"/>
  <c r="AG27" i="25"/>
  <c r="AG26" i="25"/>
  <c r="AG25" i="25"/>
  <c r="AG24" i="25"/>
  <c r="AE29" i="25"/>
  <c r="AE28" i="25"/>
  <c r="AE27" i="25"/>
  <c r="AE26" i="25"/>
  <c r="AE25" i="25"/>
  <c r="AE24" i="25"/>
  <c r="AC29" i="25"/>
  <c r="AC28" i="25"/>
  <c r="AC27" i="25"/>
  <c r="AC26" i="25"/>
  <c r="AC25" i="25"/>
  <c r="AC24" i="25"/>
  <c r="Y29" i="25"/>
  <c r="Y28" i="25"/>
  <c r="Y27" i="25"/>
  <c r="Y26" i="25"/>
  <c r="Y25" i="25"/>
  <c r="Y24" i="25"/>
  <c r="U29" i="25"/>
  <c r="U28" i="25"/>
  <c r="U27" i="25"/>
  <c r="U26" i="25"/>
  <c r="U25" i="25"/>
  <c r="U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F3" i="25" l="1"/>
  <c r="F18" i="25" s="1"/>
  <c r="F19" i="25" s="1"/>
  <c r="E37" i="72"/>
  <c r="F46" i="26"/>
  <c r="BR3" i="25"/>
  <c r="BV3" i="25"/>
  <c r="BV18" i="25" s="1"/>
  <c r="BV19" i="25" s="1"/>
  <c r="F32" i="73"/>
  <c r="E39" i="72" a="1"/>
  <c r="E39" i="72" s="1"/>
  <c r="E40" i="72" s="1" a="1"/>
  <c r="E40" i="72" s="1"/>
  <c r="BD3" i="25"/>
  <c r="BD18" i="25" s="1"/>
  <c r="BD19" i="25" s="1"/>
  <c r="G31" i="71"/>
  <c r="G33" i="71" s="1" a="1"/>
  <c r="G33" i="71" s="1"/>
  <c r="G34" i="71" s="1" a="1"/>
  <c r="G34" i="71" s="1"/>
  <c r="I44" i="70"/>
  <c r="V3" i="25"/>
  <c r="V18" i="25" s="1"/>
  <c r="V19" i="25" s="1"/>
  <c r="X3" i="25"/>
  <c r="BJ3" i="25"/>
  <c r="Z3" i="25"/>
  <c r="AX3" i="25"/>
  <c r="F30" i="76" s="1"/>
  <c r="F32" i="76" s="1" a="1"/>
  <c r="F32" i="76" s="1"/>
  <c r="F33" i="76" s="1" a="1"/>
  <c r="F33" i="76" s="1"/>
  <c r="BB3" i="25"/>
  <c r="BB18" i="25" s="1"/>
  <c r="BB19" i="25" s="1"/>
  <c r="E25" i="69"/>
  <c r="E27" i="69" s="1" a="1"/>
  <c r="E27" i="69" s="1"/>
  <c r="E28" i="69" s="1" a="1"/>
  <c r="E28" i="69" s="1"/>
  <c r="BH3" i="25"/>
  <c r="BH18" i="25" s="1"/>
  <c r="BH19" i="25" s="1"/>
  <c r="BN3" i="25"/>
  <c r="BN18" i="25" s="1"/>
  <c r="BN19" i="25" s="1"/>
  <c r="F60" i="68"/>
  <c r="BT3" i="25"/>
  <c r="BT18" i="25" s="1"/>
  <c r="BT19" i="25" s="1"/>
  <c r="BL3" i="25"/>
  <c r="BL18" i="25" s="1"/>
  <c r="BL19" i="25" s="1"/>
  <c r="F37" i="65"/>
  <c r="F39" i="65" s="1" a="1"/>
  <c r="F39" i="65" s="1"/>
  <c r="F40" i="65" s="1" a="1"/>
  <c r="F40" i="65" s="1"/>
  <c r="AN3" i="25"/>
  <c r="AN18" i="25" s="1"/>
  <c r="AN19" i="25" s="1"/>
  <c r="E28" i="64"/>
  <c r="E30" i="64" s="1" a="1"/>
  <c r="E30" i="64" s="1"/>
  <c r="E31" i="64" s="1" a="1"/>
  <c r="E31" i="64" s="1"/>
  <c r="F33" i="62"/>
  <c r="BR3" i="61"/>
  <c r="CH3" i="61"/>
  <c r="CD3" i="61"/>
  <c r="G44" i="35"/>
  <c r="G46" i="35" s="1" a="1"/>
  <c r="G46" i="35" s="1"/>
  <c r="G47" i="35" s="1" a="1"/>
  <c r="G47" i="35" s="1"/>
  <c r="AL3" i="25"/>
  <c r="AL18" i="25" s="1"/>
  <c r="AL19" i="25" s="1"/>
  <c r="Z18" i="25" l="1"/>
  <c r="Z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P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J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B32" i="25" l="1"/>
  <c r="AB12" i="25"/>
  <c r="AB13" i="25"/>
  <c r="AB26" i="25" a="1"/>
  <c r="AB25" i="25" a="1"/>
  <c r="AB26" i="25" l="1"/>
  <c r="AB25" i="25"/>
  <c r="AB14" i="25"/>
  <c r="AB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R32" i="25" l="1"/>
  <c r="BR14" i="25"/>
  <c r="BR13" i="25"/>
  <c r="BR17" i="25" l="1"/>
  <c r="BR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P32" i="25" l="1"/>
  <c r="BP14" i="25"/>
  <c r="BP13" i="25"/>
  <c r="BP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J32" i="25"/>
  <c r="BJ13" i="25"/>
  <c r="BJ14" i="25"/>
  <c r="BF32" i="25"/>
  <c r="BF13" i="25"/>
  <c r="BF12" i="25"/>
  <c r="H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H35" i="25"/>
  <c r="D25" i="25"/>
  <c r="D26" i="25"/>
  <c r="BJ17" i="25"/>
  <c r="BJ18" i="25" s="1"/>
  <c r="BF14" i="25"/>
  <c r="BF17" i="25" s="1"/>
  <c r="D14" i="25"/>
  <c r="D23" i="45"/>
  <c r="D13" i="44"/>
  <c r="D27" i="44" s="1"/>
  <c r="C23" i="45"/>
  <c r="C28" i="45" s="1"/>
  <c r="I23" i="43" a="1"/>
  <c r="I23" i="43" s="1"/>
  <c r="D36" i="25" l="1"/>
  <c r="H34" i="25"/>
  <c r="H39" i="25" s="1"/>
  <c r="J23" i="43" a="1"/>
  <c r="J23" i="43" s="1"/>
  <c r="N23" i="43" a="1"/>
  <c r="N23" i="43" s="1"/>
  <c r="M23" i="43" a="1"/>
  <c r="M23" i="43" s="1"/>
  <c r="O22" i="43" a="1"/>
  <c r="O22" i="43" s="1"/>
  <c r="P22" i="43" a="1"/>
  <c r="P22" i="43" s="1"/>
  <c r="D28" i="45"/>
  <c r="H17" i="25"/>
  <c r="H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T32" i="25"/>
  <c r="AT14" i="25"/>
  <c r="AT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T17" i="25"/>
  <c r="AT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P32" i="25"/>
  <c r="AP13" i="25"/>
  <c r="AP14" i="25"/>
  <c r="AH13" i="25"/>
  <c r="AH12" i="25"/>
  <c r="AH32" i="25"/>
  <c r="AF32" i="25"/>
  <c r="AF13" i="25"/>
  <c r="AF12" i="25"/>
  <c r="AD32" i="25"/>
  <c r="AD12" i="25"/>
  <c r="AD13" i="25"/>
  <c r="C24" i="35"/>
  <c r="C26" i="35" s="1"/>
  <c r="G25" i="35"/>
  <c r="G5" i="35"/>
  <c r="F23" i="39" l="1"/>
  <c r="C24" i="39" a="1"/>
  <c r="C24" i="39" s="1"/>
  <c r="D24" i="39"/>
  <c r="B9" i="38"/>
  <c r="D8" i="38"/>
  <c r="C8" i="38"/>
  <c r="F37" i="44"/>
  <c r="AJ3" i="25"/>
  <c r="AJ18" i="25" s="1"/>
  <c r="AJ19" i="25" s="1"/>
  <c r="N3" i="25"/>
  <c r="N18" i="25" s="1"/>
  <c r="N19" i="25" s="1"/>
  <c r="AP17" i="25"/>
  <c r="AP18" i="25" s="1"/>
  <c r="C25" i="41"/>
  <c r="K25" i="41" s="1"/>
  <c r="I31" i="41"/>
  <c r="AF14" i="25"/>
  <c r="AF17" i="25" s="1"/>
  <c r="AD14" i="25"/>
  <c r="AH14" i="25"/>
  <c r="AH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X32" i="25"/>
  <c r="X14" i="25"/>
  <c r="X13" i="25"/>
  <c r="C48" i="5"/>
  <c r="F32" i="74" s="1"/>
  <c r="T32" i="25"/>
  <c r="T14" i="25"/>
  <c r="T13" i="25"/>
  <c r="F24" i="39" l="1"/>
  <c r="F31" i="39" s="1"/>
  <c r="C9" i="38"/>
  <c r="D9" i="38"/>
  <c r="X26" i="25"/>
  <c r="X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X17" i="25"/>
  <c r="X18" i="25" s="1"/>
  <c r="X19" i="25" s="1"/>
  <c r="AD17" i="25"/>
  <c r="T17" i="25"/>
  <c r="T18" i="25" s="1"/>
  <c r="T19" i="25" s="1"/>
  <c r="C29" i="41"/>
  <c r="K29" i="41" s="1"/>
  <c r="C27" i="41"/>
  <c r="H27" i="41" s="1"/>
  <c r="H31" i="41" s="1"/>
  <c r="C26" i="41"/>
  <c r="F53" i="33" a="1"/>
  <c r="F53" i="33" s="1"/>
  <c r="F64" i="34" a="1"/>
  <c r="F64" i="34" s="1"/>
  <c r="F63" i="34" a="1"/>
  <c r="F63" i="34" s="1"/>
  <c r="C13" i="50" a="1"/>
  <c r="C13" i="50" s="1"/>
  <c r="C15" i="49" a="1"/>
  <c r="C15" i="49" s="1"/>
  <c r="C13" i="48" a="1"/>
  <c r="C13" i="48" s="1"/>
  <c r="AB7" i="8"/>
  <c r="BJ19" i="25"/>
  <c r="J20" i="40" a="1"/>
  <c r="J20" i="40" s="1"/>
  <c r="D19" i="25"/>
  <c r="C12" i="39" a="1"/>
  <c r="C12" i="39" s="1"/>
  <c r="H19" i="25"/>
  <c r="AT19" i="25"/>
  <c r="AB7" i="14"/>
  <c r="B10" i="38"/>
  <c r="F48" i="34"/>
  <c r="F49" i="34"/>
  <c r="C10" i="30"/>
  <c r="C11" i="30" s="1"/>
  <c r="C12" i="30" s="1"/>
  <c r="C13" i="30" s="1"/>
  <c r="D9" i="30"/>
  <c r="I20" i="29" a="1"/>
  <c r="I20" i="29" s="1"/>
  <c r="H22" i="29" s="1" a="1"/>
  <c r="H22" i="29" s="1"/>
  <c r="H22" i="28" a="1"/>
  <c r="H22" i="28" s="1"/>
  <c r="AH30" i="8" a="1"/>
  <c r="F57" i="30" a="1"/>
  <c r="F6" i="32"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X32" i="25"/>
  <c r="AX14" i="25"/>
  <c r="AX13" i="25"/>
  <c r="E6" i="64" a="1"/>
  <c r="E36" i="64" a="1"/>
  <c r="E6" i="64" l="1"/>
  <c r="D11" i="38"/>
  <c r="C11" i="38"/>
  <c r="F40" i="32" a="1"/>
  <c r="F40" i="32" s="1"/>
  <c r="E36" i="64"/>
  <c r="K27" i="41"/>
  <c r="K31" i="41"/>
  <c r="AX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X18" i="25"/>
  <c r="AX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AZ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CA2" i="25"/>
  <c r="N3" i="24"/>
  <c r="J3" i="24"/>
  <c r="L3" i="24" s="1"/>
  <c r="H76" i="24"/>
  <c r="J76" i="24"/>
  <c r="N76" i="24"/>
  <c r="P2" i="24"/>
  <c r="P76" i="24" s="1"/>
  <c r="F40" i="66" l="1" a="1"/>
  <c r="F40" i="66" s="1"/>
  <c r="F41" i="66" s="1" a="1"/>
  <c r="F41" i="66" s="1"/>
  <c r="D28" i="26"/>
  <c r="D29" i="26" s="1"/>
  <c r="C28" i="26"/>
  <c r="C29" i="26" s="1"/>
  <c r="J14" i="25"/>
  <c r="J13" i="25"/>
  <c r="F2" i="26" l="1"/>
  <c r="J17" i="25"/>
  <c r="J18" i="25" s="1"/>
  <c r="AZ12" i="25"/>
  <c r="AZ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Z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Z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Z3" i="25"/>
  <c r="E26" i="42"/>
  <c r="I13" i="41"/>
  <c r="R3" i="25"/>
  <c r="AB3" i="25"/>
  <c r="BR19" i="25"/>
  <c r="F37" i="54"/>
  <c r="H41" i="18"/>
  <c r="BP3" i="25"/>
  <c r="F36" i="45"/>
  <c r="F36" i="43"/>
  <c r="BF3" i="25"/>
  <c r="AD3" i="25"/>
  <c r="AF3" i="25"/>
  <c r="AH3" i="25"/>
  <c r="AP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H18" i="25"/>
  <c r="AH19" i="25" s="1"/>
  <c r="F38" i="45"/>
  <c r="F39" i="45" s="1" a="1"/>
  <c r="F39" i="45" s="1"/>
  <c r="R18" i="25"/>
  <c r="R19" i="25" s="1"/>
  <c r="AZ18" i="25"/>
  <c r="AZ19" i="25" s="1"/>
  <c r="AF18" i="25"/>
  <c r="AF19" i="25" s="1"/>
  <c r="BP18" i="25"/>
  <c r="BP19" i="25" s="1"/>
  <c r="AB18" i="25"/>
  <c r="AB19" i="25" s="1"/>
  <c r="F55" i="34"/>
  <c r="F56" i="34" s="1" a="1"/>
  <c r="F56" i="34" s="1"/>
  <c r="AD18" i="25"/>
  <c r="AD19" i="25" s="1"/>
  <c r="BF18" i="25"/>
  <c r="BF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Z73" i="61" l="1"/>
  <c r="F24" i="25"/>
  <c r="N68" i="61"/>
  <c r="N69" i="61" s="1"/>
  <c r="CT73" i="61"/>
  <c r="F39" i="32"/>
  <c r="V25" i="8"/>
  <c r="H57" i="22"/>
  <c r="AJ24" i="25"/>
  <c r="CP73" i="61"/>
  <c r="AF24" i="25"/>
  <c r="M54" i="40"/>
  <c r="G61" i="35"/>
  <c r="E35" i="42"/>
  <c r="AD24" i="25"/>
  <c r="BJ24" i="25"/>
  <c r="G40" i="71"/>
  <c r="AJ25" i="8"/>
  <c r="AP24" i="25"/>
  <c r="AB28" i="14"/>
  <c r="D25" i="8"/>
  <c r="H50" i="18"/>
  <c r="F28" i="14"/>
  <c r="F53" i="26"/>
  <c r="O23" i="48"/>
  <c r="AN24" i="25"/>
  <c r="E35" i="64"/>
  <c r="AF28" i="14"/>
  <c r="H25" i="8"/>
  <c r="F45" i="45"/>
  <c r="T28" i="14"/>
  <c r="I22" i="21"/>
  <c r="H24" i="25"/>
  <c r="P25" i="8"/>
  <c r="R28" i="14"/>
  <c r="AV24" i="25"/>
  <c r="AB24" i="25"/>
  <c r="R24" i="25"/>
  <c r="L28" i="14"/>
  <c r="AX24" i="25"/>
  <c r="AH25" i="8"/>
  <c r="C30" i="52"/>
  <c r="BN24" i="25"/>
  <c r="V24" i="25"/>
  <c r="J25" i="8"/>
  <c r="L54" i="40"/>
  <c r="T24" i="25"/>
  <c r="F25" i="8"/>
  <c r="G51" i="35"/>
  <c r="BH24" i="25"/>
  <c r="BL24" i="25"/>
  <c r="F39" i="74"/>
  <c r="BN42" i="61"/>
  <c r="BN43" i="61"/>
  <c r="BN44" i="61"/>
  <c r="F37" i="69"/>
  <c r="E44" i="72"/>
  <c r="AD28" i="14"/>
  <c r="BR21" i="61"/>
  <c r="BR25" i="61"/>
  <c r="BR18" i="61"/>
  <c r="BR22" i="61"/>
  <c r="BR26" i="61"/>
  <c r="BR19" i="61"/>
  <c r="BR23" i="61"/>
  <c r="BR27" i="61"/>
  <c r="BR20" i="61"/>
  <c r="BR24" i="61"/>
  <c r="F42" i="62"/>
  <c r="Z25" i="8"/>
  <c r="N25" i="8"/>
  <c r="AH24" i="25"/>
  <c r="BF24" i="25"/>
  <c r="F62" i="34"/>
  <c r="H28" i="14"/>
  <c r="X28" i="14"/>
  <c r="F20" i="17"/>
  <c r="F45" i="66"/>
  <c r="O3" i="49"/>
  <c r="AT24" i="25"/>
  <c r="D24" i="25"/>
  <c r="AB25" i="8"/>
  <c r="N24" i="25"/>
  <c r="L24" i="25"/>
  <c r="BT24" i="25"/>
  <c r="AD25" i="8"/>
  <c r="Z28" i="14"/>
  <c r="E37" i="69"/>
  <c r="AL25" i="8"/>
  <c r="AR24" i="25"/>
  <c r="CX73" i="61"/>
  <c r="BD24" i="25"/>
  <c r="V28" i="14"/>
  <c r="F65" i="31"/>
  <c r="K84" i="67"/>
  <c r="S38" i="9"/>
  <c r="T25" i="8"/>
  <c r="L25" i="8"/>
  <c r="BP24" i="25"/>
  <c r="AZ24" i="25"/>
  <c r="P28" i="14"/>
  <c r="BR24" i="25"/>
  <c r="N28" i="14"/>
  <c r="J24" i="25"/>
  <c r="P24" i="25"/>
  <c r="F28" i="39"/>
  <c r="F52" i="33"/>
  <c r="X24" i="25"/>
  <c r="P18" i="50"/>
  <c r="C26" i="53"/>
  <c r="D28" i="14"/>
  <c r="F46" i="65"/>
  <c r="Z24" i="25"/>
  <c r="AL24" i="25"/>
  <c r="AF25" i="8"/>
  <c r="BB24" i="25"/>
  <c r="X25" i="8"/>
  <c r="J28" i="14"/>
  <c r="F48" i="75"/>
  <c r="AD73" i="61"/>
  <c r="AH73" i="61"/>
  <c r="G28" i="39"/>
  <c r="F37" i="76"/>
  <c r="BV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F22" i="25" a="1"/>
  <c r="AN22" i="25" a="1"/>
  <c r="C52" i="33" a="1"/>
  <c r="AX15" i="61" a="1"/>
  <c r="AF25" i="14" a="1"/>
  <c r="AD22" i="25" a="1"/>
  <c r="D23" i="8" a="1"/>
  <c r="V25" i="14" a="1"/>
  <c r="AB23" i="8" a="1"/>
  <c r="X23" i="8" a="1"/>
  <c r="E34" i="69" a="1"/>
  <c r="D25" i="14" a="1"/>
  <c r="BJ15" i="61" a="1"/>
  <c r="R15" i="61" a="1"/>
  <c r="N23" i="8" a="1"/>
  <c r="T23" i="8" a="1"/>
  <c r="J23" i="8" a="1"/>
  <c r="T25" i="14" a="1"/>
  <c r="AL22" i="25" a="1"/>
  <c r="BV22" i="25" a="1"/>
  <c r="D39" i="74" a="1"/>
  <c r="AH23" i="8" a="1"/>
  <c r="AD15" i="61" a="1"/>
  <c r="F23" i="8" a="1"/>
  <c r="P25" i="14" a="1"/>
  <c r="BH22" i="25" a="1"/>
  <c r="AH15" i="61" a="1"/>
  <c r="CP15" i="61" a="1"/>
  <c r="CL15" i="61" a="1"/>
  <c r="Z25" i="14" a="1"/>
  <c r="V23" i="8" a="1"/>
  <c r="AD25" i="14" a="1"/>
  <c r="D48" i="75" a="1"/>
  <c r="AZ22" i="25" a="1"/>
  <c r="AB22" i="25" a="1"/>
  <c r="AT22" i="25" a="1"/>
  <c r="T22" i="25" a="1"/>
  <c r="BR22" i="25" a="1"/>
  <c r="AP22" i="25" a="1"/>
  <c r="D22" i="25" a="1"/>
  <c r="O20" i="48" a="1"/>
  <c r="X22" i="25" a="1"/>
  <c r="AD23" i="8" a="1"/>
  <c r="P22" i="25" a="1"/>
  <c r="Z22" i="25" a="1"/>
  <c r="F22" i="25" a="1"/>
  <c r="CT15" i="61" a="1"/>
  <c r="CH15" i="61" a="1"/>
  <c r="H23" i="8" a="1"/>
  <c r="J22" i="25" a="1"/>
  <c r="BV15" i="61" a="1"/>
  <c r="C35" i="64" a="1"/>
  <c r="BB15" i="61" a="1"/>
  <c r="V22" i="25" a="1"/>
  <c r="D46" i="65" a="1"/>
  <c r="L23" i="8" a="1"/>
  <c r="E40" i="71" a="1"/>
  <c r="C35" i="42" a="1"/>
  <c r="L25" i="14" a="1"/>
  <c r="C62" i="23" a="1"/>
  <c r="BP22" i="25" a="1"/>
  <c r="D65" i="31" a="1"/>
  <c r="BL22" i="25" a="1"/>
  <c r="V15" i="61" a="1"/>
  <c r="R22" i="25" a="1"/>
  <c r="BJ22" i="25" a="1"/>
  <c r="BN22" i="25" a="1"/>
  <c r="AB25" i="14" a="1"/>
  <c r="CX15" i="61" a="1"/>
  <c r="AL15" i="61" a="1"/>
  <c r="X25" i="14" a="1"/>
  <c r="AP15" i="61" a="1"/>
  <c r="N15" i="61" a="1"/>
  <c r="AR22" i="25" a="1"/>
  <c r="N25" i="14" a="1"/>
  <c r="J25" i="14" a="1"/>
  <c r="BB22" i="25" a="1"/>
  <c r="AT15" i="61" a="1"/>
  <c r="F3" i="21" a="1"/>
  <c r="D37" i="76" a="1"/>
  <c r="C62" i="34" a="1"/>
  <c r="R25" i="14" a="1"/>
  <c r="AH22" i="25" a="1"/>
  <c r="AF23" i="8" a="1"/>
  <c r="S35" i="9" a="1"/>
  <c r="H25" i="14" a="1"/>
  <c r="AJ22" i="25" a="1"/>
  <c r="AV22" i="25" a="1"/>
  <c r="AX22" i="25" a="1"/>
  <c r="AF22" i="25" a="1"/>
  <c r="CD15" i="61" a="1"/>
  <c r="H84" i="67" a="1"/>
  <c r="F18" i="39" a="1"/>
  <c r="BT22" i="25" a="1"/>
  <c r="E13" i="22" a="1"/>
  <c r="H22" i="25" a="1"/>
  <c r="BF15" i="61" a="1"/>
  <c r="BZ15" i="61" a="1"/>
  <c r="AJ23" i="8" a="1"/>
  <c r="C44" i="72" a="1"/>
  <c r="AL23" i="8" a="1"/>
  <c r="F25" i="14" a="1"/>
  <c r="Z23" i="8" a="1"/>
  <c r="L22" i="25" a="1"/>
  <c r="BD22" i="25" a="1"/>
  <c r="D42" i="62" a="1"/>
  <c r="P23" i="8" a="1"/>
  <c r="C31" i="51" a="1"/>
  <c r="C39" i="32" a="1"/>
  <c r="F22" i="25" l="1"/>
  <c r="Z15" i="61"/>
  <c r="C39" i="32"/>
  <c r="CT15" i="61"/>
  <c r="V23" i="8"/>
  <c r="AJ22" i="25"/>
  <c r="E13" i="22"/>
  <c r="E40" i="71"/>
  <c r="AB25" i="14"/>
  <c r="BJ22" i="25"/>
  <c r="AP22" i="25"/>
  <c r="AD22" i="25"/>
  <c r="AF22" i="25"/>
  <c r="AJ23" i="8"/>
  <c r="C35" i="42"/>
  <c r="CP15" i="61"/>
  <c r="F3" i="21"/>
  <c r="R25" i="14"/>
  <c r="T25" i="14"/>
  <c r="AF25" i="14"/>
  <c r="P23" i="8"/>
  <c r="C35" i="64"/>
  <c r="F25" i="14"/>
  <c r="H22" i="25"/>
  <c r="H23" i="8"/>
  <c r="AN22" i="25"/>
  <c r="O20" i="48"/>
  <c r="D23" i="8"/>
  <c r="AV22" i="25"/>
  <c r="V22" i="25"/>
  <c r="AX22" i="25"/>
  <c r="BN22" i="25"/>
  <c r="L25" i="14"/>
  <c r="R22" i="25"/>
  <c r="AH23" i="8"/>
  <c r="AB22" i="25"/>
  <c r="D39" i="74"/>
  <c r="F23" i="8"/>
  <c r="BL22" i="25"/>
  <c r="T22" i="25"/>
  <c r="BH22" i="25"/>
  <c r="J23" i="8"/>
  <c r="BN48" i="61"/>
  <c r="BN49" i="61"/>
  <c r="BN47" i="61"/>
  <c r="BN63" i="61"/>
  <c r="AD25" i="14"/>
  <c r="C44" i="72"/>
  <c r="BR74" i="61"/>
  <c r="BR97" i="61" s="1"/>
  <c r="R15" i="61"/>
  <c r="BB22" i="25"/>
  <c r="D46" i="65"/>
  <c r="X22" i="25"/>
  <c r="J22" i="25"/>
  <c r="AZ22" i="25"/>
  <c r="S35" i="9"/>
  <c r="O3" i="9" s="1"/>
  <c r="BD22" i="25"/>
  <c r="E34" i="69"/>
  <c r="L22" i="25"/>
  <c r="AT22" i="25"/>
  <c r="X25" i="14"/>
  <c r="AH22" i="25"/>
  <c r="D48" i="75"/>
  <c r="AF23" i="8"/>
  <c r="D25" i="14"/>
  <c r="C52" i="33"/>
  <c r="N25" i="14"/>
  <c r="BP22" i="25"/>
  <c r="H84" i="67"/>
  <c r="CX15" i="61"/>
  <c r="Z25" i="14"/>
  <c r="N22" i="25"/>
  <c r="H25" i="14"/>
  <c r="N23" i="8"/>
  <c r="J25" i="14"/>
  <c r="AL22" i="25"/>
  <c r="F18" i="39"/>
  <c r="BR22" i="25"/>
  <c r="L23" i="8"/>
  <c r="D65" i="31"/>
  <c r="AR22" i="25"/>
  <c r="AD23" i="8"/>
  <c r="AB23" i="8"/>
  <c r="C62" i="34"/>
  <c r="Z23" i="8"/>
  <c r="X23" i="8"/>
  <c r="Z22" i="25"/>
  <c r="P22" i="25"/>
  <c r="P25" i="14"/>
  <c r="T23" i="8"/>
  <c r="V25" i="14"/>
  <c r="AL23" i="8"/>
  <c r="BT22" i="25"/>
  <c r="D22" i="25"/>
  <c r="BF22" i="25"/>
  <c r="D42" i="62"/>
  <c r="F55" i="75"/>
  <c r="D37" i="76"/>
  <c r="N15" i="61"/>
  <c r="AH15" i="61"/>
  <c r="BV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F23" i="38" s="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1" i="38" l="1"/>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D58" i="60" a="1"/>
  <c r="R23" i="8" a="1"/>
  <c r="D58" i="60" l="1"/>
  <c r="R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<sst xmlns="http://schemas.openxmlformats.org/spreadsheetml/2006/main" count="4445" uniqueCount="2678">
  <si>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</si>
  <si>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</si>
  <si>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</si>
  <si>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</si>
  <si>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</si>
  <si>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</si>
  <si>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</si>
  <si>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</si>
  <si>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</si>
  <si>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</si>
  <si>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</si>
  <si>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</si>
  <si>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</si>
  <si>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</si>
  <si>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</si>
  <si>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</si>
  <si>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</si>
  <si>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</si>
  <si>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</si>
  <si>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</si>
  <si>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</si>
  <si>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</si>
  <si>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</si>
  <si>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</si>
  <si>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</si>
  <si>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</si>
  <si>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</si>
  <si>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</si>
  <si>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</si>
  <si>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</si>
  <si>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</si>
  <si>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</si>
  <si>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</si>
  <si>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</si>
  <si>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</si>
  <si>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</si>
  <si>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</si>
  <si>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</si>
  <si>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</si>
  <si>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</si>
  <si>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</si>
  <si>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</si>
  <si>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</si>
  <si>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</si>
  <si>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</si>
  <si>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</si>
  <si>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</si>
  <si>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</si>
  <si>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</si>
  <si>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</si>
  <si>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</si>
  <si>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</si>
  <si>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</si>
  <si>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</si>
  <si>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</si>
  <si>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</si>
  <si>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</si>
  <si>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</si>
  <si>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</si>
  <si>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</si>
  <si>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</si>
  <si>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</si>
  <si>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</si>
  <si>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</si>
  <si>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</si>
  <si>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</si>
  <si>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</si>
  <si>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</si>
  <si>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</si>
  <si>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</si>
  <si>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</si>
  <si>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</si>
  <si>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</si>
  <si>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</si>
  <si>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</si>
  <si>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</si>
  <si>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</si>
  <si>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</si>
  <si>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</si>
  <si>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</si>
  <si>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</si>
  <si>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</si>
  <si>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</si>
  <si>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</si>
  <si>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</si>
  <si>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</si>
  <si>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</si>
  <si>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</si>
  <si>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</si>
  <si>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</si>
  <si>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</si>
  <si>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</si>
  <si>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</si>
  <si>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</si>
  <si>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</si>
  <si>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</si>
  <si>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</si>
  <si>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</si>
  <si>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</si>
  <si>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</si>
  <si>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</si>
  <si>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</si>
  <si>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</si>
  <si>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</si>
  <si>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</si>
  <si>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</si>
  <si>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</si>
  <si>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</si>
  <si>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</si>
  <si>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</si>
  <si>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</si>
  <si>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</si>
  <si>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</si>
  <si>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</si>
  <si>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</si>
  <si>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</si>
  <si>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</si>
  <si>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</si>
  <si>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</si>
  <si>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</si>
  <si>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</si>
  <si>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</si>
  <si>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</si>
  <si>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</si>
  <si>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</si>
  <si>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</si>
  <si>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</si>
  <si>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</si>
  <si>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</si>
  <si>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</si>
  <si>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</si>
  <si>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</si>
  <si>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</si>
  <si>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</si>
  <si>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</si>
  <si>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</si>
  <si>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</si>
  <si>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</si>
  <si>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</si>
  <si>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</si>
  <si>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</si>
  <si>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</si>
  <si>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</si>
  <si>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</si>
  <si>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</si>
  <si>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</si>
  <si>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</si>
  <si>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</si>
  <si>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</si>
  <si>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</si>
  <si>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</si>
  <si>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</si>
  <si>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</si>
  <si>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</si>
  <si>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</si>
  <si>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</si>
  <si>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</si>
  <si>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</si>
  <si>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</si>
  <si>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</si>
  <si>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</si>
  <si>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</si>
  <si>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</si>
  <si>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</si>
  <si>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</si>
  <si>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</si>
  <si>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</si>
  <si>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</si>
  <si>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</si>
  <si>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</si>
  <si>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</si>
  <si>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</si>
  <si>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</si>
  <si>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</si>
  <si>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</si>
  <si>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</si>
  <si>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</si>
  <si>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</si>
  <si>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</si>
  <si>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</si>
  <si>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</si>
  <si>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</si>
  <si>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</si>
  <si>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</si>
  <si>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</si>
  <si>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</si>
  <si>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</si>
  <si>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</si>
  <si>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</si>
  <si>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</si>
  <si>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</si>
  <si>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</si>
  <si>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</si>
  <si>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</si>
  <si>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</si>
  <si>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</si>
  <si>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</si>
  <si>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</si>
  <si>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</si>
  <si>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</si>
  <si>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</si>
  <si>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</si>
  <si>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</si>
  <si>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</si>
  <si>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</si>
  <si>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</si>
  <si>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</si>
  <si>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</si>
  <si>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</si>
  <si>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</si>
  <si>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</si>
  <si>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</si>
  <si>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</si>
  <si>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</si>
  <si>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</si>
  <si>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</si>
  <si>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</si>
  <si>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</si>
  <si>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</si>
  <si>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</si>
  <si>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</si>
  <si>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</si>
  <si>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</si>
  <si>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</si>
  <si>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</si>
  <si>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</si>
  <si>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</si>
  <si>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</si>
  <si>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</si>
  <si>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</si>
  <si>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</si>
  <si>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</si>
  <si>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</si>
  <si>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</si>
  <si>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</si>
  <si>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</si>
  <si>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</si>
  <si>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</si>
  <si>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</si>
  <si>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</si>
  <si>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</si>
  <si>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</si>
  <si>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</si>
  <si>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</si>
  <si>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</si>
  <si>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</si>
  <si>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</si>
  <si>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</si>
  <si>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</si>
  <si>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</si>
  <si>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</si>
  <si>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</si>
  <si>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</si>
  <si>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</si>
  <si>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</si>
  <si>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</si>
  <si>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</si>
  <si>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</si>
  <si>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</si>
  <si>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</si>
  <si>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</si>
  <si>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</si>
  <si>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</si>
  <si>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</si>
  <si>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</si>
  <si>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</si>
  <si>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</si>
  <si>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</si>
  <si>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</si>
  <si>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</si>
  <si>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</si>
  <si>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</si>
  <si>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</si>
  <si>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</si>
  <si>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</si>
  <si>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</si>
  <si>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</si>
  <si>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</si>
  <si>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</si>
  <si>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</si>
  <si>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</si>
  <si>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</si>
  <si>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</si>
  <si>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</si>
  <si>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</si>
  <si>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</si>
  <si>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</si>
  <si>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</si>
  <si>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</si>
  <si>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</si>
  <si>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</si>
  <si>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</si>
  <si>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</si>
  <si>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</si>
  <si>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</si>
  <si>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</si>
  <si>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</si>
  <si>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</si>
  <si>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</si>
  <si>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</si>
  <si>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</si>
  <si>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</si>
  <si>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</si>
  <si>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</si>
  <si>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</si>
  <si>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</si>
  <si>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</si>
  <si>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</si>
  <si>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</si>
  <si>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</si>
  <si>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</si>
  <si>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</si>
  <si>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</si>
  <si>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</si>
  <si>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</si>
  <si>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</si>
  <si>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</si>
  <si>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</si>
  <si>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</si>
  <si>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</si>
  <si>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</si>
  <si>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</si>
  <si>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</si>
  <si>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</si>
  <si>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</si>
  <si>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</si>
  <si>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</si>
  <si>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</si>
  <si>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</si>
  <si>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</si>
  <si>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</si>
  <si>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</si>
  <si>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</si>
  <si>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</si>
  <si>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</si>
  <si>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</si>
  <si>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</si>
  <si>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</si>
  <si>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</si>
  <si>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</si>
  <si>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</si>
  <si>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</si>
  <si>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</si>
  <si>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</si>
  <si>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</si>
  <si>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</si>
  <si>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</si>
  <si>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</si>
  <si>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</si>
  <si>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</si>
  <si>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</si>
  <si>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</si>
  <si>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</si>
  <si>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</si>
  <si>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</si>
  <si>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</si>
  <si>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</si>
  <si>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</si>
  <si>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</si>
  <si>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</si>
  <si>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</si>
  <si>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</si>
  <si>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</si>
  <si>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</si>
  <si>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</si>
  <si>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</si>
  <si>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</si>
  <si>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</si>
  <si>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</si>
  <si>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</si>
  <si>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</si>
  <si>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</si>
  <si>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</si>
  <si>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</si>
  <si>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</si>
  <si>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</si>
  <si>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</si>
  <si>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</si>
  <si>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</si>
  <si>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</si>
  <si>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</si>
  <si>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</si>
  <si>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</si>
  <si>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</si>
  <si>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</si>
  <si>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</si>
  <si>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</si>
  <si>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</si>
  <si>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</si>
  <si>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</si>
  <si>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</si>
  <si>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</si>
  <si>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</si>
  <si>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</si>
  <si>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</si>
  <si>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</si>
  <si>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</si>
  <si>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</si>
  <si>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</si>
  <si>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</si>
  <si>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</si>
  <si>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</si>
  <si>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</si>
  <si>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</si>
  <si>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</si>
  <si>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</si>
  <si>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</si>
  <si>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</si>
  <si>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</si>
  <si>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</si>
  <si>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</si>
  <si>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</si>
  <si>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</si>
  <si>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</si>
  <si>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</si>
  <si>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</si>
  <si>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</si>
  <si>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</si>
  <si>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</si>
  <si>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</si>
  <si>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</si>
  <si>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</si>
  <si>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</si>
  <si>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</si>
  <si>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</si>
  <si>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</si>
  <si>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</si>
  <si>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</si>
  <si>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</si>
  <si>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</si>
  <si>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</si>
  <si>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</si>
  <si>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</si>
  <si>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</si>
  <si>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</si>
  <si>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</si>
  <si>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</si>
  <si>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</si>
  <si>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</si>
  <si>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</si>
  <si>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</si>
  <si>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</si>
  <si>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</si>
  <si>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</si>
  <si>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</si>
  <si>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</si>
  <si>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</si>
  <si>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</si>
  <si>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</si>
  <si>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</si>
  <si>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</si>
  <si>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</si>
  <si>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</si>
  <si>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</si>
  <si>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</si>
  <si>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</si>
  <si>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</si>
  <si>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</si>
  <si>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</si>
  <si>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</si>
  <si>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</si>
  <si>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</si>
  <si>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</si>
  <si>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</si>
  <si>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</si>
  <si>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</si>
  <si>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</si>
  <si>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</si>
  <si>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</si>
  <si>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</si>
  <si>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</si>
  <si>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</si>
  <si>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</si>
  <si>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</si>
  <si>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</si>
  <si>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</si>
  <si>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</si>
  <si>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</si>
  <si>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</si>
  <si>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</si>
  <si>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</si>
  <si>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</si>
  <si>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</si>
  <si>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</si>
  <si>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</si>
  <si>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</si>
  <si>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</si>
  <si>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</si>
  <si>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</si>
  <si>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</si>
  <si>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</si>
  <si>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</si>
  <si>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</si>
  <si>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</si>
  <si>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</si>
  <si>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</si>
  <si>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</si>
  <si>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</si>
  <si>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</si>
  <si>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</si>
  <si>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</si>
  <si>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</si>
  <si>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</si>
  <si>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</si>
  <si>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</si>
  <si>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</si>
  <si>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</si>
  <si>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</si>
  <si>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</si>
  <si>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</si>
  <si>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</si>
  <si>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</si>
  <si>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</si>
  <si>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</si>
  <si>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</si>
  <si>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</si>
  <si>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</si>
  <si>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</si>
  <si>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</si>
  <si>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</si>
  <si>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</si>
  <si>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</si>
  <si>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</si>
  <si>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</si>
  <si>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</si>
  <si>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</si>
  <si>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</si>
  <si>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</si>
  <si>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</si>
  <si>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</si>
  <si>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</si>
  <si>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</si>
  <si>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</si>
  <si>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</si>
  <si>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</si>
  <si>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</si>
  <si>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</si>
  <si>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</si>
  <si>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</si>
  <si>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</si>
  <si>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</si>
  <si>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</si>
  <si>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</si>
  <si>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</si>
  <si>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</si>
  <si>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</si>
  <si>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</si>
  <si>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</si>
  <si>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</si>
  <si>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</si>
  <si>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</si>
  <si>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</si>
  <si>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</si>
  <si>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</si>
  <si>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</si>
  <si>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</si>
  <si>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</si>
  <si>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</si>
  <si>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</si>
  <si>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</si>
  <si>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</si>
  <si>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</si>
  <si>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</si>
  <si>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</si>
  <si>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</si>
  <si>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</si>
  <si>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</si>
  <si>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</si>
  <si>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</si>
  <si>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</si>
  <si>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</si>
  <si>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</si>
  <si>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</si>
  <si>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</si>
  <si>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</si>
  <si>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</si>
  <si>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</si>
  <si>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</si>
  <si>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</si>
  <si>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</si>
  <si>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</si>
  <si>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</si>
  <si>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</si>
  <si>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</si>
  <si>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</si>
  <si>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</si>
  <si>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</si>
  <si>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</si>
  <si>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</si>
  <si>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</si>
  <si>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</si>
  <si>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</si>
  <si>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</si>
  <si>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</si>
  <si>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</si>
  <si>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</si>
  <si>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</si>
  <si>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</si>
  <si>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</si>
  <si>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</si>
  <si>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</si>
  <si>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</si>
  <si>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</si>
  <si>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</si>
  <si>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</si>
  <si>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</si>
  <si>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</si>
  <si>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</si>
  <si>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</si>
  <si>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</si>
  <si>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</si>
  <si>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</si>
  <si>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</si>
  <si>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</si>
  <si>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</si>
  <si>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</si>
  <si>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</si>
  <si>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</si>
  <si>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</si>
  <si>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</si>
  <si>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</si>
  <si>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</si>
  <si>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</si>
  <si>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</si>
  <si>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</si>
  <si>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</si>
  <si>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</si>
  <si>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</si>
  <si>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</si>
  <si>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</si>
  <si>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</si>
  <si>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</si>
  <si>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</si>
  <si>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</si>
  <si>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</si>
  <si>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</si>
  <si>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</si>
  <si>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</si>
  <si>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</si>
  <si>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</si>
  <si>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</si>
  <si>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</si>
  <si>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</si>
  <si>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</si>
  <si>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</si>
  <si>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</si>
  <si>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</si>
  <si>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</si>
  <si>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</si>
  <si>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</si>
  <si>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</si>
  <si>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</si>
  <si>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</si>
  <si>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</si>
  <si>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</si>
  <si>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</si>
  <si>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</si>
  <si>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</si>
  <si>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</si>
  <si>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</si>
  <si>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</si>
  <si>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</si>
  <si>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</si>
  <si>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</si>
  <si>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</si>
  <si>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</si>
  <si>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</si>
  <si>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</si>
  <si>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</si>
  <si>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</si>
  <si>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</si>
  <si>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</si>
  <si>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</si>
  <si>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</si>
  <si>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</si>
  <si>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</si>
  <si>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</si>
  <si>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</si>
  <si>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</si>
  <si>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</si>
  <si>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</si>
  <si>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</si>
  <si>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</si>
  <si>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</si>
  <si>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</si>
  <si>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</si>
  <si>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</si>
  <si>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</si>
  <si>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</si>
  <si>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</si>
  <si>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</si>
  <si>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</si>
  <si>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</si>
  <si>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</si>
  <si>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</si>
  <si>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</si>
  <si>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</si>
  <si>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</si>
  <si>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</si>
  <si>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</si>
  <si>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</si>
  <si>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</si>
  <si>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</si>
  <si>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</si>
  <si>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</si>
  <si>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</si>
  <si>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</si>
  <si>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</si>
  <si>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</si>
  <si>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</si>
  <si>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</si>
  <si>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</si>
  <si>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</si>
  <si>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</si>
  <si>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</si>
  <si>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</si>
  <si>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</si>
  <si>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</si>
  <si>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</si>
  <si>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</si>
  <si>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</si>
  <si>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</si>
  <si>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</si>
  <si>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</si>
  <si>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</si>
  <si>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</si>
  <si>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</si>
  <si>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</si>
  <si>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</si>
  <si>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</si>
  <si>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</si>
  <si>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</si>
  <si>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</si>
  <si>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</si>
  <si>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</si>
  <si>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</si>
  <si>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</si>
  <si>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</si>
  <si>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</si>
  <si>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</si>
  <si>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</si>
  <si>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</si>
  <si>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</si>
  <si>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</si>
  <si>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</si>
  <si>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</si>
  <si>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</si>
  <si>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</si>
  <si>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</si>
  <si>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</si>
  <si>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</si>
  <si>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</si>
  <si>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</si>
  <si>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</si>
  <si>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</si>
  <si>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</si>
  <si>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</si>
  <si>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</si>
  <si>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</si>
  <si>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</si>
  <si>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</si>
  <si>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</si>
  <si>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</si>
  <si>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</si>
  <si>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</si>
  <si>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</si>
  <si>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</si>
  <si>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</si>
  <si>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</si>
  <si>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</si>
  <si>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</si>
  <si>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</si>
  <si>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</si>
  <si>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</si>
  <si>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</si>
  <si>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</si>
  <si>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</si>
  <si>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</si>
  <si>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</si>
  <si>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</si>
  <si>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</si>
  <si>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</si>
  <si>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</si>
  <si>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</si>
  <si>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</si>
  <si>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</si>
  <si>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</si>
  <si>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</si>
  <si>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</si>
  <si>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</si>
  <si>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</si>
  <si>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</si>
  <si>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</si>
  <si>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</si>
  <si>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</si>
  <si>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</si>
  <si>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</si>
  <si>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</si>
  <si>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</si>
  <si>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</si>
  <si>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</si>
  <si>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</si>
  <si>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</si>
  <si>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</si>
  <si>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</si>
  <si>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</si>
  <si>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</si>
  <si>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</si>
  <si>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</si>
  <si>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</si>
  <si>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</si>
  <si>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</si>
  <si>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</si>
  <si>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</si>
  <si>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</si>
  <si>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</si>
  <si>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</si>
  <si>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</si>
  <si>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</si>
  <si>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</si>
  <si>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</si>
  <si>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</si>
  <si>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</si>
  <si>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</si>
  <si>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</si>
  <si>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</si>
  <si>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</si>
  <si>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</si>
  <si>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</si>
  <si>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</si>
  <si>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</si>
  <si>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</si>
  <si>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</si>
  <si>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</si>
  <si>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</si>
  <si>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</si>
  <si>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</si>
  <si>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</si>
  <si>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</si>
  <si>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</si>
  <si>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</si>
  <si>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</si>
  <si>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</si>
  <si>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</si>
  <si>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</si>
  <si>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</si>
  <si>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</si>
  <si>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</si>
  <si>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</si>
  <si>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</si>
  <si>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</si>
  <si>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</si>
  <si>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</si>
  <si>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</si>
  <si>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</si>
  <si>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</si>
  <si>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</si>
  <si>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</si>
  <si>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</si>
  <si>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</si>
  <si>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</si>
  <si>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</si>
  <si>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</si>
  <si>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</si>
  <si>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</si>
  <si>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</si>
  <si>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</si>
  <si>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</si>
  <si>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</si>
  <si>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</si>
  <si>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</si>
  <si>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</si>
  <si>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</si>
  <si>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</si>
  <si>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</si>
  <si>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</si>
  <si>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</si>
  <si>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</si>
  <si>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</si>
  <si>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</si>
  <si>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</si>
  <si>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</si>
  <si>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</si>
  <si>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</si>
  <si>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</si>
  <si>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</si>
  <si>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</si>
  <si>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</si>
  <si>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</si>
  <si>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</si>
  <si>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</si>
  <si>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</si>
  <si>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</si>
  <si>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</si>
  <si>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</si>
  <si>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</si>
  <si>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</si>
  <si>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</si>
  <si>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</si>
  <si>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</si>
  <si>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</si>
  <si>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</si>
  <si>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</si>
  <si>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</si>
  <si>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</si>
  <si>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</si>
  <si>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</si>
  <si>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</si>
  <si>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</si>
  <si>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</si>
  <si>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</si>
  <si>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</si>
  <si>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</si>
  <si>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</si>
  <si>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</si>
  <si>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</si>
  <si>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</si>
  <si>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</si>
  <si>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</si>
  <si>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</si>
  <si>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</si>
  <si>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</si>
  <si>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</si>
  <si>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</si>
  <si>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</si>
  <si>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</si>
  <si>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</si>
  <si>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</si>
  <si>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</si>
  <si>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</si>
  <si>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</si>
  <si>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</si>
  <si>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</si>
  <si>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</si>
  <si>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</si>
  <si>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</si>
  <si>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</si>
  <si>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</si>
  <si>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</si>
  <si>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</si>
  <si>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</si>
  <si>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</si>
  <si>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</si>
  <si>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</si>
  <si>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</si>
  <si>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</si>
  <si>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</si>
  <si>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</si>
  <si>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</si>
  <si>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</si>
  <si>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</si>
  <si>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</si>
  <si>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</si>
  <si>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</si>
  <si>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</si>
  <si>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</si>
  <si>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</si>
  <si>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</si>
  <si>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</si>
  <si>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</si>
  <si>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</si>
  <si>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</si>
  <si>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</si>
  <si>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</si>
  <si>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</si>
  <si>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</si>
  <si>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</si>
  <si>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</si>
  <si>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</si>
  <si>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</si>
  <si>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</si>
  <si>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</si>
  <si>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</si>
  <si>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</si>
  <si>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</si>
  <si>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</si>
  <si>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</si>
  <si>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</si>
  <si>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</si>
  <si>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</si>
  <si>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</si>
  <si>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</si>
  <si>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</si>
  <si>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</si>
  <si>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</si>
  <si>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</si>
  <si>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</si>
  <si>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</si>
  <si>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</si>
  <si>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</si>
  <si>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</si>
  <si>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</si>
  <si>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</si>
  <si>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</si>
  <si>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</si>
  <si>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</si>
  <si>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</si>
  <si>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</si>
  <si>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</si>
  <si>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</si>
  <si>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</si>
  <si>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</si>
  <si>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</si>
  <si>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</si>
  <si>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</si>
  <si>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</si>
  <si>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</si>
  <si>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</si>
  <si>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</si>
  <si>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</si>
  <si>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</si>
  <si>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</si>
  <si>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</si>
  <si>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</si>
  <si>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</si>
  <si>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</si>
  <si>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</si>
  <si>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</si>
  <si>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</si>
  <si>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</si>
  <si>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</si>
  <si>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</si>
  <si>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</si>
  <si>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</si>
  <si>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</si>
  <si>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</si>
  <si>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</si>
  <si>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</si>
  <si>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</si>
  <si>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</si>
  <si>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</si>
  <si>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</si>
  <si>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</si>
  <si>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</si>
  <si>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</si>
  <si>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</si>
  <si>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</si>
  <si>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</si>
  <si>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</si>
  <si>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</si>
  <si>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</si>
  <si>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</si>
  <si>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</si>
  <si>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</si>
  <si>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</si>
  <si>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</si>
  <si>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</si>
  <si>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</si>
  <si>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</si>
  <si>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</si>
  <si>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</si>
  <si>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</si>
  <si>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</si>
  <si>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</si>
  <si>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</si>
  <si>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</si>
  <si>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</si>
  <si>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</si>
  <si>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</si>
  <si>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</si>
  <si>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</si>
  <si>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</si>
  <si>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</si>
  <si>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</si>
  <si>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</si>
  <si>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</si>
  <si>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</si>
  <si>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</si>
  <si>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</si>
  <si>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</si>
  <si>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</si>
  <si>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</si>
  <si>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</si>
  <si>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</si>
  <si>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</si>
  <si>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</si>
  <si>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</si>
  <si>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</si>
  <si>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</si>
  <si>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</si>
  <si>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</si>
  <si>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</si>
  <si>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</si>
  <si>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</si>
  <si>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</si>
  <si>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</si>
  <si>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</si>
  <si>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</si>
  <si>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</si>
  <si>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</si>
  <si>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</si>
  <si>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</si>
  <si>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</si>
  <si>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</si>
  <si>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</si>
  <si>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</si>
  <si>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</si>
  <si>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</si>
  <si>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</si>
  <si>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</si>
  <si>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</si>
  <si>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</si>
  <si>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</si>
  <si>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</si>
  <si>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</si>
  <si>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</si>
  <si>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</si>
  <si>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</si>
  <si>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</si>
  <si>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</si>
  <si>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</si>
  <si>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</si>
  <si>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</si>
  <si>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</si>
  <si>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</si>
  <si>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</si>
  <si>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</si>
  <si>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</si>
  <si>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</si>
  <si>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</si>
  <si>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</si>
  <si>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</si>
  <si>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</si>
  <si>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</si>
  <si>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</si>
  <si>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</si>
  <si>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</si>
  <si>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</si>
  <si>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</si>
  <si>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</si>
  <si>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</si>
  <si>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</si>
  <si>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</si>
  <si>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</si>
  <si>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</si>
  <si>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</si>
  <si>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</si>
  <si>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</si>
  <si>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</si>
  <si>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</si>
  <si>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</si>
  <si>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</si>
  <si>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</si>
  <si>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</si>
  <si>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</si>
  <si>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</si>
  <si>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</si>
  <si>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</si>
  <si>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</si>
  <si>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</si>
  <si>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</si>
  <si>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</si>
  <si>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</si>
  <si>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</si>
  <si>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</si>
  <si>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</si>
  <si>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</si>
  <si>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</si>
  <si>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</si>
  <si>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</si>
  <si>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</si>
  <si>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</si>
  <si>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</si>
  <si>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</si>
  <si>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</si>
  <si>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</si>
  <si>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</si>
  <si>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</si>
  <si>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</si>
  <si>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</si>
  <si>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</si>
  <si>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</si>
  <si>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</si>
  <si>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</si>
  <si>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</si>
  <si>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</si>
  <si>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</si>
  <si>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</si>
  <si>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</si>
  <si>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</si>
  <si>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</si>
  <si>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</si>
  <si>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</si>
  <si>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</si>
  <si>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</si>
  <si>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</si>
  <si>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</si>
  <si>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</si>
  <si>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</si>
  <si>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</si>
  <si>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</si>
  <si>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</si>
  <si>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</si>
  <si>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</si>
  <si>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</si>
  <si>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</si>
  <si>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</si>
  <si>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</si>
  <si>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</si>
  <si>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</si>
  <si>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</si>
  <si>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</si>
  <si>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</si>
  <si>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</si>
  <si>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</si>
  <si>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</si>
  <si>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</si>
  <si>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</si>
  <si>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</si>
  <si>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</si>
  <si>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</si>
  <si>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</si>
  <si>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</si>
  <si>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</si>
  <si>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</si>
  <si>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</si>
  <si>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</si>
  <si>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</si>
  <si>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</si>
  <si>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</si>
  <si>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</si>
  <si>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</si>
  <si>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</si>
  <si>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</si>
  <si>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</si>
  <si>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</si>
  <si>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</si>
  <si>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</si>
  <si>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</si>
  <si>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</si>
  <si>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</si>
  <si>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</si>
  <si>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</si>
  <si>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</si>
  <si>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</si>
  <si>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</si>
  <si>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</si>
  <si>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</si>
  <si>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</si>
  <si>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</si>
  <si>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</si>
  <si>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</si>
  <si>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</si>
  <si>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</si>
  <si>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</si>
  <si>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</si>
  <si>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</si>
  <si>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</si>
  <si>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</si>
  <si>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</si>
  <si>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</si>
  <si>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</si>
  <si>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</si>
  <si>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</si>
  <si>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</si>
  <si>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</si>
  <si>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</si>
  <si>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</si>
  <si>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</si>
  <si>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</si>
  <si>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</si>
  <si>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</si>
  <si>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</si>
  <si>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</si>
  <si>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</si>
  <si>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</si>
  <si>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</si>
  <si>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</si>
  <si>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</si>
  <si>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</si>
  <si>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</si>
  <si>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</si>
  <si>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</si>
  <si>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</si>
  <si>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</si>
  <si>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</si>
  <si>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</si>
  <si>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</si>
  <si>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</si>
  <si>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</si>
  <si>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</si>
  <si>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</si>
  <si>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</si>
  <si>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</si>
  <si>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</si>
  <si>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</si>
  <si>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</si>
  <si>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</si>
  <si>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</si>
  <si>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</si>
  <si>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</si>
  <si>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</si>
  <si>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</si>
  <si>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</si>
  <si>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</si>
  <si>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</si>
  <si>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</si>
  <si>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</si>
  <si>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</si>
  <si>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</si>
  <si>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</si>
  <si>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</si>
  <si>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</si>
  <si>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</si>
  <si>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</si>
  <si>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</si>
  <si>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</si>
  <si>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</si>
  <si>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</si>
  <si>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</si>
  <si>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</si>
  <si>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</si>
  <si>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</si>
  <si>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</si>
  <si>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</si>
  <si>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</si>
  <si>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</si>
  <si>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</si>
  <si>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</si>
  <si>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</si>
  <si>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</si>
  <si>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</si>
  <si>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</si>
  <si>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</si>
  <si>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</si>
  <si>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</si>
  <si>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</si>
  <si>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</si>
  <si>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</si>
  <si>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</si>
  <si>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</si>
  <si>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</si>
  <si>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</si>
  <si>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</si>
  <si>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</si>
  <si>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</si>
  <si>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</si>
  <si>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</si>
  <si>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</si>
  <si>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</si>
  <si>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</si>
  <si>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</si>
  <si>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</si>
  <si>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</si>
  <si>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</si>
  <si>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</si>
  <si>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</si>
  <si>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</si>
  <si>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</si>
  <si>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</si>
  <si>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</si>
  <si>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</si>
  <si>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</si>
  <si>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</si>
  <si>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</si>
  <si>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</si>
  <si>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</si>
  <si>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</si>
  <si>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</si>
  <si>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</si>
  <si>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</si>
  <si>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</si>
  <si>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</si>
  <si>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</si>
  <si>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</si>
  <si>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</si>
  <si>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</si>
  <si>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</si>
  <si>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</si>
  <si>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</si>
  <si>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</si>
  <si>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</si>
  <si>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</si>
  <si>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</si>
  <si>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</si>
  <si>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</si>
  <si>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</si>
  <si>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</si>
  <si>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</si>
  <si>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</si>
  <si>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</si>
  <si>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</si>
  <si>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</si>
  <si>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</si>
  <si>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</si>
  <si>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</si>
  <si>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</si>
  <si>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</si>
  <si>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</si>
  <si>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</si>
  <si>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</si>
  <si>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</si>
  <si>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</si>
  <si>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</si>
  <si>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</si>
  <si>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</si>
  <si>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</si>
  <si>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</si>
  <si>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</si>
  <si>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</si>
  <si>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</si>
  <si>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</si>
  <si>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</si>
  <si>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</si>
  <si>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</si>
  <si>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</si>
  <si>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</si>
  <si>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</si>
  <si>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</si>
  <si>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</si>
  <si>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</si>
  <si>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</si>
  <si>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</si>
  <si>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</si>
  <si>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</si>
  <si>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</si>
  <si>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</si>
  <si>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</si>
  <si>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</si>
  <si>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</si>
  <si>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</si>
  <si>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</si>
  <si>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</si>
  <si>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</si>
  <si>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</si>
  <si>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</si>
  <si>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</si>
  <si>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</si>
  <si>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</si>
  <si>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</si>
  <si>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</si>
  <si>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</si>
  <si>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</si>
  <si>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</si>
  <si>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</si>
  <si>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</si>
  <si>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</si>
  <si>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</si>
  <si>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</si>
  <si>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</si>
  <si>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</si>
  <si>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</si>
  <si>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</si>
  <si>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</si>
  <si>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</si>
  <si>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</si>
  <si>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</si>
  <si>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</si>
  <si>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</si>
  <si>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</si>
  <si>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</si>
  <si>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</si>
  <si>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</si>
  <si>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</si>
  <si>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</si>
  <si>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</si>
  <si>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</si>
  <si>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</si>
  <si>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</si>
  <si>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</si>
  <si>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</si>
  <si>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</si>
  <si>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</si>
  <si>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</si>
  <si>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</si>
  <si>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</si>
  <si>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</si>
  <si>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</si>
  <si>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</si>
  <si>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</si>
  <si>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</si>
  <si>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</si>
  <si>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</si>
  <si>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</si>
  <si>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</si>
  <si>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</si>
  <si>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</si>
  <si>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</si>
  <si>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</si>
  <si>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</si>
  <si>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</si>
  <si>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</si>
  <si>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</si>
  <si>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</si>
  <si>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</si>
  <si>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</si>
  <si>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</si>
  <si>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</si>
  <si>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</si>
  <si>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</si>
  <si>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</si>
  <si>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</si>
  <si>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</si>
  <si>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</si>
  <si>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</si>
  <si>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</si>
  <si>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</si>
  <si>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</si>
  <si>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</si>
  <si>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</si>
  <si>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</si>
  <si>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</si>
  <si>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</si>
  <si>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</si>
  <si>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</si>
  <si>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</si>
  <si>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</si>
  <si>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</si>
  <si>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</si>
  <si>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</si>
  <si>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</si>
  <si>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</si>
  <si>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</si>
  <si>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</si>
  <si>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</si>
  <si>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</si>
  <si>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</si>
  <si>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</si>
  <si>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</si>
  <si>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</si>
  <si>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</si>
  <si>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</si>
  <si>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</si>
  <si>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</si>
  <si>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</si>
  <si>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</si>
  <si>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</si>
  <si>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</si>
  <si>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</si>
  <si>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</si>
  <si>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</si>
  <si>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</si>
  <si>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</si>
  <si>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</si>
  <si>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</si>
  <si>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</si>
  <si>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</si>
  <si>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</si>
  <si>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</si>
  <si>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</si>
  <si>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</si>
  <si>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</si>
  <si>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</si>
  <si>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</si>
  <si>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</si>
  <si>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</si>
  <si>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</si>
  <si>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</si>
  <si>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</si>
  <si>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</si>
  <si>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</si>
  <si>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</si>
  <si>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</si>
  <si>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</si>
  <si>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</si>
  <si>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</si>
  <si>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</si>
  <si>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</si>
  <si>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</si>
  <si>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</si>
  <si>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</si>
  <si>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</si>
  <si>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</si>
  <si>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</si>
  <si>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</si>
  <si>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</si>
  <si>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</si>
  <si>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</si>
  <si>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</si>
  <si>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</si>
  <si>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</si>
  <si>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</si>
  <si>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</si>
  <si>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</si>
  <si>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</si>
  <si>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</si>
  <si>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</si>
  <si>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</si>
  <si>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</si>
  <si>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</si>
  <si>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</si>
  <si>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</si>
  <si>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</si>
  <si>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</si>
  <si>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</si>
  <si>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</si>
  <si>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</si>
  <si>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</si>
  <si>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</si>
  <si>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</si>
  <si>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</si>
  <si>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</si>
  <si>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</si>
  <si>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</si>
  <si>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</si>
  <si>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</si>
  <si>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</si>
  <si>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</si>
  <si>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</si>
  <si>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</si>
  <si>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</si>
  <si>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</si>
  <si>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</si>
  <si>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</si>
  <si>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</si>
  <si>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</si>
  <si>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</si>
  <si>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</si>
  <si>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</si>
  <si>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</si>
  <si>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</si>
  <si>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</si>
  <si>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</si>
  <si>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</si>
  <si>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</si>
  <si>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</si>
  <si>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</si>
  <si>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</si>
  <si>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</si>
  <si>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</si>
  <si>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</si>
  <si>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</si>
  <si>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</si>
  <si>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</si>
  <si>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</si>
  <si>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</si>
  <si>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</si>
  <si>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</si>
  <si>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</si>
  <si>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</si>
  <si>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</si>
  <si>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</si>
  <si>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</si>
  <si>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</si>
  <si>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</si>
  <si>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</si>
  <si>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</si>
  <si>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</si>
  <si>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</si>
  <si>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</si>
  <si>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</si>
  <si>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</si>
  <si>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</si>
  <si>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</si>
  <si>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</si>
  <si>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</si>
  <si>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</si>
  <si>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</si>
  <si>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</si>
  <si>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</si>
  <si>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</si>
  <si>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</si>
  <si>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</si>
  <si>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</si>
  <si>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</si>
  <si>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</si>
  <si>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</si>
  <si>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</si>
  <si>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</si>
  <si>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</si>
  <si>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</si>
  <si>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</si>
  <si>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</si>
  <si>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</si>
  <si>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</si>
  <si>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</si>
  <si>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</si>
  <si>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</si>
  <si>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</si>
  <si>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</si>
  <si>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</si>
  <si>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</si>
  <si>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</si>
  <si>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</si>
  <si>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</si>
  <si>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</si>
  <si>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</si>
  <si>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</si>
  <si>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</si>
  <si>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</si>
  <si>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</si>
  <si>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</si>
  <si>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</si>
  <si>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</si>
  <si>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</si>
  <si>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</si>
  <si>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</si>
  <si>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</si>
  <si>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</si>
  <si>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</si>
  <si>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</si>
  <si>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</si>
  <si>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</si>
  <si>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</si>
  <si>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</si>
  <si>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</si>
  <si>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</si>
  <si>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</si>
  <si>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</si>
  <si>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</si>
  <si>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</si>
  <si>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</si>
  <si>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</si>
  <si>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</si>
  <si>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</si>
  <si>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</si>
  <si>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</si>
  <si>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</si>
  <si>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</si>
  <si>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</si>
  <si>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</si>
  <si>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</si>
  <si>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</si>
  <si>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</si>
  <si>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</si>
  <si>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</si>
  <si>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</si>
  <si>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</si>
  <si>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</si>
  <si>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</si>
  <si>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</si>
  <si>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</si>
  <si>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</si>
  <si>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</si>
  <si>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</si>
  <si>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</si>
  <si>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</si>
  <si>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</si>
  <si>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</si>
  <si>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</si>
  <si>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</si>
  <si>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</si>
  <si>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</si>
  <si>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</si>
  <si>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</si>
  <si>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</si>
  <si>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</si>
  <si>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</si>
  <si>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</si>
  <si>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</si>
  <si>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</si>
  <si>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</si>
  <si>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</si>
  <si>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</si>
  <si>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</si>
  <si>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</si>
  <si>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</si>
  <si>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</si>
  <si>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</si>
  <si>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</si>
  <si>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</si>
  <si>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</si>
  <si>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</si>
  <si>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</si>
  <si>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</si>
  <si>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</si>
  <si>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</si>
  <si>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</si>
  <si>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</si>
  <si>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</si>
  <si>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</si>
  <si>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</si>
  <si>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</si>
  <si>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</si>
  <si>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</si>
  <si>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</si>
  <si>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</si>
  <si>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</si>
  <si>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</si>
  <si>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</si>
  <si>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</si>
  <si>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</si>
  <si>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</si>
  <si>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</si>
  <si>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</si>
  <si>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</si>
  <si>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</si>
  <si>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</si>
  <si>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</si>
  <si>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</si>
  <si>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</si>
  <si>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</si>
  <si>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</si>
  <si>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</si>
  <si>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</si>
  <si>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</si>
  <si>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</si>
  <si>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</si>
  <si>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</si>
  <si>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</si>
  <si>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</si>
  <si>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</si>
  <si>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</si>
  <si>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</si>
  <si>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</si>
  <si>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</si>
  <si>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</si>
  <si>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</si>
  <si>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</si>
  <si>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</si>
  <si>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</si>
  <si>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</si>
  <si>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</si>
  <si>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</si>
  <si>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</si>
  <si>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</si>
  <si>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</si>
  <si>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</si>
  <si>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</si>
  <si>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</si>
  <si>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</si>
  <si>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</si>
  <si>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</si>
  <si>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</si>
  <si>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</si>
  <si>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</si>
  <si>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</si>
  <si>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</si>
  <si>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</si>
  <si>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</si>
  <si>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</si>
  <si>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</si>
  <si>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</si>
  <si>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</si>
  <si>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</si>
  <si>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</si>
  <si>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</si>
  <si>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</si>
  <si>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</si>
  <si>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</si>
  <si>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</si>
  <si>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</si>
  <si>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</si>
  <si>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</si>
  <si>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</si>
  <si>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</si>
  <si>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</si>
  <si>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</si>
  <si>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</si>
  <si>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</si>
  <si>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</si>
  <si>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</si>
  <si>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</si>
  <si>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</si>
  <si>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</si>
  <si>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</si>
  <si>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</si>
  <si>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</si>
  <si>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</si>
  <si>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</si>
  <si>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</si>
  <si>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</si>
  <si>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</si>
  <si>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</si>
  <si>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</si>
  <si>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</si>
  <si>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</si>
  <si>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</si>
  <si>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</si>
  <si>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</si>
  <si>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</si>
  <si>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</si>
  <si>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</si>
  <si>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</si>
  <si>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</si>
  <si>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</si>
  <si>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</si>
  <si>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</si>
  <si>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</si>
  <si>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</si>
  <si>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</si>
  <si>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</si>
  <si>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</si>
  <si>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</si>
  <si>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</si>
  <si>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</si>
  <si>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</si>
  <si>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</si>
  <si>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</si>
  <si>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</si>
  <si>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</si>
  <si>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</si>
  <si>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</si>
  <si>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</si>
  <si>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</si>
  <si>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</si>
  <si>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</si>
  <si>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</si>
  <si>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</si>
  <si>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</si>
  <si>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</si>
  <si>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</si>
  <si>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</si>
  <si>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</si>
  <si>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</si>
  <si>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</si>
  <si>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</si>
  <si>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</si>
  <si>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</si>
  <si>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</si>
  <si>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</si>
  <si>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</si>
  <si>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</si>
  <si>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</si>
  <si>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</si>
  <si>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</si>
  <si>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</si>
  <si>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</si>
  <si>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</si>
  <si>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</si>
  <si>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</si>
  <si>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</si>
  <si>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</si>
  <si>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</si>
  <si>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</si>
  <si>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</si>
  <si>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</si>
  <si>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</si>
  <si>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</si>
  <si>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</si>
  <si>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</si>
  <si>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</si>
  <si>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</si>
  <si>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</si>
  <si>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</si>
  <si>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</si>
  <si>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</si>
  <si>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</si>
  <si>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</si>
  <si>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</si>
  <si>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</si>
  <si>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</si>
  <si>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</si>
  <si>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</si>
  <si>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</si>
  <si>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</si>
  <si>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</si>
  <si>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</si>
  <si>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</si>
  <si>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</si>
  <si>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</si>
  <si>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</si>
  <si>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</si>
  <si>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</si>
  <si>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</si>
  <si>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</si>
  <si>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</si>
  <si>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</si>
  <si>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</si>
  <si>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</si>
  <si>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</si>
  <si>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</si>
  <si>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</si>
  <si>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</si>
  <si>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</si>
  <si>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</si>
  <si>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</si>
  <si>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</si>
  <si>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</si>
  <si>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</si>
  <si>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</si>
  <si>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</si>
  <si>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</si>
  <si>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</si>
  <si>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</si>
  <si>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</si>
  <si>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</si>
  <si>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</si>
  <si>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</si>
  <si>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</si>
  <si>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</si>
  <si>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</si>
  <si>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</si>
  <si>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</si>
  <si>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</si>
  <si>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</si>
  <si>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</si>
  <si>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</si>
  <si>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</si>
  <si>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</si>
  <si>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</si>
  <si>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</si>
  <si>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</si>
  <si>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</si>
  <si>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</si>
  <si>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</si>
  <si>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</si>
  <si>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</si>
  <si>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</si>
  <si>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</si>
  <si>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</si>
  <si>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</si>
  <si>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</si>
  <si>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</si>
  <si>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</si>
  <si>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</si>
  <si>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</si>
  <si>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</si>
  <si>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</si>
  <si>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</si>
  <si>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</si>
  <si>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</si>
  <si>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</si>
  <si>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</si>
  <si>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</si>
  <si>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</si>
  <si>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</si>
  <si>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</si>
  <si>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</si>
  <si>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</si>
  <si>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</si>
  <si>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</si>
  <si>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</si>
  <si>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</si>
  <si>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</si>
  <si>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</si>
  <si>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</si>
  <si>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</si>
  <si>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</si>
  <si>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</si>
  <si>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</si>
  <si>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</si>
  <si>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</si>
  <si>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</si>
  <si>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</si>
  <si>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</si>
  <si>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</si>
  <si>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</si>
  <si>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</si>
  <si>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</si>
  <si>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</si>
  <si>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</si>
  <si>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</si>
  <si>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</si>
  <si>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</si>
  <si>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</si>
  <si>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</si>
  <si>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</si>
  <si>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</si>
  <si>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</si>
  <si>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</si>
  <si>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</si>
  <si>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</si>
  <si>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</si>
  <si>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</si>
  <si>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</si>
  <si>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</si>
  <si>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</si>
  <si>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</si>
  <si>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</si>
  <si>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</si>
  <si>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</si>
  <si>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</si>
  <si>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</si>
  <si>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</si>
  <si>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</si>
  <si>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</si>
  <si>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</si>
  <si>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</si>
  <si>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</si>
  <si>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</si>
  <si>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</si>
  <si>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</si>
  <si>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</si>
  <si>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</si>
  <si>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</si>
  <si>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</si>
  <si>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</si>
  <si>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</si>
  <si>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</si>
  <si>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</si>
  <si>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</si>
  <si>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</si>
  <si>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</si>
  <si>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</si>
  <si>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</si>
  <si>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</si>
  <si>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</si>
  <si>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</si>
  <si>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</si>
  <si>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</si>
  <si>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</si>
  <si>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</si>
  <si>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</si>
  <si>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</si>
  <si>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</si>
  <si>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</si>
  <si>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</si>
  <si>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</si>
  <si>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</si>
  <si>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</si>
  <si>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</si>
  <si>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</si>
  <si>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</si>
  <si>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</si>
  <si>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</si>
  <si>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</si>
  <si>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</si>
  <si>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</si>
  <si>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</si>
  <si>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</si>
  <si>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</si>
  <si>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</si>
  <si>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</si>
  <si>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</si>
  <si>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</si>
  <si>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</si>
  <si>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</si>
  <si>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</si>
  <si>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</si>
  <si>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</si>
  <si>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</si>
  <si>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</si>
  <si>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</si>
  <si>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</si>
  <si>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</si>
  <si>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</si>
  <si>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</si>
  <si>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</si>
  <si>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</si>
  <si>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</si>
  <si>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</si>
  <si>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</si>
  <si>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</si>
  <si>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</si>
  <si>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</si>
  <si>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</si>
  <si>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</si>
  <si>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</si>
  <si>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</si>
  <si>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</si>
  <si>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</si>
  <si>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</si>
  <si>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</si>
  <si>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</si>
  <si>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</si>
  <si>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</si>
  <si>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</si>
  <si>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</si>
  <si>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</si>
  <si>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</si>
  <si>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</si>
  <si>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</si>
  <si>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</si>
  <si>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</si>
  <si>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</si>
  <si>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</si>
  <si>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</si>
  <si>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</si>
  <si>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</si>
  <si>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</si>
  <si>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</si>
  <si>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</si>
  <si>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</si>
  <si>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</si>
  <si>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</si>
  <si>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</si>
  <si>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</si>
  <si>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</si>
  <si>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</si>
  <si>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</si>
  <si>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</si>
  <si>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</si>
  <si>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</si>
  <si>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</si>
  <si>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</si>
  <si>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</si>
  <si>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</si>
  <si>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</si>
  <si>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</si>
  <si>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</si>
  <si>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</si>
  <si>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</si>
  <si>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</si>
  <si>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</si>
  <si>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</si>
  <si>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</si>
  <si>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</si>
  <si>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</si>
  <si>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</si>
  <si>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</si>
  <si>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</si>
  <si>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</si>
  <si>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</si>
  <si>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</si>
  <si>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</si>
  <si>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</si>
  <si>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</si>
  <si>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</si>
  <si>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</si>
  <si>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</si>
  <si>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</si>
  <si>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</si>
  <si>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</si>
  <si>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</si>
  <si>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</si>
  <si>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</si>
  <si>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</si>
  <si>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</si>
  <si>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</si>
  <si>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</si>
  <si>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</si>
  <si>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</si>
  <si>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</si>
  <si>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</si>
  <si>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</si>
  <si>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</si>
  <si>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</si>
  <si>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</si>
  <si>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</si>
  <si>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</si>
  <si>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</si>
  <si>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</si>
  <si>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</si>
  <si>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</si>
  <si>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</si>
  <si>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</si>
  <si>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</si>
  <si>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</si>
  <si>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</si>
  <si>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</si>
  <si>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</si>
  <si>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</si>
  <si>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</si>
  <si>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</si>
  <si>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</si>
  <si>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</si>
  <si>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</si>
  <si>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</si>
  <si>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</si>
  <si>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</si>
  <si>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</si>
  <si>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</si>
  <si>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</si>
  <si>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</si>
  <si>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</si>
  <si>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</si>
  <si>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</si>
  <si>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</si>
  <si>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</si>
  <si>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</si>
  <si>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</si>
  <si>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</si>
  <si>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</si>
  <si>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</si>
  <si>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</si>
  <si>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</si>
  <si>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</si>
  <si>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</si>
  <si>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</si>
  <si>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</si>
  <si>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</si>
  <si>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</si>
  <si>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</si>
  <si>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</si>
  <si>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</si>
  <si>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</si>
  <si>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</si>
  <si>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</si>
  <si>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</si>
  <si>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</si>
  <si>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</si>
  <si>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</si>
  <si>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</si>
  <si>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</si>
  <si>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</si>
  <si>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</si>
  <si>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</si>
  <si>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</si>
  <si>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</si>
  <si>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</si>
  <si>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</si>
  <si>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</si>
  <si>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</si>
  <si>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</si>
  <si>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</si>
  <si>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</si>
  <si>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</si>
  <si>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</si>
  <si>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</si>
  <si>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</si>
  <si>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</si>
  <si>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</si>
  <si>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</si>
  <si>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</si>
  <si>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</si>
  <si>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</si>
  <si>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</si>
  <si>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</si>
  <si>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</si>
  <si>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</si>
  <si>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</si>
  <si>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</si>
  <si>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</si>
  <si>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</si>
  <si>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</si>
  <si>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</si>
  <si>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</si>
  <si>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</si>
  <si>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</si>
  <si>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</si>
  <si>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</si>
  <si>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</si>
  <si>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</si>
  <si>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</si>
  <si>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</si>
  <si>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</si>
  <si>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</si>
  <si>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</si>
  <si>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</si>
  <si>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</si>
  <si>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</si>
  <si>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</si>
  <si>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</si>
  <si>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</si>
  <si>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</si>
  <si>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</si>
  <si>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</si>
  <si>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</si>
  <si>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</si>
  <si>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</si>
  <si>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</si>
  <si>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</si>
  <si>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</si>
  <si>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</si>
  <si>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</si>
  <si>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</si>
  <si>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</si>
  <si>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</si>
  <si>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</si>
  <si>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</si>
  <si>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</si>
  <si>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</si>
  <si>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</si>
  <si>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</si>
  <si>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</si>
  <si>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</si>
  <si>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</si>
  <si>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</si>
  <si>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</si>
  <si>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</si>
  <si>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</si>
  <si>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</si>
  <si>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</si>
  <si>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</si>
  <si>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</si>
  <si>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</si>
  <si>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</si>
  <si>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</si>
  <si>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</si>
  <si>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</si>
  <si>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</si>
  <si>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</si>
  <si>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</si>
  <si>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</si>
  <si>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</si>
  <si>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</si>
  <si>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</si>
  <si>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</si>
  <si>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</si>
  <si>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</si>
  <si>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</si>
  <si>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</si>
  <si>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</si>
  <si>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</si>
  <si>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</si>
  <si>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</si>
  <si>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</si>
  <si>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</si>
  <si>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</si>
  <si>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</si>
  <si>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</si>
  <si>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</si>
  <si>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</si>
  <si>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</si>
  <si>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</si>
  <si>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</si>
  <si>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</si>
  <si>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</si>
  <si>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</si>
  <si>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</si>
  <si>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</si>
  <si>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</si>
  <si>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</si>
  <si>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</si>
  <si>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</si>
  <si>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</si>
  <si>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</si>
  <si>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</si>
  <si>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</si>
  <si>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</si>
  <si>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</si>
  <si>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</si>
  <si>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</si>
  <si>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</si>
  <si>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</si>
  <si>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</si>
  <si>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</si>
  <si>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</si>
  <si>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</si>
  <si>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</si>
  <si>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</si>
  <si>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</si>
  <si>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</si>
  <si>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</si>
  <si>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</si>
  <si>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</si>
  <si>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</si>
  <si>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</si>
  <si>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</si>
  <si>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</si>
  <si>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</si>
  <si>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</si>
  <si>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</si>
  <si>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</si>
  <si>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</si>
  <si>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</si>
  <si>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</si>
  <si>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</si>
  <si>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</si>
  <si>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</si>
  <si>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</si>
  <si>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</si>
  <si>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</si>
  <si>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</si>
  <si>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</si>
  <si>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</si>
  <si>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</si>
  <si>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</si>
  <si>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</si>
  <si>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</si>
  <si>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</si>
  <si>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</si>
  <si>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</si>
  <si>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</si>
  <si>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</si>
  <si>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</si>
  <si>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</si>
  <si>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</si>
  <si>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</si>
  <si>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</si>
  <si>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</si>
  <si>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</si>
  <si>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</si>
  <si>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</si>
  <si>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</si>
  <si>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</si>
  <si>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</si>
  <si>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</si>
  <si>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</si>
  <si>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</si>
  <si>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</si>
  <si>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</si>
  <si>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</si>
  <si>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</si>
  <si>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</si>
  <si>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</si>
  <si>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</si>
  <si>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</si>
  <si>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</si>
  <si>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</si>
  <si>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</si>
  <si>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</si>
  <si>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</si>
  <si>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</si>
  <si>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</si>
  <si>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</si>
  <si>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</si>
  <si>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</si>
  <si>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</si>
  <si>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</si>
  <si>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</si>
  <si>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</si>
  <si>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</si>
  <si>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</si>
  <si>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</si>
  <si>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</si>
  <si>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</si>
  <si>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</si>
  <si>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</si>
  <si>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</si>
  <si>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</si>
  <si>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</si>
  <si>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</si>
  <si>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</si>
  <si>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</si>
  <si>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</si>
  <si>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</si>
  <si>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</si>
  <si>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</si>
  <si>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</si>
  <si>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</si>
  <si>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</si>
  <si>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</si>
  <si>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</si>
  <si>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</si>
  <si>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</si>
  <si>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</si>
  <si>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</si>
  <si>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</si>
  <si>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</si>
  <si>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</si>
  <si>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</si>
  <si>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</si>
  <si>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</si>
  <si>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</si>
  <si>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</si>
  <si>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</si>
  <si>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</si>
  <si>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</si>
  <si>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</si>
  <si>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</si>
  <si>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</si>
  <si>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</si>
  <si>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</si>
  <si>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</si>
  <si>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</si>
  <si>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</si>
  <si>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</si>
  <si>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</si>
  <si>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</si>
  <si>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</si>
  <si>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</si>
  <si>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</si>
  <si>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</si>
  <si>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</si>
  <si>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</si>
  <si>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</si>
  <si>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</si>
  <si>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</si>
  <si>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</si>
  <si>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</si>
  <si>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</si>
  <si>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</si>
  <si>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</si>
  <si>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</si>
  <si>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</si>
  <si>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</si>
  <si>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</si>
  <si>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</si>
  <si>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</si>
  <si>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</si>
  <si>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</si>
  <si>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</si>
  <si>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</si>
  <si>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</si>
  <si>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</si>
  <si>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</si>
  <si>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</si>
  <si>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</si>
  <si>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</si>
  <si>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</si>
  <si>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</si>
  <si>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</si>
  <si>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</si>
  <si>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</si>
  <si>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</si>
  <si>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</si>
  <si>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</si>
  <si>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</si>
  <si>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</si>
  <si>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</si>
  <si>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</si>
  <si>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</si>
  <si>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</si>
  <si>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</si>
  <si>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</si>
  <si>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</si>
  <si>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</si>
  <si>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</si>
  <si>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</si>
  <si>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</si>
  <si>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</si>
  <si>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</si>
  <si>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</si>
  <si>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</si>
  <si>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</si>
  <si>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</si>
  <si>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</si>
  <si>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</si>
  <si>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</si>
  <si>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</si>
  <si>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</si>
  <si>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</si>
  <si>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</si>
  <si>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</si>
  <si>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</si>
  <si>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</si>
  <si>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</si>
  <si>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</si>
  <si>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</si>
  <si>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</si>
  <si>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</si>
  <si>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</si>
  <si>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</si>
  <si>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</si>
  <si>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</si>
  <si>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</si>
  <si>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</si>
  <si>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</si>
  <si>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</si>
  <si>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</si>
  <si>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</si>
  <si>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</si>
  <si>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</si>
  <si>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</si>
  <si>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</si>
  <si>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</si>
  <si>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</si>
  <si>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</si>
  <si>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</si>
  <si>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</si>
  <si>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</si>
  <si>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</si>
  <si>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</si>
  <si>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</si>
  <si>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</si>
  <si>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</si>
  <si>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</si>
  <si>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</si>
  <si>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</si>
  <si>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</si>
  <si>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</si>
  <si>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</si>
  <si>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</si>
  <si>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</si>
  <si>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</si>
  <si>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</si>
  <si>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</si>
  <si>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</si>
  <si>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</si>
  <si>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</si>
  <si>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</si>
  <si>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</si>
  <si>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</si>
  <si>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</si>
  <si>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</si>
  <si>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</si>
  <si>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</si>
  <si>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</si>
  <si>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</si>
  <si>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</si>
  <si>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</si>
  <si>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</si>
  <si>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</si>
  <si>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</si>
  <si>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</si>
  <si>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</si>
  <si>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</si>
  <si>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</si>
  <si>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</si>
  <si>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</si>
  <si>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</si>
  <si>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</si>
  <si>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</si>
  <si>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</si>
  <si>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</si>
  <si>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</si>
  <si>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</si>
  <si>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</si>
  <si>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</si>
  <si>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</si>
  <si>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</si>
  <si>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</si>
  <si>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</si>
  <si>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</si>
  <si>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</si>
  <si>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</si>
  <si>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</si>
  <si>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</si>
  <si>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</si>
  <si>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</si>
  <si>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</si>
  <si>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</si>
  <si>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</si>
  <si>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</si>
  <si>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</si>
  <si>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 xml:space="preserve"> _CoEDB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</si>
</sst>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8">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A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9">
      <c r="B2" s="4" t="s">
        <v>361</v>
      </c>
      <c r="D2" t="s">
        <v>405</v>
      </c>
      <c r="F2" t="s">
        <v>2673</v>
      </c>
      <c r="H2" t="s">
        <v>796</v>
      </c>
      <c r="J2" t="s">
        <v>393</v>
      </c>
      <c r="L2" t="s">
        <v>879</v>
      </c>
      <c r="N2" t="s">
        <v>1614</v>
      </c>
      <c r="P2" t="s">
        <v>2154</v>
      </c>
      <c r="R2" t="s">
        <v>166</v>
      </c>
      <c r="T2" t="s">
        <v>492</v>
      </c>
      <c r="V2" t="s">
        <v>2151</v>
      </c>
      <c r="X2" t="s">
        <v>528</v>
      </c>
      <c r="Z2" t="s">
        <v>1776</v>
      </c>
      <c r="AB2" t="s">
        <v>168</v>
      </c>
      <c r="AD2" t="s">
        <v>578</v>
      </c>
      <c r="AF2" t="s">
        <v>579</v>
      </c>
      <c r="AH2" t="s">
        <v>580</v>
      </c>
      <c r="AJ2" t="s">
        <v>1627</v>
      </c>
      <c r="AL2" t="s">
        <v>1623</v>
      </c>
      <c r="AN2" t="s">
        <v>1620</v>
      </c>
      <c r="AP2" t="s">
        <v>581</v>
      </c>
      <c r="AR2" t="s">
        <v>2274</v>
      </c>
      <c r="AT2" t="s">
        <v>656</v>
      </c>
      <c r="AV2" t="s">
        <v>2280</v>
      </c>
      <c r="AX2" t="s">
        <v>104</v>
      </c>
      <c r="AZ2" t="s">
        <v>1666</v>
      </c>
      <c r="BB2" t="s">
        <v>372</v>
      </c>
      <c r="BD2" t="s">
        <v>2306</v>
      </c>
      <c r="BF2" t="s">
        <v>795</v>
      </c>
      <c r="BH2" t="s">
        <v>2131</v>
      </c>
      <c r="BJ2" t="s">
        <v>798</v>
      </c>
      <c r="BL2" t="s">
        <v>2032</v>
      </c>
      <c r="BN2" t="s">
        <v>1704</v>
      </c>
      <c r="BP2" t="s">
        <v>929</v>
      </c>
      <c r="BR2" t="s">
        <v>172</v>
      </c>
      <c r="BT2" t="s">
        <v>2042</v>
      </c>
      <c r="BV2" t="s">
        <v>2314</v>
      </c>
      <c r="CA2" t="e">
        <f xml:space="preserve"> NA()</f>
        <v>#N/A</v>
      </c>
    </row>
    <row r="3" spans="2:79">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v>1.2</v>
      </c>
      <c r="V3">
        <f xml:space="preserve"> MODE(Circles.AreaMultiplier)</f>
        <v>1</v>
      </c>
      <c r="X3">
        <f xml:space="preserve"> 1.625 * MODE(Squares.AreaMultiplier)</f>
        <v>1.3812499999999999</v>
      </c>
      <c r="Z3">
        <f xml:space="preserve"> 1.625 * MODE(Squares.AreaMultiplier)</f>
        <v>1.3812499999999999</v>
      </c>
      <c r="AB3">
        <f xml:space="preserve"> MODE(Squares.AreaMultiplier)</f>
        <v>0.85</v>
      </c>
      <c r="AD3">
        <f xml:space="preserve"> MODE(Squares.AreaMultiplier)</f>
        <v>0.85</v>
      </c>
      <c r="AF3">
        <f xml:space="preserve"> MODE(Squares.AreaMultiplier)</f>
        <v>0.85</v>
      </c>
      <c r="AH3">
        <f xml:space="preserve"> MODE(Squares.AreaMultiplier)</f>
        <v>0.85</v>
      </c>
      <c r="AJ3">
        <f xml:space="preserve"> EC.AreaMultiplier</f>
        <v>1</v>
      </c>
      <c r="AL3">
        <f xml:space="preserve"> MODE(Squares.AreaMultiplier)</f>
        <v>0.85</v>
      </c>
      <c r="AN3">
        <f xml:space="preserve"> MODE(Squares.AreaMultiplier)</f>
        <v>0.85</v>
      </c>
      <c r="AP3">
        <v>1</v>
      </c>
      <c r="AR3">
        <v>1</v>
      </c>
      <c r="AT3">
        <v>0.875</v>
      </c>
      <c r="AV3">
        <v>0.875</v>
      </c>
      <c r="AX3">
        <f xml:space="preserve"> 1.625 * MODE(Squares.AreaMultiplier)</f>
        <v>1.3812499999999999</v>
      </c>
      <c r="AZ3">
        <f xml:space="preserve"> MODE(Squares.AreaMultiplier)</f>
        <v>0.85</v>
      </c>
      <c r="BB3">
        <f xml:space="preserve"> 1.625 * MODE(Squares.AreaMultiplier)</f>
        <v>1.3812499999999999</v>
      </c>
      <c r="BD3">
        <f xml:space="preserve"> 1.625 * MODE(Squares.AreaMultiplier)</f>
        <v>1.3812499999999999</v>
      </c>
      <c r="BF3">
        <f xml:space="preserve"> MODE(Squares.AreaMultiplier)</f>
        <v>0.85</v>
      </c>
      <c r="BH3">
        <f xml:space="preserve"> MODE(Squares.AreaMultiplier)</f>
        <v>0.85</v>
      </c>
      <c r="BJ3">
        <f xml:space="preserve"> 1.625 * MODE(Squares.AreaMultiplier)</f>
        <v>1.3812499999999999</v>
      </c>
      <c r="BL3">
        <f xml:space="preserve"> MODE(Squares.AreaMultiplier)</f>
        <v>0.85</v>
      </c>
      <c r="BN3">
        <f xml:space="preserve"> MODE(Squares.AreaMultiplier)</f>
        <v>0.85</v>
      </c>
      <c r="BP3">
        <f xml:space="preserve"> MODE(Squares.AreaMultiplier)</f>
        <v>0.85</v>
      </c>
      <c r="BR3">
        <f xml:space="preserve"> MEDIAN(Circles.AreaMultiplier)</f>
        <v>1</v>
      </c>
      <c r="BT3">
        <f xml:space="preserve"> MODE(Circles.AreaMultiplier)</f>
        <v>1</v>
      </c>
      <c r="BV3">
        <f xml:space="preserve"> MODE(Circles.AreaMultiplier)</f>
        <v>1</v>
      </c>
    </row>
    <row r="5" spans="2:79">
      <c r="B5" s="4" t="s">
        <v>363</v>
      </c>
      <c r="BJ5">
        <v>44</v>
      </c>
      <c r="BL5">
        <v>44</v>
      </c>
    </row>
    <row r="6" spans="2:79">
      <c r="B6" s="4" t="s">
        <v>2305</v>
      </c>
      <c r="BD6" s="5" t="s">
        <v>2308</v>
      </c>
    </row>
    <row r="7" spans="2:79">
      <c r="B7" s="4" t="s">
        <v>373</v>
      </c>
      <c r="C7" s="5"/>
      <c r="D7" s="5" t="s">
        <v>716</v>
      </c>
      <c r="E7" s="5"/>
      <c r="F7" s="5" t="s">
        <v>2672</v>
      </c>
      <c r="G7" s="5"/>
      <c r="H7" s="5" t="s">
        <v>1824</v>
      </c>
      <c r="I7" s="5"/>
      <c r="J7" s="5" t="s">
        <v>1067</v>
      </c>
      <c r="K7" s="5"/>
      <c r="L7" s="5" t="s">
        <v>1504</v>
      </c>
      <c r="M7" s="5"/>
      <c r="N7" s="5" t="s">
        <v>1616</v>
      </c>
      <c r="O7" s="5"/>
      <c r="P7" s="5" t="s">
        <v>752</v>
      </c>
      <c r="Q7" s="5"/>
      <c r="R7" s="5" t="s">
        <v>723</v>
      </c>
      <c r="S7" s="5"/>
      <c r="T7" s="5" t="s">
        <v>755</v>
      </c>
      <c r="U7" s="5"/>
      <c r="V7" s="5" t="s">
        <v>2152</v>
      </c>
      <c r="W7" s="5"/>
      <c r="X7" s="5" t="s">
        <v>723</v>
      </c>
      <c r="Y7" s="5"/>
      <c r="Z7" s="5" t="s">
        <v>1777</v>
      </c>
      <c r="AA7" s="5"/>
      <c r="AB7" s="5" t="s">
        <v>723</v>
      </c>
      <c r="AC7" s="5"/>
      <c r="AD7" s="5"/>
      <c r="AE7" s="5"/>
      <c r="AF7" s="5"/>
      <c r="AG7" s="5"/>
      <c r="AH7" s="5"/>
      <c r="AI7" s="5"/>
      <c r="AJ7" s="5" t="s">
        <v>1628</v>
      </c>
      <c r="AK7" s="5"/>
      <c r="AL7" s="5"/>
      <c r="AM7" s="5"/>
      <c r="AN7" s="5"/>
      <c r="AO7" s="5"/>
      <c r="AP7" s="5" t="s">
        <v>726</v>
      </c>
      <c r="AQ7" s="5"/>
      <c r="AR7" s="5" t="s">
        <v>726</v>
      </c>
      <c r="AS7" s="5"/>
      <c r="AT7" s="5" t="s">
        <v>728</v>
      </c>
      <c r="AU7" s="5"/>
      <c r="AV7" s="5" t="s">
        <v>728</v>
      </c>
      <c r="AW7" s="5"/>
      <c r="AX7" s="5" t="s">
        <v>717</v>
      </c>
      <c r="AY7" s="5"/>
      <c r="AZ7" s="5" t="s">
        <v>2087</v>
      </c>
      <c r="BA7" s="5"/>
      <c r="BB7" s="5" t="s">
        <v>1071</v>
      </c>
      <c r="BC7" s="5"/>
      <c r="BD7" s="5" t="s">
        <v>2087</v>
      </c>
      <c r="BE7" s="5"/>
      <c r="BF7" s="5" t="s">
        <v>1043</v>
      </c>
      <c r="BG7" s="5"/>
      <c r="BH7" s="5" t="str">
        <f xml:space="preserve"> $AX$9</f>
        <v>fill='#00A3E0'</v>
      </c>
      <c r="BI7" s="5"/>
      <c r="BJ7" s="5" t="s">
        <v>2087</v>
      </c>
      <c r="BK7" s="5"/>
      <c r="BL7" s="5" t="s">
        <v>2033</v>
      </c>
      <c r="BM7" s="5"/>
      <c r="BN7" s="5" t="s">
        <v>1705</v>
      </c>
      <c r="BO7" s="5"/>
      <c r="BP7" s="5" t="s">
        <v>930</v>
      </c>
      <c r="BQ7" s="5"/>
      <c r="BR7" s="5" t="s">
        <v>2442</v>
      </c>
      <c r="BS7" s="5"/>
      <c r="BT7" s="5" t="s">
        <v>2045</v>
      </c>
      <c r="BU7" s="5"/>
      <c r="BV7" s="5" t="s">
        <v>2315</v>
      </c>
      <c r="BW7" s="5"/>
      <c r="BX7" s="5"/>
      <c r="BY7" s="5"/>
      <c r="BZ7" s="5"/>
      <c r="CA7" s="5"/>
    </row>
    <row r="8" spans="2:79">
      <c r="B8" s="4" t="s">
        <v>374</v>
      </c>
      <c r="C8" s="5"/>
      <c r="D8" s="5" t="s">
        <v>2089</v>
      </c>
      <c r="E8" s="5"/>
      <c r="F8" s="5" t="s">
        <v>2089</v>
      </c>
      <c r="G8" s="5"/>
      <c r="H8" s="5" t="s">
        <v>2089</v>
      </c>
      <c r="I8" s="5"/>
      <c r="J8" s="5" t="s">
        <v>2087</v>
      </c>
      <c r="K8" s="5"/>
      <c r="L8" s="5" t="s">
        <v>1503</v>
      </c>
      <c r="M8" s="5"/>
      <c r="N8" s="5" t="s">
        <v>1615</v>
      </c>
      <c r="O8" s="5"/>
      <c r="P8" s="5" t="s">
        <v>2087</v>
      </c>
      <c r="Q8" s="5"/>
      <c r="R8" s="5" t="s">
        <v>2087</v>
      </c>
      <c r="S8" s="5"/>
      <c r="T8" s="5" t="s">
        <v>2087</v>
      </c>
      <c r="U8" s="5"/>
      <c r="V8" s="5" t="s">
        <v>2153</v>
      </c>
      <c r="W8" s="5"/>
      <c r="X8" s="5" t="s">
        <v>750</v>
      </c>
      <c r="Y8" s="5"/>
      <c r="Z8" s="5" t="s">
        <v>1778</v>
      </c>
      <c r="AA8" s="5"/>
      <c r="AB8" s="5" t="s">
        <v>2087</v>
      </c>
      <c r="AC8" s="5"/>
      <c r="AD8" s="5" t="s">
        <v>751</v>
      </c>
      <c r="AE8" s="5"/>
      <c r="AF8" s="5" t="s">
        <v>728</v>
      </c>
      <c r="AG8" s="5"/>
      <c r="AH8" s="5" t="s">
        <v>723</v>
      </c>
      <c r="AI8" s="5"/>
      <c r="AJ8" s="5" t="s">
        <v>726</v>
      </c>
      <c r="AK8" s="5"/>
      <c r="AL8" s="5" t="s">
        <v>759</v>
      </c>
      <c r="AM8" s="5"/>
      <c r="AN8" s="5" t="s">
        <v>1621</v>
      </c>
      <c r="AO8" s="5"/>
      <c r="AP8" s="5" t="s">
        <v>2087</v>
      </c>
      <c r="AQ8" s="5"/>
      <c r="AR8" s="5" t="s">
        <v>2275</v>
      </c>
      <c r="AS8" s="5"/>
      <c r="AT8" s="5" t="s">
        <v>2087</v>
      </c>
      <c r="AU8" s="5"/>
      <c r="AV8" s="5" t="s">
        <v>2128</v>
      </c>
      <c r="AW8" s="5"/>
      <c r="AX8" s="5" t="s">
        <v>2087</v>
      </c>
      <c r="AY8" s="5"/>
      <c r="AZ8" s="5" t="s">
        <v>738</v>
      </c>
      <c r="BA8" s="5"/>
      <c r="BB8" s="5" t="s">
        <v>1072</v>
      </c>
      <c r="BC8" s="5"/>
      <c r="BD8" s="5" t="s">
        <v>2128</v>
      </c>
      <c r="BE8" s="5"/>
      <c r="BF8" s="5" t="s">
        <v>2087</v>
      </c>
      <c r="BG8" s="5"/>
      <c r="BH8" s="5" t="s">
        <v>2087</v>
      </c>
      <c r="BI8" s="5"/>
      <c r="BJ8" s="5" t="str">
        <f xml:space="preserve"> "stroke-width='" &amp; _xlfn.SINGLE(Simple.SVG_borderWidth) &amp; "' stroke-linejoin='round' stroke='#1B618C' fill='none' "</f>
        <v xml:space="preserve">stroke-width='44' stroke-linejoin='round' stroke='#1B618C' fill='none' </v>
      </c>
      <c r="BK8" s="5"/>
      <c r="BL8" s="5" t="s">
        <v>2087</v>
      </c>
      <c r="BM8" s="5"/>
      <c r="BN8" s="5" t="s">
        <v>1706</v>
      </c>
      <c r="BO8" s="5"/>
      <c r="BP8" s="5" t="s">
        <v>931</v>
      </c>
      <c r="BQ8" s="5"/>
      <c r="BR8" s="5" t="s">
        <v>2443</v>
      </c>
      <c r="BS8" s="5"/>
      <c r="BT8" s="5" t="s">
        <v>2046</v>
      </c>
      <c r="BU8" s="5"/>
      <c r="BV8" s="5" t="s">
        <v>2316</v>
      </c>
      <c r="BW8" s="5"/>
      <c r="BX8" s="5"/>
      <c r="BY8" s="5"/>
      <c r="BZ8" s="5"/>
      <c r="CA8" s="5"/>
    </row>
    <row r="9" spans="2:79">
      <c r="B9" s="4" t="s">
        <v>375</v>
      </c>
      <c r="C9" s="5"/>
      <c r="D9" s="5"/>
      <c r="E9" s="5"/>
      <c r="F9" s="5"/>
      <c r="G9" s="5"/>
      <c r="H9" s="5"/>
      <c r="I9" s="5"/>
      <c r="J9" s="5"/>
      <c r="K9" s="5"/>
      <c r="L9" s="5"/>
      <c r="M9" s="5"/>
      <c r="N9" s="5"/>
      <c r="O9" s="5"/>
      <c r="P9" s="5" t="s">
        <v>752</v>
      </c>
      <c r="Q9" s="5"/>
      <c r="R9" s="5"/>
      <c r="S9" s="5"/>
      <c r="T9" s="5" t="s">
        <v>753</v>
      </c>
      <c r="U9" s="5"/>
      <c r="V9" s="5" t="s">
        <v>726</v>
      </c>
      <c r="W9" s="5"/>
      <c r="X9" s="5"/>
      <c r="Y9" s="5"/>
      <c r="Z9" s="5" t="s">
        <v>726</v>
      </c>
      <c r="AA9" s="5"/>
      <c r="AB9" s="5"/>
      <c r="AC9" s="5"/>
      <c r="AD9" s="5" t="s">
        <v>754</v>
      </c>
      <c r="AE9" s="5"/>
      <c r="AF9" s="5" t="s">
        <v>726</v>
      </c>
      <c r="AG9" s="5"/>
      <c r="AH9" s="5" t="s">
        <v>726</v>
      </c>
      <c r="AI9" s="5"/>
      <c r="AJ9" s="5" t="s">
        <v>2087</v>
      </c>
      <c r="AK9" s="5"/>
      <c r="AL9" s="5" t="s">
        <v>726</v>
      </c>
      <c r="AM9" s="5"/>
      <c r="AN9" s="5" t="s">
        <v>1622</v>
      </c>
      <c r="AO9" s="5"/>
      <c r="AP9" s="5"/>
      <c r="AQ9" s="5"/>
      <c r="AR9" s="5"/>
      <c r="AS9" s="5"/>
      <c r="AT9" s="5"/>
      <c r="AU9" s="5"/>
      <c r="AV9" s="5"/>
      <c r="AW9" s="5"/>
      <c r="AX9" s="5" t="s">
        <v>733</v>
      </c>
      <c r="AY9" s="5"/>
      <c r="AZ9" s="5"/>
      <c r="BA9" s="5"/>
      <c r="BB9" s="5" t="s">
        <v>2087</v>
      </c>
      <c r="BC9" s="5"/>
      <c r="BD9" s="5" t="s">
        <v>2307</v>
      </c>
      <c r="BE9" s="5"/>
      <c r="BF9" s="5" t="s">
        <v>797</v>
      </c>
      <c r="BG9" s="5"/>
      <c r="BH9" s="5" t="str">
        <f xml:space="preserve"> $AX$7</f>
        <v>fill='#EF3340'</v>
      </c>
      <c r="BI9" s="5"/>
      <c r="BJ9" s="5"/>
      <c r="BK9" s="5"/>
      <c r="BL9" s="5" t="s">
        <v>2034</v>
      </c>
      <c r="BM9" s="5"/>
      <c r="BN9" s="5"/>
      <c r="BO9" s="5"/>
      <c r="BP9" s="5"/>
      <c r="BQ9" s="5"/>
      <c r="BR9" s="5"/>
      <c r="BS9" s="5"/>
      <c r="BT9" s="5" t="s">
        <v>2087</v>
      </c>
      <c r="BU9" s="5"/>
      <c r="BV9" s="5" t="s">
        <v>2317</v>
      </c>
      <c r="BW9" s="5"/>
      <c r="BX9" s="5"/>
      <c r="BY9" s="5"/>
      <c r="BZ9" s="5"/>
      <c r="CA9" s="5"/>
    </row>
    <row r="10" spans="2:79">
      <c r="W10" s="5"/>
      <c r="Z10" s="5"/>
      <c r="AD10" s="5"/>
      <c r="AF10" s="5"/>
    </row>
    <row r="11" spans="2:79">
      <c r="B11" s="4" t="s">
        <v>365</v>
      </c>
      <c r="D11">
        <v>10</v>
      </c>
      <c r="F11">
        <v>10</v>
      </c>
      <c r="H11">
        <f xml:space="preserve"> $D11</f>
        <v>10</v>
      </c>
      <c r="J11">
        <f xml:space="preserve"> 2 * 2</f>
        <v>4</v>
      </c>
      <c r="L11">
        <f xml:space="preserve"> $J11</f>
        <v>4</v>
      </c>
      <c r="N11">
        <v>11</v>
      </c>
      <c r="P11">
        <v>27</v>
      </c>
      <c r="R11">
        <v>6</v>
      </c>
      <c r="T11">
        <v>67</v>
      </c>
      <c r="V11">
        <v>8</v>
      </c>
      <c r="X11">
        <f xml:space="preserve"> 83 * 10</f>
        <v>830</v>
      </c>
      <c r="Z11">
        <v>97</v>
      </c>
      <c r="AB11">
        <v>6</v>
      </c>
      <c r="AD11">
        <v>1</v>
      </c>
      <c r="AF11">
        <v>2</v>
      </c>
      <c r="AH11">
        <v>2</v>
      </c>
      <c r="AJ11">
        <v>216</v>
      </c>
      <c r="AL11">
        <v>4</v>
      </c>
      <c r="AN11">
        <v>4</v>
      </c>
      <c r="AP11">
        <v>11</v>
      </c>
      <c r="AR11">
        <v>11</v>
      </c>
      <c r="AT11">
        <v>9</v>
      </c>
      <c r="AV11">
        <v>9</v>
      </c>
      <c r="AX11">
        <f xml:space="preserve"> Thirds_O * 2</f>
        <v>54</v>
      </c>
      <c r="AZ11">
        <v>3</v>
      </c>
      <c r="BB11">
        <f xml:space="preserve"> Thirds_O * 3</f>
        <v>81</v>
      </c>
      <c r="BD11">
        <f xml:space="preserve"> 4*90</f>
        <v>360</v>
      </c>
      <c r="BF11">
        <v>5</v>
      </c>
      <c r="BH11">
        <v>5</v>
      </c>
      <c r="BJ11">
        <f xml:space="preserve"> 17*8 + _xlfn.SINGLE(Simple.SVG_borderWidth)/2</f>
        <v>158</v>
      </c>
      <c r="BL11">
        <v>8</v>
      </c>
      <c r="BN11">
        <v>5</v>
      </c>
      <c r="BP11">
        <v>20</v>
      </c>
      <c r="BR11">
        <v>40</v>
      </c>
      <c r="BT11">
        <v>4</v>
      </c>
      <c r="BV11">
        <v>2</v>
      </c>
    </row>
    <row r="12" spans="2:79">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80</v>
      </c>
      <c r="V12">
        <f xml:space="preserve"> _xlfn.SINGLE(Simple.MaxX)</f>
        <v>8</v>
      </c>
      <c r="X12">
        <f xml:space="preserve"> _xlfn.SINGLE(Simple.MaxX) * 53 / 83</f>
        <v>530</v>
      </c>
      <c r="Z12">
        <v>56</v>
      </c>
      <c r="AB12">
        <f xml:space="preserve"> _xlfn.SINGLE(Simple.MaxX)</f>
        <v>6</v>
      </c>
      <c r="AD12">
        <f xml:space="preserve"> _xlfn.SINGLE(Simple.MaxX)</f>
        <v>1</v>
      </c>
      <c r="AF12">
        <f xml:space="preserve"> _xlfn.SINGLE(Simple.MaxX)</f>
        <v>2</v>
      </c>
      <c r="AH12">
        <f xml:space="preserve"> _xlfn.SINGLE(Simple.MaxX)</f>
        <v>2</v>
      </c>
      <c r="AJ12">
        <v>432</v>
      </c>
      <c r="AL12">
        <f xml:space="preserve"> _xlfn.SINGLE(Simple.MaxX)</f>
        <v>4</v>
      </c>
      <c r="AN12">
        <f xml:space="preserve"> _xlfn.SINGLE(Simple.MaxX)</f>
        <v>4</v>
      </c>
      <c r="AP12">
        <v>8</v>
      </c>
      <c r="AR12">
        <v>8</v>
      </c>
      <c r="AT12">
        <v>6</v>
      </c>
      <c r="AV12">
        <v>6</v>
      </c>
      <c r="AX12">
        <f xml:space="preserve"> _xlfn.SINGLE(Simple.MaxX)  / 2</f>
        <v>27</v>
      </c>
      <c r="AZ12">
        <f xml:space="preserve"> _xlfn.SINGLE(Simple.MaxX)</f>
        <v>3</v>
      </c>
      <c r="BB12">
        <f xml:space="preserve"> Thirds_O * 2</f>
        <v>54</v>
      </c>
      <c r="BD12">
        <f xml:space="preserve"> _xlfn.SINGLE(Simple.MaxX) * 3 / 4</f>
        <v>270</v>
      </c>
      <c r="BF12">
        <f xml:space="preserve"> _xlfn.SINGLE(Simple.MaxX)</f>
        <v>5</v>
      </c>
      <c r="BH12">
        <f xml:space="preserve"> _xlfn.SINGLE(Simple.MaxX)</f>
        <v>5</v>
      </c>
      <c r="BJ12">
        <f xml:space="preserve"> 17*11 + _xlfn.SINGLE(Simple.SVG_borderWidth)/2</f>
        <v>209</v>
      </c>
      <c r="BL12">
        <f xml:space="preserve"> _xlfn.SINGLE(Simple.MaxX)</f>
        <v>8</v>
      </c>
      <c r="BN12">
        <f xml:space="preserve"> _xlfn.SINGLE(Simple.MaxX)</f>
        <v>5</v>
      </c>
      <c r="BP12">
        <v>39.5</v>
      </c>
      <c r="BR12">
        <v>32</v>
      </c>
      <c r="BT12">
        <f xml:space="preserve"> _xlfn.SINGLE(Simple.MaxX)</f>
        <v>4</v>
      </c>
      <c r="BV12">
        <v>1</v>
      </c>
    </row>
    <row r="13" spans="2:79">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-67</v>
      </c>
      <c r="V13">
        <f xml:space="preserve"> - _xlfn.SINGLE(Simple.MaxX)</f>
        <v>-8</v>
      </c>
      <c r="X13">
        <f xml:space="preserve"> - _xlfn.SINGLE(Simple.MaxX)</f>
        <v>-830</v>
      </c>
      <c r="Z13">
        <f xml:space="preserve"> - _xlfn.SINGLE(Simple.MaxX)</f>
        <v>-97</v>
      </c>
      <c r="AB13">
        <f xml:space="preserve"> - _xlfn.SINGLE(Simple.MaxX)</f>
        <v>-6</v>
      </c>
      <c r="AD13">
        <f xml:space="preserve"> - _xlfn.SINGLE(Simple.MaxX)</f>
        <v>-1</v>
      </c>
      <c r="AF13">
        <f xml:space="preserve"> - _xlfn.SINGLE(Simple.MaxX)</f>
        <v>-2</v>
      </c>
      <c r="AH13">
        <f xml:space="preserve"> - _xlfn.SINGLE(Simple.MaxX)</f>
        <v>-2</v>
      </c>
      <c r="AJ13">
        <f xml:space="preserve"> - _xlfn.SINGLE(Simple.MaxX)</f>
        <v>-216</v>
      </c>
      <c r="AL13">
        <f xml:space="preserve"> - _xlfn.SINGLE(Simple.MaxX)</f>
        <v>-4</v>
      </c>
      <c r="AN13">
        <f xml:space="preserve"> - _xlfn.SINGLE(Simple.MaxX)</f>
        <v>-4</v>
      </c>
      <c r="AP13">
        <f xml:space="preserve"> - _xlfn.SINGLE(Simple.MaxX)</f>
        <v>-11</v>
      </c>
      <c r="AR13">
        <f xml:space="preserve"> - _xlfn.SINGLE(Simple.MaxX)</f>
        <v>-11</v>
      </c>
      <c r="AT13">
        <f xml:space="preserve"> - _xlfn.SINGLE(Simple.MaxX)</f>
        <v>-9</v>
      </c>
      <c r="AV13">
        <f xml:space="preserve"> - _xlfn.SINGLE(Simple.MaxX)</f>
        <v>-9</v>
      </c>
      <c r="AX13">
        <f xml:space="preserve"> - _xlfn.SINGLE(Simple.MaxX)</f>
        <v>-54</v>
      </c>
      <c r="AZ13">
        <f xml:space="preserve"> - _xlfn.SINGLE(Simple.MaxX)</f>
        <v>-3</v>
      </c>
      <c r="BB13">
        <f xml:space="preserve"> - _xlfn.SINGLE(Simple.MaxX)</f>
        <v>-81</v>
      </c>
      <c r="BD13">
        <f xml:space="preserve"> - _xlfn.SINGLE(Simple.MaxX)</f>
        <v>-360</v>
      </c>
      <c r="BF13">
        <f xml:space="preserve"> - _xlfn.SINGLE(Simple.MaxX)</f>
        <v>-5</v>
      </c>
      <c r="BH13">
        <f xml:space="preserve"> - _xlfn.SINGLE(Simple.MaxX)</f>
        <v>-5</v>
      </c>
      <c r="BJ13">
        <f xml:space="preserve"> - _xlfn.SINGLE(Simple.MaxX)</f>
        <v>-158</v>
      </c>
      <c r="BL13">
        <f xml:space="preserve"> - _xlfn.SINGLE(Simple.MaxX)</f>
        <v>-8</v>
      </c>
      <c r="BN13">
        <f xml:space="preserve"> - _xlfn.SINGLE(Simple.MaxX)</f>
        <v>-5</v>
      </c>
      <c r="BP13">
        <f xml:space="preserve"> - _xlfn.SINGLE(Simple.MaxX)</f>
        <v>-20</v>
      </c>
      <c r="BR13">
        <f xml:space="preserve"> - _xlfn.SINGLE(Simple.MaxX)</f>
        <v>-40</v>
      </c>
      <c r="BT13">
        <f xml:space="preserve"> - _xlfn.SINGLE(Simple.MaxX)</f>
        <v>-4</v>
      </c>
      <c r="BV13">
        <f xml:space="preserve"> - _xlfn.SINGLE(Simple.MaxX)</f>
        <v>-2</v>
      </c>
    </row>
    <row r="14" spans="2:79">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-80</v>
      </c>
      <c r="V14">
        <f xml:space="preserve"> - _xlfn.SINGLE(Simple.MaxY)</f>
        <v>-8</v>
      </c>
      <c r="X14">
        <f xml:space="preserve"> - _xlfn.SINGLE(Simple.MaxY)</f>
        <v>-530</v>
      </c>
      <c r="Z14">
        <f xml:space="preserve"> - _xlfn.SINGLE(Simple.MaxY)</f>
        <v>-56</v>
      </c>
      <c r="AB14">
        <f xml:space="preserve"> - _xlfn.SINGLE(Simple.MaxY)</f>
        <v>-6</v>
      </c>
      <c r="AD14">
        <f xml:space="preserve"> - _xlfn.SINGLE(Simple.MaxY)</f>
        <v>-1</v>
      </c>
      <c r="AF14">
        <f xml:space="preserve"> - _xlfn.SINGLE(Simple.MaxY)</f>
        <v>-2</v>
      </c>
      <c r="AH14">
        <f xml:space="preserve"> - _xlfn.SINGLE(Simple.MaxY)</f>
        <v>-2</v>
      </c>
      <c r="AJ14">
        <f xml:space="preserve"> - _xlfn.SINGLE(Simple.MaxY)</f>
        <v>-432</v>
      </c>
      <c r="AL14">
        <f xml:space="preserve"> - _xlfn.SINGLE(Simple.MaxY)</f>
        <v>-4</v>
      </c>
      <c r="AN14">
        <f xml:space="preserve"> - _xlfn.SINGLE(Simple.MaxY)</f>
        <v>-4</v>
      </c>
      <c r="AP14">
        <f xml:space="preserve"> - _xlfn.SINGLE(Simple.MaxY)</f>
        <v>-8</v>
      </c>
      <c r="AR14">
        <f xml:space="preserve"> - _xlfn.SINGLE(Simple.MaxY)</f>
        <v>-8</v>
      </c>
      <c r="AT14">
        <f xml:space="preserve"> - _xlfn.SINGLE(Simple.MaxY)</f>
        <v>-6</v>
      </c>
      <c r="AV14">
        <f xml:space="preserve"> - _xlfn.SINGLE(Simple.MaxY)</f>
        <v>-6</v>
      </c>
      <c r="AX14">
        <f xml:space="preserve"> - _xlfn.SINGLE(Simple.MaxY)</f>
        <v>-27</v>
      </c>
      <c r="AZ14">
        <f xml:space="preserve"> - _xlfn.SINGLE(Simple.MaxY)</f>
        <v>-3</v>
      </c>
      <c r="BB14">
        <f xml:space="preserve"> - _xlfn.SINGLE(Simple.MaxY)</f>
        <v>-54</v>
      </c>
      <c r="BD14">
        <f xml:space="preserve"> - _xlfn.SINGLE(Simple.MaxY)</f>
        <v>-270</v>
      </c>
      <c r="BF14">
        <f xml:space="preserve"> - _xlfn.SINGLE(Simple.MaxY)</f>
        <v>-5</v>
      </c>
      <c r="BH14">
        <f xml:space="preserve"> - _xlfn.SINGLE(Simple.MaxY)</f>
        <v>-5</v>
      </c>
      <c r="BJ14">
        <f xml:space="preserve"> - _xlfn.SINGLE(Simple.MaxY)</f>
        <v>-209</v>
      </c>
      <c r="BL14">
        <f xml:space="preserve"> - _xlfn.SINGLE(Simple.MaxY)</f>
        <v>-8</v>
      </c>
      <c r="BN14">
        <f xml:space="preserve"> - _xlfn.SINGLE(Simple.MaxY)</f>
        <v>-5</v>
      </c>
      <c r="BP14">
        <f xml:space="preserve"> - _xlfn.SINGLE(Simple.MaxY)</f>
        <v>-39.5</v>
      </c>
      <c r="BR14">
        <f xml:space="preserve"> - _xlfn.SINGLE(Simple.MaxY)</f>
        <v>-32</v>
      </c>
      <c r="BT14">
        <f xml:space="preserve"> - _xlfn.SINGLE(Simple.MaxY)</f>
        <v>-4</v>
      </c>
      <c r="BV14">
        <f xml:space="preserve"> - _xlfn.SINGLE(Simple.MaxY)</f>
        <v>-1</v>
      </c>
    </row>
    <row r="17" spans="2:79">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1.1940298507462686</v>
      </c>
      <c r="V17">
        <f xml:space="preserve">  MAX( _xlfn.SINGLE(Simple.MaxY), - _xlfn.SINGLE(Simple.MinY ))   /   MAX( _xlfn.SINGLE(Simple.MaxX), - _xlfn.SINGLE(Simple.MinX ))</f>
        <v>1</v>
      </c>
      <c r="X17">
        <f xml:space="preserve">  MAX( _xlfn.SINGLE(Simple.MaxY), - _xlfn.SINGLE(Simple.MinY ))   /   MAX( _xlfn.SINGLE(Simple.MaxX), - _xlfn.SINGLE(Simple.MinX ))</f>
        <v>0.63855421686746983</v>
      </c>
      <c r="Z17">
        <f xml:space="preserve">  MAX( _xlfn.SINGLE(Simple.MaxY), - _xlfn.SINGLE(Simple.MinY ))   /   MAX( _xlfn.SINGLE(Simple.MaxX), - _xlfn.SINGLE(Simple.MinX ))</f>
        <v>0.57731958762886593</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2</v>
      </c>
      <c r="AL17">
        <f xml:space="preserve">  MAX( _xlfn.SINGLE(Simple.MaxY), - _xlfn.SINGLE(Simple.MinY ))   /   MAX( _xlfn.SINGLE(Simple.MaxX), - _xlfn.SINGLE(Simple.MinX ))</f>
        <v>1</v>
      </c>
      <c r="AN17">
        <f xml:space="preserve">  MAX( _xlfn.SINGLE(Simple.MaxY), - _xlfn.SINGLE(Simple.MinY ))   /   MAX( _xlfn.SINGLE(Simple.MaxX), - _xlfn.SINGLE(Simple.MinX ))</f>
        <v>1</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0.72727272727272729</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0.66666666666666663</v>
      </c>
      <c r="AX17">
        <f xml:space="preserve">  MAX( _xlfn.SINGLE(Simple.MaxY), - _xlfn.SINGLE(Simple.MinY ))   /   MAX( _xlfn.SINGLE(Simple.MaxX), - _xlfn.SINGLE(Simple.MinX ))</f>
        <v>0.5</v>
      </c>
      <c r="AZ17">
        <f xml:space="preserve">  MAX( _xlfn.SINGLE(Simple.MaxY), - _xlfn.SINGLE(Simple.MinY ))   /   MAX( _xlfn.SINGLE(Simple.MaxX), - _xlfn.SINGLE(Simple.MinX ))</f>
        <v>1</v>
      </c>
      <c r="BB17">
        <f xml:space="preserve">  MAX( _xlfn.SINGLE(Simple.MaxY), - _xlfn.SINGLE(Simple.MinY ))   /   MAX( _xlfn.SINGLE(Simple.MaxX), - _xlfn.SINGLE(Simple.MinX ))</f>
        <v>0.66666666666666663</v>
      </c>
      <c r="BD17">
        <f xml:space="preserve">  MAX( _xlfn.SINGLE(Simple.MaxY), - _xlfn.SINGLE(Simple.MinY ))   /   MAX( _xlfn.SINGLE(Simple.MaxX), - _xlfn.SINGLE(Simple.MinX ))</f>
        <v>0.75</v>
      </c>
      <c r="BF17">
        <f xml:space="preserve">  MAX( _xlfn.SINGLE(Simple.MaxY), - _xlfn.SINGLE(Simple.MinY ))   /   MAX( _xlfn.SINGLE(Simple.MaxX), - _xlfn.SINGLE(Simple.MinX ))</f>
        <v>1</v>
      </c>
      <c r="BH17">
        <f xml:space="preserve">  MAX( _xlfn.SINGLE(Simple.MaxY), - _xlfn.SINGLE(Simple.MinY ))   /   MAX( _xlfn.SINGLE(Simple.MaxX), - _xlfn.SINGLE(Simple.MinX ))</f>
        <v>1</v>
      </c>
      <c r="BJ17">
        <f xml:space="preserve">  MAX( _xlfn.SINGLE(Simple.MaxY), - _xlfn.SINGLE(Simple.MinY ))   /   MAX( _xlfn.SINGLE(Simple.MaxX), - _xlfn.SINGLE(Simple.MinX ))</f>
        <v>1.3227848101265822</v>
      </c>
      <c r="BL17">
        <f xml:space="preserve">  MAX( _xlfn.SINGLE(Simple.MaxY), - _xlfn.SINGLE(Simple.MinY ))   /   MAX( _xlfn.SINGLE(Simple.MaxX), - _xlfn.SINGLE(Simple.MinX ))</f>
        <v>1</v>
      </c>
      <c r="BN17">
        <f xml:space="preserve">  MAX( _xlfn.SINGLE(Simple.MaxY), - _xlfn.SINGLE(Simple.MinY ))   /   MAX( _xlfn.SINGLE(Simple.MaxX), - _xlfn.SINGLE(Simple.MinX ))</f>
        <v>1</v>
      </c>
      <c r="BP17">
        <f xml:space="preserve">  MAX( _xlfn.SINGLE(Simple.MaxY), - _xlfn.SINGLE(Simple.MinY ))   /   MAX( _xlfn.SINGLE(Simple.MaxX), - _xlfn.SINGLE(Simple.MinX ))</f>
        <v>1.9750000000000001</v>
      </c>
      <c r="BR17">
        <f xml:space="preserve">  MAX( _xlfn.SINGLE(Simple.MaxY), - _xlfn.SINGLE(Simple.MinY ))   /   MAX( _xlfn.SINGLE(Simple.MaxX), - _xlfn.SINGLE(Simple.MinX ))</f>
        <v>0.8</v>
      </c>
      <c r="BT17">
        <f xml:space="preserve">  MAX( _xlfn.SINGLE(Simple.MaxY), - _xlfn.SINGLE(Simple.MinY ))   /   MAX( _xlfn.SINGLE(Simple.MaxX), - _xlfn.SINGLE(Simple.MinX ))</f>
        <v>1</v>
      </c>
      <c r="BV17">
        <f xml:space="preserve">  MAX( _xlfn.SINGLE(Simple.MaxY), - _xlfn.SINGLE(Simple.MinY ))   /   MAX( _xlfn.SINGLE(Simple.MaxX), - _xlfn.SINGLE(Simple.MinX ))</f>
        <v>0.5</v>
      </c>
    </row>
    <row r="18" spans="2:79">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18</v>
      </c>
      <c r="V18">
        <f xml:space="preserve"> VALUE(TEXT(SQRT(_xlfn.SINGLE(Simple.AreaMultiplier) * BasicBBoxArea * _xlfn.SINGLE(Simple.Aspect)), SVG.NumberFormatHeight))</f>
        <v>15</v>
      </c>
      <c r="X18">
        <f xml:space="preserve"> VALUE(TEXT(SQRT(_xlfn.SINGLE(Simple.AreaMultiplier) * BasicBBoxArea * _xlfn.SINGLE(Simple.Aspect)), SVG.NumberFormatHeight))</f>
        <v>14.1</v>
      </c>
      <c r="Z18">
        <f xml:space="preserve"> VALUE(TEXT(SQRT(_xlfn.SINGLE(Simple.AreaMultiplier) * BasicBBoxArea * _xlfn.SINGLE(Simple.Aspect)), SVG.NumberFormatHeight))</f>
        <v>13.4</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21.2</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13.8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12.8</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11.5</v>
      </c>
      <c r="AX18">
        <f xml:space="preserve"> VALUE(TEXT(SQRT(_xlfn.SINGLE(Simple.AreaMultiplier) * BasicBBoxArea * _xlfn.SINGLE(Simple.Aspect)), SVG.NumberFormatHeight))</f>
        <v>12.5</v>
      </c>
      <c r="AZ18">
        <f xml:space="preserve"> VALUE(TEXT(SQRT(_xlfn.SINGLE(Simple.AreaMultiplier) * BasicBBoxArea * _xlfn.SINGLE(Simple.Aspect)), SVG.NumberFormatHeight))</f>
        <v>13.8</v>
      </c>
      <c r="BB18">
        <f xml:space="preserve"> VALUE(TEXT(SQRT(_xlfn.SINGLE(Simple.AreaMultiplier) * BasicBBoxArea * _xlfn.SINGLE(Simple.Aspect)), SVG.NumberFormatHeight))</f>
        <v>14.4</v>
      </c>
      <c r="BD18">
        <f xml:space="preserve"> VALUE(TEXT(SQRT(_xlfn.SINGLE(Simple.AreaMultiplier) * BasicBBoxArea * _xlfn.SINGLE(Simple.Aspect)), SVG.NumberFormatHeight))</f>
        <v>15.3</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13.8</v>
      </c>
      <c r="BJ18">
        <f xml:space="preserve"> VALUE(TEXT(SQRT(_xlfn.SINGLE(Simple.AreaMultiplier) * BasicBBoxArea * _xlfn.SINGLE(Simple.Aspect)), SVG.NumberFormatHeight))</f>
        <v>20.3</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13.8</v>
      </c>
      <c r="BP18">
        <f xml:space="preserve"> VALUE(TEXT(SQRT(_xlfn.SINGLE(Simple.AreaMultiplier) * BasicBBoxArea * _xlfn.SINGLE(Simple.Aspect)), SVG.NumberFormatHeight))</f>
        <v>19.399999999999999</v>
      </c>
      <c r="BR18">
        <f xml:space="preserve"> VALUE(TEXT(SQRT(_xlfn.SINGLE(Simple.AreaMultiplier) * BasicBBoxArea * _xlfn.SINGLE(Simple.Aspect)), SVG.NumberFormatHeight))</f>
        <v>13.4</v>
      </c>
      <c r="BT18">
        <f xml:space="preserve"> VALUE(TEXT(SQRT(_xlfn.SINGLE(Simple.AreaMultiplier) * BasicBBoxArea * _xlfn.SINGLE(Simple.Aspect)), SVG.NumberFormatHeight))</f>
        <v>15</v>
      </c>
      <c r="BV18">
        <f xml:space="preserve"> VALUE(TEXT(SQRT(_xlfn.SINGLE(Simple.AreaMultiplier) * BasicBBoxArea * _xlfn.SINGLE(Simple.Aspect)), SVG.NumberFormatHeight))</f>
        <v>10.6</v>
      </c>
    </row>
    <row r="19" spans="2:79">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15.075000000000001</v>
      </c>
      <c r="V19">
        <f xml:space="preserve"> _xlfn.SINGLE(Simple.Height) / _xlfn.SINGLE(Simple.Aspect)</f>
        <v>15</v>
      </c>
      <c r="X19">
        <f xml:space="preserve"> _xlfn.SINGLE(Simple.Height) / _xlfn.SINGLE(Simple.Aspect)</f>
        <v>22.0811320754717</v>
      </c>
      <c r="Z19">
        <f xml:space="preserve"> _xlfn.SINGLE(Simple.Height) / _xlfn.SINGLE(Simple.Aspect)</f>
        <v>23.210714285714289</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13.8</v>
      </c>
      <c r="AJ19">
        <f xml:space="preserve"> _xlfn.SINGLE(Simple.Height) / _xlfn.SINGLE(Simple.Aspect)</f>
        <v>10.6</v>
      </c>
      <c r="AL19">
        <f xml:space="preserve"> _xlfn.SINGLE(Simple.Height) / _xlfn.SINGLE(Simple.Aspect)</f>
        <v>13.8</v>
      </c>
      <c r="AN19">
        <f xml:space="preserve"> _xlfn.SINGLE(Simple.Height) / _xlfn.SINGLE(Simple.Aspect)</f>
        <v>13.8</v>
      </c>
      <c r="AP19">
        <f xml:space="preserve"> _xlfn.SINGLE(Simple.Height) / _xlfn.SINGLE(Simple.Aspect)</f>
        <v>17.600000000000001</v>
      </c>
      <c r="AR19">
        <f xml:space="preserve"> _xlfn.SINGLE(Simple.Height) / _xlfn.SINGLE(Simple.Aspect)</f>
        <v>17.600000000000001</v>
      </c>
      <c r="AT19">
        <f xml:space="preserve"> _xlfn.SINGLE(Simple.Height) / _xlfn.SINGLE(Simple.Aspect)</f>
        <v>17.25</v>
      </c>
      <c r="AV19">
        <f xml:space="preserve"> _xlfn.SINGLE(Simple.Height) / _xlfn.SINGLE(Simple.Aspect)</f>
        <v>17.25</v>
      </c>
      <c r="AX19">
        <f xml:space="preserve"> _xlfn.SINGLE(Simple.Height) / _xlfn.SINGLE(Simple.Aspect)</f>
        <v>25</v>
      </c>
      <c r="AZ19">
        <f xml:space="preserve"> _xlfn.SINGLE(Simple.Height) / _xlfn.SINGLE(Simple.Aspect)</f>
        <v>13.8</v>
      </c>
      <c r="BB19">
        <f xml:space="preserve"> _xlfn.SINGLE(Simple.Height) / _xlfn.SINGLE(Simple.Aspect)</f>
        <v>21.6</v>
      </c>
      <c r="BD19">
        <f xml:space="preserve"> _xlfn.SINGLE(Simple.Height) / _xlfn.SINGLE(Simple.Aspect)</f>
        <v>20.400000000000002</v>
      </c>
      <c r="BF19">
        <f xml:space="preserve"> _xlfn.SINGLE(Simple.Height) / _xlfn.SINGLE(Simple.Aspect)</f>
        <v>13.8</v>
      </c>
      <c r="BH19">
        <f xml:space="preserve"> _xlfn.SINGLE(Simple.Height) / _xlfn.SINGLE(Simple.Aspect)</f>
        <v>13.8</v>
      </c>
      <c r="BJ19">
        <f xml:space="preserve"> _xlfn.SINGLE(Simple.Height) / _xlfn.SINGLE(Simple.Aspect)</f>
        <v>15.34641148325359</v>
      </c>
      <c r="BL19">
        <f xml:space="preserve"> _xlfn.SINGLE(Simple.Height) / _xlfn.SINGLE(Simple.Aspect)</f>
        <v>13.8</v>
      </c>
      <c r="BN19">
        <f xml:space="preserve"> _xlfn.SINGLE(Simple.Height) / _xlfn.SINGLE(Simple.Aspect)</f>
        <v>13.8</v>
      </c>
      <c r="BP19">
        <f xml:space="preserve"> _xlfn.SINGLE(Simple.Height) / _xlfn.SINGLE(Simple.Aspect)</f>
        <v>9.8227848101265813</v>
      </c>
      <c r="BR19">
        <f xml:space="preserve"> _xlfn.SINGLE(Simple.Height) / _xlfn.SINGLE(Simple.Aspect)</f>
        <v>16.75</v>
      </c>
      <c r="BT19">
        <f xml:space="preserve"> _xlfn.SINGLE(Simple.Height) / _xlfn.SINGLE(Simple.Aspect)</f>
        <v>15</v>
      </c>
      <c r="BV19">
        <f xml:space="preserve"> _xlfn.SINGLE(Simple.Height) / _xlfn.SINGLE(Simple.Aspect)</f>
        <v>21.2</v>
      </c>
    </row>
    <row r="22" spans="2:79">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347</v>
      </c>
      <c r="V22" cm="1">
        <f t="array" ref="V22" xml:space="preserve"> SVG_length(V$24:V$29)</f>
        <v>283</v>
      </c>
      <c r="X22" cm="1">
        <f t="array" ref="X22" xml:space="preserve"> SVG_length(X$24:X$29)</f>
        <v>246</v>
      </c>
      <c r="Z22" cm="1">
        <f t="array" ref="Z22" xml:space="preserve"> SVG_length(Z$24:Z$29)</f>
        <v>333</v>
      </c>
      <c r="AB22" cm="1">
        <f t="array" ref="AB22" xml:space="preserve"> SVG_length(AB$24:AB$29)</f>
        <v>207</v>
      </c>
      <c r="AD22" cm="1">
        <f t="array" ref="AD22" xml:space="preserve"> SVG_length(AD$24:AD$29)</f>
        <v>218</v>
      </c>
      <c r="AF22" cm="1">
        <f t="array" ref="AF22" xml:space="preserve"> SVG_length(AF$24:AF$29)</f>
        <v>207</v>
      </c>
      <c r="AH22" cm="1">
        <f t="array" ref="AH22" xml:space="preserve"> SVG_length(AH$24:AH$29)</f>
        <v>208</v>
      </c>
      <c r="AJ22" cm="1">
        <f t="array" ref="AJ22" xml:space="preserve"> SVG_length(AJ$24:AJ$29)</f>
        <v>430</v>
      </c>
      <c r="AL22" cm="1">
        <f t="array" ref="AL22" xml:space="preserve"> SVG_length(AL$24:AL$29)</f>
        <v>203</v>
      </c>
      <c r="AN22" cm="1">
        <f t="array" ref="AN22" xml:space="preserve"> SVG_length(AN$24:AN$29)</f>
        <v>213</v>
      </c>
      <c r="AP22" cm="1">
        <f t="array" ref="AP22" xml:space="preserve"> SVG_length(AP$24:AP$29)</f>
        <v>207</v>
      </c>
      <c r="AR22" cm="1">
        <f t="array" ref="AR22" xml:space="preserve"> SVG_length(AR$24:AR$29)</f>
        <v>207</v>
      </c>
      <c r="AT22" cm="1">
        <f t="array" ref="AT22" xml:space="preserve"> SVG_length(AT$24:AT$29)</f>
        <v>206</v>
      </c>
      <c r="AV22" cm="1">
        <f t="array" ref="AV22" xml:space="preserve"> SVG_length(AV$24:AV$29)</f>
        <v>194</v>
      </c>
      <c r="AX22" cm="1">
        <f t="array" ref="AX22" xml:space="preserve"> SVG_length(AX$24:AX$29)</f>
        <v>280</v>
      </c>
      <c r="AZ22" cm="1">
        <f t="array" ref="AZ22" xml:space="preserve"> SVG_length(AZ$24:AZ$29)</f>
        <v>237</v>
      </c>
      <c r="BB22" cm="1">
        <f t="array" ref="BB22" xml:space="preserve"> SVG_length(BB$24:BB$29)</f>
        <v>282</v>
      </c>
      <c r="BD22" cm="1">
        <f t="array" ref="BD22" xml:space="preserve"> SVG_length(BD$24:BD$29)</f>
        <v>330</v>
      </c>
      <c r="BF22" cm="1">
        <f t="array" ref="BF22" xml:space="preserve"> SVG_length(BF$24:BF$29)</f>
        <v>285</v>
      </c>
      <c r="BH22" cm="1">
        <f t="array" ref="BH22" xml:space="preserve"> SVG_length(BH$24:BH$29)</f>
        <v>285</v>
      </c>
      <c r="BJ22" cm="1">
        <f t="array" ref="BJ22" xml:space="preserve"> SVG_length(BJ$24:BJ$29)</f>
        <v>307</v>
      </c>
      <c r="BL22" cm="1">
        <f t="array" ref="BL22" xml:space="preserve"> SVG_length(BL$24:BL$29)</f>
        <v>309</v>
      </c>
      <c r="BN22" cm="1">
        <f t="array" ref="BN22" xml:space="preserve"> SVG_length(BN$24:BN$29)</f>
        <v>218</v>
      </c>
      <c r="BP22" cm="1">
        <f t="array" ref="BP22" xml:space="preserve"> SVG_length(BP$24:BP$29)</f>
        <v>272</v>
      </c>
      <c r="BR22" cm="1">
        <f t="array" ref="BR22" xml:space="preserve"> SVG_length(BR$24:BR$29)</f>
        <v>371</v>
      </c>
      <c r="BT22" cm="1">
        <f t="array" ref="BT22" xml:space="preserve"> SVG_length(BT$24:BT$29)</f>
        <v>238</v>
      </c>
      <c r="BV22" cm="1">
        <f t="array" ref="BV22" xml:space="preserve"> SVG_length(BV$24:BV$29)</f>
        <v>237</v>
      </c>
    </row>
    <row r="23" spans="2:79">
      <c r="B23" s="4" t="s">
        <v>371</v>
      </c>
    </row>
    <row r="24" spans="2:79">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W24" s="7" t="str">
        <f xml:space="preserve"> ""</f>
        <v/>
      </c>
      <c r="BX24" s="7" t="str">
        <f xml:space="preserve"> ""</f>
        <v/>
      </c>
      <c r="BY24" s="16"/>
      <c r="BZ24" s="16"/>
      <c r="CA24" s="8"/>
    </row>
    <row r="25" spans="2:79">
      <c r="C25" t="str">
        <f t="shared" ref="C25:BX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fill='#039'  r='10'/&gt;</v>
      </c>
      <c r="G25" t="str">
        <f t="shared" si="0"/>
        <v/>
      </c>
      <c r="H25" s="21" t="str">
        <f xml:space="preserve"> IF(_xlfn.SINGLE(Simple.MaxX)&lt;&gt;0, "&lt;circle " &amp; _xlfn.SINGLE(Simple.SVG_painting_2) &amp; " r='" &amp; ROUND(_xlfn.SINGLE(Simple.MaxY), DecimalPlaces) &amp; "'/&gt;", "")</f>
        <v>&lt;circle  fill='#FF33FF' r='10'/&gt;</v>
      </c>
      <c r="I25" t="str">
        <f t="shared" si="0"/>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0"/>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0"/>
        <v/>
      </c>
      <c r="N25" s="5" t="str">
        <f xml:space="preserve"> "&lt;ellipse " &amp; _xlfn.SINGLE(Simple.SVG_painting_1) &amp; " ry='14' rx='11'/&gt;"</f>
        <v>&lt;ellipse fill='#C4272F' ry='14' rx='11'/&gt;</v>
      </c>
      <c r="O25" t="str">
        <f t="shared" si="0"/>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0"/>
        <v/>
      </c>
      <c r="R25" s="21" t="str" cm="1">
        <f t="array" ref="R25" xml:space="preserve"> svgPathRect(DecimalPlaces, _xlfn.SINGLE(Simple.SVG_painting_2), _xlfn.SINGLE(Simple.MaxX), _xlfn.SINGLE(Simple.MaxY))</f>
        <v>&lt;path fill='#009639' d='M6 5V-5H-6V5Z'/&gt;</v>
      </c>
      <c r="S25" t="str">
        <f t="shared" si="0"/>
        <v/>
      </c>
      <c r="T25" s="21" t="str">
        <f xml:space="preserve"> "&lt;defs&gt;&lt;path id='" &amp; _xlfn.SINGLE(Simple.ID) &amp; "-m' d='M56 -47L-67 -80 -56 47 67 80Z'/&gt;&lt;/defs&gt;"</f>
        <v>&lt;defs&gt;&lt;path id='IRR-m' d='M56 -47L-67 -80 -56 47 67 80Z'/&gt;&lt;/defs&gt;</v>
      </c>
      <c r="U25" t="str">
        <f t="shared" si="0"/>
        <v/>
      </c>
      <c r="V25" s="21" t="str">
        <f xml:space="preserve"> "&lt;circle " &amp; _xlfn.SINGLE(Simple.SVG_painting_2) &amp; " r='7'/&gt;"</f>
        <v>&lt;circle fill='#C8102E'  r='7'/&gt;</v>
      </c>
      <c r="W25" t="str">
        <f t="shared" si="0"/>
        <v/>
      </c>
      <c r="X25" s="5" t="str">
        <f xml:space="preserve"> "&lt;path " &amp; _xlfn.SINGLE(Simple.SVG_painting_2) &amp; " d='M" &amp; _xlfn.SINGLE(Simple.MaxX) &amp; " 0L0 " &amp; _xlfn.SINGLE(Simple.MaxY) &amp; "L" &amp; _xlfn.SINGLE(Simple.MinX) &amp; " 0L0 " &amp; _xlfn.SINGLE(Simple.MinY) &amp; "Z'/&gt;"</f>
        <v>&lt;path fill='#009639' d='M830 0L0 530L-830 0L0 -530Z'/&gt;</v>
      </c>
      <c r="Y25" t="str">
        <f t="shared" si="0"/>
        <v/>
      </c>
      <c r="Z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AA25" t="str">
        <f t="shared" si="0"/>
        <v/>
      </c>
      <c r="AB25" s="21" t="str" cm="1">
        <f t="array" ref="AB25" xml:space="preserve"> svgPathRect(DecimalPlaces, _xlfn.SINGLE(Simple.SVG_painting_2), _xlfn.SINGLE(Simple.MaxX), _xlfn.SINGLE(Simple.MaxY))</f>
        <v>&lt;path fill='#009639' d='M6 6V-6H-6V6Z'/&gt;</v>
      </c>
      <c r="AC25" t="str">
        <f t="shared" si="0"/>
        <v/>
      </c>
      <c r="AD25" s="21"/>
      <c r="AE25" t="str">
        <f t="shared" si="0"/>
        <v/>
      </c>
      <c r="AF25" s="21"/>
      <c r="AG25" t="str">
        <f t="shared" si="0"/>
        <v/>
      </c>
      <c r="AH25" s="21"/>
      <c r="AI25" t="str">
        <f t="shared" si="0"/>
        <v/>
      </c>
      <c r="AJ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K25" t="str">
        <f t="shared" si="0"/>
        <v/>
      </c>
      <c r="AL25" s="21"/>
      <c r="AM25" t="str">
        <f t="shared" si="0"/>
        <v/>
      </c>
      <c r="AN25" s="21"/>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fill='black' d='M11 8V-8H-11V8Z'/&gt;</v>
      </c>
      <c r="AS25" t="str">
        <f t="shared" si="0"/>
        <v/>
      </c>
      <c r="AT25" s="21" t="str" cm="1">
        <f t="array" ref="AT25" xml:space="preserve"> svgPathRect(DecimalPlaces, _xlfn.SINGLE(Simple.SVG_painting_2), _xlfn.SINGLE(Simple.MaxX), _xlfn.SINGLE(Simple.MaxY))</f>
        <v>&lt;path fill='#C8102E' d='M9 6V-6H-9V6Z'/&gt;</v>
      </c>
      <c r="AU25" t="str">
        <f t="shared" si="0"/>
        <v/>
      </c>
      <c r="AV25" s="21" t="str" cm="1">
        <f t="array" ref="AV25" xml:space="preserve"> svgPathRect(DecimalPlaces, _xlfn.SINGLE(Simple.SVG_painting_2), _xlfn.SINGLE(Simple.MaxX), _xlfn.SINGLE(Simple.MaxY))</f>
        <v>&lt;path fill='#C8102E' d='M9 6V-6H-9V6Z'/&gt;</v>
      </c>
      <c r="AW25" t="str">
        <f t="shared" si="0"/>
        <v/>
      </c>
      <c r="AX25" s="5" t="str">
        <f xml:space="preserve"> "&lt;path " &amp; _xlfn.SINGLE(Simple.SVG_painting_2) &amp; " d='M" &amp; (2*Thirds_O) &amp; " 0L0 " &amp; (Thirds_O) &amp; "L" &amp; (-2*Thirds_O) &amp; " 0L0 " &amp; (-Thirds_O) &amp; "Z'/&gt;"</f>
        <v>&lt;path fill='#EF3340' d='M54 0L0 27L-54 0L0 -27Z'/&gt;</v>
      </c>
      <c r="AY25" t="str">
        <f t="shared" si="0"/>
        <v/>
      </c>
      <c r="AZ25" s="5" t="str">
        <f xml:space="preserve"> "&lt;path " &amp; _xlfn.SINGLE(Simple.SVG_painting_2) &amp; " d='M1 3H-1L-3 1V-1L-1 -3H1L3 -1V1Z'/&gt;"</f>
        <v>&lt;path fill='#FFF' d='M1 3H-1L-3 1V-1L-1 -3H1L3 -1V1Z'/&gt;</v>
      </c>
      <c r="BA25" t="str">
        <f t="shared" si="0"/>
        <v/>
      </c>
      <c r="BB25" s="5" t="str">
        <f xml:space="preserve"> "&lt;path " &amp; _xlfn.SINGLE(Simple.SVG_painting_2) &amp; " d='M" &amp; (3*Thirds_O) &amp; " 0L0 " &amp; (2*Thirds_O) &amp; "L" &amp; (-3*Thirds_O) &amp; " 0L0 " &amp; (-2*Thirds_O) &amp; "Z'/&gt;"</f>
        <v>&lt;path fill='#11457E' d='M81 0L0 54L-81 0L0 -54Z'/&gt;</v>
      </c>
      <c r="BC25" t="str">
        <f t="shared" si="0"/>
        <v/>
      </c>
      <c r="BD25" s="5" t="str">
        <f xml:space="preserve"> _xlfn.LET(_xlpm.f,90,   "&lt;path " &amp; _xlfn.SINGLE(Simple.SVG_painting_3) &amp; " d='M" &amp; (4*_xlpm.f) &amp; " 0L0 " &amp; (3*_xlpm.f) &amp; "L" &amp; (-4*_xlpm.f) &amp; " 0L0 " &amp; (-3*_xlpm.f) &amp; "Z'/&gt;")</f>
        <v>&lt;path fill='#009736' d='M360 0L0 270L-360 0L0 -270Z'/&gt;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G25" t="str">
        <f t="shared" si="0"/>
        <v/>
      </c>
      <c r="BH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I25" t="str">
        <f t="shared" si="0"/>
        <v/>
      </c>
      <c r="BJ25" s="5" t="str">
        <f xml:space="preserve"> "&lt;path " &amp; _xlfn.SINGLE(Simple.SVG_painting_2) &amp; " d='M0 -187L136 0 0 187 -136 0Z'/&gt;"</f>
        <v>&lt;path fill='#FFF' d='M0 -187L136 0 0 187 -136 0Z'/&gt;</v>
      </c>
      <c r="BK25" t="str">
        <f t="shared" si="0"/>
        <v/>
      </c>
      <c r="BL25" s="21" t="str" cm="1">
        <f t="array" ref="BL25" xml:space="preserve"> svgPathRect(DecimalPlaces, _xlfn.SINGLE(Simple.SVG_painting_2), _xlfn.SINGLE(Simple.MaxX), _xlfn.SINGLE(Simple.MaxY))</f>
        <v>&lt;path fill='#2BCE75' d='M8 8V-8H-8V8Z'/&gt;</v>
      </c>
      <c r="BM25" t="str">
        <f t="shared" si="0"/>
        <v/>
      </c>
      <c r="BN25" s="21" t="str" cm="1">
        <f t="array" ref="BN25" xml:space="preserve"> svgPathRect(DecimalPlaces, _xlfn.SINGLE(Simple.SVG_painting_2), _xlfn.SINGLE(Simple.MaxX), _xlfn.SINGLE(Simple.MaxY))</f>
        <v>&lt;path fill='#244AA5' d='M5 5V-5H-5V5Z'/&gt;</v>
      </c>
      <c r="BO25" t="str">
        <f t="shared" si="0"/>
        <v/>
      </c>
      <c r="BP25" s="5" t="str">
        <f xml:space="preserve"> "&lt;rect " &amp; _xlfn.SINGLE(Simple.SVG_painting_2) &amp; " x='-20' y='-39.5' width='40' height='79' rx='6'/&gt;"</f>
        <v>&lt;rect fill='#D95B14' x='-20' y='-39.5' width='40' height='79' rx='6'/&gt;</v>
      </c>
      <c r="BQ25" t="str">
        <f t="shared" si="0"/>
        <v/>
      </c>
      <c r="BR25" s="21" t="str">
        <f xml:space="preserve"> "&lt;ellipse rx='" &amp; _xlfn.SINGLE(Simple.MaxX) &amp; "' ry='" &amp; _xlfn.SINGLE(Simple.MaxY) &amp; "' " &amp; _xlfn.SINGLE(Simple.SVG_painting_2) &amp; "/&gt;"</f>
        <v>&lt;ellipse rx='40' ry='32' fill='#003399'/&gt;</v>
      </c>
      <c r="BS25" t="str">
        <f t="shared" si="0"/>
        <v/>
      </c>
      <c r="BT25" s="21" t="str">
        <f xml:space="preserve"> "&lt;path " &amp; _xlfn.SINGLE(Simple.SVG_painting_2) &amp; " d='M-4 0A4 4 0 0 1 0 -4L4 0A4 4 0 0 1 0 4Z'/&gt;"</f>
        <v>&lt;path fill='#198D66' d='M-4 0A4 4 0 0 1 0 -4L4 0A4 4 0 0 1 0 4Z'/&gt;</v>
      </c>
      <c r="BU25" t="str">
        <f t="shared" si="0"/>
        <v/>
      </c>
      <c r="BV25" s="21" t="str">
        <f xml:space="preserve"> "&lt;ellipse rx='" &amp; _xlfn.SINGLE(Simple.MaxX) &amp; "' ry='" &amp; _xlfn.SINGLE(Simple.MaxY) &amp; "' " &amp; _xlfn.SINGLE(Simple.SVG_painting_2) &amp; "/&gt;"</f>
        <v>&lt;ellipse rx='2' ry='1' fill='#2A936A'/&gt;</v>
      </c>
      <c r="BW25" t="str">
        <f t="shared" si="0"/>
        <v/>
      </c>
      <c r="BX25" t="str">
        <f t="shared" si="0"/>
        <v/>
      </c>
      <c r="BY25" s="21"/>
      <c r="BZ25" s="21"/>
      <c r="CA25" s="9"/>
    </row>
    <row r="26" spans="2:79">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21" t="str">
        <f xml:space="preserve"> IF(_xlfn.SINGLE(Simple.MaxX)&lt;&gt;0, "&lt;circle " &amp; _xlfn.SINGLE(Simple.SVG_painting_1) &amp; " r='" &amp; ROUND(_xlfn.SINGLE(Simple.MaxY) - 2, DecimalPlaces) &amp; "'/&gt;", "")</f>
        <v>&lt;circle  fill='#FFF'  r='8'/&gt;</v>
      </c>
      <c r="I26" t="str">
        <f t="shared" si="0"/>
        <v/>
      </c>
      <c r="J26" s="5" t="str">
        <f xml:space="preserve"> "&lt;circle " &amp; _xlfn.SINGLE(Simple.SVG_painting_1) &amp; " r='" &amp; (_xlfn.SINGLE(Simple.MaxX) / 2) &amp; "'/&gt;"</f>
        <v>&lt;circle fill='#FFF' r='2'/&gt;</v>
      </c>
      <c r="K26" t="str">
        <f t="shared" si="0"/>
        <v/>
      </c>
      <c r="L26" s="5" t="str">
        <f xml:space="preserve"> "&lt;circle " &amp; _xlfn.SINGLE(Simple.SVG_painting_1) &amp; " r='" &amp; (_xlfn.SINGLE(Simple.MaxX) / 2) &amp; "'/&gt;"</f>
        <v>&lt;circle fill='#0C4077' r='2'/&gt;</v>
      </c>
      <c r="M26" t="str">
        <f t="shared" si="0"/>
        <v/>
      </c>
      <c r="N26" s="5" t="str">
        <f xml:space="preserve"> "&lt;circle " &amp; _xlfn.SINGLE(Simple.SVG_painting_2) &amp; " r='8'/&gt;"</f>
        <v>&lt;circle fill='#F9CF02' r='8'/&gt;</v>
      </c>
      <c r="O26" t="str">
        <f t="shared" si="0"/>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0"/>
        <v/>
      </c>
      <c r="R26" s="21" t="str">
        <f xml:space="preserve"> "&lt;path " &amp; _xlfn.SINGLE(Simple.SVG_painting_1) &amp; " d='M -4 -3 H4 v2 H-4 Z   M -4 1 H4 v2 H-4 Z'/&gt;"</f>
        <v>&lt;path fill='#FFF' d='M -4 -3 H4 v2 H-4 Z   M -4 1 H4 v2 H-4 Z'/&gt;</v>
      </c>
      <c r="S26" t="str">
        <f t="shared" si="0"/>
        <v/>
      </c>
      <c r="T26" s="21" t="str">
        <f xml:space="preserve"> "&lt;use href='#" &amp; _xlfn.SINGLE(Simple.ID) &amp; "-m' " &amp; _xlfn.SINGLE(Simple.SVG_painting_2) &amp; "/&gt;"</f>
        <v>&lt;use href='#IRR-m' fill='#239F40'/&gt;</v>
      </c>
      <c r="U26" t="str">
        <f t="shared" si="0"/>
        <v/>
      </c>
      <c r="V26" s="21" t="str">
        <f xml:space="preserve"> "&lt;path " &amp; _xlfn.SINGLE(Simple.SVG_painting_1) &amp; " transform='rotate(36)' d='M7 1V-1H-7V1Z'/&gt;"</f>
        <v>&lt;path fill='#FFCD00'  transform='rotate(36)' d='M7 1V-1H-7V1Z'/&gt;</v>
      </c>
      <c r="W26" t="str">
        <f t="shared" si="0"/>
        <v/>
      </c>
      <c r="X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Y26" t="str">
        <f t="shared" si="0"/>
        <v/>
      </c>
      <c r="Z26" s="5" t="str">
        <f xml:space="preserve"> "&lt;use href='#" &amp; _xlfn.SINGLE(Star_5_2.ID) &amp; "-h' " &amp; _xlfn.SINGLE(Simple.SVG_painting_2) &amp; "/&gt;"</f>
        <v>&lt;use href='#EU_2-h' fill='#00778B'/&gt;</v>
      </c>
      <c r="AA26" t="str">
        <f t="shared" si="0"/>
        <v/>
      </c>
      <c r="AB26" s="21" t="str" cm="1">
        <f t="array" ref="AB26" xml:space="preserve"> svgPathRect(DecimalPlaces, _xlfn.SINGLE(Simple.SVG_painting_1), _xlfn.SINGLE(Simple.MaxX) / 3, _xlfn.SINGLE(Simple.MaxY) - 1)</f>
        <v>&lt;path fill='#FFF' d='M2 5V-5H-2V5Z'/&gt;</v>
      </c>
      <c r="AC26" t="str">
        <f t="shared" si="0"/>
        <v/>
      </c>
      <c r="AD26" s="5" t="str">
        <f xml:space="preserve"> "&lt;path " &amp; _xlfn.SINGLE(Simple.SVG_painting_1) &amp; " d='M1 0V1H0L-1 0V-1H0Z'/&gt;"</f>
        <v>&lt;path fill='#002D62' d='M1 0V1H0L-1 0V-1H0Z'/&gt;</v>
      </c>
      <c r="AE26" t="str">
        <f t="shared" si="0"/>
        <v/>
      </c>
      <c r="AF26" s="5" t="str">
        <f xml:space="preserve"> "&lt;path " &amp; _xlfn.SINGLE(Simple.SVG_painting_1) &amp; " d='M1 2H-2V-2L2 2V-2H-1 -2Z'/&gt;"</f>
        <v>&lt;path fill='#C8102E' d='M1 2H-2V-2L2 2V-2H-1 -2Z'/&gt;</v>
      </c>
      <c r="AG26" t="str">
        <f t="shared" si="0"/>
        <v/>
      </c>
      <c r="AH26" s="5" t="str">
        <f xml:space="preserve"> "&lt;path " &amp; _xlfn.SINGLE(Simple.SVG_painting_1) &amp; " d='M1 0L2 2H-2L-1 0L-2 -2H2Z'/&gt;"</f>
        <v>&lt;path fill='#009639' d='M1 0L2 2H-2L-1 0L-2 -2H2Z'/&gt;</v>
      </c>
      <c r="AI26" t="str">
        <f t="shared" si="0"/>
        <v/>
      </c>
      <c r="AJ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K26" t="str">
        <f t="shared" si="0"/>
        <v/>
      </c>
      <c r="AL26" s="5" t="str" cm="1">
        <f t="array" ref="AL26" xml:space="preserve"> svgPathRect(DecimalPlaces, _xlfn.SINGLE(Simple.SVG_painting_1), _xlfn.SINGLE(Simple.MaxX), _xlfn.SINGLE(Simple.MaxY))</f>
        <v>&lt;path fill='#FCD116' d='M4 4V-4H-4V4Z'/&gt;</v>
      </c>
      <c r="AM26" t="str">
        <f t="shared" si="0"/>
        <v/>
      </c>
      <c r="AN26" s="5" t="str" cm="1">
        <f t="array" ref="AN26" xml:space="preserve"> svgPathRect(DecimalPlaces, _xlfn.SINGLE(Simple.SVG_painting_1), _xlfn.SINGLE(Simple.MaxX), _xlfn.SINGLE(Simple.MaxY))</f>
        <v>&lt;path fill='#007FFF' d='M4 4V-4H-4V4Z'/&gt;</v>
      </c>
      <c r="AO26" t="str">
        <f t="shared" si="0"/>
        <v/>
      </c>
      <c r="AP26" s="21" t="str">
        <f xml:space="preserve"> "&lt;path " &amp; _xlfn.SINGLE(Simple.SVG_painting_1) &amp; " d='M -9 -7 h 4 v 14 h -4 Z   M 5 -7 h 4 v 14 h -4 Z   M -3 -7 h 6 v 14 h -6 Z'/&gt;"</f>
        <v>&lt;path fill='#FFF' d='M -9 -7 h 4 v 14 h -4 Z   M 5 -7 h 4 v 14 h -4 Z   M -3 -7 h 6 v 14 h -6 Z'/&gt;</v>
      </c>
      <c r="AQ26" t="str">
        <f t="shared" si="0"/>
        <v/>
      </c>
      <c r="AR26" s="21" t="str">
        <f xml:space="preserve"> "&lt;path " &amp; _xlfn.SINGLE(Simple.SVG_painting_1) &amp; " d='M -9 -7 h 4 v 14 h -4 Z   M 5 -7 h 4 v 14 h -4 Z   M -3 -7 h 6 v 14 h -6 Z'/&gt;"</f>
        <v>&lt;path fill='#FF0000' d='M -9 -7 h 4 v 14 h -4 Z   M 5 -7 h 4 v 14 h -4 Z   M -3 -7 h 6 v 14 h -6 Z'/&gt;</v>
      </c>
      <c r="AS26" t="str">
        <f t="shared" si="0"/>
        <v/>
      </c>
      <c r="AT26" s="21" t="str" cm="1">
        <f t="array" ref="AT26" xml:space="preserve"> svgPathRect(DecimalPlaces, _xlfn.SINGLE(Simple.SVG_painting_1), 7, 2)</f>
        <v>&lt;path fill='#FFF' d='M7 2V-2H-7V2Z'/&gt;</v>
      </c>
      <c r="AU26" t="str">
        <f t="shared" si="0"/>
        <v/>
      </c>
      <c r="AV26" s="21" t="str" cm="1">
        <f t="array" ref="AV26" xml:space="preserve"> svgPathRect(DecimalPlaces, _xlfn.SINGLE(Simple.SVG_painting_1), 7, 2)</f>
        <v>&lt;path fill='#000' d='M7 2V-2H-7V2Z'/&gt;</v>
      </c>
      <c r="AW26" t="str">
        <f t="shared" si="0"/>
        <v/>
      </c>
      <c r="AX26" s="5" t="str">
        <f xml:space="preserve"> "&lt;path " &amp; _xlfn.SINGLE(Simple.SVG_painting_1) &amp; " d='M" &amp; (2*Thirds_M) &amp; " 0L0 " &amp; (Thirds_M) &amp; "L" &amp; (-2*Thirds_M) &amp; " 0L0 " &amp; (-Thirds_M) &amp; "Z'/&gt;"</f>
        <v>&lt;path fill='#FFF' d='M38 0L0 19L-38 0L0 -19Z'/&gt;</v>
      </c>
      <c r="AY26" t="str">
        <f t="shared" si="0"/>
        <v/>
      </c>
      <c r="AZ26" s="5" t="str">
        <f xml:space="preserve"> "&lt;path " &amp; _xlfn.SINGLE(Simple.SVG_painting_1) &amp; " d='M3 1V3H1V-3H3v2H-3V-3h2V3H-3V1Z'/&gt;"</f>
        <v>&lt;path fill='red' d='M3 1V3H1V-3H3v2H-3V-3h2V3H-3V1Z'/&gt;</v>
      </c>
      <c r="BA26" t="str">
        <f t="shared" si="0"/>
        <v/>
      </c>
      <c r="BB26" s="5" t="str">
        <f xml:space="preserve"> "&lt;path " &amp; _xlfn.SINGLE(Simple.SVG_painting_1) &amp; " d='M" &amp; (3*Thirds_M) &amp; " 0L0 " &amp; (2*Thirds_M) &amp; "L" &amp; (-3*Thirds_M) &amp; " 0L0 " &amp; (-2*Thirds_M) &amp; "Z'/&gt;"</f>
        <v>&lt;path fill='#D7141A' d='M57 0L0 38L-57 0L0 -38Z'/&gt;</v>
      </c>
      <c r="BC26" t="str">
        <f t="shared" si="0"/>
        <v/>
      </c>
      <c r="BD26" s="5" t="str">
        <f xml:space="preserve"> _xlfn.LET(_xlpm.f,69,   "&lt;path " &amp; _xlfn.SINGLE(Simple.SVG_painting_2) &amp; " d='M" &amp; (4*_xlpm.f) &amp; " 0L0 " &amp; (3*_xlpm.f) &amp; "L" &amp; (-4*_xlpm.f) &amp; " 0L0 " &amp; (-3*_xlpm.f) &amp; "Z'/&gt;")</f>
        <v>&lt;path fill='#FFF' d='M276 0L0 207L-276 0L0 -207Z'/&gt;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d='M3 1V3H-3V1L3 -1V-3H-3v2Z'/&gt;"</f>
        <v>&lt;path fill='#FFF' d='M3 1V3H-3V1L3 -1V-3H-3v2Z'/&gt;</v>
      </c>
      <c r="BI26" t="str">
        <f t="shared" si="0"/>
        <v/>
      </c>
      <c r="BJ26" s="5" t="str">
        <f xml:space="preserve"> "&lt;path " &amp; _xlfn.SINGLE(Simple.SVG_painting_1) &amp; " d='M0 -187L136 0L0 187L-136 0L0 -187V187'/&gt;"</f>
        <v>&lt;path stroke-width='44' stroke-linejoin='round' stroke='#1B618C' fill='none'  d='M0 -187L136 0L0 187L-136 0L0 -187V187'/&gt;</v>
      </c>
      <c r="BK26" t="str">
        <f t="shared" si="0"/>
        <v/>
      </c>
      <c r="BL26" s="5" t="str">
        <f xml:space="preserve"> "&lt;circle " &amp; _xlfn.SINGLE(Simple.SVG_painting_1) &amp; " r='" &amp; (_xlfn.SINGLE(Simple.MaxX) - 1) &amp; "'/&gt;"</f>
        <v>&lt;circle fill='#FFF' r='7'/&gt;</v>
      </c>
      <c r="BM26" t="str">
        <f t="shared" si="0"/>
        <v/>
      </c>
      <c r="BN26" s="5" t="str">
        <f xml:space="preserve"> "&lt;path " &amp; _xlfn.SINGLE(Simple.SVG_painting_1) &amp; " d='M4 1L-1 4L-4 -1L1 -4Z'/&gt;"</f>
        <v>&lt;path fill='#D0A650' d='M4 1L-1 4L-4 -1L1 -4Z'/&gt;</v>
      </c>
      <c r="BO26" t="str">
        <f t="shared" si="0"/>
        <v/>
      </c>
      <c r="BP26" s="5" t="str">
        <f xml:space="preserve"> "&lt;rect " &amp; _xlfn.SINGLE(Simple.SVG_painting_1) &amp; " x='-16' y='-35.5' width='32' height='71' rx='2'/&gt;"</f>
        <v>&lt;rect fill='#C7C7C7' x='-16' y='-35.5' width='32' height='71' rx='2'/&gt;</v>
      </c>
      <c r="BQ26" t="str">
        <f t="shared" si="0"/>
        <v/>
      </c>
      <c r="BR26" s="5" t="str">
        <f xml:space="preserve"> "&lt;path id='" &amp; _xlfn.SINGLE(Simple.ID) &amp; "-a' " &amp; _xlfn.SINGLE(Simple.SVG_painting_1) &amp; " d='M35.9073 2C34.5565 16.5521 18.8814 28 0 28S-34.5565 16.5521 -35.9073 2Z'/&gt;"</f>
        <v>&lt;path id='_EIB-a' fill='#9D9D9C' d='M35.9073 2C34.5565 16.5521 18.8814 28 0 28S-34.5565 16.5521 -35.9073 2Z'/&gt;</v>
      </c>
      <c r="BS26" t="str">
        <f t="shared" si="0"/>
        <v/>
      </c>
      <c r="BT26" s="21" t="str">
        <f xml:space="preserve"> "&lt;path " &amp; _xlfn.SINGLE(Simple.SVG_painting_1) &amp; " d='M0 -4A4 4 0 0 1 4 0L-4 0A4 4 0 0 0 0 4Z'/&gt;"</f>
        <v>&lt;path fill='#FCB90E' d='M0 -4A4 4 0 0 1 4 0L-4 0A4 4 0 0 0 0 4Z'/&gt;</v>
      </c>
      <c r="BU26" t="str">
        <f t="shared" si="0"/>
        <v/>
      </c>
      <c r="BV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W26" t="str">
        <f t="shared" si="0"/>
        <v/>
      </c>
      <c r="BX26" t="str">
        <f t="shared" si="0"/>
        <v/>
      </c>
      <c r="BY26" s="21"/>
      <c r="BZ26" s="21"/>
      <c r="CA26" s="9"/>
    </row>
    <row r="27" spans="2:79">
      <c r="C27" t="str">
        <f t="shared" si="0"/>
        <v/>
      </c>
      <c r="D27" s="21" t="str" cm="1">
        <f t="array" ref="D27" xml:space="preserve"> svgPathRect(DecimalPlaces, _xlfn.SINGLE(Simple.SVG_painting_2), D$36, 1)</f>
        <v>&lt;path fill='#FF33FF' d='M9 1V-1H-9V1Z'/&gt;</v>
      </c>
      <c r="E27" t="str">
        <f t="shared" si="0"/>
        <v/>
      </c>
      <c r="F27" s="21" t="str" cm="1">
        <f t="array" ref="F27" xml:space="preserve"> svgPathRect(DecimalPlaces, _xlfn.SINGLE(Simple.SVG_painting_2), F$36, 1)</f>
        <v>&lt;path fill='#039' d='M9 1V-1H-9V1Z'/&gt;</v>
      </c>
      <c r="G27" t="str">
        <f t="shared" si="0"/>
        <v/>
      </c>
      <c r="H27" s="21" t="str">
        <f xml:space="preserve"> "&lt;path " &amp; _xlfn.SINGLE(Simple.SVG_painting_2) &amp; " d='M" &amp; H$39 &amp; " 1V3H" &amp; (-H$39) &amp; "V1Z M" &amp; H$39 &amp; " -1V-3H" &amp; (-H$39) &amp; "V-1Z'/&gt;"</f>
        <v>&lt;path  fill='#FF33FF' d='M9 1V3H-9V1Z M9 -1V-3H-9V-1Z'/&gt;</v>
      </c>
      <c r="I27" t="str">
        <f t="shared" si="0"/>
        <v/>
      </c>
      <c r="J27" s="5"/>
      <c r="K27" t="str">
        <f t="shared" si="0"/>
        <v/>
      </c>
      <c r="L27" s="5"/>
      <c r="M27" t="str">
        <f t="shared" si="0"/>
        <v/>
      </c>
      <c r="N27" s="5" t="str">
        <f xml:space="preserve"> "&lt;circle " &amp; _xlfn.SINGLE(Simple.SVG_painting_1) &amp; " r='5'/&gt;"</f>
        <v>&lt;circle fill='#C4272F' r='5'/&gt;</v>
      </c>
      <c r="O27" t="str">
        <f t="shared" si="0"/>
        <v/>
      </c>
      <c r="P27" s="21" t="str" cm="1">
        <f t="array" ref="P27" xml:space="preserve"> svgPathRect(DecimalPlaces, _xlfn.SINGLE(Simple.SVG_painting_0), 3, 5)</f>
        <v>&lt;path fill='#CF101A' d='M3 5V-5H-3V5Z'/&gt;</v>
      </c>
      <c r="Q27" t="str">
        <f t="shared" si="0"/>
        <v/>
      </c>
      <c r="R27" s="21"/>
      <c r="S27" t="str">
        <f t="shared" si="0"/>
        <v/>
      </c>
      <c r="T27" s="21" t="str">
        <f xml:space="preserve"> "&lt;use href='#" &amp; _xlfn.SINGLE(Simple.ID) &amp; "-m' " &amp; _xlfn.SINGLE(Simple.SVG_painting_1) &amp; " transform='scale(" &amp; ROUND(Thirds_M/Thirds_O,2) &amp; ")'/&gt;"</f>
        <v>&lt;use href='#IRR-m' fill='#FFF' transform='scale(0.7)'/&gt;</v>
      </c>
      <c r="U27" t="str">
        <f t="shared" si="0"/>
        <v/>
      </c>
      <c r="V27" s="21" t="str">
        <f xml:space="preserve"> "&lt;path " &amp; _xlfn.SINGLE(Simple.SVG_painting_0) &amp; " d='M0 -8A8 8 0 0 0 0 8 8 8 0 0 0 0 -8ZM0 -6A6 6 0 0 1 0 6 6 6 0 0 1 0 -6Z'/&gt;"</f>
        <v>&lt;path fill='black' d='M0 -8A8 8 0 0 0 0 8 8 8 0 0 0 0 -8ZM0 -6A6 6 0 0 1 0 6 6 6 0 0 1 0 -6Z'/&gt;</v>
      </c>
      <c r="W27" t="str">
        <f t="shared" si="0"/>
        <v/>
      </c>
      <c r="X27" s="5"/>
      <c r="Y27" t="str">
        <f t="shared" si="0"/>
        <v/>
      </c>
      <c r="Z27" s="5" t="str">
        <f xml:space="preserve"> "&lt;use href='#" &amp; _xlfn.SINGLE(Star_5_2.ID) &amp; "-h' " &amp; _xlfn.SINGLE(Simple.SVG_painting_1) &amp; " transform='scale(" &amp; ROUND(Thirds_M / Thirds_O, 2) &amp; ")'/&gt;"</f>
        <v>&lt;use href='#EU_2-h' fill='#FFC72C' transform='scale(0.7)'/&gt;</v>
      </c>
      <c r="AA27" t="str">
        <f t="shared" si="0"/>
        <v/>
      </c>
      <c r="AC27" t="str">
        <f t="shared" si="0"/>
        <v/>
      </c>
      <c r="AD27" s="5" t="str">
        <f xml:space="preserve"> "&lt;path " &amp; _xlfn.SINGLE(Simple.SVG_painting_0) &amp; " d='M1 0V-1H0V1H-1V0Z'/&gt;"</f>
        <v>&lt;path fill='#CE1126' d='M1 0V-1H0V1H-1V0Z'/&gt;</v>
      </c>
      <c r="AE27" t="str">
        <f t="shared" si="0"/>
        <v/>
      </c>
      <c r="AF27" s="5" t="str">
        <f xml:space="preserve"> "&lt;path " &amp; _xlfn.SINGLE(Simple.SVG_painting_0) &amp; " d='M-2 -2H-1L2 2H1Z'/&gt;"</f>
        <v>&lt;path fill='black' d='M-2 -2H-1L2 2H1Z'/&gt;</v>
      </c>
      <c r="AG27" t="str">
        <f t="shared" si="0"/>
        <v/>
      </c>
      <c r="AH27" s="5" t="str">
        <f xml:space="preserve"> "&lt;path " &amp; _xlfn.SINGLE(Simple.SVG_painting_0) &amp; " d='M2 2V-2L-2 2V-2Z'/&gt;"</f>
        <v>&lt;path fill='black' d='M2 2V-2L-2 2V-2Z'/&gt;</v>
      </c>
      <c r="AI27" t="str">
        <f t="shared" si="0"/>
        <v/>
      </c>
      <c r="AJ27" s="5" t="str">
        <f xml:space="preserve"> "&lt;use href='#" &amp; _xlfn.SINGLE(Simple.ID) &amp; "-m' transform='translate(-288,0)'/&gt;"</f>
        <v>&lt;use href='#KYS-m' transform='translate(-288,0)'/&gt;</v>
      </c>
      <c r="AK27" t="str">
        <f t="shared" si="0"/>
        <v/>
      </c>
      <c r="AL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M27" t="str">
        <f t="shared" si="0"/>
        <v/>
      </c>
      <c r="AN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O27" t="str">
        <f t="shared" si="0"/>
        <v/>
      </c>
      <c r="AP27" s="21"/>
      <c r="AQ27" t="str">
        <f t="shared" si="0"/>
        <v/>
      </c>
      <c r="AR27" s="21"/>
      <c r="AS27" t="str">
        <f t="shared" si="0"/>
        <v/>
      </c>
      <c r="AU27" t="str">
        <f t="shared" si="0"/>
        <v/>
      </c>
      <c r="AW27" t="str">
        <f t="shared" si="0"/>
        <v/>
      </c>
      <c r="AX27" s="5" t="str">
        <f xml:space="preserve"> "&lt;path " &amp; _xlfn.SINGLE(Simple.SVG_painting_0) &amp; " d='M" &amp; (2*Thirds_I) &amp; " 0L0 " &amp; (Thirds_I) &amp; "L" &amp; (-2*Thirds_I) &amp; " 0L0 " &amp; (-Thirds_I) &amp; "Z'/&gt;"</f>
        <v>&lt;path fill='#00A3E0' d='M20 0L0 10L-20 0L0 -10Z'/&gt;</v>
      </c>
      <c r="AY27" t="str">
        <f t="shared" si="0"/>
        <v/>
      </c>
      <c r="AZ27" s="5"/>
      <c r="BA27" t="str">
        <f t="shared" si="0"/>
        <v/>
      </c>
      <c r="BB27" s="5" t="str">
        <f xml:space="preserve"> "&lt;path " &amp; _xlfn.SINGLE(Simple.SVG_painting_0) &amp; " d='M" &amp; (3*Thirds_I) &amp; " 0L0 " &amp; (2*Thirds_I) &amp; "L" &amp; (-3*Thirds_I) &amp; " 0L0 " &amp; (-2*Thirds_I) &amp; "Z'/&gt;"</f>
        <v>&lt;path fill='#FFF' d='M30 0L0 20L-30 0L0 -20Z'/&gt;</v>
      </c>
      <c r="BC27" t="str">
        <f t="shared" si="0"/>
        <v/>
      </c>
      <c r="BD27" s="5" t="str">
        <f xml:space="preserve"> _xlfn.LET(_xlpm.f,47,   "&lt;path " &amp; _xlfn.SINGLE(Simple.SVG_painting_1) &amp; " d='M" &amp; (4*_xlpm.f) &amp; " 0L0 " &amp; (3*_xlpm.f) &amp; "L" &amp; (-4*_xlpm.f) &amp; " 0L0 " &amp; (-3*_xlpm.f) &amp; "Z'/&gt;")</f>
        <v>&lt;path fill='#000' d='M188 0L0 141L-188 0L0 -141Z'/&gt;</v>
      </c>
      <c r="BE27" t="str">
        <f t="shared" si="0"/>
        <v/>
      </c>
      <c r="BF27" s="21" t="str" cm="1">
        <f t="array" ref="BF27" xml:space="preserve"> svgPathRect(DecimalPlaces, _xlfn.SINGLE(Simple.SVG_painting_0), 3, 1)</f>
        <v>&lt;path fill='#FFD500' d='M3 1V-1H-3V1Z'/&gt;</v>
      </c>
      <c r="BG27" t="str">
        <f t="shared" si="0"/>
        <v/>
      </c>
      <c r="BH27" s="21" t="str" cm="1">
        <f t="array" ref="BH27" xml:space="preserve"> svgPathRect(DecimalPlaces, _xlfn.SINGLE(Simple.SVG_painting_0), 3, 1)</f>
        <v>&lt;path fill='#EF3340' d='M3 1V-1H-3V1Z'/&gt;</v>
      </c>
      <c r="BI27" t="str">
        <f t="shared" si="0"/>
        <v/>
      </c>
      <c r="BJ27" s="5"/>
      <c r="BK27" t="str">
        <f t="shared" si="0"/>
        <v/>
      </c>
      <c r="BL27" s="5" t="str">
        <f xml:space="preserve"> "&lt;circle " &amp; _xlfn.SINGLE(Simple.SVG_painting_0) &amp; " r='" &amp; (_xlfn.SINGLE(Simple.MaxX) - 3) &amp; "'/&gt;"</f>
        <v>&lt;circle fill='#0046C2' r='5'/&gt;</v>
      </c>
      <c r="BM27" t="str">
        <f t="shared" si="0"/>
        <v/>
      </c>
      <c r="BN27" s="5"/>
      <c r="BO27" t="str">
        <f t="shared" si="0"/>
        <v/>
      </c>
      <c r="BQ27" t="str">
        <f t="shared" si="0"/>
        <v/>
      </c>
      <c r="BR27" s="5" t="str">
        <f xml:space="preserve"> "&lt;use href='#" &amp; _xlfn.SINGLE(Simple.ID) &amp; "-a' transform='rotate(180)'/&gt;"</f>
        <v>&lt;use href='#_EIB-a' transform='rotate(180)'/&gt;</v>
      </c>
      <c r="BS27" t="str">
        <f t="shared" si="0"/>
        <v/>
      </c>
      <c r="BT27" s="62" t="str" cm="1">
        <f t="array" ref="BT27" xml:space="preserve"> IF(FALSE, svgPathRect(DecimalPlaces, _xlfn.SINGLE(Simple.SVG_painting_0),  2,  1), "")</f>
        <v/>
      </c>
      <c r="BU27" t="str">
        <f t="shared" si="0"/>
        <v/>
      </c>
      <c r="BV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W27" t="str">
        <f t="shared" si="0"/>
        <v/>
      </c>
      <c r="BX27" t="str">
        <f t="shared" si="0"/>
        <v/>
      </c>
      <c r="BY27" s="5"/>
      <c r="BZ27" s="5"/>
      <c r="CA27" s="9"/>
    </row>
    <row r="28" spans="2:79">
      <c r="C28" t="str">
        <f t="shared" si="0"/>
        <v/>
      </c>
      <c r="D28" s="21"/>
      <c r="E28" t="str">
        <f t="shared" si="0"/>
        <v/>
      </c>
      <c r="F28" s="21"/>
      <c r="G28" t="str">
        <f t="shared" si="0"/>
        <v/>
      </c>
      <c r="H28" s="21"/>
      <c r="I28" t="str">
        <f t="shared" si="0"/>
        <v/>
      </c>
      <c r="J28" s="5"/>
      <c r="K28" t="str">
        <f t="shared" si="0"/>
        <v/>
      </c>
      <c r="L28" s="5"/>
      <c r="M28" t="str">
        <f t="shared" si="0"/>
        <v/>
      </c>
      <c r="N28" s="5"/>
      <c r="O28" t="str">
        <f t="shared" si="0"/>
        <v/>
      </c>
      <c r="P28" s="21"/>
      <c r="Q28" t="str">
        <f t="shared" si="0"/>
        <v/>
      </c>
      <c r="R28" s="21"/>
      <c r="S28" t="str">
        <f t="shared" si="0"/>
        <v/>
      </c>
      <c r="T28" s="21" t="str">
        <f xml:space="preserve"> "&lt;use href='#" &amp; _xlfn.SINGLE(Simple.ID) &amp; "-m' " &amp; _xlfn.SINGLE(Simple.SVG_painting_0) &amp; " transform='scale(" &amp; ROUND(Thirds_I/Thirds_O,2) &amp; ")'/&gt;"</f>
        <v>&lt;use href='#IRR-m' fill='#DA0000' transform='scale(0.37)'/&gt;</v>
      </c>
      <c r="U28" t="str">
        <f t="shared" si="0"/>
        <v/>
      </c>
      <c r="V28" s="21"/>
      <c r="W28" t="str">
        <f t="shared" si="0"/>
        <v/>
      </c>
      <c r="X28" s="5"/>
      <c r="Y28" t="str">
        <f t="shared" si="0"/>
        <v/>
      </c>
      <c r="Z28" s="5" t="str">
        <f xml:space="preserve"> "&lt;use href='#" &amp; _xlfn.SINGLE(Star_5_2.ID) &amp; "-h' " &amp; _xlfn.SINGLE(Simple.SVG_painting_0) &amp; " transform='scale(" &amp; ROUND(Thirds_I / Thirds_O, 2) &amp; ")'/&gt;"</f>
        <v>&lt;use href='#EU_2-h' fill='black' transform='scale(0.37)'/&gt;</v>
      </c>
      <c r="AA28" t="str">
        <f t="shared" si="0"/>
        <v/>
      </c>
      <c r="AC28" t="str">
        <f t="shared" si="0"/>
        <v/>
      </c>
      <c r="AD28" s="5"/>
      <c r="AE28" t="str">
        <f t="shared" si="0"/>
        <v/>
      </c>
      <c r="AF28" s="5"/>
      <c r="AG28" t="str">
        <f t="shared" si="0"/>
        <v/>
      </c>
      <c r="AH28" s="5"/>
      <c r="AI28" t="str">
        <f t="shared" si="0"/>
        <v/>
      </c>
      <c r="AJ28" s="5" t="str">
        <f xml:space="preserve"> "&lt;ellipse " &amp; _xlfn.SINGLE(Simple.SVG_painting_0) &amp; " rx='48' ry='72'/&gt;"</f>
        <v>&lt;ellipse fill='#FFF' rx='48' ry='72'/&gt;</v>
      </c>
      <c r="AK28" t="str">
        <f t="shared" si="0"/>
        <v/>
      </c>
      <c r="AL28" s="5"/>
      <c r="AM28" t="str">
        <f t="shared" si="0"/>
        <v/>
      </c>
      <c r="AN28" s="5"/>
      <c r="AO28" t="str">
        <f t="shared" si="0"/>
        <v/>
      </c>
      <c r="AP28" s="21"/>
      <c r="AQ28" t="str">
        <f t="shared" si="0"/>
        <v/>
      </c>
      <c r="AR28" s="21"/>
      <c r="AS28" t="str">
        <f t="shared" si="0"/>
        <v/>
      </c>
      <c r="AU28" t="str">
        <f t="shared" si="0"/>
        <v/>
      </c>
      <c r="AW28" t="str">
        <f t="shared" si="0"/>
        <v/>
      </c>
      <c r="AX28" s="5"/>
      <c r="AY28" t="str">
        <f t="shared" si="0"/>
        <v/>
      </c>
      <c r="AZ28" s="5"/>
      <c r="BA28" t="str">
        <f t="shared" si="0"/>
        <v/>
      </c>
      <c r="BB28" s="5"/>
      <c r="BC28" t="str">
        <f t="shared" si="0"/>
        <v/>
      </c>
      <c r="BD28" s="5" t="str">
        <f xml:space="preserve"> _xlfn.LET(_xlpm.f,24,   "&lt;path " &amp; _xlfn.SINGLE(Simple.SVG_painting_0) &amp; " d='M" &amp; (4*_xlpm.f) &amp; " 0L0 " &amp; (3*_xlpm.f) &amp; "L" &amp; (-4*_xlpm.f) &amp; " 0L0 " &amp; (-3*_xlpm.f) &amp; "Z'/&gt;")</f>
        <v>&lt;path fill='#EE2A35' d='M96 0L0 72L-96 0L0 -72Z'/&gt;</v>
      </c>
      <c r="BE28" t="str">
        <f t="shared" si="0"/>
        <v/>
      </c>
      <c r="BF28" s="21"/>
      <c r="BG28" t="str">
        <f t="shared" si="0"/>
        <v/>
      </c>
      <c r="BH28" s="21"/>
      <c r="BI28" t="str">
        <f t="shared" si="0"/>
        <v/>
      </c>
      <c r="BJ28" s="5"/>
      <c r="BK28" t="str">
        <f t="shared" si="0"/>
        <v/>
      </c>
      <c r="BL28" s="5" t="str">
        <f xml:space="preserve"> "&lt;path transform='rotate(45)' " &amp; _xlfn.SINGLE(Simple.SVG_painting_1) &amp; " d='M1 6V-6L3 -5V5Z M-1 -6V6L-3 5V-5Z'/&gt;"</f>
        <v>&lt;path transform='rotate(45)' fill='#FFF' d='M1 6V-6L3 -5V5Z M-1 -6V6L-3 5V-5Z'/&gt;</v>
      </c>
      <c r="BM28" t="str">
        <f t="shared" si="0"/>
        <v/>
      </c>
      <c r="BN28" s="5"/>
      <c r="BO28" t="str">
        <f t="shared" si="0"/>
        <v/>
      </c>
      <c r="BQ28" t="str">
        <f t="shared" si="0"/>
        <v/>
      </c>
      <c r="BR28" s="5" t="str">
        <f xml:space="preserve"> "&lt;path " &amp; _xlfn.SINGLE(Simple.SVG_painting_2) &amp; " d='M31 17H-31L-34 13H34Z M-31 -17H31L34 -13H-34Z'/&gt;"</f>
        <v>&lt;path fill='#003399' d='M31 17H-31L-34 13H34Z M-31 -17H31L34 -13H-34Z'/&gt;</v>
      </c>
      <c r="BS28" t="str">
        <f t="shared" si="0"/>
        <v/>
      </c>
      <c r="BT28" s="5"/>
      <c r="BU28" t="str">
        <f t="shared" si="0"/>
        <v/>
      </c>
      <c r="BV28" s="5"/>
      <c r="BW28" t="str">
        <f t="shared" si="0"/>
        <v/>
      </c>
      <c r="BX28" t="str">
        <f t="shared" si="0"/>
        <v/>
      </c>
      <c r="BY28" s="5"/>
      <c r="BZ28" s="5"/>
      <c r="CA28" s="9"/>
    </row>
    <row r="29" spans="2:79">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15" t="s">
        <v>15</v>
      </c>
      <c r="S29" s="10" t="str">
        <f t="shared" si="0"/>
        <v/>
      </c>
      <c r="T29" s="24" t="s">
        <v>15</v>
      </c>
      <c r="U29" s="10" t="str">
        <f t="shared" si="0"/>
        <v/>
      </c>
      <c r="V29" s="24"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5" t="s">
        <v>15</v>
      </c>
      <c r="BW29" s="10" t="str">
        <f t="shared" si="0"/>
        <v/>
      </c>
      <c r="BX29" s="10" t="str">
        <f t="shared" si="0"/>
        <v/>
      </c>
      <c r="BY29" s="15"/>
      <c r="BZ29" s="15"/>
      <c r="CA29" s="11"/>
    </row>
    <row r="32" spans="2:79">
      <c r="D32" t="str">
        <f xml:space="preserve"> _xlfn.SINGLE(Simple.ID)</f>
        <v>EUR</v>
      </c>
      <c r="F32" t="str">
        <f xml:space="preserve"> _xlfn.SINGLE(Simple.ID)</f>
        <v>EUR_2</v>
      </c>
      <c r="H32" t="str">
        <f xml:space="preserve"> _xlfn.SINGLE(Simple.ID)</f>
        <v>_ECB</v>
      </c>
      <c r="J32" t="str">
        <f xml:space="preserve"> _xlfn.SINGLE(Simple.ID)</f>
        <v>BGN</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IRR</v>
      </c>
      <c r="V32" t="str">
        <f xml:space="preserve"> _xlfn.SINGLE(Simple.ID)</f>
        <v>AOA</v>
      </c>
      <c r="X32" t="str">
        <f xml:space="preserve"> _xlfn.SINGLE(Simple.ID)</f>
        <v>BRL</v>
      </c>
      <c r="Z32" t="str">
        <f xml:space="preserve"> _xlfn.SINGLE(Simple.ID)</f>
        <v>BSD</v>
      </c>
      <c r="AB32" t="str">
        <f xml:space="preserve"> _xlfn.SINGLE(Simple.ID)</f>
        <v>NGN</v>
      </c>
      <c r="AD32" t="str">
        <f xml:space="preserve"> _xlfn.SINGLE(Simple.ID)</f>
        <v>DOP</v>
      </c>
      <c r="AF32" t="str">
        <f xml:space="preserve"> _xlfn.SINGLE(Simple.ID)</f>
        <v>TTD</v>
      </c>
      <c r="AH32" t="str">
        <f xml:space="preserve"> _xlfn.SINGLE(Simple.ID)</f>
        <v>JMD</v>
      </c>
      <c r="AJ32" t="str">
        <f xml:space="preserve"> _xlfn.SINGLE(Simple.ID)</f>
        <v>KYS</v>
      </c>
      <c r="AL32" t="str">
        <f xml:space="preserve"> _xlfn.SINGLE(Simple.ID)</f>
        <v>TZS</v>
      </c>
      <c r="AN32" t="str">
        <f xml:space="preserve"> _xlfn.SINGLE(Simple.ID)</f>
        <v>CDF</v>
      </c>
      <c r="AP32" t="str">
        <f xml:space="preserve"> _xlfn.SINGLE(Simple.ID)</f>
        <v>DE</v>
      </c>
      <c r="AR32" t="str">
        <f xml:space="preserve"> _xlfn.SINGLE(Simple.ID)</f>
        <v>DE_2</v>
      </c>
      <c r="AT32" t="str">
        <f xml:space="preserve"> _xlfn.SINGLE(Simple.ID)</f>
        <v>AT</v>
      </c>
      <c r="AV32" t="str">
        <f xml:space="preserve"> _xlfn.SINGLE(Simple.ID)</f>
        <v>AT_2</v>
      </c>
      <c r="AX32" t="str">
        <f xml:space="preserve"> _xlfn.SINGLE(Simple.ID)</f>
        <v>LU</v>
      </c>
      <c r="AZ32" t="str">
        <f xml:space="preserve"> _xlfn.SINGLE(Simple.ID)</f>
        <v>HR</v>
      </c>
      <c r="BB32" t="str">
        <f xml:space="preserve"> _xlfn.SINGLE(Simple.ID)</f>
        <v>CZK</v>
      </c>
      <c r="BD32" t="str">
        <f xml:space="preserve"> _xlfn.SINGLE(Simple.ID)</f>
        <v>PS</v>
      </c>
      <c r="BF32" t="str">
        <f xml:space="preserve"> _xlfn.SINGLE(Simple.ID)</f>
        <v>_ESM</v>
      </c>
      <c r="BH32" t="str">
        <f xml:space="preserve"> _xlfn.SINGLE(Simple.ID)</f>
        <v>_EFSF</v>
      </c>
      <c r="BJ32" t="str">
        <f xml:space="preserve"> _xlfn.SINGLE(Simple.ID)</f>
        <v>_KfW</v>
      </c>
      <c r="BL32" t="str">
        <f xml:space="preserve"> _xlfn.SINGLE(Simple.ID)</f>
        <v>_BCIE</v>
      </c>
      <c r="BN32" t="str">
        <f xml:space="preserve"> _xlfn.SINGLE(Simple.ID)</f>
        <v>XK</v>
      </c>
      <c r="BP32" t="str">
        <f xml:space="preserve"> _xlfn.SINGLE(Simple.ID)</f>
        <v>XPT</v>
      </c>
      <c r="BR32" t="str">
        <f xml:space="preserve"> _xlfn.SINGLE(Simple.ID)</f>
        <v>_EIB</v>
      </c>
      <c r="BT32" t="str">
        <f xml:space="preserve"> _xlfn.SINGLE(Simple.ID)</f>
        <v>_AfExIm</v>
      </c>
      <c r="BV32" t="str">
        <f xml:space="preserve"> _xlfn.SINGLE(Simple.ID)</f>
        <v>GYD</v>
      </c>
    </row>
    <row r="34" spans="4:57">
      <c r="D34">
        <f xml:space="preserve"> SQRT((Simple.MaxX - 2)^2 - 1^2)</f>
        <v>7.9372539331937721</v>
      </c>
      <c r="F34">
        <f xml:space="preserve"> SQRT((Simple.MaxX - 2)^2 - 1^2)</f>
        <v>7.9372539331937721</v>
      </c>
      <c r="H34">
        <f xml:space="preserve"> D34</f>
        <v>7.9372539331937721</v>
      </c>
    </row>
    <row r="35" spans="4:57">
      <c r="D35">
        <f xml:space="preserve"> SQRT((Simple.MaxX - 0)^2 - 1^2)</f>
        <v>9.9498743710661994</v>
      </c>
      <c r="F35">
        <f xml:space="preserve"> SQRT((Simple.MaxX - 0)^2 - 1^2)</f>
        <v>9.9498743710661994</v>
      </c>
      <c r="H35">
        <f xml:space="preserve"> D35</f>
        <v>9.9498743710661994</v>
      </c>
    </row>
    <row r="36" spans="4:57">
      <c r="D36">
        <f xml:space="preserve"> MROUND(AVERAGE(D34:D35), 0.2)</f>
        <v>9</v>
      </c>
      <c r="F36">
        <f xml:space="preserve"> MROUND(AVERAGE(F34:F35), 0.2)</f>
        <v>9</v>
      </c>
    </row>
    <row r="37" spans="4:57">
      <c r="H37">
        <f xml:space="preserve"> SQRT((Simple.MaxX - 2)^2 - 3^2)</f>
        <v>7.416198487095663</v>
      </c>
      <c r="BD37">
        <f xml:space="preserve"> 2 * BD38 - BD39 - 1</f>
        <v>66</v>
      </c>
      <c r="BE37">
        <f xml:space="preserve"> ($BD37 - $BD38) / $BD37</f>
        <v>0.22727272727272727</v>
      </c>
    </row>
    <row r="38" spans="4:57">
      <c r="H38">
        <f xml:space="preserve"> SQRT((Simple.MaxX - 0)^2 - 3^2)</f>
        <v>9.5393920141694561</v>
      </c>
      <c r="BD38">
        <f xml:space="preserve"> 2 * BD39 - BD40 - 1</f>
        <v>51</v>
      </c>
      <c r="BE38">
        <f xml:space="preserve"> ($BD38 - $BD39) / $BD37</f>
        <v>0.24242424242424243</v>
      </c>
    </row>
    <row r="39" spans="4:57">
      <c r="H39">
        <f xml:space="preserve"> MROUND(AVERAGE(MAX(H$34, H$37), MIN(H$35, H$38)), 1)</f>
        <v>9</v>
      </c>
      <c r="BD39">
        <f xml:space="preserve"> 2 * BD40 - BD41 - 1</f>
        <v>35</v>
      </c>
      <c r="BE39">
        <f xml:space="preserve"> ($BD39 - $BD40) / $BD37</f>
        <v>0.25757575757575757</v>
      </c>
    </row>
    <row r="40" spans="4:57">
      <c r="AZ40" s="5"/>
      <c r="BD40">
        <v>18</v>
      </c>
      <c r="BE40">
        <f xml:space="preserve"> ($BD40 - $BD41) / $BD37</f>
        <v>0.27272727272727271</v>
      </c>
    </row>
    <row r="41" spans="4:57">
      <c r="AZ41" s="5"/>
    </row>
    <row r="43" spans="4:57">
      <c r="BD43">
        <f xml:space="preserve"> 2 * BD44 - BD45 - 1</f>
        <v>90</v>
      </c>
      <c r="BE43">
        <f xml:space="preserve"> ($BD43 - $BD44) / $BD43</f>
        <v>0.23333333333333334</v>
      </c>
    </row>
    <row r="44" spans="4:57">
      <c r="BD44">
        <f xml:space="preserve"> 2 * BD45 - BD46 - 1</f>
        <v>69</v>
      </c>
      <c r="BE44">
        <f xml:space="preserve"> ($BD44 - $BD45) / $BD43</f>
        <v>0.24444444444444444</v>
      </c>
    </row>
    <row r="45" spans="4:57">
      <c r="BD45">
        <f xml:space="preserve"> 2 * BD46 - BD47 - 1</f>
        <v>47</v>
      </c>
      <c r="BE45">
        <f xml:space="preserve"> ($BD45 - $BD46) / $BD43</f>
        <v>0.25555555555555554</v>
      </c>
    </row>
    <row r="46" spans="4:57">
      <c r="BD46">
        <v>24</v>
      </c>
      <c r="BE46">
        <f xml:space="preserve"> ($BD46 - $BD47) / $BD43</f>
        <v>0.26666666666666666</v>
      </c>
    </row>
    <row r="48" spans="4:57">
      <c r="AZ48" s="5"/>
    </row>
    <row r="49" spans="52:52">
      <c r="AZ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2230</v>
      </c>
      <c r="G26">
        <f xml:space="preserve"> _CoEDB.Radius_1</f>
        <v>64</v>
      </c>
    </row>
    <row r="27" spans="2:7">
      <c r="F27" s="4" t="s">
        <v>2232</v>
      </c>
      <c r="G27">
        <f xml:space="preserve"> _CoEDB.MaxX</f>
        <v>64</v>
      </c>
    </row>
    <row r="28" spans="2:7">
      <c r="F28" s="4" t="s">
        <v>2229</v>
      </c>
      <c r="G28">
        <f xml:space="preserve"> - G26</f>
        <v>-64</v>
      </c>
    </row>
    <row r="29" spans="2:7">
      <c r="F29" s="4" t="s">
        <v>2231</v>
      </c>
      <c r="G29">
        <f xml:space="preserve"> - G27</f>
        <v>-64</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56"/>
  <sheetViews>
    <sheetView workbookViewId="0">
      <pane ySplit="2" topLeftCell="A3" activePane="bottomLeft" state="frozenSplit"/>
      <selection pane="bottomLeft" activeCell="B2" sqref="B2"/>
    </sheetView>
  </sheetViews>
  <sheetFormatPr baseColWidth="10" defaultRowHeight="16"/>
  <sheetData>
    <row r="2" spans="2:19" ht="17" thickBot="1">
      <c r="B2" s="3" t="s">
        <v>1827</v>
      </c>
      <c r="C2" s="3" t="s">
        <v>1828</v>
      </c>
      <c r="E2" s="3" t="s">
        <v>1829</v>
      </c>
      <c r="F2" s="3" t="s">
        <v>1830</v>
      </c>
      <c r="G2" s="3" t="s">
        <v>1983</v>
      </c>
      <c r="H2" s="3" t="s">
        <v>1831</v>
      </c>
      <c r="I2" s="3" t="s">
        <v>1832</v>
      </c>
      <c r="J2" s="3" t="s">
        <v>1833</v>
      </c>
      <c r="K2" s="3" t="s">
        <v>1834</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56" xml:space="preserve"> _xlfn.BYROW(ChartLines.Hex6, _xlfn.LAMBDA(_xlpm.hex, IF(LEN(_xlpm.hex)=6, HEX2DEC(LEFT(_xlpm.hex, 2)), "·") ))</f>
        <v>0</v>
      </c>
      <c r="I3" cm="1">
        <f t="array" ref="I3:I356" xml:space="preserve"> _xlfn.BYROW(ChartLines.Hex6, _xlfn.LAMBDA(_xlpm.hex, IF(LEN(_xlpm.hex)=6, HEX2DEC(MID(_xlpm.hex, 3, 2)), "·") ))</f>
        <v>0</v>
      </c>
      <c r="J3" cm="1">
        <f t="array" ref="J3:J356" xml:space="preserve"> _xlfn.BYROW(ChartLines.Hex6, _xlfn.LAMBDA(_xlpm.hex, IF(LEN(_xlpm.hex)=6, HEX2DEC(RIGHT(_xlpm.hex, 2)), "·") ))</f>
        <v>0</v>
      </c>
      <c r="K3" cm="1">
        <f t="array" ref="K3:K356" xml:space="preserve"> _xlfn.SEQUENCE(ROWS(ChartLines.RowNum))</f>
        <v>1</v>
      </c>
    </row>
    <row r="4" spans="2:19">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1981</v>
      </c>
      <c r="P7" t="s">
        <v>23</v>
      </c>
      <c r="Q7" t="s">
        <v>24</v>
      </c>
      <c r="R7" t="s">
        <v>1985</v>
      </c>
      <c r="S7" t="s">
        <v>1986</v>
      </c>
    </row>
    <row r="8" spans="2:19">
      <c r="B8" t="s">
        <v>1835</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1982</v>
      </c>
      <c r="P8">
        <v>3.6</v>
      </c>
      <c r="Q8">
        <v>1.2</v>
      </c>
      <c r="R8">
        <f xml:space="preserve"> $P8 - $Q8</f>
        <v>2.4000000000000004</v>
      </c>
      <c r="S8">
        <f xml:space="preserve"> MAX($P8:$R8)</f>
        <v>3.6</v>
      </c>
    </row>
    <row r="9" spans="2:19">
      <c r="B9" t="s">
        <v>405</v>
      </c>
      <c r="C9" t="s">
        <v>1836</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1987</v>
      </c>
      <c r="P9">
        <v>3</v>
      </c>
      <c r="Q9">
        <v>1</v>
      </c>
      <c r="R9">
        <f xml:space="preserve"> $P9 - $Q9</f>
        <v>2</v>
      </c>
      <c r="S9">
        <f xml:space="preserve"> MAX($P9:$R9)</f>
        <v>3</v>
      </c>
    </row>
    <row r="10" spans="2:19">
      <c r="B10" t="s">
        <v>2673</v>
      </c>
      <c r="C10" t="s">
        <v>1836</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2673</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1984</v>
      </c>
      <c r="P11">
        <f xml:space="preserve"> _xlfn.MAXIFS(ChartLines_Thicknesses.StrokeWidth,   ChartLines_Thicknesses.StrokeWidth,"&gt;0")</f>
        <v>3.6</v>
      </c>
    </row>
    <row r="12" spans="2:19">
      <c r="B12" t="s">
        <v>1835</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1958</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1955</v>
      </c>
      <c r="P13" s="5" t="s">
        <v>1956</v>
      </c>
    </row>
    <row r="14" spans="2:19">
      <c r="B14" t="s">
        <v>1835</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1957</v>
      </c>
      <c r="P14" s="5" t="s">
        <v>15</v>
      </c>
    </row>
    <row r="15" spans="2:19">
      <c r="B15" t="s">
        <v>2254</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2254</v>
      </c>
      <c r="C16" t="s">
        <v>1839</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2255</v>
      </c>
      <c r="C17" t="s">
        <v>1857</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2255</v>
      </c>
      <c r="C18" t="s">
        <v>1940</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2256</v>
      </c>
      <c r="C19" t="s">
        <v>1844</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2256</v>
      </c>
      <c r="C20" t="s">
        <v>1839</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2257</v>
      </c>
      <c r="C21" t="s">
        <v>2253</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2257</v>
      </c>
      <c r="C22" t="s">
        <v>1844</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2258</v>
      </c>
      <c r="C23" t="s">
        <v>1844</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2258</v>
      </c>
      <c r="C24" t="s">
        <v>2253</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1837</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1835</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1539</v>
      </c>
      <c r="C27" t="s">
        <v>1838</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1539</v>
      </c>
      <c r="C28" t="s">
        <v>1839</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2281</v>
      </c>
      <c r="C29" t="s">
        <v>1838</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2281</v>
      </c>
      <c r="C30" t="s">
        <v>2288</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1840</v>
      </c>
      <c r="C31" t="s">
        <v>1838</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1840</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2299</v>
      </c>
      <c r="C33" t="s">
        <v>1838</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2299</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1841</v>
      </c>
      <c r="C35" t="s">
        <v>1842</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1841</v>
      </c>
      <c r="C36" t="s">
        <v>1843</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1844</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1845</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1846</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1847</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794</v>
      </c>
      <c r="C44" t="s">
        <v>1836</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794</v>
      </c>
      <c r="C45" t="s">
        <v>1839</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2652</v>
      </c>
      <c r="C46" t="s">
        <v>1836</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2652</v>
      </c>
      <c r="C47" t="s">
        <v>2660</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2653</v>
      </c>
      <c r="C48" t="s">
        <v>1836</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2653</v>
      </c>
      <c r="C49" t="s">
        <v>2661</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2654</v>
      </c>
      <c r="C50" t="s">
        <v>1836</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2654</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796</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796</v>
      </c>
      <c r="C53" t="s">
        <v>1836</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581</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581</v>
      </c>
      <c r="C55" t="s">
        <v>1839</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2274</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2274</v>
      </c>
      <c r="C57" t="s">
        <v>1838</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598</v>
      </c>
      <c r="C58" t="s">
        <v>1848</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598</v>
      </c>
      <c r="C59" t="s">
        <v>1849</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2276</v>
      </c>
      <c r="C60" t="s">
        <v>1848</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2276</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635</v>
      </c>
      <c r="C62" t="s">
        <v>1850</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635</v>
      </c>
      <c r="C63" t="s">
        <v>1851</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2277</v>
      </c>
      <c r="C64" t="s">
        <v>1850</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2277</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2147</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2148</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2278</v>
      </c>
      <c r="C68" t="s">
        <v>2147</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2278</v>
      </c>
      <c r="C69" t="s">
        <v>2288</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636</v>
      </c>
      <c r="C70" t="s">
        <v>1852</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636</v>
      </c>
      <c r="C71" t="s">
        <v>1853</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2289</v>
      </c>
      <c r="C72" t="s">
        <v>2290</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2289</v>
      </c>
      <c r="C73" t="s">
        <v>1853</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655</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655</v>
      </c>
      <c r="C75" t="s">
        <v>1854</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2291</v>
      </c>
      <c r="C76" t="s">
        <v>1854</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2291</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656</v>
      </c>
      <c r="C78" t="s">
        <v>1844</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656</v>
      </c>
      <c r="C79" t="s">
        <v>1839</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2280</v>
      </c>
      <c r="C80" t="s">
        <v>1844</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2280</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657</v>
      </c>
      <c r="C82" t="s">
        <v>1855</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1835</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2292</v>
      </c>
      <c r="C84" t="s">
        <v>1855</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2292</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1856</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1839</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2296</v>
      </c>
      <c r="C88" t="s">
        <v>1856</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2296</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1857</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1835</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2297</v>
      </c>
      <c r="C92" t="s">
        <v>1857</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2297</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675</v>
      </c>
      <c r="C94" t="s">
        <v>1858</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675</v>
      </c>
      <c r="C95" t="s">
        <v>1859</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2298</v>
      </c>
      <c r="C96" t="s">
        <v>1859</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2298</v>
      </c>
      <c r="C97" t="s">
        <v>1858</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1837</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1860</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2293</v>
      </c>
      <c r="C100" t="s">
        <v>1860</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2293</v>
      </c>
      <c r="C101" t="s">
        <v>1837</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614</v>
      </c>
      <c r="C102" t="s">
        <v>2162</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614</v>
      </c>
      <c r="C103" t="s">
        <v>1861</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1862</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1835</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1666</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1835</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1863</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1864</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676</v>
      </c>
      <c r="C110" t="s">
        <v>1865</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676</v>
      </c>
      <c r="C111" t="s">
        <v>1839</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1866</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694</v>
      </c>
      <c r="C114" t="s">
        <v>1867</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694</v>
      </c>
      <c r="C115" t="s">
        <v>1868</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714</v>
      </c>
      <c r="C116" t="s">
        <v>1869</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714</v>
      </c>
      <c r="C117" t="s">
        <v>2160</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715</v>
      </c>
      <c r="C118" t="s">
        <v>1870</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715</v>
      </c>
      <c r="C119" t="s">
        <v>1871</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1704</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1704</v>
      </c>
      <c r="C121" t="s">
        <v>1872</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795</v>
      </c>
      <c r="C122" t="s">
        <v>1873</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795</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2131</v>
      </c>
      <c r="C124" t="s">
        <v>1862</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2131</v>
      </c>
      <c r="C125" t="s">
        <v>1837</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1857</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1839</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1540</v>
      </c>
      <c r="C129" t="s">
        <v>1874</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1540</v>
      </c>
      <c r="C130" t="s">
        <v>1875</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1980</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1835</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1877</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1876</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1842</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1878</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1879</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1880</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393</v>
      </c>
      <c r="C139" t="s">
        <v>1881</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393</v>
      </c>
      <c r="C140" t="s">
        <v>1839</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1882</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1883</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1884</v>
      </c>
      <c r="C144" t="s">
        <v>1838</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1835</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1885</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1839</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1886</v>
      </c>
      <c r="C148" t="s">
        <v>1887</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1886</v>
      </c>
      <c r="C149" t="s">
        <v>1888</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1889</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1835</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1890</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1838</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1839</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1891</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2379</v>
      </c>
      <c r="C158" t="s">
        <v>2408</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2379</v>
      </c>
      <c r="C159" t="s">
        <v>2407</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1892</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1880</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1893</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1894</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1839</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1895</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1839</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1896</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1897</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1898</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1899</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1900</v>
      </c>
      <c r="C172" t="s">
        <v>1901</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1900</v>
      </c>
      <c r="C173" t="s">
        <v>1902</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2311</v>
      </c>
      <c r="C174" t="s">
        <v>2406</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2311</v>
      </c>
      <c r="C175" t="s">
        <v>2405</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2409</v>
      </c>
      <c r="C176" t="s">
        <v>1940</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2409</v>
      </c>
      <c r="C177" t="s">
        <v>2410</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1614</v>
      </c>
      <c r="C178" t="s">
        <v>1903</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1614</v>
      </c>
      <c r="C179" t="s">
        <v>1904</v>
      </c>
      <c r="E179">
        <f t="shared" ref="E179:E183" si="170" xml:space="preserve"> IF(AND(LEN(ChartLines.ID)&gt;0,"Unused"&lt;&gt;ChartLines.ID), COUNTIFS(ChartLines.ID,ChartLines.ID), "·")</f>
        <v>2</v>
      </c>
      <c r="F179">
        <f t="shared" ref="F179:F183"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2420</v>
      </c>
      <c r="C180" t="s">
        <v>2422</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2420</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2268</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2268</v>
      </c>
      <c r="C183" t="s">
        <v>2301</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E184" t="str">
        <f t="shared" ref="E184" si="172" xml:space="preserve"> IF(AND(LEN(ChartLines.ID)&gt;0,"Unused"&lt;&gt;ChartLines.ID), COUNTIFS(ChartLines.ID,ChartLines.ID), "·")</f>
        <v>·</v>
      </c>
      <c r="F184" t="str">
        <f t="shared" ref="F184" si="173" xml:space="preserve"> IF(AND(LEN(ChartLines.ID)&gt;0,"Unused"&lt;&gt;ChartLines.ID), COUNTIFS(ChartLines.ID,ChartLines.ID,   ChartLines.RowNum,"&lt;="&amp;ChartLines.RowNum), "·")</f>
        <v>·</v>
      </c>
      <c r="G184" t="str" cm="1">
        <f t="array" ref="G184" xml:space="preserve"> _xlfn.IFS(OR(LEN(_xlfn.SINGLE(ChartLines.ID))=0,"Unused"=_xlfn.SINGLE(ChartLines.ID)), "·",   1=_xlfn.SINGLE(ChartLines.NumInstances), IF("USD"=_xlfn.SINGLE(ChartLines.ID), "SoleBig", "SoleOrdinary"),   1=_xlfn.SINGLE(ChartLines.InstanceNum), "Outer",   TRUE, "Inner")</f>
        <v>·</v>
      </c>
      <c r="H184" t="str">
        <v>·</v>
      </c>
      <c r="I184" t="str">
        <v>·</v>
      </c>
      <c r="J184" t="str">
        <v>·</v>
      </c>
      <c r="K184">
        <v>182</v>
      </c>
    </row>
    <row r="185" spans="2:11">
      <c r="B185" t="s">
        <v>879</v>
      </c>
      <c r="C185" t="s">
        <v>1905</v>
      </c>
      <c r="E185">
        <f t="shared" ref="E185" si="174" xml:space="preserve"> IF(AND(LEN(ChartLines.ID)&gt;0,"Unused"&lt;&gt;ChartLines.ID), COUNTIFS(ChartLines.ID,ChartLines.ID), "·")</f>
        <v>2</v>
      </c>
      <c r="F185">
        <f t="shared" ref="F185" si="175"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v>199</v>
      </c>
      <c r="I185">
        <v>54</v>
      </c>
      <c r="J185">
        <v>61</v>
      </c>
      <c r="K185">
        <v>183</v>
      </c>
    </row>
    <row r="186" spans="2:11">
      <c r="B186" t="s">
        <v>879</v>
      </c>
      <c r="C186" t="s">
        <v>1906</v>
      </c>
      <c r="E186">
        <f t="shared" ref="E186" si="176" xml:space="preserve"> IF(AND(LEN(ChartLines.ID)&gt;0,"Unused"&lt;&gt;ChartLines.ID), COUNTIFS(ChartLines.ID,ChartLines.ID), "·")</f>
        <v>2</v>
      </c>
      <c r="F186">
        <f t="shared" ref="F186" si="177"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v>12</v>
      </c>
      <c r="I186">
        <v>64</v>
      </c>
      <c r="J186">
        <v>119</v>
      </c>
      <c r="K186">
        <v>184</v>
      </c>
    </row>
    <row r="187" spans="2:11">
      <c r="B187" t="s">
        <v>394</v>
      </c>
      <c r="C187" t="str">
        <f xml:space="preserve"> "000000"</f>
        <v>000000</v>
      </c>
      <c r="E187">
        <f t="shared" ref="E187" si="178" xml:space="preserve"> IF(AND(LEN(ChartLines.ID)&gt;0,"Unused"&lt;&gt;ChartLines.ID), COUNTIFS(ChartLines.ID,ChartLines.ID), "·")</f>
        <v>2</v>
      </c>
      <c r="F187">
        <f t="shared" ref="F187" si="179"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0</v>
      </c>
      <c r="I187">
        <v>0</v>
      </c>
      <c r="J187">
        <v>0</v>
      </c>
      <c r="K187">
        <v>185</v>
      </c>
    </row>
    <row r="188" spans="2:11">
      <c r="B188" t="s">
        <v>394</v>
      </c>
      <c r="C188" t="s">
        <v>1857</v>
      </c>
      <c r="E188">
        <f t="shared" ref="E188" si="180" xml:space="preserve"> IF(AND(LEN(ChartLines.ID)&gt;0,"Unused"&lt;&gt;ChartLines.ID), COUNTIFS(ChartLines.ID,ChartLines.ID), "·")</f>
        <v>2</v>
      </c>
      <c r="F188">
        <f t="shared" ref="F188" si="18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218</v>
      </c>
      <c r="I188">
        <v>41</v>
      </c>
      <c r="J188">
        <v>28</v>
      </c>
      <c r="K188">
        <v>186</v>
      </c>
    </row>
    <row r="189" spans="2:11">
      <c r="B189" t="s">
        <v>406</v>
      </c>
      <c r="C189" t="s">
        <v>1907</v>
      </c>
      <c r="E189">
        <f t="shared" ref="E189" si="182" xml:space="preserve"> IF(AND(LEN(ChartLines.ID)&gt;0,"Unused"&lt;&gt;ChartLines.ID), COUNTIFS(ChartLines.ID,ChartLines.ID), "·")</f>
        <v>2</v>
      </c>
      <c r="F189">
        <f t="shared" ref="F189" si="183"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206</v>
      </c>
      <c r="I189">
        <v>32</v>
      </c>
      <c r="J189">
        <v>40</v>
      </c>
      <c r="K189">
        <v>187</v>
      </c>
    </row>
    <row r="190" spans="2:11">
      <c r="B190" t="s">
        <v>406</v>
      </c>
      <c r="C190" t="s">
        <v>1908</v>
      </c>
      <c r="E190">
        <f t="shared" ref="E190" si="184" xml:space="preserve"> IF(AND(LEN(ChartLines.ID)&gt;0,"Unused"&lt;&gt;ChartLines.ID), COUNTIFS(ChartLines.ID,ChartLines.ID), "·")</f>
        <v>2</v>
      </c>
      <c r="F190">
        <f t="shared" ref="F190" si="185"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249</v>
      </c>
      <c r="I190">
        <v>214</v>
      </c>
      <c r="J190">
        <v>22</v>
      </c>
      <c r="K190">
        <v>188</v>
      </c>
    </row>
    <row r="191" spans="2:11">
      <c r="B191" t="s">
        <v>1670</v>
      </c>
      <c r="C191" t="s">
        <v>1909</v>
      </c>
      <c r="E191">
        <f t="shared" ref="E191" si="186" xml:space="preserve"> IF(AND(LEN(ChartLines.ID)&gt;0,"Unused"&lt;&gt;ChartLines.ID), COUNTIFS(ChartLines.ID,ChartLines.ID), "·")</f>
        <v>2</v>
      </c>
      <c r="F191">
        <f t="shared" ref="F191" si="187"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255</v>
      </c>
      <c r="I191">
        <v>210</v>
      </c>
      <c r="J191">
        <v>0</v>
      </c>
      <c r="K191">
        <v>189</v>
      </c>
    </row>
    <row r="192" spans="2:11">
      <c r="B192" t="s">
        <v>1670</v>
      </c>
      <c r="C192" t="s">
        <v>1910</v>
      </c>
      <c r="E192">
        <f t="shared" ref="E192" si="188" xml:space="preserve"> IF(AND(LEN(ChartLines.ID)&gt;0,"Unused"&lt;&gt;ChartLines.ID), COUNTIFS(ChartLines.ID,ChartLines.ID), "·")</f>
        <v>2</v>
      </c>
      <c r="F192">
        <f t="shared" ref="F192" si="189"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204</v>
      </c>
      <c r="I192">
        <v>9</v>
      </c>
      <c r="J192">
        <v>47</v>
      </c>
      <c r="K192">
        <v>190</v>
      </c>
    </row>
    <row r="193" spans="2:11">
      <c r="B193" t="s">
        <v>165</v>
      </c>
      <c r="C193" t="s">
        <v>1911</v>
      </c>
      <c r="E193">
        <f t="shared" ref="E193" si="190" xml:space="preserve"> IF(AND(LEN(ChartLines.ID)&gt;0,"Unused"&lt;&gt;ChartLines.ID), COUNTIFS(ChartLines.ID,ChartLines.ID), "·")</f>
        <v>2</v>
      </c>
      <c r="F193">
        <f t="shared" ref="F193" si="191"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0</v>
      </c>
      <c r="I193">
        <v>87</v>
      </c>
      <c r="J193">
        <v>183</v>
      </c>
      <c r="K193">
        <v>191</v>
      </c>
    </row>
    <row r="194" spans="2:11">
      <c r="B194" t="s">
        <v>165</v>
      </c>
      <c r="C194" t="s">
        <v>1979</v>
      </c>
      <c r="E194">
        <f t="shared" ref="E194" si="192" xml:space="preserve"> IF(AND(LEN(ChartLines.ID)&gt;0,"Unused"&lt;&gt;ChartLines.ID), COUNTIFS(ChartLines.ID,ChartLines.ID), "·")</f>
        <v>2</v>
      </c>
      <c r="F194">
        <f t="shared" ref="F194" si="193"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255</v>
      </c>
      <c r="I194">
        <v>215</v>
      </c>
      <c r="J194">
        <v>0</v>
      </c>
      <c r="K194">
        <v>192</v>
      </c>
    </row>
    <row r="195" spans="2:11">
      <c r="B195" t="s">
        <v>1912</v>
      </c>
      <c r="C195" t="s">
        <v>1838</v>
      </c>
      <c r="E195">
        <f t="shared" ref="E195" si="194" xml:space="preserve"> IF(AND(LEN(ChartLines.ID)&gt;0,"Unused"&lt;&gt;ChartLines.ID), COUNTIFS(ChartLines.ID,ChartLines.ID), "·")</f>
        <v>2</v>
      </c>
      <c r="F195">
        <f t="shared" ref="F195" si="195"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255</v>
      </c>
      <c r="I195">
        <v>0</v>
      </c>
      <c r="J195">
        <v>0</v>
      </c>
      <c r="K195">
        <v>193</v>
      </c>
    </row>
    <row r="196" spans="2:11">
      <c r="B196" t="s">
        <v>1912</v>
      </c>
      <c r="C196" t="s">
        <v>1839</v>
      </c>
      <c r="E196">
        <f t="shared" ref="E196:E200" si="196" xml:space="preserve"> IF(AND(LEN(ChartLines.ID)&gt;0,"Unused"&lt;&gt;ChartLines.ID), COUNTIFS(ChartLines.ID,ChartLines.ID), "·")</f>
        <v>2</v>
      </c>
      <c r="F196">
        <f t="shared" ref="F196:F200" si="197"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255</v>
      </c>
      <c r="J196">
        <v>255</v>
      </c>
      <c r="K196">
        <v>194</v>
      </c>
    </row>
    <row r="197" spans="2:11">
      <c r="B197" t="s">
        <v>2414</v>
      </c>
      <c r="C197" t="s">
        <v>2416</v>
      </c>
      <c r="E197">
        <f t="shared" si="196"/>
        <v>2</v>
      </c>
      <c r="F197">
        <f t="shared" si="197"/>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0</v>
      </c>
      <c r="I197">
        <v>152</v>
      </c>
      <c r="J197">
        <v>195</v>
      </c>
      <c r="K197">
        <v>195</v>
      </c>
    </row>
    <row r="198" spans="2:11">
      <c r="B198" t="s">
        <v>2414</v>
      </c>
      <c r="C198" t="s">
        <v>1839</v>
      </c>
      <c r="E198">
        <f t="shared" si="196"/>
        <v>2</v>
      </c>
      <c r="F198">
        <f t="shared" si="197"/>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2415</v>
      </c>
      <c r="C199" t="s">
        <v>1934</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51</v>
      </c>
      <c r="J199">
        <v>160</v>
      </c>
      <c r="K199">
        <v>197</v>
      </c>
    </row>
    <row r="200" spans="2:11">
      <c r="B200" t="s">
        <v>2415</v>
      </c>
      <c r="C200" t="s">
        <v>2417</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242</v>
      </c>
      <c r="I200">
        <v>168</v>
      </c>
      <c r="J200">
        <v>0</v>
      </c>
      <c r="K200">
        <v>198</v>
      </c>
    </row>
    <row r="201" spans="2:11">
      <c r="B201" t="s">
        <v>2154</v>
      </c>
      <c r="C201" t="s">
        <v>1913</v>
      </c>
      <c r="E201">
        <f t="shared" ref="E201" si="198" xml:space="preserve"> IF(AND(LEN(ChartLines.ID)&gt;0,"Unused"&lt;&gt;ChartLines.ID), COUNTIFS(ChartLines.ID,ChartLines.ID), "·")</f>
        <v>2</v>
      </c>
      <c r="F201">
        <f t="shared" ref="F201" si="199"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207</v>
      </c>
      <c r="I201">
        <v>16</v>
      </c>
      <c r="J201">
        <v>26</v>
      </c>
      <c r="K201">
        <v>199</v>
      </c>
    </row>
    <row r="202" spans="2:11">
      <c r="B202" t="s">
        <v>2154</v>
      </c>
      <c r="C202" t="s">
        <v>1839</v>
      </c>
      <c r="E202">
        <f t="shared" ref="E202" si="200" xml:space="preserve"> IF(AND(LEN(ChartLines.ID)&gt;0,"Unused"&lt;&gt;ChartLines.ID), COUNTIFS(ChartLines.ID,ChartLines.ID), "·")</f>
        <v>2</v>
      </c>
      <c r="F202">
        <f t="shared" ref="F202" si="20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255</v>
      </c>
      <c r="I202">
        <v>255</v>
      </c>
      <c r="J202">
        <v>255</v>
      </c>
      <c r="K202">
        <v>200</v>
      </c>
    </row>
    <row r="203" spans="2:11">
      <c r="B203" t="s">
        <v>407</v>
      </c>
      <c r="C203" t="s">
        <v>2077</v>
      </c>
      <c r="E203">
        <f t="shared" ref="E203" si="202" xml:space="preserve"> IF(AND(LEN(ChartLines.ID)&gt;0,"Unused"&lt;&gt;ChartLines.ID), COUNTIFS(ChartLines.ID,ChartLines.ID), "·")</f>
        <v>2</v>
      </c>
      <c r="F203">
        <f t="shared" ref="F203" si="203"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106</v>
      </c>
      <c r="I203">
        <v>87</v>
      </c>
      <c r="J203">
        <v>27</v>
      </c>
      <c r="K203">
        <v>201</v>
      </c>
    </row>
    <row r="204" spans="2:11">
      <c r="B204" t="s">
        <v>407</v>
      </c>
      <c r="C204" t="s">
        <v>2068</v>
      </c>
      <c r="E204">
        <f t="shared" ref="E204" si="204" xml:space="preserve"> IF(AND(LEN(ChartLines.ID)&gt;0,"Unused"&lt;&gt;ChartLines.ID), COUNTIFS(ChartLines.ID,ChartLines.ID), "·")</f>
        <v>2</v>
      </c>
      <c r="F204">
        <f t="shared" ref="F204" si="205"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212</v>
      </c>
      <c r="I204">
        <v>175</v>
      </c>
      <c r="J204">
        <v>55</v>
      </c>
      <c r="K204">
        <v>202</v>
      </c>
    </row>
    <row r="205" spans="2:11">
      <c r="E205" t="str">
        <f t="shared" ref="E205" si="206" xml:space="preserve"> IF(AND(LEN(ChartLines.ID)&gt;0,"Unused"&lt;&gt;ChartLines.ID), COUNTIFS(ChartLines.ID,ChartLines.ID), "·")</f>
        <v>·</v>
      </c>
      <c r="F205" t="str">
        <f t="shared" ref="F205" si="207"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v>·</v>
      </c>
      <c r="I205" t="str">
        <v>·</v>
      </c>
      <c r="J205" t="str">
        <v>·</v>
      </c>
      <c r="K205">
        <v>203</v>
      </c>
    </row>
    <row r="206" spans="2:11">
      <c r="B206" t="s">
        <v>134</v>
      </c>
      <c r="C206" t="s">
        <v>1914</v>
      </c>
      <c r="E206">
        <f t="shared" ref="E206" si="208" xml:space="preserve"> IF(AND(LEN(ChartLines.ID)&gt;0,"Unused"&lt;&gt;ChartLines.ID), COUNTIFS(ChartLines.ID,ChartLines.ID), "·")</f>
        <v>1</v>
      </c>
      <c r="F206">
        <f t="shared" ref="F206" si="209"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SoleOrdinary</v>
      </c>
      <c r="H206">
        <v>227</v>
      </c>
      <c r="I206">
        <v>10</v>
      </c>
      <c r="J206">
        <v>23</v>
      </c>
      <c r="K206">
        <v>204</v>
      </c>
    </row>
    <row r="207" spans="2:11">
      <c r="B207" t="s">
        <v>1835</v>
      </c>
      <c r="E207" t="str">
        <f t="shared" ref="E207" si="210" xml:space="preserve"> IF(AND(LEN(ChartLines.ID)&gt;0,"Unused"&lt;&gt;ChartLines.ID), COUNTIFS(ChartLines.ID,ChartLines.ID), "·")</f>
        <v>·</v>
      </c>
      <c r="F207" t="str">
        <f t="shared" ref="F207" si="211"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166</v>
      </c>
      <c r="C208" t="str">
        <f xml:space="preserve"> "009639"</f>
        <v>009639</v>
      </c>
      <c r="E208">
        <f t="shared" ref="E208" si="212" xml:space="preserve"> IF(AND(LEN(ChartLines.ID)&gt;0,"Unused"&lt;&gt;ChartLines.ID), COUNTIFS(ChartLines.ID,ChartLines.ID), "·")</f>
        <v>2</v>
      </c>
      <c r="F208">
        <f t="shared" ref="F208" si="213"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v>0</v>
      </c>
      <c r="I208">
        <v>150</v>
      </c>
      <c r="J208">
        <v>57</v>
      </c>
      <c r="K208">
        <v>206</v>
      </c>
    </row>
    <row r="209" spans="2:11">
      <c r="B209" t="s">
        <v>166</v>
      </c>
      <c r="C209" t="s">
        <v>1839</v>
      </c>
      <c r="E209">
        <f t="shared" ref="E209" si="214" xml:space="preserve"> IF(AND(LEN(ChartLines.ID)&gt;0,"Unused"&lt;&gt;ChartLines.ID), COUNTIFS(ChartLines.ID,ChartLines.ID), "·")</f>
        <v>2</v>
      </c>
      <c r="F209">
        <f t="shared" ref="F209" si="215"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v>255</v>
      </c>
      <c r="I209">
        <v>255</v>
      </c>
      <c r="J209">
        <v>255</v>
      </c>
      <c r="K209">
        <v>207</v>
      </c>
    </row>
    <row r="210" spans="2:11">
      <c r="B210" t="s">
        <v>459</v>
      </c>
      <c r="C210" t="str">
        <f xml:space="preserve"> "009639"</f>
        <v>009639</v>
      </c>
      <c r="E210">
        <f t="shared" ref="E210" si="216" xml:space="preserve"> IF(AND(LEN(ChartLines.ID)&gt;0,"Unused"&lt;&gt;ChartLines.ID), COUNTIFS(ChartLines.ID,ChartLines.ID), "·")</f>
        <v>2</v>
      </c>
      <c r="F210">
        <f t="shared" ref="F210" si="217"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459</v>
      </c>
      <c r="C211" t="s">
        <v>1837</v>
      </c>
      <c r="E211">
        <f t="shared" ref="E211:E213" si="218" xml:space="preserve"> IF(AND(LEN(ChartLines.ID)&gt;0,"Unused"&lt;&gt;ChartLines.ID), COUNTIFS(ChartLines.ID,ChartLines.ID), "·")</f>
        <v>2</v>
      </c>
      <c r="F211">
        <f t="shared" ref="F211:F213" si="219"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239</v>
      </c>
      <c r="I211">
        <v>51</v>
      </c>
      <c r="J211">
        <v>64</v>
      </c>
      <c r="K211">
        <v>209</v>
      </c>
    </row>
    <row r="212" spans="2:11">
      <c r="B212" t="s">
        <v>1978</v>
      </c>
      <c r="C212" t="s">
        <v>1844</v>
      </c>
      <c r="E212">
        <f t="shared" si="218"/>
        <v>2</v>
      </c>
      <c r="F212">
        <f t="shared" si="219"/>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200</v>
      </c>
      <c r="I212">
        <v>16</v>
      </c>
      <c r="J212">
        <v>46</v>
      </c>
      <c r="K212">
        <v>210</v>
      </c>
    </row>
    <row r="213" spans="2:11">
      <c r="B213" t="s">
        <v>1978</v>
      </c>
      <c r="C213" t="s">
        <v>1979</v>
      </c>
      <c r="E213">
        <f t="shared" si="218"/>
        <v>2</v>
      </c>
      <c r="F213">
        <f t="shared" si="219"/>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255</v>
      </c>
      <c r="I213">
        <v>215</v>
      </c>
      <c r="J213">
        <v>0</v>
      </c>
      <c r="K213">
        <v>211</v>
      </c>
    </row>
    <row r="214" spans="2:11">
      <c r="B214" t="s">
        <v>473</v>
      </c>
      <c r="C214" t="s">
        <v>1915</v>
      </c>
      <c r="E214">
        <f t="shared" ref="E214" si="220" xml:space="preserve"> IF(AND(LEN(ChartLines.ID)&gt;0,"Unused"&lt;&gt;ChartLines.ID), COUNTIFS(ChartLines.ID,ChartLines.ID), "·")</f>
        <v>2</v>
      </c>
      <c r="F214">
        <f t="shared" ref="F214" si="221" xml:space="preserve"> IF(AND(LEN(ChartLines.ID)&gt;0,"Unused"&lt;&gt;ChartLines.ID), COUNTIFS(ChartLines.ID,ChartLines.ID,   ChartLines.RowNum,"&lt;="&amp;ChartLines.RowNum), "·")</f>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108</v>
      </c>
      <c r="I214">
        <v>29</v>
      </c>
      <c r="J214">
        <v>69</v>
      </c>
      <c r="K214">
        <v>212</v>
      </c>
    </row>
    <row r="215" spans="2:11">
      <c r="B215" t="s">
        <v>473</v>
      </c>
      <c r="C215" t="s">
        <v>1839</v>
      </c>
      <c r="E215">
        <f t="shared" ref="E215:E216" si="222" xml:space="preserve"> IF(AND(LEN(ChartLines.ID)&gt;0,"Unused"&lt;&gt;ChartLines.ID), COUNTIFS(ChartLines.ID,ChartLines.ID), "·")</f>
        <v>2</v>
      </c>
      <c r="F215">
        <f t="shared" ref="F215:F216" si="223" xml:space="preserve"> IF(AND(LEN(ChartLines.ID)&gt;0,"Unused"&lt;&gt;ChartLines.ID), COUNTIFS(ChartLines.ID,ChartLines.ID,   ChartLines.RowNum,"&lt;="&amp;ChartLines.RowNum), "·")</f>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255</v>
      </c>
      <c r="J215">
        <v>255</v>
      </c>
      <c r="K215">
        <v>213</v>
      </c>
    </row>
    <row r="216" spans="2:11">
      <c r="B216" t="s">
        <v>2413</v>
      </c>
      <c r="C216" t="s">
        <v>1857</v>
      </c>
      <c r="E216">
        <f t="shared" si="222"/>
        <v>1</v>
      </c>
      <c r="F216">
        <f t="shared" si="223"/>
        <v>1</v>
      </c>
      <c r="G216" t="str" cm="1">
        <f t="array" ref="G216" xml:space="preserve"> _xlfn.IFS(OR(LEN(_xlfn.SINGLE(ChartLines.ID))=0,"Unused"=_xlfn.SINGLE(ChartLines.ID)), "·",   1=_xlfn.SINGLE(ChartLines.NumInstances), IF("USD"=_xlfn.SINGLE(ChartLines.ID), "SoleBig", "SoleOrdinary"),   1=_xlfn.SINGLE(ChartLines.InstanceNum), "Outer",   TRUE, "Inner")</f>
        <v>SoleOrdinary</v>
      </c>
      <c r="H216">
        <v>218</v>
      </c>
      <c r="I216">
        <v>41</v>
      </c>
      <c r="J216">
        <v>28</v>
      </c>
      <c r="K216">
        <v>214</v>
      </c>
    </row>
    <row r="217" spans="2:11">
      <c r="B217" t="s">
        <v>1916</v>
      </c>
      <c r="C217" t="str">
        <f xml:space="preserve"> "000000"</f>
        <v>000000</v>
      </c>
      <c r="E217">
        <f t="shared" ref="E217" si="224" xml:space="preserve"> IF(AND(LEN(ChartLines.ID)&gt;0,"Unused"&lt;&gt;ChartLines.ID), COUNTIFS(ChartLines.ID,ChartLines.ID), "·")</f>
        <v>2</v>
      </c>
      <c r="F217">
        <f t="shared" ref="F217" si="225" xml:space="preserve"> IF(AND(LEN(ChartLines.ID)&gt;0,"Unused"&lt;&gt;ChartLines.ID), COUNTIFS(ChartLines.ID,ChartLines.ID,   ChartLines.RowNum,"&lt;="&amp;ChartLines.RowNum), "·")</f>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v>0</v>
      </c>
      <c r="I217">
        <v>0</v>
      </c>
      <c r="J217">
        <v>0</v>
      </c>
      <c r="K217">
        <v>215</v>
      </c>
    </row>
    <row r="218" spans="2:11">
      <c r="B218" t="s">
        <v>1916</v>
      </c>
      <c r="C218" t="s">
        <v>1917</v>
      </c>
      <c r="E218">
        <f t="shared" ref="E218:E222" si="226" xml:space="preserve"> IF(AND(LEN(ChartLines.ID)&gt;0,"Unused"&lt;&gt;ChartLines.ID), COUNTIFS(ChartLines.ID,ChartLines.ID), "·")</f>
        <v>2</v>
      </c>
      <c r="F218">
        <f t="shared" ref="F218:F222" si="227" xml:space="preserve"> IF(AND(LEN(ChartLines.ID)&gt;0,"Unused"&lt;&gt;ChartLines.ID), COUNTIFS(ChartLines.ID,ChartLines.ID,   ChartLines.RowNum,"&lt;="&amp;ChartLines.RowNum), "·")</f>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v>206</v>
      </c>
      <c r="I218">
        <v>17</v>
      </c>
      <c r="J218">
        <v>38</v>
      </c>
      <c r="K218">
        <v>216</v>
      </c>
    </row>
    <row r="219" spans="2:11">
      <c r="B219" t="s">
        <v>2026</v>
      </c>
      <c r="C219" t="s">
        <v>2025</v>
      </c>
      <c r="E219">
        <f t="shared" si="226"/>
        <v>2</v>
      </c>
      <c r="F219">
        <f t="shared" si="227"/>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196</v>
      </c>
      <c r="I219">
        <v>156</v>
      </c>
      <c r="J219">
        <v>91</v>
      </c>
      <c r="K219">
        <v>217</v>
      </c>
    </row>
    <row r="220" spans="2:11">
      <c r="B220" t="s">
        <v>2026</v>
      </c>
      <c r="C220" t="str">
        <f xml:space="preserve"> "000000"</f>
        <v>000000</v>
      </c>
      <c r="E220">
        <f t="shared" si="226"/>
        <v>2</v>
      </c>
      <c r="F220">
        <f t="shared" si="227"/>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0</v>
      </c>
      <c r="I220">
        <v>0</v>
      </c>
      <c r="J220">
        <v>0</v>
      </c>
      <c r="K220">
        <v>218</v>
      </c>
    </row>
    <row r="221" spans="2:11">
      <c r="B221" t="s">
        <v>2310</v>
      </c>
      <c r="C221" t="s">
        <v>2404</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0</v>
      </c>
      <c r="I221">
        <v>122</v>
      </c>
      <c r="J221">
        <v>61</v>
      </c>
      <c r="K221">
        <v>219</v>
      </c>
    </row>
    <row r="222" spans="2:11">
      <c r="B222" t="s">
        <v>2310</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491</v>
      </c>
      <c r="C223" t="s">
        <v>1917</v>
      </c>
      <c r="E223">
        <f t="shared" ref="E223" si="228" xml:space="preserve"> IF(AND(LEN(ChartLines.ID)&gt;0,"Unused"&lt;&gt;ChartLines.ID), COUNTIFS(ChartLines.ID,ChartLines.ID), "·")</f>
        <v>2</v>
      </c>
      <c r="F223">
        <f t="shared" ref="F223" si="229"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206</v>
      </c>
      <c r="I223">
        <v>17</v>
      </c>
      <c r="J223">
        <v>38</v>
      </c>
      <c r="K223">
        <v>221</v>
      </c>
    </row>
    <row r="224" spans="2:11">
      <c r="B224" t="s">
        <v>491</v>
      </c>
      <c r="C224" t="str">
        <f xml:space="preserve"> "000000"</f>
        <v>000000</v>
      </c>
      <c r="E224">
        <f t="shared" ref="E224" si="230" xml:space="preserve"> IF(AND(LEN(ChartLines.ID)&gt;0,"Unused"&lt;&gt;ChartLines.ID), COUNTIFS(ChartLines.ID,ChartLines.ID), "·")</f>
        <v>2</v>
      </c>
      <c r="F224">
        <f t="shared" ref="F224" si="231"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167</v>
      </c>
      <c r="C225" t="s">
        <v>1837</v>
      </c>
      <c r="E225">
        <f t="shared" ref="E225" si="232" xml:space="preserve"> IF(AND(LEN(ChartLines.ID)&gt;0,"Unused"&lt;&gt;ChartLines.ID), COUNTIFS(ChartLines.ID,ChartLines.ID), "·")</f>
        <v>2</v>
      </c>
      <c r="F225">
        <f t="shared" ref="F225" si="233"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239</v>
      </c>
      <c r="I225">
        <v>51</v>
      </c>
      <c r="J225">
        <v>64</v>
      </c>
      <c r="K225">
        <v>223</v>
      </c>
    </row>
    <row r="226" spans="2:11">
      <c r="B226" t="s">
        <v>167</v>
      </c>
      <c r="C226" t="str">
        <f xml:space="preserve"> "009639"</f>
        <v>009639</v>
      </c>
      <c r="E226">
        <f t="shared" ref="E226" si="234" xml:space="preserve"> IF(AND(LEN(ChartLines.ID)&gt;0,"Unused"&lt;&gt;ChartLines.ID), COUNTIFS(ChartLines.ID,ChartLines.ID), "·")</f>
        <v>2</v>
      </c>
      <c r="F226">
        <f t="shared" ref="F226" si="235"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150</v>
      </c>
      <c r="J226">
        <v>57</v>
      </c>
      <c r="K226">
        <v>224</v>
      </c>
    </row>
    <row r="227" spans="2:11">
      <c r="B227" t="s">
        <v>2306</v>
      </c>
      <c r="C227" t="str">
        <f xml:space="preserve"> "009736"</f>
        <v>009736</v>
      </c>
      <c r="E227">
        <f t="shared" ref="E227:E229" si="236" xml:space="preserve"> IF(AND(LEN(ChartLines.ID)&gt;0,"Unused"&lt;&gt;ChartLines.ID), COUNTIFS(ChartLines.ID,ChartLines.ID), "·")</f>
        <v>2</v>
      </c>
      <c r="F227">
        <f t="shared" ref="F227:F229" si="237"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0</v>
      </c>
      <c r="I227">
        <v>151</v>
      </c>
      <c r="J227">
        <v>54</v>
      </c>
      <c r="K227">
        <v>225</v>
      </c>
    </row>
    <row r="228" spans="2:11">
      <c r="B228" t="s">
        <v>2306</v>
      </c>
      <c r="C228" t="str">
        <f xml:space="preserve"> "000000"</f>
        <v>000000</v>
      </c>
      <c r="E228">
        <f t="shared" ref="E228:E230" si="238" xml:space="preserve"> IF(AND(LEN(ChartLines.ID)&gt;0,"Unused"&lt;&gt;ChartLines.ID), COUNTIFS(ChartLines.ID,ChartLines.ID), "·")</f>
        <v>2</v>
      </c>
      <c r="F228">
        <f t="shared" ref="F228:F230" si="239"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0</v>
      </c>
      <c r="J228">
        <v>0</v>
      </c>
      <c r="K228">
        <v>226</v>
      </c>
    </row>
    <row r="229" spans="2:11">
      <c r="B229" t="s">
        <v>1918</v>
      </c>
      <c r="C229" t="str">
        <f xml:space="preserve"> "000000"</f>
        <v>000000</v>
      </c>
      <c r="E229">
        <f t="shared" si="236"/>
        <v>2</v>
      </c>
      <c r="F229">
        <f t="shared" si="237"/>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0</v>
      </c>
      <c r="J229">
        <v>0</v>
      </c>
      <c r="K229">
        <v>227</v>
      </c>
    </row>
    <row r="230" spans="2:11">
      <c r="B230" t="s">
        <v>1918</v>
      </c>
      <c r="C230" t="s">
        <v>1839</v>
      </c>
      <c r="E230">
        <f t="shared" si="238"/>
        <v>2</v>
      </c>
      <c r="F230">
        <f t="shared" si="239"/>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255</v>
      </c>
      <c r="I230">
        <v>255</v>
      </c>
      <c r="J230">
        <v>255</v>
      </c>
      <c r="K230">
        <v>228</v>
      </c>
    </row>
    <row r="231" spans="2:11">
      <c r="B231" t="s">
        <v>137</v>
      </c>
      <c r="C231" t="s">
        <v>1919</v>
      </c>
      <c r="E231">
        <f t="shared" ref="E231" si="240" xml:space="preserve"> IF(AND(LEN(ChartLines.ID)&gt;0,"Unused"&lt;&gt;ChartLines.ID), COUNTIFS(ChartLines.ID,ChartLines.ID), "·")</f>
        <v>2</v>
      </c>
      <c r="F231">
        <f t="shared" ref="F231" si="24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231</v>
      </c>
      <c r="I231">
        <v>0</v>
      </c>
      <c r="J231">
        <v>19</v>
      </c>
      <c r="K231">
        <v>229</v>
      </c>
    </row>
    <row r="232" spans="2:11">
      <c r="B232" t="s">
        <v>137</v>
      </c>
      <c r="C232" t="s">
        <v>1839</v>
      </c>
      <c r="E232">
        <f t="shared" ref="E232" si="242" xml:space="preserve"> IF(AND(LEN(ChartLines.ID)&gt;0,"Unused"&lt;&gt;ChartLines.ID), COUNTIFS(ChartLines.ID,ChartLines.ID), "·")</f>
        <v>2</v>
      </c>
      <c r="F232">
        <f t="shared" ref="F232" si="243"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138</v>
      </c>
      <c r="C233" t="str">
        <f xml:space="preserve"> "006233"</f>
        <v>006233</v>
      </c>
      <c r="E233">
        <f t="shared" ref="E233" si="244" xml:space="preserve"> IF(AND(LEN(ChartLines.ID)&gt;0,"Unused"&lt;&gt;ChartLines.ID), COUNTIFS(ChartLines.ID,ChartLines.ID), "·")</f>
        <v>2</v>
      </c>
      <c r="F233">
        <f t="shared" ref="F233" si="245"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0</v>
      </c>
      <c r="I233">
        <v>98</v>
      </c>
      <c r="J233">
        <v>51</v>
      </c>
      <c r="K233">
        <v>231</v>
      </c>
    </row>
    <row r="234" spans="2:11">
      <c r="B234" t="s">
        <v>138</v>
      </c>
      <c r="C234" t="s">
        <v>1920</v>
      </c>
      <c r="E234">
        <f t="shared" ref="E234" si="246" xml:space="preserve"> IF(AND(LEN(ChartLines.ID)&gt;0,"Unused"&lt;&gt;ChartLines.ID), COUNTIFS(ChartLines.ID,ChartLines.ID), "·")</f>
        <v>2</v>
      </c>
      <c r="F234">
        <f t="shared" ref="F234" si="247"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251</v>
      </c>
      <c r="I234">
        <v>15</v>
      </c>
      <c r="J234">
        <v>12</v>
      </c>
      <c r="K234">
        <v>232</v>
      </c>
    </row>
    <row r="235" spans="2:11">
      <c r="B235" t="s">
        <v>1624</v>
      </c>
      <c r="C235" t="str">
        <f xml:space="preserve"> "006633"</f>
        <v>006633</v>
      </c>
      <c r="E235">
        <f t="shared" ref="E235" si="248" xml:space="preserve"> IF(AND(LEN(ChartLines.ID)&gt;0,"Unused"&lt;&gt;ChartLines.ID), COUNTIFS(ChartLines.ID,ChartLines.ID), "·")</f>
        <v>2</v>
      </c>
      <c r="F235">
        <f t="shared" ref="F235" si="249"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102</v>
      </c>
      <c r="J235">
        <v>51</v>
      </c>
      <c r="K235">
        <v>233</v>
      </c>
    </row>
    <row r="236" spans="2:11">
      <c r="B236" t="s">
        <v>1624</v>
      </c>
      <c r="C236" t="s">
        <v>1839</v>
      </c>
      <c r="E236">
        <f t="shared" ref="E236" si="250" xml:space="preserve"> IF(AND(LEN(ChartLines.ID)&gt;0,"Unused"&lt;&gt;ChartLines.ID), COUNTIFS(ChartLines.ID,ChartLines.ID), "·")</f>
        <v>2</v>
      </c>
      <c r="F236">
        <f t="shared" ref="F236" si="251"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255</v>
      </c>
      <c r="I236">
        <v>255</v>
      </c>
      <c r="J236">
        <v>255</v>
      </c>
      <c r="K236">
        <v>234</v>
      </c>
    </row>
    <row r="237" spans="2:11">
      <c r="B237" t="s">
        <v>492</v>
      </c>
      <c r="C237" t="s">
        <v>1921</v>
      </c>
      <c r="E237">
        <f t="shared" ref="E237" si="252" xml:space="preserve"> IF(AND(LEN(ChartLines.ID)&gt;0,"Unused"&lt;&gt;ChartLines.ID), COUNTIFS(ChartLines.ID,ChartLines.ID), "·")</f>
        <v>2</v>
      </c>
      <c r="F237">
        <f t="shared" ref="F237" si="253"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35</v>
      </c>
      <c r="I237">
        <v>159</v>
      </c>
      <c r="J237">
        <v>64</v>
      </c>
      <c r="K237">
        <v>235</v>
      </c>
    </row>
    <row r="238" spans="2:11">
      <c r="B238" t="s">
        <v>492</v>
      </c>
      <c r="C238" t="s">
        <v>1839</v>
      </c>
      <c r="E238">
        <f t="shared" ref="E238" si="254" xml:space="preserve"> IF(AND(LEN(ChartLines.ID)&gt;0,"Unused"&lt;&gt;ChartLines.ID), COUNTIFS(ChartLines.ID,ChartLines.ID), "·")</f>
        <v>2</v>
      </c>
      <c r="F238">
        <f t="shared" ref="F238" si="255"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900</v>
      </c>
      <c r="C239" t="str">
        <f xml:space="preserve"> "000000"</f>
        <v>000000</v>
      </c>
      <c r="E239">
        <f t="shared" ref="E239" si="256" xml:space="preserve"> IF(AND(LEN(ChartLines.ID)&gt;0,"Unused"&lt;&gt;ChartLines.ID), COUNTIFS(ChartLines.ID,ChartLines.ID), "·")</f>
        <v>2</v>
      </c>
      <c r="F239">
        <f t="shared" ref="F239" si="257"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0</v>
      </c>
      <c r="I239">
        <v>0</v>
      </c>
      <c r="J239">
        <v>0</v>
      </c>
      <c r="K239">
        <v>237</v>
      </c>
    </row>
    <row r="240" spans="2:11">
      <c r="B240" t="s">
        <v>900</v>
      </c>
      <c r="C240" t="s">
        <v>1922</v>
      </c>
      <c r="E240">
        <f t="shared" ref="E240" si="258" xml:space="preserve"> IF(AND(LEN(ChartLines.ID)&gt;0,"Unused"&lt;&gt;ChartLines.ID), COUNTIFS(ChartLines.ID,ChartLines.ID), "·")</f>
        <v>2</v>
      </c>
      <c r="F240">
        <f t="shared" ref="F240" si="259"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227</v>
      </c>
      <c r="I240">
        <v>179</v>
      </c>
      <c r="J240">
        <v>41</v>
      </c>
      <c r="K240">
        <v>238</v>
      </c>
    </row>
    <row r="241" spans="2:11">
      <c r="B241" t="s">
        <v>510</v>
      </c>
      <c r="C241" t="s">
        <v>1923</v>
      </c>
      <c r="E241">
        <f t="shared" ref="E241" si="260" xml:space="preserve"> IF(AND(LEN(ChartLines.ID)&gt;0,"Unused"&lt;&gt;ChartLines.ID), COUNTIFS(ChartLines.ID,ChartLines.ID), "·")</f>
        <v>2</v>
      </c>
      <c r="F241">
        <f t="shared" ref="F241" si="261"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94</v>
      </c>
      <c r="J241">
        <v>184</v>
      </c>
      <c r="K241">
        <v>239</v>
      </c>
    </row>
    <row r="242" spans="2:11">
      <c r="B242" t="s">
        <v>510</v>
      </c>
      <c r="C242" t="s">
        <v>1839</v>
      </c>
      <c r="E242">
        <f t="shared" ref="E242" si="262" xml:space="preserve"> IF(AND(LEN(ChartLines.ID)&gt;0,"Unused"&lt;&gt;ChartLines.ID), COUNTIFS(ChartLines.ID,ChartLines.ID), "·")</f>
        <v>2</v>
      </c>
      <c r="F242">
        <f t="shared" ref="F242" si="263"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255</v>
      </c>
      <c r="I242">
        <v>255</v>
      </c>
      <c r="J242">
        <v>255</v>
      </c>
      <c r="K242">
        <v>240</v>
      </c>
    </row>
    <row r="243" spans="2:11">
      <c r="E243" t="str">
        <f t="shared" ref="E243" si="264" xml:space="preserve"> IF(AND(LEN(ChartLines.ID)&gt;0,"Unused"&lt;&gt;ChartLines.ID), COUNTIFS(ChartLines.ID,ChartLines.ID), "·")</f>
        <v>·</v>
      </c>
      <c r="F243" t="str">
        <f t="shared" ref="F243" si="265" xml:space="preserve"> IF(AND(LEN(ChartLines.ID)&gt;0,"Unused"&lt;&gt;ChartLines.ID), COUNTIFS(ChartLines.ID,ChartLines.ID,   ChartLines.RowNum,"&lt;="&amp;ChartLines.RowNum), "·")</f>
        <v>·</v>
      </c>
      <c r="G243" t="str" cm="1">
        <f t="array" ref="G243" xml:space="preserve"> _xlfn.IFS(OR(LEN(_xlfn.SINGLE(ChartLines.ID))=0,"Unused"=_xlfn.SINGLE(ChartLines.ID)), "·",   1=_xlfn.SINGLE(ChartLines.NumInstances), IF("USD"=_xlfn.SINGLE(ChartLines.ID), "SoleBig", "SoleOrdinary"),   1=_xlfn.SINGLE(ChartLines.InstanceNum), "Outer",   TRUE, "Inner")</f>
        <v>·</v>
      </c>
      <c r="H243" t="str">
        <v>·</v>
      </c>
      <c r="I243" t="str">
        <v>·</v>
      </c>
      <c r="J243" t="str">
        <v>·</v>
      </c>
      <c r="K243">
        <v>241</v>
      </c>
    </row>
    <row r="244" spans="2:11">
      <c r="B244" t="s">
        <v>433</v>
      </c>
      <c r="C244" t="str">
        <f xml:space="preserve"> "007749"</f>
        <v>007749</v>
      </c>
      <c r="E244">
        <f t="shared" ref="E244" si="266" xml:space="preserve"> IF(AND(LEN(ChartLines.ID)&gt;0,"Unused"&lt;&gt;ChartLines.ID), COUNTIFS(ChartLines.ID,ChartLines.ID), "·")</f>
        <v>2</v>
      </c>
      <c r="F244">
        <f t="shared" ref="F244" si="267"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v>0</v>
      </c>
      <c r="I244">
        <v>119</v>
      </c>
      <c r="J244">
        <v>73</v>
      </c>
      <c r="K244">
        <v>242</v>
      </c>
    </row>
    <row r="245" spans="2:11">
      <c r="B245" t="s">
        <v>433</v>
      </c>
      <c r="C245" t="str">
        <f xml:space="preserve"> "FFA500"</f>
        <v>FFA500</v>
      </c>
      <c r="E245">
        <f t="shared" ref="E245" si="268" xml:space="preserve"> IF(AND(LEN(ChartLines.ID)&gt;0,"Unused"&lt;&gt;ChartLines.ID), COUNTIFS(ChartLines.ID,ChartLines.ID), "·")</f>
        <v>2</v>
      </c>
      <c r="F245">
        <f t="shared" ref="F245" si="269"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v>255</v>
      </c>
      <c r="I245">
        <v>165</v>
      </c>
      <c r="J245">
        <v>0</v>
      </c>
      <c r="K245">
        <v>243</v>
      </c>
    </row>
    <row r="246" spans="2:11">
      <c r="B246" t="s">
        <v>168</v>
      </c>
      <c r="C246" t="str">
        <f xml:space="preserve"> "009639"</f>
        <v>009639</v>
      </c>
      <c r="E246">
        <f t="shared" ref="E246" si="270" xml:space="preserve"> IF(AND(LEN(ChartLines.ID)&gt;0,"Unused"&lt;&gt;ChartLines.ID), COUNTIFS(ChartLines.ID,ChartLines.ID), "·")</f>
        <v>2</v>
      </c>
      <c r="F246">
        <f t="shared" ref="F246" si="271"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150</v>
      </c>
      <c r="J246">
        <v>57</v>
      </c>
      <c r="K246">
        <v>244</v>
      </c>
    </row>
    <row r="247" spans="2:11">
      <c r="B247" t="s">
        <v>168</v>
      </c>
      <c r="C247" t="s">
        <v>1839</v>
      </c>
      <c r="E247">
        <f t="shared" ref="E247" si="272" xml:space="preserve"> IF(AND(LEN(ChartLines.ID)&gt;0,"Unused"&lt;&gt;ChartLines.ID), COUNTIFS(ChartLines.ID,ChartLines.ID), "·")</f>
        <v>2</v>
      </c>
      <c r="F247">
        <f t="shared" ref="F247" si="273"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255</v>
      </c>
      <c r="J247">
        <v>255</v>
      </c>
      <c r="K247">
        <v>245</v>
      </c>
    </row>
    <row r="248" spans="2:11">
      <c r="B248" t="s">
        <v>1617</v>
      </c>
      <c r="C248" t="str">
        <f xml:space="preserve"> "0F47AF"</f>
        <v>0F47AF</v>
      </c>
      <c r="E248">
        <f t="shared" ref="E248" si="274" xml:space="preserve"> IF(AND(LEN(ChartLines.ID)&gt;0,"Unused"&lt;&gt;ChartLines.ID), COUNTIFS(ChartLines.ID,ChartLines.ID), "·")</f>
        <v>2</v>
      </c>
      <c r="F248">
        <f t="shared" ref="F248" si="275"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15</v>
      </c>
      <c r="I248">
        <v>71</v>
      </c>
      <c r="J248">
        <v>175</v>
      </c>
      <c r="K248">
        <v>246</v>
      </c>
    </row>
    <row r="249" spans="2:11">
      <c r="B249" t="s">
        <v>1617</v>
      </c>
      <c r="C249" t="s">
        <v>1924</v>
      </c>
      <c r="E249">
        <f t="shared" ref="E249:E251" si="276" xml:space="preserve"> IF(AND(LEN(ChartLines.ID)&gt;0,"Unused"&lt;&gt;ChartLines.ID), COUNTIFS(ChartLines.ID,ChartLines.ID), "·")</f>
        <v>2</v>
      </c>
      <c r="F249">
        <f t="shared" ref="F249:F251" si="277"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252</v>
      </c>
      <c r="I249">
        <v>221</v>
      </c>
      <c r="J249">
        <v>9</v>
      </c>
      <c r="K249">
        <v>247</v>
      </c>
    </row>
    <row r="250" spans="2:11">
      <c r="B250" t="s">
        <v>2005</v>
      </c>
      <c r="C250" t="str">
        <f xml:space="preserve"> "000000"</f>
        <v>000000</v>
      </c>
      <c r="E250">
        <f t="shared" si="276"/>
        <v>2</v>
      </c>
      <c r="F250">
        <f t="shared" si="277"/>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0</v>
      </c>
      <c r="I250">
        <v>0</v>
      </c>
      <c r="J250">
        <v>0</v>
      </c>
      <c r="K250">
        <v>248</v>
      </c>
    </row>
    <row r="251" spans="2:11">
      <c r="B251" t="s">
        <v>2005</v>
      </c>
      <c r="C251" t="s">
        <v>1839</v>
      </c>
      <c r="E251">
        <f t="shared" si="276"/>
        <v>2</v>
      </c>
      <c r="F251">
        <f t="shared" si="277"/>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255</v>
      </c>
      <c r="I251">
        <v>255</v>
      </c>
      <c r="J251">
        <v>255</v>
      </c>
      <c r="K251">
        <v>249</v>
      </c>
    </row>
    <row r="252" spans="2:11">
      <c r="B252" t="s">
        <v>1627</v>
      </c>
      <c r="C252" t="s">
        <v>1925</v>
      </c>
      <c r="E252">
        <f t="shared" ref="E252" si="278" xml:space="preserve"> IF(AND(LEN(ChartLines.ID)&gt;0,"Unused"&lt;&gt;ChartLines.ID), COUNTIFS(ChartLines.ID,ChartLines.ID), "·")</f>
        <v>2</v>
      </c>
      <c r="F252">
        <f t="shared" ref="F252" si="279"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187</v>
      </c>
      <c r="I252">
        <v>0</v>
      </c>
      <c r="J252">
        <v>0</v>
      </c>
      <c r="K252">
        <v>250</v>
      </c>
    </row>
    <row r="253" spans="2:11">
      <c r="B253" t="s">
        <v>1627</v>
      </c>
      <c r="C253" t="str">
        <f xml:space="preserve"> "000000"</f>
        <v>000000</v>
      </c>
      <c r="E253">
        <f t="shared" ref="E253" si="280" xml:space="preserve"> IF(AND(LEN(ChartLines.ID)&gt;0,"Unused"&lt;&gt;ChartLines.ID), COUNTIFS(ChartLines.ID,ChartLines.ID), "·")</f>
        <v>2</v>
      </c>
      <c r="F253">
        <f t="shared" ref="F253" si="28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0</v>
      </c>
      <c r="I253">
        <v>0</v>
      </c>
      <c r="J253">
        <v>0</v>
      </c>
      <c r="K253">
        <v>251</v>
      </c>
    </row>
    <row r="254" spans="2:11">
      <c r="B254" t="s">
        <v>1623</v>
      </c>
      <c r="C254" t="s">
        <v>1880</v>
      </c>
      <c r="E254">
        <f t="shared" ref="E254" si="282" xml:space="preserve"> IF(AND(LEN(ChartLines.ID)&gt;0,"Unused"&lt;&gt;ChartLines.ID), COUNTIFS(ChartLines.ID,ChartLines.ID), "·")</f>
        <v>2</v>
      </c>
      <c r="F254">
        <f t="shared" ref="F254" si="283"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252</v>
      </c>
      <c r="I254">
        <v>209</v>
      </c>
      <c r="J254">
        <v>22</v>
      </c>
      <c r="K254">
        <v>252</v>
      </c>
    </row>
    <row r="255" spans="2:11">
      <c r="B255" t="s">
        <v>1623</v>
      </c>
      <c r="C255" t="str">
        <f xml:space="preserve"> "000000"</f>
        <v>000000</v>
      </c>
      <c r="E255">
        <f t="shared" ref="E255" si="284" xml:space="preserve"> IF(AND(LEN(ChartLines.ID)&gt;0,"Unused"&lt;&gt;ChartLines.ID), COUNTIFS(ChartLines.ID,ChartLines.ID), "·")</f>
        <v>2</v>
      </c>
      <c r="F255">
        <f t="shared" ref="F255" si="285"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1637</v>
      </c>
      <c r="C256" t="str">
        <f xml:space="preserve"> "000000"</f>
        <v>000000</v>
      </c>
      <c r="E256">
        <f t="shared" ref="E256" si="286" xml:space="preserve"> IF(AND(LEN(ChartLines.ID)&gt;0,"Unused"&lt;&gt;ChartLines.ID), COUNTIFS(ChartLines.ID,ChartLines.ID), "·")</f>
        <v>2</v>
      </c>
      <c r="F256">
        <f t="shared" ref="F256" si="287"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0</v>
      </c>
      <c r="I256">
        <v>0</v>
      </c>
      <c r="J256">
        <v>0</v>
      </c>
      <c r="K256">
        <v>254</v>
      </c>
    </row>
    <row r="257" spans="2:11">
      <c r="B257" t="s">
        <v>1637</v>
      </c>
      <c r="C257" t="s">
        <v>1926</v>
      </c>
      <c r="E257">
        <f t="shared" ref="E257" si="288" xml:space="preserve"> IF(AND(LEN(ChartLines.ID)&gt;0,"Unused"&lt;&gt;ChartLines.ID), COUNTIFS(ChartLines.ID,ChartLines.ID), "·")</f>
        <v>2</v>
      </c>
      <c r="F257">
        <f t="shared" ref="F257" si="289"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217</v>
      </c>
      <c r="I257">
        <v>0</v>
      </c>
      <c r="J257">
        <v>0</v>
      </c>
      <c r="K257">
        <v>255</v>
      </c>
    </row>
    <row r="258" spans="2:11">
      <c r="B258" t="s">
        <v>1620</v>
      </c>
      <c r="C258" t="str">
        <f xml:space="preserve"> "007FFF"</f>
        <v>007FFF</v>
      </c>
      <c r="E258">
        <f t="shared" ref="E258" si="290" xml:space="preserve"> IF(AND(LEN(ChartLines.ID)&gt;0,"Unused"&lt;&gt;ChartLines.ID), COUNTIFS(ChartLines.ID,ChartLines.ID), "·")</f>
        <v>2</v>
      </c>
      <c r="F258">
        <f t="shared" ref="F258" si="291"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127</v>
      </c>
      <c r="J258">
        <v>255</v>
      </c>
      <c r="K258">
        <v>256</v>
      </c>
    </row>
    <row r="259" spans="2:11">
      <c r="B259" t="s">
        <v>1620</v>
      </c>
      <c r="C259" t="s">
        <v>1927</v>
      </c>
      <c r="E259">
        <f t="shared" ref="E259" si="292" xml:space="preserve"> IF(AND(LEN(ChartLines.ID)&gt;0,"Unused"&lt;&gt;ChartLines.ID), COUNTIFS(ChartLines.ID,ChartLines.ID), "·")</f>
        <v>2</v>
      </c>
      <c r="F259">
        <f t="shared" ref="F259" si="293"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247</v>
      </c>
      <c r="I259">
        <v>214</v>
      </c>
      <c r="J259">
        <v>24</v>
      </c>
      <c r="K259">
        <v>257</v>
      </c>
    </row>
    <row r="260" spans="2:11">
      <c r="B260" t="s">
        <v>1959</v>
      </c>
      <c r="C260" t="str">
        <f xml:space="preserve"> "000000"</f>
        <v>000000</v>
      </c>
      <c r="E260">
        <f t="shared" ref="E260" si="294" xml:space="preserve"> IF(AND(LEN(ChartLines.ID)&gt;0,"Unused"&lt;&gt;ChartLines.ID), COUNTIFS(ChartLines.ID,ChartLines.ID), "·")</f>
        <v>2</v>
      </c>
      <c r="F260">
        <f t="shared" ref="F260" si="295"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0</v>
      </c>
      <c r="J260">
        <v>0</v>
      </c>
      <c r="K260">
        <v>258</v>
      </c>
    </row>
    <row r="261" spans="2:11">
      <c r="B261" t="s">
        <v>1959</v>
      </c>
      <c r="C261" t="s">
        <v>1845</v>
      </c>
      <c r="E261">
        <f t="shared" ref="E261" si="296" xml:space="preserve"> IF(AND(LEN(ChartLines.ID)&gt;0,"Unused"&lt;&gt;ChartLines.ID), COUNTIFS(ChartLines.ID,ChartLines.ID), "·")</f>
        <v>2</v>
      </c>
      <c r="F261">
        <f t="shared" ref="F261" si="297"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255</v>
      </c>
      <c r="I261">
        <v>209</v>
      </c>
      <c r="J261">
        <v>0</v>
      </c>
      <c r="K261">
        <v>259</v>
      </c>
    </row>
    <row r="262" spans="2:11">
      <c r="B262" t="s">
        <v>139</v>
      </c>
      <c r="C262" t="s">
        <v>1929</v>
      </c>
      <c r="E262">
        <f t="shared" ref="E262" si="298" xml:space="preserve"> IF(AND(LEN(ChartLines.ID)&gt;0,"Unused"&lt;&gt;ChartLines.ID), COUNTIFS(ChartLines.ID,ChartLines.ID), "·")</f>
        <v>2</v>
      </c>
      <c r="F262">
        <f t="shared" ref="F262" si="299"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253</v>
      </c>
      <c r="I262">
        <v>239</v>
      </c>
      <c r="J262">
        <v>66</v>
      </c>
      <c r="K262">
        <v>260</v>
      </c>
    </row>
    <row r="263" spans="2:11">
      <c r="B263" t="s">
        <v>139</v>
      </c>
      <c r="C263" t="s">
        <v>1928</v>
      </c>
      <c r="E263">
        <f t="shared" ref="E263" si="300" xml:space="preserve"> IF(AND(LEN(ChartLines.ID)&gt;0,"Unused"&lt;&gt;ChartLines.ID), COUNTIFS(ChartLines.ID,ChartLines.ID), "·")</f>
        <v>2</v>
      </c>
      <c r="F263">
        <f t="shared" ref="F263" si="30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29</v>
      </c>
      <c r="I263">
        <v>98</v>
      </c>
      <c r="J263">
        <v>51</v>
      </c>
      <c r="K263">
        <v>261</v>
      </c>
    </row>
    <row r="264" spans="2:11">
      <c r="B264" t="s">
        <v>99</v>
      </c>
      <c r="C264" t="s">
        <v>1852</v>
      </c>
      <c r="E264">
        <f t="shared" ref="E264" si="302" xml:space="preserve"> IF(AND(LEN(ChartLines.ID)&gt;0,"Unused"&lt;&gt;ChartLines.ID), COUNTIFS(ChartLines.ID,ChartLines.ID), "·")</f>
        <v>2</v>
      </c>
      <c r="F264">
        <f t="shared" ref="F264" si="303"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0</v>
      </c>
      <c r="I264">
        <v>61</v>
      </c>
      <c r="J264">
        <v>165</v>
      </c>
      <c r="K264">
        <v>262</v>
      </c>
    </row>
    <row r="265" spans="2:11">
      <c r="B265" t="s">
        <v>99</v>
      </c>
      <c r="C265" t="str">
        <f xml:space="preserve"> "009639"</f>
        <v>009639</v>
      </c>
      <c r="E265">
        <f t="shared" ref="E265" si="304" xml:space="preserve"> IF(AND(LEN(ChartLines.ID)&gt;0,"Unused"&lt;&gt;ChartLines.ID), COUNTIFS(ChartLines.ID,ChartLines.ID), "·")</f>
        <v>2</v>
      </c>
      <c r="F265">
        <f t="shared" ref="F265" si="305"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0</v>
      </c>
      <c r="I265">
        <v>150</v>
      </c>
      <c r="J265">
        <v>57</v>
      </c>
      <c r="K265">
        <v>263</v>
      </c>
    </row>
    <row r="266" spans="2:11">
      <c r="B266" t="s">
        <v>98</v>
      </c>
      <c r="C266" t="s">
        <v>1930</v>
      </c>
      <c r="E266">
        <f t="shared" ref="E266" si="306" xml:space="preserve"> IF(AND(LEN(ChartLines.ID)&gt;0,"Unused"&lt;&gt;ChartLines.ID), COUNTIFS(ChartLines.ID,ChartLines.ID), "·")</f>
        <v>2</v>
      </c>
      <c r="F266">
        <f t="shared" ref="F266" si="307"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234</v>
      </c>
      <c r="I266">
        <v>118</v>
      </c>
      <c r="J266">
        <v>0</v>
      </c>
      <c r="K266">
        <v>264</v>
      </c>
    </row>
    <row r="267" spans="2:11">
      <c r="B267" t="s">
        <v>98</v>
      </c>
      <c r="C267" t="s">
        <v>1931</v>
      </c>
      <c r="E267">
        <f t="shared" ref="E267:E273" si="308" xml:space="preserve"> IF(AND(LEN(ChartLines.ID)&gt;0,"Unused"&lt;&gt;ChartLines.ID), COUNTIFS(ChartLines.ID,ChartLines.ID), "·")</f>
        <v>2</v>
      </c>
      <c r="F267">
        <f t="shared" ref="F267:F273" si="309"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154</v>
      </c>
      <c r="J267">
        <v>68</v>
      </c>
      <c r="K267">
        <v>265</v>
      </c>
    </row>
    <row r="268" spans="2:11">
      <c r="B268" t="s">
        <v>2418</v>
      </c>
      <c r="C268" t="s">
        <v>1880</v>
      </c>
      <c r="E268">
        <f t="shared" si="308"/>
        <v>2</v>
      </c>
      <c r="F268">
        <f t="shared" si="309"/>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252</v>
      </c>
      <c r="I268">
        <v>209</v>
      </c>
      <c r="J268">
        <v>22</v>
      </c>
      <c r="K268">
        <v>266</v>
      </c>
    </row>
    <row r="269" spans="2:11">
      <c r="B269" t="s">
        <v>2418</v>
      </c>
      <c r="C269" t="s">
        <v>1917</v>
      </c>
      <c r="E269">
        <f t="shared" si="308"/>
        <v>2</v>
      </c>
      <c r="F269">
        <f t="shared" si="309"/>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206</v>
      </c>
      <c r="I269">
        <v>17</v>
      </c>
      <c r="J269">
        <v>38</v>
      </c>
      <c r="K269">
        <v>267</v>
      </c>
    </row>
    <row r="270" spans="2:11">
      <c r="B270" t="s">
        <v>2151</v>
      </c>
      <c r="C270" t="s">
        <v>1844</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200</v>
      </c>
      <c r="I270">
        <v>16</v>
      </c>
      <c r="J270">
        <v>46</v>
      </c>
      <c r="K270">
        <v>268</v>
      </c>
    </row>
    <row r="271" spans="2:11">
      <c r="B271" t="s">
        <v>2151</v>
      </c>
      <c r="C271" t="s">
        <v>1843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255</v>
      </c>
      <c r="I271">
        <v>205</v>
      </c>
      <c r="J271">
        <v>0</v>
      </c>
      <c r="K271">
        <v>269</v>
      </c>
    </row>
    <row r="272" spans="2:11">
      <c r="E272" t="str">
        <f t="shared" si="308"/>
        <v>·</v>
      </c>
      <c r="F272" t="str">
        <f t="shared" si="309"/>
        <v>·</v>
      </c>
      <c r="G272" t="str" cm="1">
        <f t="array" ref="G272" xml:space="preserve"> _xlfn.IFS(OR(LEN(_xlfn.SINGLE(ChartLines.ID))=0,"Unused"=_xlfn.SINGLE(ChartLines.ID)), "·",   1=_xlfn.SINGLE(ChartLines.NumInstances), IF("USD"=_xlfn.SINGLE(ChartLines.ID), "SoleBig", "SoleOrdinary"),   1=_xlfn.SINGLE(ChartLines.InstanceNum), "Outer",   TRUE, "Inner")</f>
        <v>·</v>
      </c>
      <c r="H272" t="str">
        <v>·</v>
      </c>
      <c r="I272" t="str">
        <v>·</v>
      </c>
      <c r="J272" t="str">
        <v>·</v>
      </c>
      <c r="K272">
        <v>270</v>
      </c>
    </row>
    <row r="273" spans="2:11">
      <c r="B273" t="s">
        <v>526</v>
      </c>
      <c r="C273" t="str">
        <f xml:space="preserve"> "006341"</f>
        <v>006341</v>
      </c>
      <c r="E273">
        <f t="shared" si="308"/>
        <v>2</v>
      </c>
      <c r="F273">
        <f t="shared" si="309"/>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v>0</v>
      </c>
      <c r="I273">
        <v>99</v>
      </c>
      <c r="J273">
        <v>65</v>
      </c>
      <c r="K273">
        <v>271</v>
      </c>
    </row>
    <row r="274" spans="2:11">
      <c r="B274" t="s">
        <v>526</v>
      </c>
      <c r="C274" t="s">
        <v>1844</v>
      </c>
      <c r="E274">
        <f t="shared" ref="E274" si="310" xml:space="preserve"> IF(AND(LEN(ChartLines.ID)&gt;0,"Unused"&lt;&gt;ChartLines.ID), COUNTIFS(ChartLines.ID,ChartLines.ID), "·")</f>
        <v>2</v>
      </c>
      <c r="F274">
        <f t="shared" ref="F274" si="311"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v>200</v>
      </c>
      <c r="I274">
        <v>16</v>
      </c>
      <c r="J274">
        <v>46</v>
      </c>
      <c r="K274">
        <v>272</v>
      </c>
    </row>
    <row r="275" spans="2:11">
      <c r="B275" t="s">
        <v>528</v>
      </c>
      <c r="C275" t="str">
        <f xml:space="preserve"> "009639"</f>
        <v>009639</v>
      </c>
      <c r="E275">
        <f t="shared" ref="E275" si="312" xml:space="preserve"> IF(AND(LEN(ChartLines.ID)&gt;0,"Unused"&lt;&gt;ChartLines.ID), COUNTIFS(ChartLines.ID,ChartLines.ID), "·")</f>
        <v>2</v>
      </c>
      <c r="F275">
        <f t="shared" ref="F275" si="313"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v>0</v>
      </c>
      <c r="I275">
        <v>150</v>
      </c>
      <c r="J275">
        <v>57</v>
      </c>
      <c r="K275">
        <v>273</v>
      </c>
    </row>
    <row r="276" spans="2:11">
      <c r="B276" t="s">
        <v>528</v>
      </c>
      <c r="C276" t="s">
        <v>1932</v>
      </c>
      <c r="E276">
        <f t="shared" ref="E276" si="314" xml:space="preserve"> IF(AND(LEN(ChartLines.ID)&gt;0,"Unused"&lt;&gt;ChartLines.ID), COUNTIFS(ChartLines.ID,ChartLines.ID), "·")</f>
        <v>2</v>
      </c>
      <c r="F276">
        <f t="shared" ref="F276" si="315"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v>254</v>
      </c>
      <c r="I276">
        <v>221</v>
      </c>
      <c r="J276">
        <v>0</v>
      </c>
      <c r="K276">
        <v>274</v>
      </c>
    </row>
    <row r="277" spans="2:11">
      <c r="B277" t="s">
        <v>140</v>
      </c>
      <c r="C277" t="s">
        <v>1933</v>
      </c>
      <c r="E277">
        <f t="shared" ref="E277" si="316" xml:space="preserve"> IF(AND(LEN(ChartLines.ID)&gt;0,"Unused"&lt;&gt;ChartLines.ID), COUNTIFS(ChartLines.ID,ChartLines.ID), "·")</f>
        <v>2</v>
      </c>
      <c r="F277">
        <f t="shared" ref="F277" si="317"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v>213</v>
      </c>
      <c r="I277">
        <v>43</v>
      </c>
      <c r="J277">
        <v>30</v>
      </c>
      <c r="K277">
        <v>275</v>
      </c>
    </row>
    <row r="278" spans="2:11">
      <c r="B278" t="s">
        <v>140</v>
      </c>
      <c r="C278" t="s">
        <v>1934</v>
      </c>
      <c r="E278">
        <f t="shared" ref="E278" si="318" xml:space="preserve"> IF(AND(LEN(ChartLines.ID)&gt;0,"Unused"&lt;&gt;ChartLines.ID), COUNTIFS(ChartLines.ID,ChartLines.ID), "·")</f>
        <v>2</v>
      </c>
      <c r="F278">
        <f t="shared" ref="F278" si="319"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v>0</v>
      </c>
      <c r="I278">
        <v>51</v>
      </c>
      <c r="J278">
        <v>160</v>
      </c>
      <c r="K278">
        <v>276</v>
      </c>
    </row>
    <row r="279" spans="2:11">
      <c r="B279" t="s">
        <v>100</v>
      </c>
      <c r="C279" t="str">
        <f xml:space="preserve"> "003087"</f>
        <v>003087</v>
      </c>
      <c r="E279">
        <f t="shared" ref="E279" si="320" xml:space="preserve"> IF(AND(LEN(ChartLines.ID)&gt;0,"Unused"&lt;&gt;ChartLines.ID), COUNTIFS(ChartLines.ID,ChartLines.ID), "·")</f>
        <v>2</v>
      </c>
      <c r="F279">
        <f t="shared" ref="F279" si="32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48</v>
      </c>
      <c r="J279">
        <v>135</v>
      </c>
      <c r="K279">
        <v>277</v>
      </c>
    </row>
    <row r="280" spans="2:11">
      <c r="B280" t="s">
        <v>100</v>
      </c>
      <c r="C280" t="s">
        <v>1843</v>
      </c>
      <c r="E280">
        <f t="shared" ref="E280" si="322" xml:space="preserve"> IF(AND(LEN(ChartLines.ID)&gt;0,"Unused"&lt;&gt;ChartLines.ID), COUNTIFS(ChartLines.ID,ChartLines.ID), "·")</f>
        <v>2</v>
      </c>
      <c r="F280">
        <f t="shared" ref="F280" si="323"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255</v>
      </c>
      <c r="I280">
        <v>205</v>
      </c>
      <c r="J280">
        <v>0</v>
      </c>
      <c r="K280">
        <v>278</v>
      </c>
    </row>
    <row r="281" spans="2:11">
      <c r="B281" t="s">
        <v>101</v>
      </c>
      <c r="C281" t="s">
        <v>1844</v>
      </c>
      <c r="E281">
        <f t="shared" ref="E281" si="324" xml:space="preserve"> IF(AND(LEN(ChartLines.ID)&gt;0,"Unused"&lt;&gt;ChartLines.ID), COUNTIFS(ChartLines.ID,ChartLines.ID), "·")</f>
        <v>2</v>
      </c>
      <c r="F281">
        <f t="shared" ref="F281" si="325"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200</v>
      </c>
      <c r="I281">
        <v>16</v>
      </c>
      <c r="J281">
        <v>46</v>
      </c>
      <c r="K281">
        <v>279</v>
      </c>
    </row>
    <row r="282" spans="2:11">
      <c r="B282" t="s">
        <v>101</v>
      </c>
      <c r="C282" t="s">
        <v>1839</v>
      </c>
      <c r="E282">
        <f t="shared" ref="E282" si="326" xml:space="preserve"> IF(AND(LEN(ChartLines.ID)&gt;0,"Unused"&lt;&gt;ChartLines.ID), COUNTIFS(ChartLines.ID,ChartLines.ID), "·")</f>
        <v>2</v>
      </c>
      <c r="F282">
        <f t="shared" ref="F282" si="327"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255</v>
      </c>
      <c r="I282">
        <v>255</v>
      </c>
      <c r="J282">
        <v>255</v>
      </c>
      <c r="K282">
        <v>280</v>
      </c>
    </row>
    <row r="283" spans="2:11">
      <c r="B283" t="s">
        <v>544</v>
      </c>
      <c r="C283" t="s">
        <v>2161</v>
      </c>
      <c r="E283">
        <f t="shared" ref="E283" si="328" xml:space="preserve"> IF(AND(LEN(ChartLines.ID)&gt;0,"Unused"&lt;&gt;ChartLines.ID), COUNTIFS(ChartLines.ID,ChartLines.ID), "·")</f>
        <v>2</v>
      </c>
      <c r="F283">
        <f t="shared" ref="F283" si="329"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123</v>
      </c>
      <c r="I283">
        <v>63</v>
      </c>
      <c r="J283">
        <v>0</v>
      </c>
      <c r="K283">
        <v>281</v>
      </c>
    </row>
    <row r="284" spans="2:11">
      <c r="B284" t="s">
        <v>544</v>
      </c>
      <c r="C284" t="s">
        <v>1839</v>
      </c>
      <c r="E284">
        <f t="shared" ref="E284" si="330" xml:space="preserve"> IF(AND(LEN(ChartLines.ID)&gt;0,"Unused"&lt;&gt;ChartLines.ID), COUNTIFS(ChartLines.ID,ChartLines.ID), "·")</f>
        <v>2</v>
      </c>
      <c r="F284">
        <f t="shared" ref="F284" si="331"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255</v>
      </c>
      <c r="I284">
        <v>255</v>
      </c>
      <c r="J284">
        <v>255</v>
      </c>
      <c r="K284">
        <v>282</v>
      </c>
    </row>
    <row r="285" spans="2:11">
      <c r="B285" t="s">
        <v>102</v>
      </c>
      <c r="C285" t="s">
        <v>1935</v>
      </c>
      <c r="E285">
        <f t="shared" ref="E285" si="332" xml:space="preserve"> IF(AND(LEN(ChartLines.ID)&gt;0,"Unused"&lt;&gt;ChartLines.ID), COUNTIFS(ChartLines.ID,ChartLines.ID), "·")</f>
        <v>2</v>
      </c>
      <c r="F285">
        <f t="shared" ref="F285" si="333"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108</v>
      </c>
      <c r="I285">
        <v>172</v>
      </c>
      <c r="J285">
        <v>228</v>
      </c>
      <c r="K285">
        <v>283</v>
      </c>
    </row>
    <row r="286" spans="2:11">
      <c r="B286" t="s">
        <v>102</v>
      </c>
      <c r="C286" t="s">
        <v>1839</v>
      </c>
      <c r="E286">
        <f t="shared" ref="E286" si="334" xml:space="preserve"> IF(AND(LEN(ChartLines.ID)&gt;0,"Unused"&lt;&gt;ChartLines.ID), COUNTIFS(ChartLines.ID,ChartLines.ID), "·")</f>
        <v>2</v>
      </c>
      <c r="F286">
        <f t="shared" ref="F286" si="335"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255</v>
      </c>
      <c r="J286">
        <v>255</v>
      </c>
      <c r="K286">
        <v>284</v>
      </c>
    </row>
    <row r="287" spans="2:11">
      <c r="B287" t="s">
        <v>1936</v>
      </c>
      <c r="C287" t="str">
        <f xml:space="preserve"> "000000"</f>
        <v>000000</v>
      </c>
      <c r="E287">
        <f t="shared" ref="E287" si="336" xml:space="preserve"> IF(AND(LEN(ChartLines.ID)&gt;0,"Unused"&lt;&gt;ChartLines.ID), COUNTIFS(ChartLines.ID,ChartLines.ID), "·")</f>
        <v>2</v>
      </c>
      <c r="F287">
        <f t="shared" ref="F287" si="337"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0</v>
      </c>
      <c r="I287">
        <v>0</v>
      </c>
      <c r="J287">
        <v>0</v>
      </c>
      <c r="K287">
        <v>285</v>
      </c>
    </row>
    <row r="288" spans="2:11">
      <c r="B288" t="s">
        <v>1936</v>
      </c>
      <c r="C288" t="s">
        <v>1839</v>
      </c>
      <c r="E288">
        <f t="shared" ref="E288" si="338" xml:space="preserve"> IF(AND(LEN(ChartLines.ID)&gt;0,"Unused"&lt;&gt;ChartLines.ID), COUNTIFS(ChartLines.ID,ChartLines.ID), "·")</f>
        <v>2</v>
      </c>
      <c r="F288">
        <f t="shared" ref="F288" si="339"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560</v>
      </c>
      <c r="C289" t="s">
        <v>1937</v>
      </c>
      <c r="E289">
        <f t="shared" ref="E289" si="340" xml:space="preserve"> IF(AND(LEN(ChartLines.ID)&gt;0,"Unused"&lt;&gt;ChartLines.ID), COUNTIFS(ChartLines.ID,ChartLines.ID), "·")</f>
        <v>2</v>
      </c>
      <c r="F289">
        <f t="shared" ref="F289" si="34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29</v>
      </c>
      <c r="I289">
        <v>66</v>
      </c>
      <c r="J289">
        <v>138</v>
      </c>
      <c r="K289">
        <v>287</v>
      </c>
    </row>
    <row r="290" spans="2:11">
      <c r="B290" t="s">
        <v>560</v>
      </c>
      <c r="C290" t="s">
        <v>1844</v>
      </c>
      <c r="E290">
        <f t="shared" ref="E290" si="342" xml:space="preserve"> IF(AND(LEN(ChartLines.ID)&gt;0,"Unused"&lt;&gt;ChartLines.ID), COUNTIFS(ChartLines.ID,ChartLines.ID), "·")</f>
        <v>2</v>
      </c>
      <c r="F290">
        <f t="shared" ref="F290" si="343"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200</v>
      </c>
      <c r="I290">
        <v>16</v>
      </c>
      <c r="J290">
        <v>46</v>
      </c>
      <c r="K290">
        <v>288</v>
      </c>
    </row>
    <row r="291" spans="2:11">
      <c r="B291" t="s">
        <v>563</v>
      </c>
      <c r="C291" t="s">
        <v>1866</v>
      </c>
      <c r="E291">
        <f t="shared" ref="E291:E293" si="344" xml:space="preserve"> IF(AND(LEN(ChartLines.ID)&gt;0,"Unused"&lt;&gt;ChartLines.ID), COUNTIFS(ChartLines.ID,ChartLines.ID), "·")</f>
        <v>2</v>
      </c>
      <c r="F291">
        <f t="shared" ref="F291:F293" si="345"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0</v>
      </c>
      <c r="I291">
        <v>114</v>
      </c>
      <c r="J291">
        <v>206</v>
      </c>
      <c r="K291">
        <v>289</v>
      </c>
    </row>
    <row r="292" spans="2:11">
      <c r="B292" t="s">
        <v>563</v>
      </c>
      <c r="C292" t="s">
        <v>1845</v>
      </c>
      <c r="E292">
        <f t="shared" ref="E292:E294" si="346" xml:space="preserve"> IF(AND(LEN(ChartLines.ID)&gt;0,"Unused"&lt;&gt;ChartLines.ID), COUNTIFS(ChartLines.ID,ChartLines.ID), "·")</f>
        <v>2</v>
      </c>
      <c r="F292">
        <f t="shared" ref="F292:F294" si="347"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209</v>
      </c>
      <c r="J292">
        <v>0</v>
      </c>
      <c r="K292">
        <v>290</v>
      </c>
    </row>
    <row r="293" spans="2:11">
      <c r="B293" t="s">
        <v>2314</v>
      </c>
      <c r="C293" t="s">
        <v>2411</v>
      </c>
      <c r="E293">
        <f t="shared" si="344"/>
        <v>2</v>
      </c>
      <c r="F293">
        <f t="shared" si="345"/>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42</v>
      </c>
      <c r="I293">
        <v>147</v>
      </c>
      <c r="J293">
        <v>106</v>
      </c>
      <c r="K293">
        <v>291</v>
      </c>
    </row>
    <row r="294" spans="2:11">
      <c r="B294" t="s">
        <v>2314</v>
      </c>
      <c r="C294" t="s">
        <v>2412</v>
      </c>
      <c r="E294">
        <f t="shared" si="346"/>
        <v>2</v>
      </c>
      <c r="F294">
        <f t="shared" si="347"/>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190</v>
      </c>
      <c r="I294">
        <v>30</v>
      </c>
      <c r="J294">
        <v>45</v>
      </c>
      <c r="K294">
        <v>292</v>
      </c>
    </row>
    <row r="295" spans="2:11">
      <c r="B295" t="s">
        <v>2309</v>
      </c>
      <c r="C295" t="s">
        <v>1938</v>
      </c>
      <c r="E295">
        <f t="shared" ref="E295" si="348" xml:space="preserve"> IF(AND(LEN(ChartLines.ID)&gt;0,"Unused"&lt;&gt;ChartLines.ID), COUNTIFS(ChartLines.ID,ChartLines.ID), "·")</f>
        <v>2</v>
      </c>
      <c r="F295">
        <f t="shared" ref="F295" si="349"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252</v>
      </c>
      <c r="I295">
        <v>227</v>
      </c>
      <c r="J295">
        <v>0</v>
      </c>
      <c r="K295">
        <v>293</v>
      </c>
    </row>
    <row r="296" spans="2:11">
      <c r="B296" t="s">
        <v>2309</v>
      </c>
      <c r="C296" t="s">
        <v>1852</v>
      </c>
      <c r="E296">
        <f t="shared" ref="E296" si="350" xml:space="preserve"> IF(AND(LEN(ChartLines.ID)&gt;0,"Unused"&lt;&gt;ChartLines.ID), COUNTIFS(ChartLines.ID,ChartLines.ID), "·")</f>
        <v>2</v>
      </c>
      <c r="F296">
        <f t="shared" ref="F296" si="351"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0</v>
      </c>
      <c r="I296">
        <v>61</v>
      </c>
      <c r="J296">
        <v>165</v>
      </c>
      <c r="K296">
        <v>294</v>
      </c>
    </row>
    <row r="297" spans="2:11">
      <c r="B297" t="s">
        <v>169</v>
      </c>
      <c r="C297" t="s">
        <v>1923</v>
      </c>
      <c r="E297">
        <f t="shared" ref="E297:E301" si="352" xml:space="preserve"> IF(AND(LEN(ChartLines.ID)&gt;0,"Unused"&lt;&gt;ChartLines.ID), COUNTIFS(ChartLines.ID,ChartLines.ID), "·")</f>
        <v>2</v>
      </c>
      <c r="F297">
        <f t="shared" ref="F297:F301" si="353"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94</v>
      </c>
      <c r="J297">
        <v>184</v>
      </c>
      <c r="K297">
        <v>295</v>
      </c>
    </row>
    <row r="298" spans="2:11">
      <c r="B298" t="s">
        <v>169</v>
      </c>
      <c r="C298" t="s">
        <v>1839</v>
      </c>
      <c r="E298">
        <f t="shared" ref="E298:E302" si="354" xml:space="preserve"> IF(AND(LEN(ChartLines.ID)&gt;0,"Unused"&lt;&gt;ChartLines.ID), COUNTIFS(ChartLines.ID,ChartLines.ID), "·")</f>
        <v>2</v>
      </c>
      <c r="F298">
        <f t="shared" ref="F298:F302" si="355"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255</v>
      </c>
      <c r="J298">
        <v>255</v>
      </c>
      <c r="K298">
        <v>296</v>
      </c>
    </row>
    <row r="299" spans="2:11">
      <c r="B299" t="s">
        <v>2357</v>
      </c>
      <c r="C299" t="str">
        <f xml:space="preserve"> "000000"</f>
        <v>000000</v>
      </c>
      <c r="E299">
        <f t="shared" si="352"/>
        <v>2</v>
      </c>
      <c r="F299">
        <f t="shared" si="353"/>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0</v>
      </c>
      <c r="I299">
        <v>0</v>
      </c>
      <c r="J299">
        <v>0</v>
      </c>
      <c r="K299">
        <v>297</v>
      </c>
    </row>
    <row r="300" spans="2:11">
      <c r="B300" t="s">
        <v>2357</v>
      </c>
      <c r="C300" t="s">
        <v>1857</v>
      </c>
      <c r="E300">
        <f t="shared" si="354"/>
        <v>2</v>
      </c>
      <c r="F300">
        <f t="shared" si="355"/>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218</v>
      </c>
      <c r="I300">
        <v>41</v>
      </c>
      <c r="J300">
        <v>28</v>
      </c>
      <c r="K300">
        <v>298</v>
      </c>
    </row>
    <row r="301" spans="2:11">
      <c r="B301" t="s">
        <v>2377</v>
      </c>
      <c r="C301" t="s">
        <v>2403</v>
      </c>
      <c r="E301">
        <f t="shared" si="352"/>
        <v>2</v>
      </c>
      <c r="F301">
        <f t="shared" si="353"/>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73</v>
      </c>
      <c r="I301">
        <v>151</v>
      </c>
      <c r="J301">
        <v>208</v>
      </c>
      <c r="K301">
        <v>299</v>
      </c>
    </row>
    <row r="302" spans="2:11">
      <c r="B302" t="s">
        <v>2377</v>
      </c>
      <c r="C302" t="s">
        <v>1839</v>
      </c>
      <c r="E302">
        <f t="shared" si="354"/>
        <v>2</v>
      </c>
      <c r="F302">
        <f t="shared" si="355"/>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255</v>
      </c>
      <c r="I302">
        <v>255</v>
      </c>
      <c r="J302">
        <v>255</v>
      </c>
      <c r="K302">
        <v>300</v>
      </c>
    </row>
    <row r="303" spans="2:11">
      <c r="B303" t="s">
        <v>1707</v>
      </c>
      <c r="C303" t="str">
        <f xml:space="preserve"> "072357"</f>
        <v>072357</v>
      </c>
      <c r="E303">
        <f t="shared" ref="E303" si="356" xml:space="preserve"> IF(AND(LEN(ChartLines.ID)&gt;0,"Unused"&lt;&gt;ChartLines.ID), COUNTIFS(ChartLines.ID,ChartLines.ID), "·")</f>
        <v>2</v>
      </c>
      <c r="F303">
        <f t="shared" ref="F303" si="357"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7</v>
      </c>
      <c r="I303">
        <v>35</v>
      </c>
      <c r="J303">
        <v>87</v>
      </c>
      <c r="K303">
        <v>301</v>
      </c>
    </row>
    <row r="304" spans="2:11">
      <c r="B304" t="s">
        <v>1707</v>
      </c>
      <c r="C304" t="s">
        <v>1939</v>
      </c>
      <c r="E304">
        <f t="shared" ref="E304" si="358" xml:space="preserve"> IF(AND(LEN(ChartLines.ID)&gt;0,"Unused"&lt;&gt;ChartLines.ID), COUNTIFS(ChartLines.ID,ChartLines.ID), "·")</f>
        <v>2</v>
      </c>
      <c r="F304">
        <f t="shared" ref="F304" si="359"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218</v>
      </c>
      <c r="I304">
        <v>18</v>
      </c>
      <c r="J304">
        <v>26</v>
      </c>
      <c r="K304">
        <v>302</v>
      </c>
    </row>
    <row r="305" spans="2:11">
      <c r="B305" t="s">
        <v>578</v>
      </c>
      <c r="C305" t="str">
        <f xml:space="preserve"> "002D62"</f>
        <v>002D62</v>
      </c>
      <c r="E305">
        <f t="shared" ref="E305" si="360" xml:space="preserve"> IF(AND(LEN(ChartLines.ID)&gt;0,"Unused"&lt;&gt;ChartLines.ID), COUNTIFS(ChartLines.ID,ChartLines.ID), "·")</f>
        <v>2</v>
      </c>
      <c r="F305">
        <f t="shared" ref="F305" si="36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45</v>
      </c>
      <c r="J305">
        <v>98</v>
      </c>
      <c r="K305">
        <v>303</v>
      </c>
    </row>
    <row r="306" spans="2:11">
      <c r="B306" t="s">
        <v>578</v>
      </c>
      <c r="C306" t="s">
        <v>1917</v>
      </c>
      <c r="E306">
        <f t="shared" ref="E306" si="362" xml:space="preserve"> IF(AND(LEN(ChartLines.ID)&gt;0,"Unused"&lt;&gt;ChartLines.ID), COUNTIFS(ChartLines.ID,ChartLines.ID), "·")</f>
        <v>2</v>
      </c>
      <c r="F306">
        <f t="shared" ref="F306" si="363"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206</v>
      </c>
      <c r="I306">
        <v>17</v>
      </c>
      <c r="J306">
        <v>38</v>
      </c>
      <c r="K306">
        <v>304</v>
      </c>
    </row>
    <row r="307" spans="2:11">
      <c r="B307" t="s">
        <v>579</v>
      </c>
      <c r="C307" t="str">
        <f xml:space="preserve"> "C8102E"</f>
        <v>C8102E</v>
      </c>
      <c r="E307">
        <f t="shared" ref="E307" si="364" xml:space="preserve"> IF(AND(LEN(ChartLines.ID)&gt;0,"Unused"&lt;&gt;ChartLines.ID), COUNTIFS(ChartLines.ID,ChartLines.ID), "·")</f>
        <v>2</v>
      </c>
      <c r="F307">
        <f t="shared" ref="F307" si="365"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200</v>
      </c>
      <c r="I307">
        <v>16</v>
      </c>
      <c r="J307">
        <v>46</v>
      </c>
      <c r="K307">
        <v>305</v>
      </c>
    </row>
    <row r="308" spans="2:11">
      <c r="B308" t="s">
        <v>579</v>
      </c>
      <c r="C308" t="str">
        <f xml:space="preserve"> "000000"</f>
        <v>000000</v>
      </c>
      <c r="E308">
        <f t="shared" ref="E308" si="366" xml:space="preserve"> IF(AND(LEN(ChartLines.ID)&gt;0,"Unused"&lt;&gt;ChartLines.ID), COUNTIFS(ChartLines.ID,ChartLines.ID), "·")</f>
        <v>2</v>
      </c>
      <c r="F308">
        <f t="shared" ref="F308" si="367"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0</v>
      </c>
      <c r="I308">
        <v>0</v>
      </c>
      <c r="J308">
        <v>0</v>
      </c>
      <c r="K308">
        <v>306</v>
      </c>
    </row>
    <row r="309" spans="2:11">
      <c r="B309" t="s">
        <v>580</v>
      </c>
      <c r="C309" t="str">
        <f xml:space="preserve"> "009639"</f>
        <v>009639</v>
      </c>
      <c r="E309">
        <f t="shared" ref="E309" si="368" xml:space="preserve"> IF(AND(LEN(ChartLines.ID)&gt;0,"Unused"&lt;&gt;ChartLines.ID), COUNTIFS(ChartLines.ID,ChartLines.ID), "·")</f>
        <v>2</v>
      </c>
      <c r="F309">
        <f t="shared" ref="F309" si="369"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0</v>
      </c>
      <c r="I309">
        <v>150</v>
      </c>
      <c r="J309">
        <v>57</v>
      </c>
      <c r="K309">
        <v>307</v>
      </c>
    </row>
    <row r="310" spans="2:11">
      <c r="B310" t="s">
        <v>580</v>
      </c>
      <c r="C310" t="str">
        <f xml:space="preserve"> "000000"</f>
        <v>000000</v>
      </c>
      <c r="E310">
        <f t="shared" ref="E310" si="370" xml:space="preserve"> IF(AND(LEN(ChartLines.ID)&gt;0,"Unused"&lt;&gt;ChartLines.ID), COUNTIFS(ChartLines.ID,ChartLines.ID), "·")</f>
        <v>2</v>
      </c>
      <c r="F310">
        <f t="shared" ref="F310" si="371"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0</v>
      </c>
      <c r="I310">
        <v>0</v>
      </c>
      <c r="J310">
        <v>0</v>
      </c>
      <c r="K310">
        <v>308</v>
      </c>
    </row>
    <row r="311" spans="2:11">
      <c r="B311" t="s">
        <v>1776</v>
      </c>
      <c r="C311" t="s">
        <v>1940</v>
      </c>
      <c r="E311">
        <f t="shared" ref="E311" si="372" xml:space="preserve"> IF(AND(LEN(ChartLines.ID)&gt;0,"Unused"&lt;&gt;ChartLines.ID), COUNTIFS(ChartLines.ID,ChartLines.ID), "·")</f>
        <v>2</v>
      </c>
      <c r="F311">
        <f t="shared" ref="F311" si="373"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255</v>
      </c>
      <c r="I311">
        <v>199</v>
      </c>
      <c r="J311">
        <v>44</v>
      </c>
      <c r="K311">
        <v>309</v>
      </c>
    </row>
    <row r="312" spans="2:11">
      <c r="B312" t="s">
        <v>1776</v>
      </c>
      <c r="C312" t="str">
        <f xml:space="preserve"> "00778B"</f>
        <v>00778B</v>
      </c>
      <c r="E312">
        <f t="shared" ref="E312" si="374" xml:space="preserve"> IF(AND(LEN(ChartLines.ID)&gt;0,"Unused"&lt;&gt;ChartLines.ID), COUNTIFS(ChartLines.ID,ChartLines.ID), "·")</f>
        <v>2</v>
      </c>
      <c r="F312">
        <f t="shared" ref="F312" si="375"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0</v>
      </c>
      <c r="I312">
        <v>119</v>
      </c>
      <c r="J312">
        <v>139</v>
      </c>
      <c r="K312">
        <v>310</v>
      </c>
    </row>
    <row r="313" spans="2:11">
      <c r="E313" t="str">
        <f t="shared" ref="E313" si="376" xml:space="preserve"> IF(AND(LEN(ChartLines.ID)&gt;0,"Unused"&lt;&gt;ChartLines.ID), COUNTIFS(ChartLines.ID,ChartLines.ID), "·")</f>
        <v>·</v>
      </c>
      <c r="F313" t="str">
        <f t="shared" ref="F313" si="377" xml:space="preserve"> IF(AND(LEN(ChartLines.ID)&gt;0,"Unused"&lt;&gt;ChartLines.ID), COUNTIFS(ChartLines.ID,ChartLines.ID,   ChartLines.RowNum,"&lt;="&amp;ChartLines.RowNum), "·")</f>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v>·</v>
      </c>
      <c r="I313" t="str">
        <v>·</v>
      </c>
      <c r="J313" t="str">
        <v>·</v>
      </c>
      <c r="K313">
        <v>311</v>
      </c>
    </row>
    <row r="314" spans="2:11">
      <c r="B314" t="s">
        <v>172</v>
      </c>
      <c r="C314" t="str">
        <f xml:space="preserve"> "003399"</f>
        <v>003399</v>
      </c>
      <c r="E314">
        <f t="shared" ref="E314" si="378" xml:space="preserve"> IF(AND(LEN(ChartLines.ID)&gt;0,"Unused"&lt;&gt;ChartLines.ID), COUNTIFS(ChartLines.ID,ChartLines.ID), "·")</f>
        <v>2</v>
      </c>
      <c r="F314">
        <f t="shared" ref="F314" si="379"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v>0</v>
      </c>
      <c r="I314">
        <v>51</v>
      </c>
      <c r="J314">
        <v>153</v>
      </c>
      <c r="K314">
        <v>312</v>
      </c>
    </row>
    <row r="315" spans="2:11">
      <c r="B315" t="s">
        <v>172</v>
      </c>
      <c r="C315" t="s">
        <v>2444</v>
      </c>
      <c r="E315">
        <f t="shared" ref="E315" si="380" xml:space="preserve"> IF(AND(LEN(ChartLines.ID)&gt;0,"Unused"&lt;&gt;ChartLines.ID), COUNTIFS(ChartLines.ID,ChartLines.ID), "·")</f>
        <v>2</v>
      </c>
      <c r="F315">
        <f t="shared" ref="F315" si="38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v>157</v>
      </c>
      <c r="I315">
        <v>157</v>
      </c>
      <c r="J315">
        <v>156</v>
      </c>
      <c r="K315">
        <v>313</v>
      </c>
    </row>
    <row r="316" spans="2:11">
      <c r="B316" t="s">
        <v>971</v>
      </c>
      <c r="C316" t="str">
        <f xml:space="preserve"> "0A6AAA"</f>
        <v>0A6AAA</v>
      </c>
      <c r="E316">
        <f t="shared" ref="E316" si="382" xml:space="preserve"> IF(AND(LEN(ChartLines.ID)&gt;0,"Unused"&lt;&gt;ChartLines.ID), COUNTIFS(ChartLines.ID,ChartLines.ID), "·")</f>
        <v>2</v>
      </c>
      <c r="F316">
        <f t="shared" ref="F316" si="383"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v>10</v>
      </c>
      <c r="I316">
        <v>106</v>
      </c>
      <c r="J316">
        <v>170</v>
      </c>
      <c r="K316">
        <v>314</v>
      </c>
    </row>
    <row r="317" spans="2:11">
      <c r="B317" t="s">
        <v>971</v>
      </c>
      <c r="C317" t="s">
        <v>1839</v>
      </c>
      <c r="E317">
        <f t="shared" ref="E317:E319" si="384" xml:space="preserve"> IF(AND(LEN(ChartLines.ID)&gt;0,"Unused"&lt;&gt;ChartLines.ID), COUNTIFS(ChartLines.ID,ChartLines.ID), "·")</f>
        <v>2</v>
      </c>
      <c r="F317">
        <f t="shared" ref="F317:F319" si="385"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v>255</v>
      </c>
      <c r="I317">
        <v>255</v>
      </c>
      <c r="J317">
        <v>255</v>
      </c>
      <c r="K317">
        <v>315</v>
      </c>
    </row>
    <row r="318" spans="2:11">
      <c r="B318" t="s">
        <v>2246</v>
      </c>
      <c r="C318" t="str">
        <f xml:space="preserve"> "092251"</f>
        <v>092251</v>
      </c>
      <c r="E318">
        <f t="shared" si="384"/>
        <v>2</v>
      </c>
      <c r="F318">
        <f t="shared" si="385"/>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v>9</v>
      </c>
      <c r="I318">
        <v>34</v>
      </c>
      <c r="J318">
        <v>81</v>
      </c>
      <c r="K318">
        <v>316</v>
      </c>
    </row>
    <row r="319" spans="2:11">
      <c r="B319" t="s">
        <v>2246</v>
      </c>
      <c r="C319" t="s">
        <v>1839</v>
      </c>
      <c r="E319">
        <f t="shared" si="384"/>
        <v>2</v>
      </c>
      <c r="F319">
        <f t="shared" si="385"/>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v>255</v>
      </c>
      <c r="I319">
        <v>255</v>
      </c>
      <c r="J319">
        <v>255</v>
      </c>
      <c r="K319">
        <v>317</v>
      </c>
    </row>
    <row r="320" spans="2:11">
      <c r="B320" t="s">
        <v>1941</v>
      </c>
      <c r="C320" t="str">
        <f xml:space="preserve"> "165788"</f>
        <v>165788</v>
      </c>
      <c r="E320">
        <f t="shared" ref="E320" si="386" xml:space="preserve"> IF(AND(LEN(ChartLines.ID)&gt;0,"Unused"&lt;&gt;ChartLines.ID), COUNTIFS(ChartLines.ID,ChartLines.ID), "·")</f>
        <v>2</v>
      </c>
      <c r="F320">
        <f t="shared" ref="F320" si="387"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22</v>
      </c>
      <c r="I320">
        <v>87</v>
      </c>
      <c r="J320">
        <v>136</v>
      </c>
      <c r="K320">
        <v>318</v>
      </c>
    </row>
    <row r="321" spans="2:11">
      <c r="B321" t="s">
        <v>1941</v>
      </c>
      <c r="C321" t="str">
        <f xml:space="preserve"> "C3DCF4"</f>
        <v>C3DCF4</v>
      </c>
      <c r="E321">
        <f t="shared" ref="E321" si="388" xml:space="preserve"> IF(AND(LEN(ChartLines.ID)&gt;0,"Unused"&lt;&gt;ChartLines.ID), COUNTIFS(ChartLines.ID,ChartLines.ID), "·")</f>
        <v>2</v>
      </c>
      <c r="F321">
        <f t="shared" ref="F321" si="389"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195</v>
      </c>
      <c r="I321">
        <v>220</v>
      </c>
      <c r="J321">
        <v>244</v>
      </c>
      <c r="K321">
        <v>319</v>
      </c>
    </row>
    <row r="322" spans="2:11">
      <c r="B322" t="s">
        <v>798</v>
      </c>
      <c r="C322" t="s">
        <v>2130</v>
      </c>
      <c r="E322">
        <f t="shared" ref="E322:E325" si="390" xml:space="preserve"> IF(AND(LEN(ChartLines.ID)&gt;0,"Unused"&lt;&gt;ChartLines.ID), COUNTIFS(ChartLines.ID,ChartLines.ID), "·")</f>
        <v>1</v>
      </c>
      <c r="F322">
        <f t="shared" ref="F322:F325" si="391"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SoleOrdinary</v>
      </c>
      <c r="H322">
        <v>27</v>
      </c>
      <c r="I322">
        <v>97</v>
      </c>
      <c r="J322">
        <v>140</v>
      </c>
      <c r="K322">
        <v>320</v>
      </c>
    </row>
    <row r="323" spans="2:11">
      <c r="B323" t="s">
        <v>2247</v>
      </c>
      <c r="C323">
        <v>273375</v>
      </c>
      <c r="E323">
        <f t="shared" si="390"/>
        <v>2</v>
      </c>
      <c r="F323">
        <f t="shared" si="391"/>
        <v>1</v>
      </c>
      <c r="G323" t="str" cm="1">
        <f t="array" ref="G323" xml:space="preserve"> _xlfn.IFS(OR(LEN(_xlfn.SINGLE(ChartLines.ID))=0,"Unused"=_xlfn.SINGLE(ChartLines.ID)), "·",   1=_xlfn.SINGLE(ChartLines.NumInstances), IF("USD"=_xlfn.SINGLE(ChartLines.ID), "SoleBig", "SoleOrdinary"),   1=_xlfn.SINGLE(ChartLines.InstanceNum), "Outer",   TRUE, "Inner")</f>
        <v>Outer</v>
      </c>
      <c r="H323">
        <v>39</v>
      </c>
      <c r="I323">
        <v>51</v>
      </c>
      <c r="J323">
        <v>117</v>
      </c>
      <c r="K323">
        <v>321</v>
      </c>
    </row>
    <row r="324" spans="2:11">
      <c r="B324" t="s">
        <v>2247</v>
      </c>
      <c r="C324" t="s">
        <v>2250</v>
      </c>
      <c r="E324">
        <f t="shared" si="390"/>
        <v>2</v>
      </c>
      <c r="F324">
        <f t="shared" si="391"/>
        <v>2</v>
      </c>
      <c r="G324" t="str" cm="1">
        <f t="array" ref="G324" xml:space="preserve"> _xlfn.IFS(OR(LEN(_xlfn.SINGLE(ChartLines.ID))=0,"Unused"=_xlfn.SINGLE(ChartLines.ID)), "·",   1=_xlfn.SINGLE(ChartLines.NumInstances), IF("USD"=_xlfn.SINGLE(ChartLines.ID), "SoleBig", "SoleOrdinary"),   1=_xlfn.SINGLE(ChartLines.InstanceNum), "Outer",   TRUE, "Inner")</f>
        <v>Inner</v>
      </c>
      <c r="H324">
        <v>226</v>
      </c>
      <c r="I324">
        <v>6</v>
      </c>
      <c r="J324">
        <v>19</v>
      </c>
      <c r="K324">
        <v>322</v>
      </c>
    </row>
    <row r="325" spans="2:11">
      <c r="B325" t="s">
        <v>1835</v>
      </c>
      <c r="E325" t="str">
        <f t="shared" si="390"/>
        <v>·</v>
      </c>
      <c r="F325" t="str">
        <f t="shared" si="391"/>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v>·</v>
      </c>
      <c r="I325" t="str">
        <v>·</v>
      </c>
      <c r="J325" t="str">
        <v>·</v>
      </c>
      <c r="K325">
        <v>323</v>
      </c>
    </row>
    <row r="326" spans="2:11">
      <c r="B326" t="s">
        <v>173</v>
      </c>
      <c r="C326" t="s">
        <v>1942</v>
      </c>
      <c r="E326">
        <f t="shared" ref="E326" si="392" xml:space="preserve"> IF(AND(LEN(ChartLines.ID)&gt;0,"Unused"&lt;&gt;ChartLines.ID), COUNTIFS(ChartLines.ID,ChartLines.ID), "·")</f>
        <v>1</v>
      </c>
      <c r="F326">
        <f t="shared" ref="F326" si="393"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SoleOrdinary</v>
      </c>
      <c r="H326">
        <v>28</v>
      </c>
      <c r="I326">
        <v>48</v>
      </c>
      <c r="J326">
        <v>96</v>
      </c>
      <c r="K326">
        <v>324</v>
      </c>
    </row>
    <row r="327" spans="2:11">
      <c r="B327" t="s">
        <v>1835</v>
      </c>
      <c r="E327" t="str">
        <f t="shared" ref="E327" si="394" xml:space="preserve"> IF(AND(LEN(ChartLines.ID)&gt;0,"Unused"&lt;&gt;ChartLines.ID), COUNTIFS(ChartLines.ID,ChartLines.ID), "·")</f>
        <v>·</v>
      </c>
      <c r="F327" t="str">
        <f t="shared" ref="F327" si="395" xml:space="preserve"> IF(AND(LEN(ChartLines.ID)&gt;0,"Unused"&lt;&gt;ChartLines.ID), COUNTIFS(ChartLines.ID,ChartLines.ID,   ChartLines.RowNum,"&lt;="&amp;ChartLines.RowNum), "·")</f>
        <v>·</v>
      </c>
      <c r="G327" t="str" cm="1">
        <f t="array" ref="G327" xml:space="preserve"> _xlfn.IFS(OR(LEN(_xlfn.SINGLE(ChartLines.ID))=0,"Unused"=_xlfn.SINGLE(ChartLines.ID)), "·",   1=_xlfn.SINGLE(ChartLines.NumInstances), IF("USD"=_xlfn.SINGLE(ChartLines.ID), "SoleBig", "SoleOrdinary"),   1=_xlfn.SINGLE(ChartLines.InstanceNum), "Outer",   TRUE, "Inner")</f>
        <v>·</v>
      </c>
      <c r="H327" t="str">
        <v>·</v>
      </c>
      <c r="I327" t="str">
        <v>·</v>
      </c>
      <c r="J327" t="str">
        <v>·</v>
      </c>
      <c r="K327">
        <v>325</v>
      </c>
    </row>
    <row r="328" spans="2:11">
      <c r="B328" t="s">
        <v>1943</v>
      </c>
      <c r="C328" t="s">
        <v>1944</v>
      </c>
      <c r="E328">
        <f t="shared" ref="E328" si="396" xml:space="preserve"> IF(AND(LEN(ChartLines.ID)&gt;0,"Unused"&lt;&gt;ChartLines.ID), COUNTIFS(ChartLines.ID,ChartLines.ID), "·")</f>
        <v>2</v>
      </c>
      <c r="F328">
        <f t="shared" ref="F328" si="397"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v>134</v>
      </c>
      <c r="I328">
        <v>12</v>
      </c>
      <c r="J328">
        <v>20</v>
      </c>
      <c r="K328">
        <v>326</v>
      </c>
    </row>
    <row r="329" spans="2:11">
      <c r="B329" t="s">
        <v>1943</v>
      </c>
      <c r="C329" t="s">
        <v>1839</v>
      </c>
      <c r="E329">
        <f t="shared" ref="E329" si="398" xml:space="preserve"> IF(AND(LEN(ChartLines.ID)&gt;0,"Unused"&lt;&gt;ChartLines.ID), COUNTIFS(ChartLines.ID,ChartLines.ID), "·")</f>
        <v>2</v>
      </c>
      <c r="F329">
        <f t="shared" ref="F329" si="399"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v>255</v>
      </c>
      <c r="I329">
        <v>255</v>
      </c>
      <c r="J329">
        <v>255</v>
      </c>
      <c r="K329">
        <v>327</v>
      </c>
    </row>
    <row r="330" spans="2:11">
      <c r="B330" t="s">
        <v>955</v>
      </c>
      <c r="C330" t="str">
        <f xml:space="preserve"> "039355"</f>
        <v>039355</v>
      </c>
      <c r="E330">
        <f t="shared" ref="E330" si="400" xml:space="preserve"> IF(AND(LEN(ChartLines.ID)&gt;0,"Unused"&lt;&gt;ChartLines.ID), COUNTIFS(ChartLines.ID,ChartLines.ID), "·")</f>
        <v>2</v>
      </c>
      <c r="F330">
        <f t="shared" ref="F330" si="40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v>3</v>
      </c>
      <c r="I330">
        <v>147</v>
      </c>
      <c r="J330">
        <v>85</v>
      </c>
      <c r="K330">
        <v>328</v>
      </c>
    </row>
    <row r="331" spans="2:11">
      <c r="B331" t="s">
        <v>955</v>
      </c>
      <c r="C331" t="s">
        <v>1839</v>
      </c>
      <c r="E331">
        <f t="shared" ref="E331" si="402" xml:space="preserve"> IF(AND(LEN(ChartLines.ID)&gt;0,"Unused"&lt;&gt;ChartLines.ID), COUNTIFS(ChartLines.ID,ChartLines.ID), "·")</f>
        <v>2</v>
      </c>
      <c r="F331">
        <f t="shared" ref="F331" si="403"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v>255</v>
      </c>
      <c r="I331">
        <v>255</v>
      </c>
      <c r="J331">
        <v>255</v>
      </c>
      <c r="K331">
        <v>329</v>
      </c>
    </row>
    <row r="332" spans="2:11">
      <c r="B332" t="s">
        <v>106</v>
      </c>
      <c r="C332" t="str">
        <f xml:space="preserve"> "000000"</f>
        <v>000000</v>
      </c>
      <c r="E332">
        <f t="shared" ref="E332" si="404" xml:space="preserve"> IF(AND(LEN(ChartLines.ID)&gt;0,"Unused"&lt;&gt;ChartLines.ID), COUNTIFS(ChartLines.ID,ChartLines.ID), "·")</f>
        <v>2</v>
      </c>
      <c r="F332">
        <f t="shared" ref="F332" si="405"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v>0</v>
      </c>
      <c r="I332">
        <v>0</v>
      </c>
      <c r="J332">
        <v>0</v>
      </c>
      <c r="K332">
        <v>330</v>
      </c>
    </row>
    <row r="333" spans="2:11">
      <c r="B333" t="s">
        <v>106</v>
      </c>
      <c r="C333" t="str">
        <f xml:space="preserve"> "039355"</f>
        <v>039355</v>
      </c>
      <c r="E333">
        <f t="shared" ref="E333:E335" si="406" xml:space="preserve"> IF(AND(LEN(ChartLines.ID)&gt;0,"Unused"&lt;&gt;ChartLines.ID), COUNTIFS(ChartLines.ID,ChartLines.ID), "·")</f>
        <v>2</v>
      </c>
      <c r="F333">
        <f t="shared" ref="F333:F335" si="407"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v>3</v>
      </c>
      <c r="I333">
        <v>147</v>
      </c>
      <c r="J333">
        <v>85</v>
      </c>
      <c r="K333">
        <v>331</v>
      </c>
    </row>
    <row r="334" spans="2:11">
      <c r="B334" t="s">
        <v>2042</v>
      </c>
      <c r="C334" t="s">
        <v>2043</v>
      </c>
      <c r="E334">
        <f t="shared" si="406"/>
        <v>2</v>
      </c>
      <c r="F334">
        <f t="shared" si="407"/>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25</v>
      </c>
      <c r="I334">
        <v>141</v>
      </c>
      <c r="J334">
        <v>102</v>
      </c>
      <c r="K334">
        <v>332</v>
      </c>
    </row>
    <row r="335" spans="2:11">
      <c r="B335" t="s">
        <v>2042</v>
      </c>
      <c r="C335" t="s">
        <v>2044</v>
      </c>
      <c r="E335">
        <f t="shared" si="406"/>
        <v>2</v>
      </c>
      <c r="F335">
        <f t="shared" si="407"/>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252</v>
      </c>
      <c r="I335">
        <v>185</v>
      </c>
      <c r="J335">
        <v>14</v>
      </c>
      <c r="K335">
        <v>333</v>
      </c>
    </row>
    <row r="336" spans="2:11">
      <c r="B336" t="s">
        <v>992</v>
      </c>
      <c r="C336" t="str">
        <f xml:space="preserve"> "005073"</f>
        <v>005073</v>
      </c>
      <c r="E336">
        <f t="shared" ref="E336" si="408" xml:space="preserve"> IF(AND(LEN(ChartLines.ID)&gt;0,"Unused"&lt;&gt;ChartLines.ID), COUNTIFS(ChartLines.ID,ChartLines.ID), "·")</f>
        <v>2</v>
      </c>
      <c r="F336">
        <f t="shared" ref="F336" si="409"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0</v>
      </c>
      <c r="I336">
        <v>80</v>
      </c>
      <c r="J336">
        <v>115</v>
      </c>
      <c r="K336">
        <v>334</v>
      </c>
    </row>
    <row r="337" spans="2:11">
      <c r="B337" t="s">
        <v>992</v>
      </c>
      <c r="C337" t="s">
        <v>1839</v>
      </c>
      <c r="E337">
        <f t="shared" ref="E337:E341" si="410" xml:space="preserve"> IF(AND(LEN(ChartLines.ID)&gt;0,"Unused"&lt;&gt;ChartLines.ID), COUNTIFS(ChartLines.ID,ChartLines.ID), "·")</f>
        <v>2</v>
      </c>
      <c r="F337">
        <f t="shared" ref="F337:F341" si="411"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2032</v>
      </c>
      <c r="C338" t="s">
        <v>2035</v>
      </c>
      <c r="E338">
        <f t="shared" si="410"/>
        <v>2</v>
      </c>
      <c r="F338">
        <f t="shared" si="411"/>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43</v>
      </c>
      <c r="I338">
        <v>206</v>
      </c>
      <c r="J338">
        <v>117</v>
      </c>
      <c r="K338">
        <v>336</v>
      </c>
    </row>
    <row r="339" spans="2:11">
      <c r="B339" t="s">
        <v>2032</v>
      </c>
      <c r="C339" t="s">
        <v>2036</v>
      </c>
      <c r="E339">
        <f t="shared" si="410"/>
        <v>2</v>
      </c>
      <c r="F339">
        <f t="shared" si="411"/>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0</v>
      </c>
      <c r="I339">
        <v>70</v>
      </c>
      <c r="J339">
        <v>194</v>
      </c>
      <c r="K339">
        <v>337</v>
      </c>
    </row>
    <row r="340" spans="2:11">
      <c r="B340" t="s">
        <v>2037</v>
      </c>
      <c r="C340" t="s">
        <v>2040</v>
      </c>
      <c r="E340">
        <f t="shared" si="410"/>
        <v>2</v>
      </c>
      <c r="F340">
        <f t="shared" si="411"/>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239</v>
      </c>
      <c r="I340">
        <v>190</v>
      </c>
      <c r="J340">
        <v>32</v>
      </c>
      <c r="K340">
        <v>338</v>
      </c>
    </row>
    <row r="341" spans="2:11">
      <c r="B341" t="s">
        <v>2037</v>
      </c>
      <c r="C341" t="s">
        <v>2041</v>
      </c>
      <c r="E341">
        <f t="shared" si="410"/>
        <v>2</v>
      </c>
      <c r="F341">
        <f t="shared" si="411"/>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11</v>
      </c>
      <c r="I341">
        <v>92</v>
      </c>
      <c r="J341">
        <v>174</v>
      </c>
      <c r="K341">
        <v>339</v>
      </c>
    </row>
    <row r="342" spans="2:11">
      <c r="B342" t="s">
        <v>1050</v>
      </c>
      <c r="C342" t="str">
        <f xml:space="preserve"> "056839"</f>
        <v>056839</v>
      </c>
      <c r="E342">
        <f t="shared" ref="E342" si="412" xml:space="preserve"> IF(AND(LEN(ChartLines.ID)&gt;0,"Unused"&lt;&gt;ChartLines.ID), COUNTIFS(ChartLines.ID,ChartLines.ID), "·")</f>
        <v>2</v>
      </c>
      <c r="F342">
        <f t="shared" ref="F342" si="413"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5</v>
      </c>
      <c r="I342">
        <v>104</v>
      </c>
      <c r="J342">
        <v>57</v>
      </c>
      <c r="K342">
        <v>340</v>
      </c>
    </row>
    <row r="343" spans="2:11">
      <c r="B343" t="s">
        <v>1050</v>
      </c>
      <c r="C343" t="s">
        <v>1945</v>
      </c>
      <c r="E343">
        <f t="shared" ref="E343" si="414" xml:space="preserve"> IF(AND(LEN(ChartLines.ID)&gt;0,"Unused"&lt;&gt;ChartLines.ID), COUNTIFS(ChartLines.ID,ChartLines.ID), "·")</f>
        <v>2</v>
      </c>
      <c r="F343">
        <f t="shared" ref="F343" si="415"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190</v>
      </c>
      <c r="I343">
        <v>214</v>
      </c>
      <c r="J343">
        <v>47</v>
      </c>
      <c r="K343">
        <v>341</v>
      </c>
    </row>
    <row r="344" spans="2:11">
      <c r="B344" t="s">
        <v>1946</v>
      </c>
      <c r="C344" t="str">
        <f xml:space="preserve"> "000000"</f>
        <v>000000</v>
      </c>
      <c r="E344">
        <f t="shared" ref="E344" si="416" xml:space="preserve"> IF(AND(LEN(ChartLines.ID)&gt;0,"Unused"&lt;&gt;ChartLines.ID), COUNTIFS(ChartLines.ID,ChartLines.ID), "·")</f>
        <v>2</v>
      </c>
      <c r="F344">
        <f t="shared" ref="F344" si="417"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0</v>
      </c>
      <c r="I344">
        <v>0</v>
      </c>
      <c r="J344">
        <v>0</v>
      </c>
      <c r="K344">
        <v>342</v>
      </c>
    </row>
    <row r="345" spans="2:11">
      <c r="B345" t="s">
        <v>1946</v>
      </c>
      <c r="C345" t="s">
        <v>1839</v>
      </c>
      <c r="E345">
        <f t="shared" ref="E345" si="418" xml:space="preserve"> IF(AND(LEN(ChartLines.ID)&gt;0,"Unused"&lt;&gt;ChartLines.ID), COUNTIFS(ChartLines.ID,ChartLines.ID), "·")</f>
        <v>2</v>
      </c>
      <c r="F345">
        <f t="shared" ref="F345" si="419" xml:space="preserve"> IF(AND(LEN(ChartLines.ID)&gt;0,"Unused"&lt;&gt;ChartLines.ID), COUNTIFS(ChartLines.ID,ChartLines.ID,   ChartLines.RowNum,"&lt;="&amp;ChartLines.RowNum), "·")</f>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255</v>
      </c>
      <c r="I345">
        <v>255</v>
      </c>
      <c r="J345">
        <v>255</v>
      </c>
      <c r="K345">
        <v>343</v>
      </c>
    </row>
    <row r="346" spans="2:11">
      <c r="B346" t="s">
        <v>1947</v>
      </c>
      <c r="C346" t="s">
        <v>1948</v>
      </c>
      <c r="E346">
        <f t="shared" ref="E346" si="420" xml:space="preserve"> IF(AND(LEN(ChartLines.ID)&gt;0,"Unused"&lt;&gt;ChartLines.ID), COUNTIFS(ChartLines.ID,ChartLines.ID), "·")</f>
        <v>1</v>
      </c>
      <c r="F346">
        <f t="shared" ref="F346" si="421" xml:space="preserve"> IF(AND(LEN(ChartLines.ID)&gt;0,"Unused"&lt;&gt;ChartLines.ID), COUNTIFS(ChartLines.ID,ChartLines.ID,   ChartLines.RowNum,"&lt;="&amp;ChartLines.RowNum), "·")</f>
        <v>1</v>
      </c>
      <c r="G346" t="str" cm="1">
        <f t="array" ref="G346" xml:space="preserve"> _xlfn.IFS(OR(LEN(_xlfn.SINGLE(ChartLines.ID))=0,"Unused"=_xlfn.SINGLE(ChartLines.ID)), "·",   1=_xlfn.SINGLE(ChartLines.NumInstances), IF("USD"=_xlfn.SINGLE(ChartLines.ID), "SoleBig", "SoleOrdinary"),   1=_xlfn.SINGLE(ChartLines.InstanceNum), "Outer",   TRUE, "Inner")</f>
        <v>SoleOrdinary</v>
      </c>
      <c r="H346">
        <v>0</v>
      </c>
      <c r="I346">
        <v>76</v>
      </c>
      <c r="J346">
        <v>151</v>
      </c>
      <c r="K346">
        <v>344</v>
      </c>
    </row>
    <row r="347" spans="2:11">
      <c r="B347" t="s">
        <v>1835</v>
      </c>
      <c r="E347" t="str">
        <f t="shared" ref="E347" si="422" xml:space="preserve"> IF(AND(LEN(ChartLines.ID)&gt;0,"Unused"&lt;&gt;ChartLines.ID), COUNTIFS(ChartLines.ID,ChartLines.ID), "·")</f>
        <v>·</v>
      </c>
      <c r="F347" t="str">
        <f t="shared" ref="F347" si="423" xml:space="preserve"> IF(AND(LEN(ChartLines.ID)&gt;0,"Unused"&lt;&gt;ChartLines.ID), COUNTIFS(ChartLines.ID,ChartLines.ID,   ChartLines.RowNum,"&lt;="&amp;ChartLines.RowNum), "·")</f>
        <v>·</v>
      </c>
      <c r="G347" t="str" cm="1">
        <f t="array" ref="G347" xml:space="preserve"> _xlfn.IFS(OR(LEN(_xlfn.SINGLE(ChartLines.ID))=0,"Unused"=_xlfn.SINGLE(ChartLines.ID)), "·",   1=_xlfn.SINGLE(ChartLines.NumInstances), IF("USD"=_xlfn.SINGLE(ChartLines.ID), "SoleBig", "SoleOrdinary"),   1=_xlfn.SINGLE(ChartLines.InstanceNum), "Outer",   TRUE, "Inner")</f>
        <v>·</v>
      </c>
      <c r="H347" t="str">
        <v>·</v>
      </c>
      <c r="I347" t="str">
        <v>·</v>
      </c>
      <c r="J347" t="str">
        <v>·</v>
      </c>
      <c r="K347">
        <v>345</v>
      </c>
    </row>
    <row r="348" spans="2:11">
      <c r="E348" t="str">
        <f t="shared" ref="E348" si="424" xml:space="preserve"> IF(AND(LEN(ChartLines.ID)&gt;0,"Unused"&lt;&gt;ChartLines.ID), COUNTIFS(ChartLines.ID,ChartLines.ID), "·")</f>
        <v>·</v>
      </c>
      <c r="F348" t="str">
        <f t="shared" ref="F348" si="425" xml:space="preserve"> IF(AND(LEN(ChartLines.ID)&gt;0,"Unused"&lt;&gt;ChartLines.ID), COUNTIFS(ChartLines.ID,ChartLines.ID,   ChartLines.RowNum,"&lt;="&amp;ChartLines.RowNum), "·")</f>
        <v>·</v>
      </c>
      <c r="G348" t="str" cm="1">
        <f t="array" ref="G348" xml:space="preserve"> _xlfn.IFS(OR(LEN(_xlfn.SINGLE(ChartLines.ID))=0,"Unused"=_xlfn.SINGLE(ChartLines.ID)), "·",   1=_xlfn.SINGLE(ChartLines.NumInstances), IF("USD"=_xlfn.SINGLE(ChartLines.ID), "SoleBig", "SoleOrdinary"),   1=_xlfn.SINGLE(ChartLines.InstanceNum), "Outer",   TRUE, "Inner")</f>
        <v>·</v>
      </c>
      <c r="H348" t="str">
        <v>·</v>
      </c>
      <c r="I348" t="str">
        <v>·</v>
      </c>
      <c r="J348" t="str">
        <v>·</v>
      </c>
      <c r="K348">
        <v>346</v>
      </c>
    </row>
    <row r="349" spans="2:11">
      <c r="B349" t="s">
        <v>1949</v>
      </c>
      <c r="C349" t="str">
        <f xml:space="preserve"> "996515"</f>
        <v>996515</v>
      </c>
      <c r="E349">
        <f t="shared" ref="E349" si="426" xml:space="preserve"> IF(AND(LEN(ChartLines.ID)&gt;0,"Unused"&lt;&gt;ChartLines.ID), COUNTIFS(ChartLines.ID,ChartLines.ID), "·")</f>
        <v>2</v>
      </c>
      <c r="F349">
        <f t="shared" ref="F349" si="427"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v>153</v>
      </c>
      <c r="I349">
        <v>101</v>
      </c>
      <c r="J349">
        <v>21</v>
      </c>
      <c r="K349">
        <v>347</v>
      </c>
    </row>
    <row r="350" spans="2:11">
      <c r="B350" t="s">
        <v>1949</v>
      </c>
      <c r="C350" t="str">
        <f xml:space="preserve"> "D4AF37"</f>
        <v>D4AF37</v>
      </c>
      <c r="E350">
        <f t="shared" ref="E350" si="428" xml:space="preserve"> IF(AND(LEN(ChartLines.ID)&gt;0,"Unused"&lt;&gt;ChartLines.ID), COUNTIFS(ChartLines.ID,ChartLines.ID), "·")</f>
        <v>2</v>
      </c>
      <c r="F350">
        <f t="shared" ref="F350" si="429"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v>212</v>
      </c>
      <c r="I350">
        <v>175</v>
      </c>
      <c r="J350">
        <v>55</v>
      </c>
      <c r="K350">
        <v>348</v>
      </c>
    </row>
    <row r="351" spans="2:11">
      <c r="B351" t="s">
        <v>1950</v>
      </c>
      <c r="C351" t="s">
        <v>1951</v>
      </c>
      <c r="E351">
        <f t="shared" ref="E351" si="430" xml:space="preserve"> IF(AND(LEN(ChartLines.ID)&gt;0,"Unused"&lt;&gt;ChartLines.ID), COUNTIFS(ChartLines.ID,ChartLines.ID), "·")</f>
        <v>2</v>
      </c>
      <c r="F351">
        <f t="shared" ref="F351" si="431"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v>92</v>
      </c>
      <c r="I351">
        <v>92</v>
      </c>
      <c r="J351">
        <v>92</v>
      </c>
      <c r="K351">
        <v>349</v>
      </c>
    </row>
    <row r="352" spans="2:11">
      <c r="B352" t="s">
        <v>1950</v>
      </c>
      <c r="C352" t="str">
        <f xml:space="preserve"> "C0C0C0"</f>
        <v>C0C0C0</v>
      </c>
      <c r="E352">
        <f t="shared" ref="E352" si="432" xml:space="preserve"> IF(AND(LEN(ChartLines.ID)&gt;0,"Unused"&lt;&gt;ChartLines.ID), COUNTIFS(ChartLines.ID,ChartLines.ID), "·")</f>
        <v>2</v>
      </c>
      <c r="F352">
        <f t="shared" ref="F352" si="433"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v>192</v>
      </c>
      <c r="I352">
        <v>192</v>
      </c>
      <c r="J352">
        <v>192</v>
      </c>
      <c r="K352">
        <v>350</v>
      </c>
    </row>
    <row r="353" spans="2:11">
      <c r="B353" t="s">
        <v>929</v>
      </c>
      <c r="C353" t="s">
        <v>1952</v>
      </c>
      <c r="E353">
        <f t="shared" ref="E353" si="434" xml:space="preserve"> IF(AND(LEN(ChartLines.ID)&gt;0,"Unused"&lt;&gt;ChartLines.ID), COUNTIFS(ChartLines.ID,ChartLines.ID), "·")</f>
        <v>2</v>
      </c>
      <c r="F353">
        <f t="shared" ref="F353" si="435" xml:space="preserve"> IF(AND(LEN(ChartLines.ID)&gt;0,"Unused"&lt;&gt;ChartLines.ID), COUNTIFS(ChartLines.ID,ChartLines.ID,   ChartLines.RowNum,"&lt;="&amp;ChartLines.RowNum), "·")</f>
        <v>1</v>
      </c>
      <c r="G353" t="str" cm="1">
        <f t="array" ref="G353" xml:space="preserve"> _xlfn.IFS(OR(LEN(_xlfn.SINGLE(ChartLines.ID))=0,"Unused"=_xlfn.SINGLE(ChartLines.ID)), "·",   1=_xlfn.SINGLE(ChartLines.NumInstances), IF("USD"=_xlfn.SINGLE(ChartLines.ID), "SoleBig", "SoleOrdinary"),   1=_xlfn.SINGLE(ChartLines.InstanceNum), "Outer",   TRUE, "Inner")</f>
        <v>Outer</v>
      </c>
      <c r="H353">
        <v>217</v>
      </c>
      <c r="I353">
        <v>91</v>
      </c>
      <c r="J353">
        <v>20</v>
      </c>
      <c r="K353">
        <v>351</v>
      </c>
    </row>
    <row r="354" spans="2:11">
      <c r="B354" t="s">
        <v>929</v>
      </c>
      <c r="C354" t="s">
        <v>1953</v>
      </c>
      <c r="E354">
        <f t="shared" ref="E354:E356" si="436" xml:space="preserve"> IF(AND(LEN(ChartLines.ID)&gt;0,"Unused"&lt;&gt;ChartLines.ID), COUNTIFS(ChartLines.ID,ChartLines.ID), "·")</f>
        <v>2</v>
      </c>
      <c r="F354">
        <f t="shared" ref="F354:F356" si="437" xml:space="preserve"> IF(AND(LEN(ChartLines.ID)&gt;0,"Unused"&lt;&gt;ChartLines.ID), COUNTIFS(ChartLines.ID,ChartLines.ID,   ChartLines.RowNum,"&lt;="&amp;ChartLines.RowNum), "·")</f>
        <v>2</v>
      </c>
      <c r="G354" t="str" cm="1">
        <f t="array" ref="G354" xml:space="preserve"> _xlfn.IFS(OR(LEN(_xlfn.SINGLE(ChartLines.ID))=0,"Unused"=_xlfn.SINGLE(ChartLines.ID)), "·",   1=_xlfn.SINGLE(ChartLines.NumInstances), IF("USD"=_xlfn.SINGLE(ChartLines.ID), "SoleBig", "SoleOrdinary"),   1=_xlfn.SINGLE(ChartLines.InstanceNum), "Outer",   TRUE, "Inner")</f>
        <v>Inner</v>
      </c>
      <c r="H354">
        <v>199</v>
      </c>
      <c r="I354">
        <v>199</v>
      </c>
      <c r="J354">
        <v>199</v>
      </c>
      <c r="K354">
        <v>352</v>
      </c>
    </row>
    <row r="355" spans="2:11">
      <c r="H355" t="str">
        <v>·</v>
      </c>
      <c r="I355" t="str">
        <v>·</v>
      </c>
      <c r="J355" t="str">
        <v>·</v>
      </c>
      <c r="K355">
        <v>353</v>
      </c>
    </row>
    <row r="356" spans="2:11">
      <c r="B356" t="s">
        <v>2617</v>
      </c>
      <c r="C356" t="s">
        <v>2617</v>
      </c>
      <c r="E356">
        <f t="shared" si="436"/>
        <v>1</v>
      </c>
      <c r="F356">
        <f t="shared" si="437"/>
        <v>1</v>
      </c>
      <c r="G356" t="str" cm="1">
        <f t="array" ref="G356" xml:space="preserve"> _xlfn.IFS(OR(LEN(_xlfn.SINGLE(ChartLines.ID))=0,"Unused"=_xlfn.SINGLE(ChartLines.ID)), "·",   1=_xlfn.SINGLE(ChartLines.NumInstances), IF("USD"=_xlfn.SINGLE(ChartLines.ID), "SoleBig", "SoleOrdinary"),   1=_xlfn.SINGLE(ChartLines.InstanceNum), "Outer",   TRUE, "Inner")</f>
        <v>SoleOrdinary</v>
      </c>
      <c r="H356" t="str">
        <v>·</v>
      </c>
      <c r="I356" t="str">
        <v>·</v>
      </c>
      <c r="J356" t="str">
        <v>·</v>
      </c>
      <c r="K356">
        <v>354</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8"/>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2446</v>
      </c>
      <c r="C5" s="35" t="s">
        <v>2447</v>
      </c>
      <c r="D5" s="35" t="s">
        <v>2448</v>
      </c>
      <c r="E5" s="35" t="s">
        <v>2449</v>
      </c>
    </row>
    <row r="7" spans="2:5">
      <c r="B7" s="5" t="s">
        <v>2</v>
      </c>
      <c r="C7" s="5" t="s">
        <v>2640</v>
      </c>
      <c r="E7" s="5" t="s">
        <v>2641</v>
      </c>
    </row>
    <row r="8" spans="2:5">
      <c r="B8" s="5" t="s">
        <v>2648</v>
      </c>
      <c r="C8" s="5" t="s">
        <v>2662</v>
      </c>
      <c r="D8" s="5" t="s">
        <v>2664</v>
      </c>
    </row>
    <row r="9" spans="2:5">
      <c r="B9" s="5" t="s">
        <v>2651</v>
      </c>
      <c r="C9" s="5" t="s">
        <v>2663</v>
      </c>
      <c r="D9" s="5" t="s">
        <v>2665</v>
      </c>
    </row>
    <row r="10" spans="2:5">
      <c r="B10" s="5" t="s">
        <v>405</v>
      </c>
      <c r="C10" s="5" t="s">
        <v>2450</v>
      </c>
      <c r="D10" s="5" t="s">
        <v>2674</v>
      </c>
    </row>
    <row r="11" spans="2:5">
      <c r="B11" s="5" t="s">
        <v>2673</v>
      </c>
      <c r="C11" s="5" t="s">
        <v>2676</v>
      </c>
      <c r="D11" s="5" t="s">
        <v>2675</v>
      </c>
    </row>
    <row r="12" spans="2:5">
      <c r="B12" s="5" t="s">
        <v>0</v>
      </c>
      <c r="C12" s="5" t="s">
        <v>2451</v>
      </c>
      <c r="D12" s="5" t="s">
        <v>2452</v>
      </c>
    </row>
    <row r="13" spans="2:5">
      <c r="B13" s="5" t="s">
        <v>2256</v>
      </c>
      <c r="C13" s="5" t="s">
        <v>2453</v>
      </c>
    </row>
    <row r="14" spans="2:5">
      <c r="B14" s="5" t="s">
        <v>2254</v>
      </c>
      <c r="C14" s="5" t="s">
        <v>2454</v>
      </c>
    </row>
    <row r="15" spans="2:5">
      <c r="B15" s="5" t="s">
        <v>2257</v>
      </c>
      <c r="C15" s="5" t="s">
        <v>2455</v>
      </c>
    </row>
    <row r="16" spans="2:5">
      <c r="B16" s="5" t="s">
        <v>2255</v>
      </c>
      <c r="C16" s="5" t="s">
        <v>2456</v>
      </c>
    </row>
    <row r="17" spans="2:5">
      <c r="B17" s="5" t="s">
        <v>2258</v>
      </c>
      <c r="C17" s="5" t="s">
        <v>2457</v>
      </c>
      <c r="D17" s="5" t="s">
        <v>2626</v>
      </c>
    </row>
    <row r="18" spans="2:5">
      <c r="B18" s="5" t="s">
        <v>7</v>
      </c>
      <c r="C18" s="5" t="s">
        <v>2458</v>
      </c>
    </row>
    <row r="19" spans="2:5">
      <c r="B19" s="5" t="s">
        <v>1539</v>
      </c>
      <c r="C19" s="5" t="s">
        <v>2459</v>
      </c>
      <c r="D19" s="5" t="s">
        <v>2460</v>
      </c>
    </row>
    <row r="20" spans="2:5">
      <c r="B20" s="5" t="s">
        <v>2281</v>
      </c>
      <c r="C20" s="5" t="s">
        <v>2461</v>
      </c>
      <c r="D20" s="5" t="s">
        <v>2462</v>
      </c>
    </row>
    <row r="21" spans="2:5">
      <c r="B21" s="5" t="s">
        <v>1840</v>
      </c>
      <c r="C21" s="5" t="s">
        <v>2463</v>
      </c>
      <c r="D21" s="5" t="s">
        <v>2464</v>
      </c>
    </row>
    <row r="22" spans="2:5">
      <c r="B22" s="5" t="s">
        <v>2299</v>
      </c>
      <c r="C22" s="5" t="s">
        <v>2465</v>
      </c>
      <c r="D22" s="5" t="s">
        <v>2466</v>
      </c>
    </row>
    <row r="23" spans="2:5">
      <c r="B23" s="5" t="s">
        <v>1841</v>
      </c>
      <c r="C23" s="5" t="s">
        <v>2467</v>
      </c>
    </row>
    <row r="24" spans="2:5">
      <c r="B24" s="5" t="s">
        <v>122</v>
      </c>
      <c r="C24" s="5" t="s">
        <v>2468</v>
      </c>
    </row>
    <row r="25" spans="2:5">
      <c r="B25" s="5" t="s">
        <v>126</v>
      </c>
      <c r="C25" s="5" t="s">
        <v>2469</v>
      </c>
    </row>
    <row r="26" spans="2:5">
      <c r="B26" s="5" t="s">
        <v>128</v>
      </c>
      <c r="C26" s="5" t="s">
        <v>2470</v>
      </c>
    </row>
    <row r="27" spans="2:5">
      <c r="B27" s="5" t="s">
        <v>133</v>
      </c>
      <c r="C27" s="5" t="s">
        <v>2471</v>
      </c>
    </row>
    <row r="28" spans="2:5">
      <c r="B28" s="5" t="s">
        <v>1884</v>
      </c>
      <c r="C28" s="5" t="s">
        <v>2647</v>
      </c>
    </row>
    <row r="29" spans="2:5">
      <c r="B29" s="5" t="s">
        <v>203</v>
      </c>
      <c r="C29" s="5" t="s">
        <v>2472</v>
      </c>
    </row>
    <row r="30" spans="2:5">
      <c r="B30" s="5" t="s">
        <v>1886</v>
      </c>
      <c r="C30" s="5" t="s">
        <v>2630</v>
      </c>
      <c r="E30" s="5" t="s">
        <v>2631</v>
      </c>
    </row>
    <row r="31" spans="2:5">
      <c r="B31" s="5" t="s">
        <v>136</v>
      </c>
      <c r="C31" s="5" t="s">
        <v>2473</v>
      </c>
    </row>
    <row r="32" spans="2:5">
      <c r="B32" s="5" t="s">
        <v>235</v>
      </c>
      <c r="C32" s="5" t="s">
        <v>2632</v>
      </c>
      <c r="E32" s="5" t="s">
        <v>2633</v>
      </c>
    </row>
    <row r="33" spans="2:3">
      <c r="B33" s="5" t="s">
        <v>162</v>
      </c>
      <c r="C33" s="5" t="s">
        <v>2474</v>
      </c>
    </row>
    <row r="34" spans="2:3">
      <c r="B34" s="5" t="s">
        <v>163</v>
      </c>
      <c r="C34" s="5" t="s">
        <v>2475</v>
      </c>
    </row>
    <row r="35" spans="2:3">
      <c r="B35" s="5" t="s">
        <v>2379</v>
      </c>
      <c r="C35" s="5" t="s">
        <v>2476</v>
      </c>
    </row>
    <row r="36" spans="2:3">
      <c r="B36" s="5" t="s">
        <v>248</v>
      </c>
      <c r="C36" s="5" t="s">
        <v>2477</v>
      </c>
    </row>
    <row r="37" spans="2:3">
      <c r="B37" s="5" t="s">
        <v>261</v>
      </c>
      <c r="C37" s="5" t="s">
        <v>2478</v>
      </c>
    </row>
    <row r="38" spans="2:3">
      <c r="B38" s="5" t="s">
        <v>296</v>
      </c>
      <c r="C38" s="5" t="s">
        <v>2479</v>
      </c>
    </row>
    <row r="39" spans="2:3">
      <c r="B39" s="5" t="s">
        <v>135</v>
      </c>
      <c r="C39" s="5" t="s">
        <v>2480</v>
      </c>
    </row>
    <row r="40" spans="2:3">
      <c r="B40" s="5" t="s">
        <v>97</v>
      </c>
      <c r="C40" s="5" t="s">
        <v>2481</v>
      </c>
    </row>
    <row r="41" spans="2:3">
      <c r="B41" s="5" t="s">
        <v>164</v>
      </c>
      <c r="C41" s="5" t="s">
        <v>2482</v>
      </c>
    </row>
    <row r="42" spans="2:3">
      <c r="B42" s="5" t="s">
        <v>2420</v>
      </c>
      <c r="C42" s="5" t="s">
        <v>2625</v>
      </c>
    </row>
    <row r="43" spans="2:3">
      <c r="B43" s="5" t="s">
        <v>1900</v>
      </c>
      <c r="C43" s="5" t="s">
        <v>2483</v>
      </c>
    </row>
    <row r="44" spans="2:3">
      <c r="B44" s="5" t="s">
        <v>2311</v>
      </c>
      <c r="C44" s="5" t="s">
        <v>2484</v>
      </c>
    </row>
    <row r="45" spans="2:3">
      <c r="B45" s="5" t="s">
        <v>2409</v>
      </c>
      <c r="C45" s="5" t="s">
        <v>2485</v>
      </c>
    </row>
    <row r="46" spans="2:3">
      <c r="B46" s="5" t="s">
        <v>1614</v>
      </c>
      <c r="C46" s="5" t="s">
        <v>2486</v>
      </c>
    </row>
    <row r="47" spans="2:3">
      <c r="B47" s="5" t="s">
        <v>2268</v>
      </c>
      <c r="C47" s="5" t="s">
        <v>2487</v>
      </c>
    </row>
    <row r="48" spans="2:3">
      <c r="B48" s="5" t="s">
        <v>132</v>
      </c>
      <c r="C48" s="5" t="s">
        <v>2488</v>
      </c>
    </row>
    <row r="49" spans="2:5">
      <c r="B49" s="5" t="s">
        <v>1540</v>
      </c>
      <c r="C49" s="5" t="s">
        <v>2489</v>
      </c>
    </row>
    <row r="50" spans="2:5">
      <c r="B50" s="5" t="s">
        <v>326</v>
      </c>
      <c r="C50" s="5" t="s">
        <v>2490</v>
      </c>
    </row>
    <row r="51" spans="2:5">
      <c r="B51" s="5" t="s">
        <v>372</v>
      </c>
      <c r="C51" s="5" t="s">
        <v>2491</v>
      </c>
    </row>
    <row r="52" spans="2:5">
      <c r="B52" s="5" t="s">
        <v>357</v>
      </c>
      <c r="C52" s="5" t="s">
        <v>2638</v>
      </c>
    </row>
    <row r="53" spans="2:5">
      <c r="B53" s="5" t="s">
        <v>376</v>
      </c>
      <c r="C53" s="5" t="s">
        <v>2492</v>
      </c>
    </row>
    <row r="54" spans="2:5">
      <c r="B54" s="5" t="s">
        <v>393</v>
      </c>
      <c r="C54" s="5" t="s">
        <v>2493</v>
      </c>
    </row>
    <row r="55" spans="2:5">
      <c r="B55" s="5" t="s">
        <v>879</v>
      </c>
      <c r="C55" s="5" t="s">
        <v>2494</v>
      </c>
    </row>
    <row r="56" spans="2:5">
      <c r="B56" s="5" t="s">
        <v>394</v>
      </c>
      <c r="C56" s="5" t="s">
        <v>2495</v>
      </c>
    </row>
    <row r="57" spans="2:5">
      <c r="B57" s="5" t="s">
        <v>406</v>
      </c>
      <c r="C57" s="5" t="s">
        <v>2496</v>
      </c>
    </row>
    <row r="58" spans="2:5">
      <c r="B58" s="5" t="s">
        <v>1670</v>
      </c>
      <c r="C58" s="5" t="s">
        <v>2497</v>
      </c>
    </row>
    <row r="59" spans="2:5">
      <c r="B59" s="5" t="s">
        <v>165</v>
      </c>
      <c r="C59" s="5" t="s">
        <v>2498</v>
      </c>
    </row>
    <row r="60" spans="2:5">
      <c r="B60" s="5" t="s">
        <v>1912</v>
      </c>
      <c r="C60" s="5" t="s">
        <v>2499</v>
      </c>
      <c r="E60" s="5" t="s">
        <v>2500</v>
      </c>
    </row>
    <row r="61" spans="2:5">
      <c r="B61" s="5" t="s">
        <v>2414</v>
      </c>
      <c r="C61" s="5" t="s">
        <v>2501</v>
      </c>
    </row>
    <row r="62" spans="2:5">
      <c r="B62" s="5" t="s">
        <v>2415</v>
      </c>
      <c r="C62" s="5" t="s">
        <v>2502</v>
      </c>
    </row>
    <row r="63" spans="2:5">
      <c r="B63" s="5" t="s">
        <v>2154</v>
      </c>
      <c r="C63" s="5" t="s">
        <v>2503</v>
      </c>
    </row>
    <row r="64" spans="2:5">
      <c r="B64" s="5" t="s">
        <v>407</v>
      </c>
      <c r="C64" s="5" t="s">
        <v>2634</v>
      </c>
      <c r="E64" s="5" t="s">
        <v>2635</v>
      </c>
    </row>
    <row r="65" spans="2:5">
      <c r="B65" s="5" t="s">
        <v>134</v>
      </c>
      <c r="C65" s="5" t="s">
        <v>2642</v>
      </c>
    </row>
    <row r="66" spans="2:5">
      <c r="B66" s="5" t="s">
        <v>166</v>
      </c>
      <c r="C66" s="5" t="s">
        <v>2504</v>
      </c>
    </row>
    <row r="67" spans="2:5">
      <c r="B67" s="5" t="s">
        <v>459</v>
      </c>
      <c r="C67" s="5" t="s">
        <v>2505</v>
      </c>
    </row>
    <row r="68" spans="2:5">
      <c r="B68" s="5" t="s">
        <v>1978</v>
      </c>
      <c r="C68" s="5" t="s">
        <v>2506</v>
      </c>
    </row>
    <row r="69" spans="2:5">
      <c r="B69" s="5" t="s">
        <v>473</v>
      </c>
      <c r="C69" s="5" t="s">
        <v>2507</v>
      </c>
    </row>
    <row r="70" spans="2:5">
      <c r="B70" s="5" t="s">
        <v>2413</v>
      </c>
      <c r="C70" s="5" t="s">
        <v>2508</v>
      </c>
    </row>
    <row r="71" spans="2:5">
      <c r="B71" s="5" t="s">
        <v>1916</v>
      </c>
      <c r="C71" s="5" t="s">
        <v>2509</v>
      </c>
    </row>
    <row r="72" spans="2:5">
      <c r="B72" s="5" t="s">
        <v>2026</v>
      </c>
      <c r="C72" s="5" t="s">
        <v>2510</v>
      </c>
    </row>
    <row r="73" spans="2:5">
      <c r="B73" s="5" t="s">
        <v>491</v>
      </c>
      <c r="C73" s="5" t="s">
        <v>2511</v>
      </c>
    </row>
    <row r="74" spans="2:5">
      <c r="B74" s="5" t="s">
        <v>167</v>
      </c>
      <c r="C74" s="5" t="s">
        <v>2512</v>
      </c>
    </row>
    <row r="75" spans="2:5">
      <c r="B75" s="5" t="s">
        <v>2310</v>
      </c>
      <c r="C75" s="5" t="s">
        <v>2644</v>
      </c>
    </row>
    <row r="76" spans="2:5">
      <c r="B76" s="5" t="s">
        <v>2306</v>
      </c>
      <c r="C76" s="5" t="s">
        <v>2513</v>
      </c>
    </row>
    <row r="77" spans="2:5">
      <c r="B77" s="5" t="s">
        <v>1918</v>
      </c>
      <c r="C77" s="5" t="s">
        <v>2514</v>
      </c>
    </row>
    <row r="78" spans="2:5">
      <c r="B78" s="5" t="s">
        <v>137</v>
      </c>
      <c r="C78" s="5" t="s">
        <v>2515</v>
      </c>
    </row>
    <row r="79" spans="2:5">
      <c r="B79" s="5" t="s">
        <v>138</v>
      </c>
      <c r="C79" s="5" t="s">
        <v>2516</v>
      </c>
    </row>
    <row r="80" spans="2:5">
      <c r="B80" s="5" t="s">
        <v>1624</v>
      </c>
      <c r="C80" s="5" t="s">
        <v>2517</v>
      </c>
      <c r="E80" s="5" t="s">
        <v>2643</v>
      </c>
    </row>
    <row r="81" spans="2:5">
      <c r="B81" s="5" t="s">
        <v>492</v>
      </c>
      <c r="C81" s="5" t="s">
        <v>2518</v>
      </c>
    </row>
    <row r="82" spans="2:5">
      <c r="B82" s="5" t="s">
        <v>900</v>
      </c>
      <c r="C82" s="5" t="s">
        <v>2519</v>
      </c>
    </row>
    <row r="83" spans="2:5">
      <c r="B83" s="5" t="s">
        <v>510</v>
      </c>
      <c r="C83" s="5" t="s">
        <v>2628</v>
      </c>
      <c r="E83" s="5" t="s">
        <v>2629</v>
      </c>
    </row>
    <row r="84" spans="2:5">
      <c r="B84" s="5" t="s">
        <v>433</v>
      </c>
      <c r="C84" s="5" t="s">
        <v>2520</v>
      </c>
    </row>
    <row r="85" spans="2:5">
      <c r="B85" s="5" t="s">
        <v>168</v>
      </c>
      <c r="C85" s="5" t="s">
        <v>2521</v>
      </c>
    </row>
    <row r="86" spans="2:5">
      <c r="B86" s="5" t="s">
        <v>1617</v>
      </c>
      <c r="C86" s="5" t="s">
        <v>2522</v>
      </c>
    </row>
    <row r="87" spans="2:5">
      <c r="B87" s="5" t="s">
        <v>2005</v>
      </c>
      <c r="C87" s="5" t="s">
        <v>2523</v>
      </c>
    </row>
    <row r="88" spans="2:5">
      <c r="B88" s="5" t="s">
        <v>1627</v>
      </c>
      <c r="C88" s="5" t="s">
        <v>2524</v>
      </c>
    </row>
    <row r="89" spans="2:5">
      <c r="B89" s="5" t="s">
        <v>1623</v>
      </c>
      <c r="C89" s="5" t="s">
        <v>2525</v>
      </c>
    </row>
    <row r="90" spans="2:5">
      <c r="B90" s="5" t="s">
        <v>1637</v>
      </c>
      <c r="C90" s="5" t="s">
        <v>2526</v>
      </c>
    </row>
    <row r="91" spans="2:5">
      <c r="B91" s="5" t="s">
        <v>1620</v>
      </c>
      <c r="C91" s="5" t="s">
        <v>2527</v>
      </c>
    </row>
    <row r="92" spans="2:5">
      <c r="B92" s="5" t="s">
        <v>1959</v>
      </c>
      <c r="C92" s="5" t="s">
        <v>2528</v>
      </c>
    </row>
    <row r="93" spans="2:5">
      <c r="B93" s="5" t="s">
        <v>139</v>
      </c>
      <c r="C93" s="5" t="s">
        <v>2529</v>
      </c>
    </row>
    <row r="94" spans="2:5">
      <c r="B94" s="5" t="s">
        <v>99</v>
      </c>
      <c r="C94" s="5" t="s">
        <v>2530</v>
      </c>
    </row>
    <row r="95" spans="2:5">
      <c r="B95" s="5" t="s">
        <v>98</v>
      </c>
      <c r="C95" s="5" t="s">
        <v>2531</v>
      </c>
    </row>
    <row r="96" spans="2:5">
      <c r="B96" s="5" t="s">
        <v>2418</v>
      </c>
      <c r="C96" s="5" t="s">
        <v>2532</v>
      </c>
    </row>
    <row r="97" spans="2:5">
      <c r="B97" s="5" t="s">
        <v>2151</v>
      </c>
      <c r="C97" s="5" t="s">
        <v>2533</v>
      </c>
    </row>
    <row r="98" spans="2:5">
      <c r="B98" s="5" t="s">
        <v>526</v>
      </c>
      <c r="C98" s="5" t="s">
        <v>2534</v>
      </c>
    </row>
    <row r="99" spans="2:5">
      <c r="B99" s="5" t="s">
        <v>528</v>
      </c>
      <c r="C99" s="5" t="s">
        <v>2535</v>
      </c>
    </row>
    <row r="100" spans="2:5">
      <c r="B100" s="5" t="s">
        <v>140</v>
      </c>
      <c r="C100" s="5" t="s">
        <v>2536</v>
      </c>
      <c r="E100" s="5" t="s">
        <v>2537</v>
      </c>
    </row>
    <row r="101" spans="2:5">
      <c r="B101" s="5" t="s">
        <v>100</v>
      </c>
      <c r="C101" s="5" t="s">
        <v>2538</v>
      </c>
    </row>
    <row r="102" spans="2:5">
      <c r="B102" s="5" t="s">
        <v>101</v>
      </c>
      <c r="C102" s="5" t="s">
        <v>2539</v>
      </c>
    </row>
    <row r="103" spans="2:5">
      <c r="B103" s="5" t="s">
        <v>544</v>
      </c>
      <c r="C103" s="5" t="s">
        <v>2540</v>
      </c>
    </row>
    <row r="104" spans="2:5">
      <c r="B104" s="5" t="s">
        <v>102</v>
      </c>
      <c r="C104" s="5" t="s">
        <v>2541</v>
      </c>
    </row>
    <row r="105" spans="2:5">
      <c r="B105" s="5" t="s">
        <v>1936</v>
      </c>
      <c r="C105" s="5" t="s">
        <v>2542</v>
      </c>
    </row>
    <row r="106" spans="2:5">
      <c r="B106" s="5" t="s">
        <v>560</v>
      </c>
      <c r="C106" s="5" t="s">
        <v>2543</v>
      </c>
    </row>
    <row r="107" spans="2:5">
      <c r="B107" s="5" t="s">
        <v>563</v>
      </c>
      <c r="C107" s="5" t="s">
        <v>2544</v>
      </c>
    </row>
    <row r="108" spans="2:5">
      <c r="B108" s="5" t="s">
        <v>2314</v>
      </c>
      <c r="C108" s="5" t="s">
        <v>2545</v>
      </c>
    </row>
    <row r="109" spans="2:5">
      <c r="B109" s="5" t="s">
        <v>2309</v>
      </c>
      <c r="C109" s="5" t="s">
        <v>2546</v>
      </c>
    </row>
    <row r="110" spans="2:5">
      <c r="B110" s="5" t="s">
        <v>169</v>
      </c>
      <c r="C110" s="5" t="s">
        <v>2547</v>
      </c>
    </row>
    <row r="111" spans="2:5">
      <c r="B111" s="5" t="s">
        <v>2357</v>
      </c>
      <c r="C111" s="5" t="s">
        <v>2548</v>
      </c>
    </row>
    <row r="112" spans="2:5">
      <c r="B112" s="5" t="s">
        <v>2377</v>
      </c>
      <c r="C112" s="5" t="s">
        <v>2549</v>
      </c>
    </row>
    <row r="113" spans="2:5">
      <c r="B113" s="5" t="s">
        <v>1707</v>
      </c>
      <c r="C113" s="5" t="s">
        <v>2550</v>
      </c>
      <c r="E113" s="5" t="s">
        <v>2537</v>
      </c>
    </row>
    <row r="114" spans="2:5">
      <c r="B114" s="5" t="s">
        <v>578</v>
      </c>
      <c r="C114" s="5" t="s">
        <v>2551</v>
      </c>
    </row>
    <row r="115" spans="2:5">
      <c r="B115" s="5" t="s">
        <v>579</v>
      </c>
      <c r="C115" s="5" t="s">
        <v>2552</v>
      </c>
    </row>
    <row r="116" spans="2:5">
      <c r="B116" s="5" t="s">
        <v>580</v>
      </c>
      <c r="C116" s="5" t="s">
        <v>2553</v>
      </c>
    </row>
    <row r="117" spans="2:5">
      <c r="B117" s="5" t="s">
        <v>1776</v>
      </c>
      <c r="C117" s="5" t="s">
        <v>2554</v>
      </c>
    </row>
    <row r="118" spans="2:5">
      <c r="B118" s="5" t="s">
        <v>794</v>
      </c>
      <c r="C118" s="5" t="s">
        <v>2555</v>
      </c>
      <c r="D118" s="5" t="s">
        <v>2668</v>
      </c>
    </row>
    <row r="119" spans="2:5">
      <c r="B119" s="5" t="s">
        <v>2652</v>
      </c>
      <c r="C119" s="5" t="str">
        <f xml:space="preserve"> "Shape from `" &amp; $B$118 &amp; "` marker; with green."</f>
        <v>Shape from `EU` marker; with green.</v>
      </c>
      <c r="D119" s="5" t="s">
        <v>2666</v>
      </c>
    </row>
    <row r="120" spans="2:5">
      <c r="B120" s="5" t="s">
        <v>2653</v>
      </c>
      <c r="C120" s="5" t="str">
        <f xml:space="preserve"> "Shape from `" &amp; $B$118 &amp; "` marker; with blue and yellow from the [flag of Europe](http://en.wikipedia.org/wiki/Flag_of_Europe)."</f>
        <v>Shape from `EU` marker; with blue and yellow from the [flag of Europe](http://en.wikipedia.org/wiki/Flag_of_Europe).</v>
      </c>
      <c r="D120" s="5" t="s">
        <v>2667</v>
      </c>
    </row>
    <row r="121" spans="2:5">
      <c r="B121" s="5" t="s">
        <v>2654</v>
      </c>
      <c r="C121" s="5" t="str">
        <f xml:space="preserve"> "Shape from `" &amp; $B$118 &amp; "` marker; with blue from the [flag of Europe](http://en.wikipedia.org/wiki/Flag_of_Europe)."</f>
        <v>Shape from `EU` marker; with blue from the [flag of Europe](http://en.wikipedia.org/wiki/Flag_of_Europe).</v>
      </c>
      <c r="D121" s="5" t="s">
        <v>2669</v>
      </c>
    </row>
    <row r="122" spans="2:5">
      <c r="B122" s="5" t="s">
        <v>796</v>
      </c>
      <c r="C122" s="5" t="s">
        <v>2556</v>
      </c>
    </row>
    <row r="123" spans="2:5">
      <c r="B123" s="5" t="s">
        <v>581</v>
      </c>
      <c r="C123" s="5" t="s">
        <v>2557</v>
      </c>
      <c r="D123" s="5" t="s">
        <v>2558</v>
      </c>
    </row>
    <row r="124" spans="2:5">
      <c r="B124" s="5" t="str">
        <f xml:space="preserve"> B123&amp;"_2"</f>
        <v>DE_2</v>
      </c>
      <c r="C124" s="5" t="str">
        <f xml:space="preserve"> "Shape from `" &amp; $B123 &amp; "` marker; red replacing white."</f>
        <v>Shape from `DE` marker; red replacing white.</v>
      </c>
      <c r="D124" s="5" t="s">
        <v>2559</v>
      </c>
    </row>
    <row r="125" spans="2:5">
      <c r="B125" s="5" t="s">
        <v>598</v>
      </c>
      <c r="C125" s="5" t="s">
        <v>2560</v>
      </c>
      <c r="D125" s="5" t="s">
        <v>2561</v>
      </c>
    </row>
    <row r="126" spans="2:5">
      <c r="B126" s="5" t="str">
        <f xml:space="preserve"> B125&amp;"_2"</f>
        <v>FR_2</v>
      </c>
      <c r="C126" s="5" t="str">
        <f xml:space="preserve"> "Shape from `" &amp; $B125 &amp; "` marker; colours re-ordereed and black replacing white."</f>
        <v>Shape from `FR` marker; colours re-ordereed and black replacing white.</v>
      </c>
      <c r="D126" s="5" t="s">
        <v>2624</v>
      </c>
    </row>
    <row r="127" spans="2:5">
      <c r="B127" s="5" t="s">
        <v>635</v>
      </c>
      <c r="C127" s="5" t="s">
        <v>2562</v>
      </c>
      <c r="D127" s="5" t="s">
        <v>2563</v>
      </c>
    </row>
    <row r="128" spans="2:5">
      <c r="B128" s="5" t="str">
        <f xml:space="preserve"> B127&amp;"_2"</f>
        <v>IT_2</v>
      </c>
      <c r="C128" s="5" t="str">
        <f xml:space="preserve"> "Shape from `" &amp; $B127 &amp; "` marker; black replacing white."</f>
        <v>Shape from `IT` marker; black replacing white.</v>
      </c>
      <c r="D128" s="5" t="s">
        <v>2564</v>
      </c>
    </row>
    <row r="129" spans="2:4">
      <c r="B129" s="5" t="s">
        <v>170</v>
      </c>
      <c r="C129" s="5" t="s">
        <v>2565</v>
      </c>
      <c r="D129" s="5" t="s">
        <v>2639</v>
      </c>
    </row>
    <row r="130" spans="2:4">
      <c r="B130" s="5" t="str">
        <f xml:space="preserve"> B129&amp;"_2"</f>
        <v>ES_2</v>
      </c>
      <c r="C130" s="5" t="str">
        <f xml:space="preserve"> "Shape from `" &amp; $B129 &amp; "` marker; green replacing gold."</f>
        <v>Shape from `ES` marker; green replacing gold.</v>
      </c>
      <c r="D130" s="5" t="s">
        <v>2566</v>
      </c>
    </row>
    <row r="131" spans="2:4">
      <c r="B131" s="5" t="s">
        <v>636</v>
      </c>
      <c r="C131" s="5" t="s">
        <v>2567</v>
      </c>
      <c r="D131" s="5" t="s">
        <v>2568</v>
      </c>
    </row>
    <row r="132" spans="2:4">
      <c r="B132" s="5" t="str">
        <f xml:space="preserve"> B131&amp;"_2"</f>
        <v>NL_2</v>
      </c>
      <c r="C132" s="5" t="str">
        <f xml:space="preserve"> "Shape from `" &amp; $B131 &amp; "` marker; the colours switched."</f>
        <v>Shape from `NL` marker; the colours switched.</v>
      </c>
      <c r="D132" s="5" t="s">
        <v>2569</v>
      </c>
    </row>
    <row r="133" spans="2:4">
      <c r="B133" s="5" t="s">
        <v>655</v>
      </c>
      <c r="C133" s="5" t="s">
        <v>2570</v>
      </c>
      <c r="D133" s="5" t="s">
        <v>2618</v>
      </c>
    </row>
    <row r="134" spans="2:4">
      <c r="B134" s="5" t="str">
        <f xml:space="preserve"> B133&amp;"_2"</f>
        <v>BE_2</v>
      </c>
      <c r="C134" s="5" t="str">
        <f xml:space="preserve"> "Shape from `" &amp; $B133 &amp; "` marker; the colours switched."</f>
        <v>Shape from `BE` marker; the colours switched.</v>
      </c>
      <c r="D134" s="5" t="s">
        <v>2571</v>
      </c>
    </row>
    <row r="135" spans="2:4">
      <c r="B135" s="5" t="s">
        <v>656</v>
      </c>
      <c r="C135" s="5" t="s">
        <v>2572</v>
      </c>
      <c r="D135" s="5" t="s">
        <v>2573</v>
      </c>
    </row>
    <row r="136" spans="2:4">
      <c r="B136" s="5" t="str">
        <f xml:space="preserve"> B135&amp;"_2"</f>
        <v>AT_2</v>
      </c>
      <c r="C136" s="5" t="str">
        <f xml:space="preserve"> "Shape from `" &amp; $B135 &amp; "` marker; black replacing white."</f>
        <v>Shape from `AT` marker; black replacing white.</v>
      </c>
      <c r="D136" s="5" t="s">
        <v>2574</v>
      </c>
    </row>
    <row r="137" spans="2:4">
      <c r="B137" s="5" t="s">
        <v>103</v>
      </c>
      <c r="C137" s="5" t="s">
        <v>2575</v>
      </c>
      <c r="D137" s="5" t="s">
        <v>2576</v>
      </c>
    </row>
    <row r="138" spans="2:4">
      <c r="B138" s="5" t="str">
        <f xml:space="preserve"> B137&amp;"_2"</f>
        <v>PT_2</v>
      </c>
      <c r="C138" s="5" t="str">
        <f xml:space="preserve"> "Shape from `" &amp; $B137 &amp; "` marker; bright green replacing dark green."</f>
        <v>Shape from `PT` marker; bright green replacing dark green.</v>
      </c>
      <c r="D138" s="5" t="s">
        <v>2577</v>
      </c>
    </row>
    <row r="139" spans="2:4">
      <c r="B139" s="5" t="s">
        <v>171</v>
      </c>
      <c r="C139" s="5" t="s">
        <v>2578</v>
      </c>
      <c r="D139" s="5" t="s">
        <v>2579</v>
      </c>
    </row>
    <row r="140" spans="2:4">
      <c r="B140" s="5" t="str">
        <f xml:space="preserve"> B139&amp;"_2"</f>
        <v>GR_2</v>
      </c>
      <c r="C140" s="5" t="str">
        <f xml:space="preserve"> "Shape from `" &amp; $B139 &amp; "` marker; green replacing white."</f>
        <v>Shape from `GR` marker; green replacing white.</v>
      </c>
      <c r="D140" s="5" t="s">
        <v>2580</v>
      </c>
    </row>
    <row r="141" spans="2:4">
      <c r="B141" s="5" t="s">
        <v>675</v>
      </c>
      <c r="C141" s="5" t="s">
        <v>2627</v>
      </c>
      <c r="D141" s="5" t="s">
        <v>2581</v>
      </c>
    </row>
    <row r="142" spans="2:4">
      <c r="B142" s="5" t="str">
        <f xml:space="preserve"> B141&amp;"_2"</f>
        <v>IE_2</v>
      </c>
      <c r="C142" s="5" t="str">
        <f xml:space="preserve"> "Shape from `" &amp; $B141 &amp; "` marker; the colours switched."</f>
        <v>Shape from `IE` marker; the colours switched.</v>
      </c>
      <c r="D142" s="5" t="s">
        <v>2582</v>
      </c>
    </row>
    <row r="143" spans="2:4">
      <c r="B143" s="5" t="s">
        <v>657</v>
      </c>
      <c r="C143" s="5" t="s">
        <v>2583</v>
      </c>
      <c r="D143" s="5" t="s">
        <v>2584</v>
      </c>
    </row>
    <row r="144" spans="2:4">
      <c r="B144" s="5" t="str">
        <f xml:space="preserve"> B143&amp;"_2"</f>
        <v>FI_2</v>
      </c>
      <c r="C144" s="5" t="str">
        <f xml:space="preserve"> "Shape from `" &amp; $B143 &amp; "` marker; green replacing white."</f>
        <v>Shape from `FI` marker; green replacing white.</v>
      </c>
      <c r="D144" s="5" t="s">
        <v>2585</v>
      </c>
    </row>
    <row r="145" spans="2:5">
      <c r="B145" s="5" t="s">
        <v>358</v>
      </c>
      <c r="C145" s="5" t="s">
        <v>2586</v>
      </c>
      <c r="D145" s="5" t="s">
        <v>2587</v>
      </c>
    </row>
    <row r="146" spans="2:5">
      <c r="B146" s="5" t="str">
        <f xml:space="preserve"> B145&amp;"_2"</f>
        <v>SK_2</v>
      </c>
      <c r="C146" s="5" t="str">
        <f xml:space="preserve"> "Shape from `" &amp; $B145 &amp; "` marker; the colours switched."</f>
        <v>Shape from `SK` marker; the colours switched.</v>
      </c>
      <c r="D146" s="5" t="s">
        <v>2588</v>
      </c>
    </row>
    <row r="147" spans="2:5">
      <c r="B147" s="5" t="s">
        <v>1666</v>
      </c>
      <c r="C147" s="5" t="s">
        <v>2589</v>
      </c>
    </row>
    <row r="148" spans="2:5">
      <c r="B148" s="5" t="s">
        <v>359</v>
      </c>
      <c r="C148" s="5" t="s">
        <v>2590</v>
      </c>
    </row>
    <row r="149" spans="2:5">
      <c r="B149" s="5" t="s">
        <v>614</v>
      </c>
      <c r="C149" s="5" t="s">
        <v>2591</v>
      </c>
      <c r="E149" s="5" t="s">
        <v>2592</v>
      </c>
    </row>
    <row r="150" spans="2:5">
      <c r="B150" s="5" t="s">
        <v>676</v>
      </c>
      <c r="C150" s="5" t="s">
        <v>2593</v>
      </c>
    </row>
    <row r="151" spans="2:5">
      <c r="B151" s="5" t="s">
        <v>104</v>
      </c>
      <c r="C151" s="5" t="s">
        <v>2594</v>
      </c>
      <c r="E151" s="5" t="s">
        <v>2636</v>
      </c>
    </row>
    <row r="152" spans="2:5">
      <c r="B152" s="5" t="s">
        <v>105</v>
      </c>
      <c r="C152" s="5" t="s">
        <v>2595</v>
      </c>
    </row>
    <row r="153" spans="2:5">
      <c r="B153" s="5" t="s">
        <v>694</v>
      </c>
      <c r="C153" s="5" t="s">
        <v>2596</v>
      </c>
    </row>
    <row r="154" spans="2:5">
      <c r="B154" s="5" t="s">
        <v>714</v>
      </c>
      <c r="C154" s="5" t="s">
        <v>2597</v>
      </c>
    </row>
    <row r="155" spans="2:5">
      <c r="B155" s="5" t="s">
        <v>1704</v>
      </c>
      <c r="C155" s="5" t="s">
        <v>2598</v>
      </c>
      <c r="E155" s="5" t="s">
        <v>2599</v>
      </c>
    </row>
    <row r="156" spans="2:5">
      <c r="B156" s="5" t="s">
        <v>715</v>
      </c>
      <c r="C156" s="5" t="s">
        <v>2600</v>
      </c>
    </row>
    <row r="157" spans="2:5">
      <c r="B157" s="5" t="s">
        <v>795</v>
      </c>
      <c r="C157" s="5" t="s">
        <v>2601</v>
      </c>
    </row>
    <row r="158" spans="2:5">
      <c r="B158" s="5" t="s">
        <v>2131</v>
      </c>
      <c r="C158" s="5" t="s">
        <v>2637</v>
      </c>
    </row>
    <row r="159" spans="2:5">
      <c r="B159" s="5" t="s">
        <v>172</v>
      </c>
      <c r="C159" s="5" t="s">
        <v>2646</v>
      </c>
    </row>
    <row r="160" spans="2:5">
      <c r="B160" s="5" t="s">
        <v>971</v>
      </c>
      <c r="C160" s="5" t="s">
        <v>2602</v>
      </c>
    </row>
    <row r="161" spans="2:5">
      <c r="B161" s="5" t="s">
        <v>2246</v>
      </c>
      <c r="C161" s="5" t="s">
        <v>2603</v>
      </c>
    </row>
    <row r="162" spans="2:5">
      <c r="B162" s="5" t="s">
        <v>1941</v>
      </c>
      <c r="C162" s="5" t="s">
        <v>2604</v>
      </c>
    </row>
    <row r="163" spans="2:5">
      <c r="B163" s="5" t="s">
        <v>798</v>
      </c>
      <c r="C163" s="5" t="s">
        <v>2605</v>
      </c>
    </row>
    <row r="164" spans="2:5">
      <c r="B164" s="5" t="s">
        <v>2247</v>
      </c>
      <c r="C164" s="5" t="s">
        <v>2623</v>
      </c>
    </row>
    <row r="165" spans="2:5">
      <c r="B165" s="5" t="s">
        <v>173</v>
      </c>
      <c r="C165" s="5" t="s">
        <v>2606</v>
      </c>
    </row>
    <row r="166" spans="2:5">
      <c r="B166" s="5" t="s">
        <v>1943</v>
      </c>
      <c r="C166" s="5" t="s">
        <v>2607</v>
      </c>
    </row>
    <row r="167" spans="2:5">
      <c r="B167" s="5" t="s">
        <v>955</v>
      </c>
      <c r="C167" s="5" t="s">
        <v>2608</v>
      </c>
    </row>
    <row r="168" spans="2:5">
      <c r="B168" s="5" t="s">
        <v>106</v>
      </c>
      <c r="C168" s="5" t="s">
        <v>2609</v>
      </c>
    </row>
    <row r="169" spans="2:5">
      <c r="B169" s="5" t="s">
        <v>2042</v>
      </c>
      <c r="C169" s="5" t="s">
        <v>2645</v>
      </c>
    </row>
    <row r="170" spans="2:5">
      <c r="B170" s="5" t="s">
        <v>992</v>
      </c>
      <c r="C170" s="5" t="s">
        <v>2610</v>
      </c>
    </row>
    <row r="171" spans="2:5">
      <c r="B171" s="5" t="s">
        <v>2032</v>
      </c>
      <c r="C171" s="5" t="s">
        <v>2611</v>
      </c>
    </row>
    <row r="172" spans="2:5">
      <c r="B172" s="5" t="s">
        <v>2037</v>
      </c>
      <c r="C172" s="5" t="s">
        <v>2612</v>
      </c>
    </row>
    <row r="173" spans="2:5">
      <c r="B173" s="5" t="s">
        <v>1050</v>
      </c>
      <c r="C173" s="5" t="s">
        <v>2613</v>
      </c>
    </row>
    <row r="174" spans="2:5">
      <c r="B174" s="5" t="s">
        <v>1946</v>
      </c>
      <c r="C174" s="5" t="s">
        <v>2621</v>
      </c>
      <c r="E174" s="5" t="s">
        <v>2622</v>
      </c>
    </row>
    <row r="175" spans="2:5">
      <c r="B175" s="5" t="s">
        <v>1947</v>
      </c>
      <c r="C175" s="5" t="s">
        <v>2619</v>
      </c>
      <c r="D175" s="5" t="s">
        <v>2620</v>
      </c>
    </row>
    <row r="176" spans="2:5">
      <c r="B176" s="5" t="s">
        <v>1949</v>
      </c>
      <c r="C176" s="5" t="s">
        <v>2614</v>
      </c>
    </row>
    <row r="177" spans="2:3">
      <c r="B177" s="5" t="s">
        <v>1950</v>
      </c>
      <c r="C177" s="5" t="s">
        <v>2615</v>
      </c>
    </row>
    <row r="178" spans="2:3">
      <c r="B178" s="5" t="s">
        <v>929</v>
      </c>
      <c r="C178" s="5"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45931.87632476852</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45931</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175</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122663</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2677</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45931.862546296295</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_CoEDB "</f>
        <v xml:space="preserve"> _CoEDB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DATE(2025,10,1) + TIME(23, 45, 0)</f>
        <v>45931.989583333336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1333</vt:i4>
      </vt:variant>
    </vt:vector>
  </HeadingPairs>
  <TitlesOfParts>
    <vt:vector size="1395"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2025-10-01T20:02:13Z</dcterms:modified>
</cp:coreProperties>
</file>