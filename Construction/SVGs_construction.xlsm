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2"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E4197B8D-03F9-0149-BA24-CDBDBAFE5D38}" xr6:coauthVersionLast="47" xr6:coauthVersionMax="47" xr10:uidLastSave="{00000000-0000-0000-0000-000000000000}"/>
  <bookViews>
    <workbookView xWindow="3640" yWindow="500" windowWidth="30820" windowHeight="28300" firstSheet="45"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5" i="5" l="1"/>
  <c r="L35" i="5"/>
  <c r="K35" i="5" a="1"/>
  <c r="K35" i="5" s="1"/>
  <c r="M34" i="5"/>
  <c r="L34" i="5"/>
  <c r="AC9" i="5"/>
  <c r="AC10" i="5"/>
  <c r="AC8" i="5"/>
  <c r="AC23" i="5"/>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6" i="5" a="1"/>
  <c r="K36"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36" i="67" a="1"/>
  <c r="K7" i="67" a="1"/>
  <c r="K42" i="67" a="1"/>
  <c r="K39" i="67" a="1"/>
  <c r="K48" i="67" a="1"/>
  <c r="K45"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26" i="65" a="1"/>
  <c r="F21" i="65" a="1"/>
  <c r="F1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0" i="5"/>
  <c r="AB7" i="5"/>
  <c r="AB23" i="5"/>
  <c r="AB6"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F30" i="14" a="1"/>
  <c r="D29" i="14" a="1"/>
  <c r="AB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P25" i="25" a="1"/>
  <c r="AR25" i="25" a="1"/>
  <c r="AN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 i="33" a="1"/>
  <c r="F42" i="34" a="1"/>
  <c r="F37" i="34"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V29" i="14" a="1"/>
  <c r="J30" i="14" a="1"/>
  <c r="V30" i="14" a="1"/>
  <c r="AD30" i="14" a="1"/>
  <c r="H30" i="14" a="1"/>
  <c r="T29" i="14" a="1"/>
  <c r="AF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30" i="14" a="1"/>
  <c r="Z29" i="14" a="1"/>
  <c r="H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F26" i="60" a="1"/>
  <c r="X30" i="14" a="1"/>
  <c r="AD29" i="14" a="1"/>
  <c r="X29" i="14"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20" i="45" a="1"/>
  <c r="D27" i="25" a="1"/>
  <c r="F11"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57" i="30" a="1"/>
  <c r="F6" i="32" a="1"/>
  <c r="AH30" i="8"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5" i="26" a="1"/>
  <c r="F5" i="26" a="1"/>
  <c r="F56"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23" i="22" a="1"/>
  <c r="H35" i="22" a="1"/>
  <c r="H31" i="22" a="1"/>
  <c r="H39" i="22" a="1"/>
  <c r="H27" i="22" a="1"/>
  <c r="H51" i="22" a="1"/>
  <c r="H47" i="22" a="1"/>
  <c r="H51" i="18"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T31" i="14" a="1"/>
  <c r="L29" i="14" a="1"/>
  <c r="Z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5" i="62" a="1"/>
  <c r="F6" i="74" a="1"/>
  <c r="F19"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AD9" i="5" s="1"/>
  <c r="F32" i="68" a="1"/>
  <c r="F44" i="68" a="1"/>
  <c r="F27" i="68" a="1"/>
  <c r="F23" i="62" a="1"/>
  <c r="F37" i="68" a="1"/>
  <c r="E5" i="42" a="1"/>
  <c r="F6" i="68" a="1"/>
  <c r="AD10" i="5" l="1"/>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N24" i="7" s="1" a="1"/>
  <c r="N24"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F42" i="31" a="1"/>
  <c r="F38" i="31" a="1"/>
  <c r="F26" i="31" a="1"/>
  <c r="F34" i="31" a="1"/>
  <c r="F6" i="31" a="1"/>
  <c r="F19" i="31" a="1"/>
  <c r="F30" i="31" a="1"/>
  <c r="E6" i="15"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E6" i="51" a="1"/>
  <c r="F30" i="23" a="1"/>
  <c r="F35" i="23" a="1"/>
  <c r="F40" i="23" a="1"/>
  <c r="V18" i="61" a="1"/>
  <c r="CD18" i="61" a="1"/>
  <c r="AT18" i="61" a="1"/>
  <c r="BF18" i="61" a="1"/>
  <c r="AD18" i="61" a="1"/>
  <c r="F25" i="23" a="1"/>
  <c r="BB18" i="61" a="1"/>
  <c r="AH18" i="61" a="1"/>
  <c r="AT52" i="61" a="1"/>
  <c r="Z18" i="61" a="1"/>
  <c r="N18" i="61" a="1"/>
  <c r="J18" i="61" a="1"/>
  <c r="F8" i="23" a="1"/>
  <c r="BZ18" i="61" a="1"/>
  <c r="BR18" i="61" a="1"/>
  <c r="BV18" i="61" a="1"/>
  <c r="BJ18" i="61" a="1"/>
  <c r="BN18" i="61" a="1"/>
  <c r="AL18" i="61" a="1"/>
  <c r="F5" i="36" a="1"/>
  <c r="R18" i="61"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37" i="61" a="1"/>
  <c r="AT5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J25" i="14" a="1"/>
  <c r="AB25" i="14" a="1"/>
  <c r="T22" i="25" a="1"/>
  <c r="AT42" i="61" a="1"/>
  <c r="BF22" i="25" a="1"/>
  <c r="E34" i="69" a="1"/>
  <c r="D48" i="75" a="1"/>
  <c r="F22" i="25" a="1"/>
  <c r="V22" i="25" a="1"/>
  <c r="X23" i="8" a="1"/>
  <c r="AR22" i="25" a="1"/>
  <c r="F23" i="8" a="1"/>
  <c r="BD22" i="25" a="1"/>
  <c r="BB22" i="25" a="1"/>
  <c r="C52" i="33" a="1"/>
  <c r="AH23" i="8" a="1"/>
  <c r="D25" i="14" a="1"/>
  <c r="D39" i="74" a="1"/>
  <c r="AH22" i="25" a="1"/>
  <c r="AN22" i="25" a="1"/>
  <c r="AZ22" i="25" a="1"/>
  <c r="C35" i="64" a="1"/>
  <c r="AF23" i="8" a="1"/>
  <c r="T23" i="8" a="1"/>
  <c r="BN22" i="25" a="1"/>
  <c r="Z22" i="25" a="1"/>
  <c r="BZ15" i="61" a="1"/>
  <c r="F3" i="21" a="1"/>
  <c r="AL22" i="25" a="1"/>
  <c r="H22" i="25" a="1"/>
  <c r="D65" i="31" a="1"/>
  <c r="AX18" i="61" a="1"/>
  <c r="AJ22" i="25" a="1"/>
  <c r="L25" i="14" a="1"/>
  <c r="Z23" i="8" a="1"/>
  <c r="E13" i="22" a="1"/>
  <c r="BV15" i="61" a="1"/>
  <c r="AB23" i="8" a="1"/>
  <c r="T25" i="14" a="1"/>
  <c r="C35" i="42" a="1"/>
  <c r="AD23" i="8" a="1"/>
  <c r="CD15" i="61" a="1"/>
  <c r="L23" i="8" a="1"/>
  <c r="J23" i="8" a="1"/>
  <c r="H25" i="14" a="1"/>
  <c r="BP22" i="25" a="1"/>
  <c r="L22" i="25" a="1"/>
  <c r="C39" i="32" a="1"/>
  <c r="R22" i="25" a="1"/>
  <c r="AP22" i="25" a="1"/>
  <c r="BJ22" i="25" a="1"/>
  <c r="AB22" i="25" a="1"/>
  <c r="AL23" i="8" a="1"/>
  <c r="AX22" i="25" a="1"/>
  <c r="C44" i="72" a="1"/>
  <c r="AD25" i="14" a="1"/>
  <c r="C62" i="34" a="1"/>
  <c r="BR22" i="25" a="1"/>
  <c r="D22" i="25" a="1"/>
  <c r="X25" i="14" a="1"/>
  <c r="R25" i="14" a="1"/>
  <c r="O20" i="48" a="1"/>
  <c r="AD22" i="25" a="1"/>
  <c r="S35" i="9" a="1"/>
  <c r="AV22" i="25" a="1"/>
  <c r="N25" i="14" a="1"/>
  <c r="N23" i="8" a="1"/>
  <c r="F25" i="14" a="1"/>
  <c r="N22" i="25" a="1"/>
  <c r="D23" i="8" a="1"/>
  <c r="H84" i="67" a="1"/>
  <c r="J22" i="25" a="1"/>
  <c r="X22" i="25" a="1"/>
  <c r="V25" i="14" a="1"/>
  <c r="P23" i="8" a="1"/>
  <c r="D42" i="62" a="1"/>
  <c r="D37" i="76" a="1"/>
  <c r="P22" i="25" a="1"/>
  <c r="P25" i="14" a="1"/>
  <c r="E40" i="71" a="1"/>
  <c r="AF22" i="25" a="1"/>
  <c r="Z25" i="14" a="1"/>
  <c r="BT22" i="25" a="1"/>
  <c r="AT22" i="25" a="1"/>
  <c r="D46" i="65" a="1"/>
  <c r="V23" i="8" a="1"/>
  <c r="AF25" i="14" a="1"/>
  <c r="AJ23" i="8" a="1"/>
  <c r="BL22" i="25" a="1"/>
  <c r="H23" i="8" a="1"/>
  <c r="F18" i="39"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D15" i="61" a="1"/>
  <c r="Z15" i="61" a="1"/>
  <c r="AL15" i="61" a="1"/>
  <c r="C62" i="23" a="1"/>
  <c r="AT47" i="61" a="1"/>
  <c r="C31" i="51" a="1"/>
  <c r="J15" i="61" a="1"/>
  <c r="V15" i="61" a="1"/>
  <c r="BB15" i="61" a="1"/>
  <c r="AX75" i="61" a="1"/>
  <c r="AH15" i="61" a="1"/>
  <c r="BF15" i="61" a="1"/>
  <c r="AP15" i="61" a="1"/>
  <c r="BJ15" i="61" a="1"/>
  <c r="N15" i="61" a="1"/>
  <c r="BR15" i="61" a="1"/>
  <c r="R15" i="61" a="1"/>
  <c r="BN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X15" i="61" a="1"/>
  <c r="AT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28" i="30" a="1"/>
  <c r="F20" i="44" a="1"/>
  <c r="F15" i="30" a="1"/>
  <c r="F6"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28" a="1"/>
  <c r="F22" i="28" a="1"/>
  <c r="F22" i="7" a="1"/>
  <c r="F6" i="7"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X95" i="58"/>
  <c r="P95" i="58"/>
  <c r="L95" i="58"/>
  <c r="V95" i="58"/>
  <c r="N95" i="58"/>
  <c r="R95" i="58"/>
  <c r="T95" i="58"/>
  <c r="J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J97" i="58"/>
  <c r="L97" i="58"/>
  <c r="T96" i="58"/>
  <c r="R96" i="58"/>
  <c r="P97" i="58"/>
  <c r="N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T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7" i="59" a="1"/>
  <c r="F20"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<sst xmlns="http://schemas.openxmlformats.org/spreadsheetml/2006/main" count="4383" uniqueCount="2650">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</sst>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6">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sheetData>
    <row r="2" spans="2:87">
      <c r="C2" s="4" t="s">
        <v>3</v>
      </c>
      <c r="D2" s="1" cm="1">
        <f t="array" ref="D2" xml:space="preserve"> SQRT(50 - 22*Sqrt5) * 5/4</f>
        <v>1.1225699414489618</v>
      </c>
      <c r="F2" s="4" t="s">
        <v>4</v>
      </c>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c r="C3" s="4" t="s">
        <v>2086</v>
      </c>
      <c r="D3">
        <f xml:space="preserve"> GoldenRatio</f>
        <v>1.6180339887498949</v>
      </c>
      <c r="F3" s="4" t="s">
        <v>118</v>
      </c>
      <c r="J3" s="26">
        <v>2.25</v>
      </c>
      <c r="K3" s="26"/>
      <c r="N3" s="26">
        <v>1</v>
      </c>
      <c r="O3" s="26"/>
      <c r="P3" s="26"/>
      <c r="R3" s="26">
        <f xml:space="preserve"> $N3</f>
        <v>1</v>
      </c>
      <c r="S3" s="26"/>
      <c r="T3" s="26"/>
      <c r="V3" s="26">
        <f xml:space="preserve"> Star_5_2.AreaMultiplier_Default</f>
        <v>1.6180339887498949</v>
      </c>
      <c r="W3" s="26"/>
      <c r="X3" s="26"/>
      <c r="Z3" s="26">
        <f xml:space="preserve"> $N3</f>
        <v>1</v>
      </c>
      <c r="AA3" s="26"/>
      <c r="AB3" s="26"/>
      <c r="AD3" s="26">
        <f xml:space="preserve"> Star_5_2.AreaMultiplier_Default</f>
        <v>1.6180339887498949</v>
      </c>
      <c r="AE3" s="26"/>
      <c r="AF3" s="26"/>
      <c r="AH3" s="26">
        <f xml:space="preserve"> Star_5_2.AreaMultiplier_Default</f>
        <v>1.6180339887498949</v>
      </c>
      <c r="AI3" s="26"/>
      <c r="AJ3" s="26"/>
      <c r="AL3" s="26">
        <f xml:space="preserve"> $N3</f>
        <v>1</v>
      </c>
      <c r="AM3" s="26"/>
      <c r="AN3" s="26"/>
      <c r="AP3" s="26">
        <f xml:space="preserve"> $N3</f>
        <v>1</v>
      </c>
      <c r="AQ3" s="26"/>
      <c r="AR3" s="26"/>
      <c r="AT3" s="26">
        <f xml:space="preserve"> Star_5_2.AreaMultiplier_Default</f>
        <v>1.6180339887498949</v>
      </c>
      <c r="AU3" s="26"/>
      <c r="AV3" s="26"/>
      <c r="AX3" s="26">
        <f xml:space="preserve"> MODE(Squares.AreaMultiplier)</f>
        <v>0.85</v>
      </c>
      <c r="AY3" s="26"/>
      <c r="AZ3" s="26"/>
      <c r="BB3" s="26">
        <f xml:space="preserve"> Star_5_2.AreaMultiplier_Default</f>
        <v>1.6180339887498949</v>
      </c>
      <c r="BC3" s="26"/>
      <c r="BD3" s="26"/>
      <c r="BF3" s="26">
        <f xml:space="preserve"> Star_5_2.AreaMultiplier_Default</f>
        <v>1.6180339887498949</v>
      </c>
      <c r="BG3" s="26"/>
      <c r="BH3" s="26"/>
      <c r="BJ3" s="26">
        <f xml:space="preserve"> MODE(Squares.AreaMultiplier)</f>
        <v>0.85</v>
      </c>
      <c r="BK3" s="26"/>
      <c r="BL3" s="26"/>
      <c r="BN3" s="26">
        <f xml:space="preserve"> MODE(Squares.AreaMultiplier)</f>
        <v>0.85</v>
      </c>
      <c r="BO3" s="26"/>
      <c r="BP3" s="26"/>
      <c r="BR3" s="26">
        <f xml:space="preserve"> Star_5_2.AreaMultiplier_Default</f>
        <v>1.6180339887498949</v>
      </c>
      <c r="BS3" s="26"/>
      <c r="BT3" s="26"/>
      <c r="BV3" s="26">
        <f xml:space="preserve"> $R3</f>
        <v>1</v>
      </c>
      <c r="BW3" s="26"/>
      <c r="BX3" s="26"/>
      <c r="BZ3" s="26">
        <f xml:space="preserve"> Star_5_2.AreaMultiplier_Default</f>
        <v>1.6180339887498949</v>
      </c>
      <c r="CA3" s="26"/>
      <c r="CB3" s="26"/>
      <c r="CD3" s="26">
        <f xml:space="preserve"> $R3</f>
        <v>1</v>
      </c>
      <c r="CE3" s="26"/>
      <c r="CF3" s="26"/>
      <c r="CG3" s="26"/>
      <c r="CH3" s="26"/>
    </row>
    <row r="4" spans="2:87">
      <c r="C4" s="4" t="s">
        <v>2087</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c r="C5" s="1"/>
      <c r="D5" s="1"/>
      <c r="F5" s="4"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c r="C6" s="1"/>
      <c r="D6" s="1"/>
      <c r="F6" s="4"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c r="C7" s="1"/>
      <c r="D7" s="1"/>
      <c r="F7" s="4"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c r="C8" s="1"/>
      <c r="D8" s="1"/>
      <c r="F8" s="4"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c r="F9" s="4" t="s">
        <v>124</v>
      </c>
      <c r="I9" s="5"/>
      <c r="J9" s="5" t="s">
        <v>726</v>
      </c>
      <c r="M9" s="5"/>
      <c r="N9" s="5" t="s">
        <v>1703</v>
      </c>
      <c r="Q9" s="5"/>
      <c r="R9" s="5" t="s">
        <v>1472</v>
      </c>
      <c r="U9" s="5"/>
      <c r="V9" s="5" t="s">
        <v>782</v>
      </c>
      <c r="Y9" s="5"/>
      <c r="Z9" s="5" t="s">
        <v>783</v>
      </c>
      <c r="AC9" s="5"/>
      <c r="AD9" s="5" t="s">
        <v>784</v>
      </c>
      <c r="AG9" s="5"/>
      <c r="AH9" s="5" t="s">
        <v>785</v>
      </c>
      <c r="AK9" s="5"/>
      <c r="AL9" s="5" t="s">
        <v>1618</v>
      </c>
      <c r="AO9" s="5"/>
      <c r="AP9" s="5" t="s">
        <v>787</v>
      </c>
      <c r="AS9" s="5"/>
      <c r="AT9" s="5" t="s">
        <v>788</v>
      </c>
      <c r="AW9" s="5"/>
      <c r="AX9" s="5" t="s">
        <v>1625</v>
      </c>
      <c r="BA9" s="5"/>
      <c r="BB9" s="5" t="s">
        <v>726</v>
      </c>
      <c r="BE9" s="21"/>
      <c r="BF9" s="21" t="s">
        <v>1062</v>
      </c>
      <c r="BI9" s="5"/>
      <c r="BJ9" s="5" t="s">
        <v>1827</v>
      </c>
      <c r="BM9" s="5"/>
      <c r="BN9" s="5" t="s">
        <v>1698</v>
      </c>
      <c r="BQ9" s="5"/>
      <c r="BR9" s="5" t="s">
        <v>717</v>
      </c>
      <c r="BS9" s="5"/>
      <c r="BU9" s="5"/>
      <c r="BV9" s="5" t="s">
        <v>2267</v>
      </c>
      <c r="BW9" s="5"/>
      <c r="BY9" s="5"/>
      <c r="BZ9" s="5" t="s">
        <v>1667</v>
      </c>
      <c r="CA9" s="5"/>
      <c r="CC9" s="5"/>
      <c r="CD9" s="5" t="s">
        <v>2313</v>
      </c>
      <c r="CE9" s="5"/>
      <c r="CF9" s="5"/>
      <c r="CG9" s="5"/>
      <c r="CH9" s="5"/>
    </row>
    <row r="10" spans="2:87">
      <c r="F10" s="4" t="s">
        <v>150</v>
      </c>
      <c r="I10" s="5"/>
      <c r="J10" s="5" t="s">
        <v>2088</v>
      </c>
      <c r="M10" s="5"/>
      <c r="N10" s="5" t="s">
        <v>2088</v>
      </c>
      <c r="Q10" s="5"/>
      <c r="R10" s="5" t="s">
        <v>2088</v>
      </c>
      <c r="U10" s="5"/>
      <c r="V10" s="5" t="s">
        <v>786</v>
      </c>
      <c r="Y10" s="5"/>
      <c r="Z10" s="5" t="s">
        <v>2088</v>
      </c>
      <c r="AC10" s="5"/>
      <c r="AD10" s="5" t="s">
        <v>2088</v>
      </c>
      <c r="AG10" s="5"/>
      <c r="AH10" s="5" t="s">
        <v>2088</v>
      </c>
      <c r="AK10" s="5"/>
      <c r="AL10" s="5" t="s">
        <v>1619</v>
      </c>
      <c r="AO10" s="5"/>
      <c r="AP10" s="5" t="s">
        <v>2088</v>
      </c>
      <c r="AS10" s="5"/>
      <c r="AT10" s="5"/>
      <c r="AW10" s="5"/>
      <c r="AX10" s="5" t="s">
        <v>2088</v>
      </c>
      <c r="BA10" s="5"/>
      <c r="BB10" s="5" t="s">
        <v>722</v>
      </c>
      <c r="BE10" s="21"/>
      <c r="BF10" s="21" t="s">
        <v>1063</v>
      </c>
      <c r="BI10" s="5"/>
      <c r="BJ10" s="5" t="s">
        <v>2088</v>
      </c>
      <c r="BM10" s="5"/>
      <c r="BN10" s="5"/>
      <c r="BQ10" s="5"/>
      <c r="BR10" s="5" t="s">
        <v>721</v>
      </c>
      <c r="BS10" s="5"/>
      <c r="BU10" s="5"/>
      <c r="BV10" s="5" t="s">
        <v>2268</v>
      </c>
      <c r="BW10" s="5"/>
      <c r="BY10" s="5"/>
      <c r="BZ10" s="5" t="s">
        <v>2088</v>
      </c>
      <c r="CA10" s="5"/>
      <c r="CC10" s="5"/>
      <c r="CD10" s="5" t="s">
        <v>2088</v>
      </c>
      <c r="CE10" s="5"/>
      <c r="CF10" s="5"/>
      <c r="CG10" s="5"/>
      <c r="CH10" s="5"/>
    </row>
    <row r="11" spans="2:87">
      <c r="F11" s="4" t="s">
        <v>125</v>
      </c>
      <c r="I11" s="5"/>
      <c r="J11" s="5"/>
      <c r="M11" s="5"/>
      <c r="N11" s="5" t="str">
        <f xml:space="preserve"> _xlfn.SINGLE(Star_5_2.SVG_painting_Outer)</f>
        <v xml:space="preserve">fill='#FF33FF' </v>
      </c>
      <c r="Q11" s="5"/>
      <c r="R11" s="5" t="s">
        <v>728</v>
      </c>
      <c r="U11" s="5"/>
      <c r="V11" s="5"/>
      <c r="Y11" s="5"/>
      <c r="Z11" s="5"/>
      <c r="AC11" s="5"/>
      <c r="AD11" s="5"/>
      <c r="AG11" s="5"/>
      <c r="AH11" s="5"/>
      <c r="AK11" s="5"/>
      <c r="AL11" s="5" t="str">
        <f xml:space="preserve"> _xlfn.SINGLE(Star_5_2.SVG_painting_Outer)</f>
        <v>fill='#0F47AF'</v>
      </c>
      <c r="AO11" s="5"/>
      <c r="AP11" s="5" t="str">
        <f xml:space="preserve"> _xlfn.SINGLE(Star_5_2.SVG_painting_Outer)</f>
        <v>fill='#E70013'</v>
      </c>
      <c r="AS11" s="5"/>
      <c r="AT11" s="5" t="s">
        <v>1535</v>
      </c>
      <c r="AW11" s="5"/>
      <c r="AX11" s="5" t="s">
        <v>1626</v>
      </c>
      <c r="BA11" s="5"/>
      <c r="BB11" s="5" t="s">
        <v>726</v>
      </c>
      <c r="BI11" s="5"/>
      <c r="BJ11" s="5" t="s">
        <v>781</v>
      </c>
      <c r="BM11" s="5"/>
      <c r="BN11" s="5" t="s">
        <v>1699</v>
      </c>
      <c r="BQ11" s="5"/>
      <c r="BR11" s="5" t="s">
        <v>789</v>
      </c>
      <c r="BS11" s="5"/>
      <c r="BU11" s="5"/>
      <c r="BV11" s="5" t="s">
        <v>2088</v>
      </c>
      <c r="BW11" s="5"/>
      <c r="BY11" s="5"/>
      <c r="BZ11" s="5" t="s">
        <v>754</v>
      </c>
      <c r="CA11" s="5"/>
      <c r="CC11" s="5"/>
      <c r="CD11" s="5" t="s">
        <v>2314</v>
      </c>
      <c r="CE11" s="5"/>
      <c r="CF11" s="5"/>
      <c r="CG11" s="5"/>
      <c r="CH11" s="5"/>
    </row>
    <row r="12" spans="2:87">
      <c r="B12" t="b">
        <v>1</v>
      </c>
      <c r="F12" s="4" t="s">
        <v>1685</v>
      </c>
      <c r="H12" s="27" t="b">
        <v>1</v>
      </c>
      <c r="I12" t="b">
        <f xml:space="preserve"> H12</f>
        <v>1</v>
      </c>
      <c r="J12" t="b">
        <f xml:space="preserve"> I12</f>
        <v>1</v>
      </c>
      <c r="L12" s="27" t="b">
        <v>0</v>
      </c>
      <c r="M12" t="b">
        <f xml:space="preserve"> L12</f>
        <v>0</v>
      </c>
      <c r="N12" t="b">
        <f xml:space="preserve"> M12</f>
        <v>0</v>
      </c>
      <c r="P12" s="27" t="b">
        <v>1</v>
      </c>
      <c r="Q12" t="b">
        <f xml:space="preserve"> P12</f>
        <v>1</v>
      </c>
      <c r="R12" t="b">
        <f xml:space="preserve"> Q12</f>
        <v>1</v>
      </c>
      <c r="T12" s="27" t="b">
        <v>1</v>
      </c>
      <c r="U12" t="b">
        <f xml:space="preserve"> T12</f>
        <v>1</v>
      </c>
      <c r="V12" t="b">
        <f xml:space="preserve"> U12</f>
        <v>1</v>
      </c>
      <c r="X12" s="27" t="b">
        <v>0</v>
      </c>
      <c r="Y12" t="b">
        <f xml:space="preserve"> X12</f>
        <v>0</v>
      </c>
      <c r="Z12" t="b">
        <f xml:space="preserve"> Y12</f>
        <v>0</v>
      </c>
      <c r="AB12" s="27" t="b">
        <v>1</v>
      </c>
      <c r="AC12" t="b">
        <f xml:space="preserve"> AB12</f>
        <v>1</v>
      </c>
      <c r="AD12" t="b">
        <f xml:space="preserve"> AC12</f>
        <v>1</v>
      </c>
      <c r="AF12" s="27" t="b">
        <v>1</v>
      </c>
      <c r="AG12" t="b">
        <f xml:space="preserve"> AF12</f>
        <v>1</v>
      </c>
      <c r="AH12" t="b">
        <f xml:space="preserve"> AG12</f>
        <v>1</v>
      </c>
      <c r="AJ12" s="27" t="b">
        <v>1</v>
      </c>
      <c r="AK12" t="b">
        <f xml:space="preserve"> AJ12</f>
        <v>1</v>
      </c>
      <c r="AL12" t="b">
        <f xml:space="preserve"> AK12</f>
        <v>1</v>
      </c>
      <c r="AN12" s="27" t="b">
        <v>0</v>
      </c>
      <c r="AO12" t="b">
        <f xml:space="preserve"> AN12</f>
        <v>0</v>
      </c>
      <c r="AP12" t="b">
        <f xml:space="preserve"> AO12</f>
        <v>0</v>
      </c>
      <c r="AR12" s="27" t="b">
        <v>0</v>
      </c>
      <c r="AS12" t="b">
        <f xml:space="preserve"> AR12</f>
        <v>0</v>
      </c>
      <c r="AT12" t="b">
        <f xml:space="preserve"> AS12</f>
        <v>0</v>
      </c>
      <c r="AV12" s="27" t="b">
        <v>0</v>
      </c>
      <c r="AW12" t="b">
        <f xml:space="preserve"> AV12</f>
        <v>0</v>
      </c>
      <c r="AX12" t="b">
        <f xml:space="preserve"> AW12</f>
        <v>0</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1</v>
      </c>
      <c r="BQ12" t="b">
        <f xml:space="preserve"> BP12</f>
        <v>1</v>
      </c>
      <c r="BR12" t="b">
        <f xml:space="preserve"> BQ12</f>
        <v>1</v>
      </c>
      <c r="BT12" s="27" t="b">
        <v>0</v>
      </c>
      <c r="BU12" t="b">
        <f xml:space="preserve"> BT12</f>
        <v>0</v>
      </c>
      <c r="BV12" t="b">
        <f xml:space="preserve"> BU12</f>
        <v>0</v>
      </c>
      <c r="BX12" s="27" t="b">
        <v>1</v>
      </c>
      <c r="BY12" t="b">
        <f xml:space="preserve"> BX12</f>
        <v>1</v>
      </c>
      <c r="BZ12" t="b">
        <f xml:space="preserve"> BY12</f>
        <v>1</v>
      </c>
      <c r="CB12" s="27" t="b">
        <v>0</v>
      </c>
      <c r="CC12" t="b">
        <f xml:space="preserve"> CB12</f>
        <v>0</v>
      </c>
      <c r="CD12" t="b">
        <f xml:space="preserve"> CC12</f>
        <v>0</v>
      </c>
    </row>
    <row r="13" spans="2:87" s="21" customFormat="1">
      <c r="F13" s="4" t="s">
        <v>1538</v>
      </c>
      <c r="H13" s="21">
        <f xml:space="preserve"> DecimalPlaces - INT(LOG(MAX(IFERROR(0+Star_5_2.SizeOuter,0), IFERROR(0+Star_5_2.SizeMiddle,0), IFERROR(0+Star_5_2.SizeInner,0)), 10) + 0.2)</f>
        <v>4</v>
      </c>
      <c r="I13">
        <f t="shared" ref="I13:J13" si="24" xml:space="preserve"> IF(ISNUMBER(H13), H13, "·")</f>
        <v>4</v>
      </c>
      <c r="J13">
        <f t="shared" si="24"/>
        <v>4</v>
      </c>
      <c r="L13" s="21">
        <f xml:space="preserve"> DecimalPlaces - INT(LOG(MAX(IFERROR(0+Star_5_2.SizeOuter,0), IFERROR(0+Star_5_2.SizeMiddle,0), IFERROR(0+Star_5_2.SizeInner,0)), 10) + 0.2)</f>
        <v>4</v>
      </c>
      <c r="M13">
        <f t="shared" ref="M13:N13" si="25" xml:space="preserve"> IF(ISNUMBER(L13), L13, "·")</f>
        <v>4</v>
      </c>
      <c r="N13">
        <f t="shared" si="25"/>
        <v>4</v>
      </c>
      <c r="P13" s="21">
        <f xml:space="preserve"> DecimalPlaces - INT(LOG(MAX(IFERROR(0+Star_5_2.SizeOuter,0), IFERROR(0+Star_5_2.SizeMiddle,0), IFERROR(0+Star_5_2.SizeInner,0)), 10) + 0.2)</f>
        <v>5</v>
      </c>
      <c r="Q13">
        <f t="shared" ref="Q13:R13" si="26" xml:space="preserve"> IF(ISNUMBER(P13), P13, "·")</f>
        <v>5</v>
      </c>
      <c r="R13">
        <f t="shared" si="26"/>
        <v>5</v>
      </c>
      <c r="T13" s="21">
        <f xml:space="preserve"> DecimalPlaces - INT(LOG(MAX(IFERROR(0+Star_5_2.SizeOuter,0), IFERROR(0+Star_5_2.SizeMiddle,0), IFERROR(0+Star_5_2.SizeInner,0)), 10) + 0.2)</f>
        <v>4</v>
      </c>
      <c r="U13">
        <f t="shared" ref="U13:V13" si="27" xml:space="preserve"> IF(ISNUMBER(T13), T13, "·")</f>
        <v>4</v>
      </c>
      <c r="V13">
        <f t="shared" si="27"/>
        <v>4</v>
      </c>
      <c r="X13" s="21">
        <f xml:space="preserve"> DecimalPlaces - INT(LOG(MAX(IFERROR(0+Star_5_2.SizeOuter,0), IFERROR(0+Star_5_2.SizeMiddle,0), IFERROR(0+Star_5_2.SizeInner,0)), 10) + 0.2)</f>
        <v>5</v>
      </c>
      <c r="Y13">
        <f t="shared" ref="Y13:Z13" si="28" xml:space="preserve"> IF(ISNUMBER(X13), X13, "·")</f>
        <v>5</v>
      </c>
      <c r="Z13">
        <f t="shared" si="28"/>
        <v>5</v>
      </c>
      <c r="AB13" s="21">
        <f xml:space="preserve"> DecimalPlaces - INT(LOG(MAX(IFERROR(0+Star_5_2.SizeOuter,0), IFERROR(0+Star_5_2.SizeMiddle,0), IFERROR(0+Star_5_2.SizeInner,0)), 10) + 0.2)</f>
        <v>4</v>
      </c>
      <c r="AC13">
        <f t="shared" ref="AC13:AD13" si="29" xml:space="preserve"> IF(ISNUMBER(AB13), AB13, "·")</f>
        <v>4</v>
      </c>
      <c r="AD13">
        <f t="shared" si="29"/>
        <v>4</v>
      </c>
      <c r="AF13" s="21">
        <f xml:space="preserve"> DecimalPlaces - INT(LOG(MAX(IFERROR(0+Star_5_2.SizeOuter,0), IFERROR(0+Star_5_2.SizeMiddle,0), IFERROR(0+Star_5_2.SizeInner,0)), 10) + 0.2)</f>
        <v>4</v>
      </c>
      <c r="AG13">
        <f t="shared" ref="AG13:AH13" si="30" xml:space="preserve"> IF(ISNUMBER(AF13), AF13, "·")</f>
        <v>4</v>
      </c>
      <c r="AH13">
        <f t="shared" si="30"/>
        <v>4</v>
      </c>
      <c r="AJ13" s="21">
        <f xml:space="preserve"> DecimalPlaces - INT(LOG(MAX(IFERROR(0+Star_5_2.SizeOuter,0), IFERROR(0+Star_5_2.SizeMiddle,0), IFERROR(0+Star_5_2.SizeInner,0)), 10) + 0.2)</f>
        <v>5</v>
      </c>
      <c r="AK13">
        <f t="shared" ref="AK13:AL13" si="31" xml:space="preserve"> IF(ISNUMBER(AJ13), AJ13, "·")</f>
        <v>5</v>
      </c>
      <c r="AL13">
        <f t="shared" si="31"/>
        <v>5</v>
      </c>
      <c r="AN13" s="21">
        <f xml:space="preserve"> DecimalPlaces - INT(LOG(MAX(IFERROR(0+Star_5_2.SizeOuter,0), IFERROR(0+Star_5_2.SizeMiddle,0), IFERROR(0+Star_5_2.SizeInner,0)), 10) + 0.2)</f>
        <v>4</v>
      </c>
      <c r="AO13">
        <f t="shared" ref="AO13:AP13" si="32" xml:space="preserve"> IF(ISNUMBER(AN13), AN13, "·")</f>
        <v>4</v>
      </c>
      <c r="AP13">
        <f t="shared" si="32"/>
        <v>4</v>
      </c>
      <c r="AR13" s="21">
        <f xml:space="preserve"> DecimalPlaces - INT(LOG(MAX(IFERROR(0+Star_5_2.SizeOuter,0), IFERROR(0+Star_5_2.SizeMiddle,0), IFERROR(0+Star_5_2.SizeInner,0)), 10) + 0.2)</f>
        <v>5</v>
      </c>
      <c r="AS13">
        <f t="shared" ref="AS13:AT13" si="33" xml:space="preserve"> IF(ISNUMBER(AR13), AR13, "·")</f>
        <v>5</v>
      </c>
      <c r="AT13">
        <f t="shared" si="33"/>
        <v>5</v>
      </c>
      <c r="AV13" s="21">
        <f xml:space="preserve"> DecimalPlaces - INT(LOG(MAX(IFERROR(0+Star_5_2.SizeOuter,0), IFERROR(0+Star_5_2.SizeMiddle,0), IFERROR(0+Star_5_2.SizeInner,0)), 10) + 0.2)</f>
        <v>5</v>
      </c>
      <c r="AW13">
        <f t="shared" ref="AW13:AX13" si="34" xml:space="preserve"> IF(ISNUMBER(AV13), AV13, "·")</f>
        <v>5</v>
      </c>
      <c r="AX13">
        <f t="shared" si="34"/>
        <v>5</v>
      </c>
      <c r="AZ13" s="21">
        <f xml:space="preserve"> DecimalPlaces - INT(LOG(MAX(IFERROR(0+Star_5_2.SizeOuter,0), IFERROR(0+Star_5_2.SizeMiddle,0), IFERROR(0+Star_5_2.SizeInner,0)), 10) + 0.2)</f>
        <v>4</v>
      </c>
      <c r="BA13">
        <f t="shared" ref="BA13:BB13" si="35" xml:space="preserve"> IF(ISNUMBER(AZ13), AZ13, "·")</f>
        <v>4</v>
      </c>
      <c r="BB13">
        <f t="shared" si="35"/>
        <v>4</v>
      </c>
      <c r="BD13" s="21">
        <f xml:space="preserve"> DecimalPlaces - INT(LOG(MAX(IFERROR(0+Star_5_2.SizeOuter,0), IFERROR(0+Star_5_2.SizeMiddle,0), IFERROR(0+Star_5_2.SizeInner,0)), 10) + 0.2)</f>
        <v>4</v>
      </c>
      <c r="BE13">
        <f t="shared" ref="BE13:BF13" si="36" xml:space="preserve"> IF(ISNUMBER(BD13), BD13, "·")</f>
        <v>4</v>
      </c>
      <c r="BF13">
        <f t="shared" si="36"/>
        <v>4</v>
      </c>
      <c r="BH13" s="21">
        <f xml:space="preserve"> DecimalPlaces - INT(LOG(MAX(IFERROR(0+Star_5_2.SizeOuter,0), IFERROR(0+Star_5_2.SizeMiddle,0), IFERROR(0+Star_5_2.SizeInner,0)), 10) + 0.2)</f>
        <v>4</v>
      </c>
      <c r="BI13">
        <f t="shared" ref="BI13:BJ13" si="37" xml:space="preserve"> IF(ISNUMBER(BH13), BH13, "·")</f>
        <v>4</v>
      </c>
      <c r="BJ13">
        <f t="shared" si="37"/>
        <v>4</v>
      </c>
      <c r="BL13" s="21">
        <f xml:space="preserve"> DecimalPlaces - INT(LOG(MAX(IFERROR(0+Star_5_2.SizeOuter,0), IFERROR(0+Star_5_2.SizeMiddle,0), IFERROR(0+Star_5_2.SizeInner,0)), 10) + 0.2)</f>
        <v>5</v>
      </c>
      <c r="BM13">
        <f t="shared" ref="BM13:BN13" si="38" xml:space="preserve"> IF(ISNUMBER(BL13), BL13, "·")</f>
        <v>5</v>
      </c>
      <c r="BN13">
        <f t="shared" si="38"/>
        <v>5</v>
      </c>
      <c r="BP13" s="21">
        <f xml:space="preserve"> DecimalPlaces - INT(LOG(MAX(IFERROR(0+Star_5_2.SizeOuter,0), IFERROR(0+Star_5_2.SizeMiddle,0), IFERROR(0+Star_5_2.SizeInner,0)), 10) + 0.2)</f>
        <v>4</v>
      </c>
      <c r="BQ13">
        <f t="shared" ref="BQ13:BR13" si="39" xml:space="preserve"> IF(ISNUMBER(BP13), BP13, "·")</f>
        <v>4</v>
      </c>
      <c r="BR13">
        <f t="shared" si="39"/>
        <v>4</v>
      </c>
      <c r="BT13" s="21">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21">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21">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c r="D14" s="1"/>
    </row>
    <row r="15" spans="2:87">
      <c r="J15" cm="1">
        <f t="array" ref="J15" xml:space="preserve"> SVG_length(J$73:J$84)</f>
        <v>345</v>
      </c>
      <c r="N15" cm="1">
        <f t="array" ref="N15" xml:space="preserve"> SVG_length(N$73:N$84)</f>
        <v>303</v>
      </c>
      <c r="R15" cm="1">
        <f t="array" ref="R15" xml:space="preserve"> SVG_length(R$73:R$84)</f>
        <v>381</v>
      </c>
      <c r="V15" cm="1">
        <f t="array" ref="V15" xml:space="preserve"> SVG_length(V$73:V$84)</f>
        <v>400</v>
      </c>
      <c r="Z15" cm="1">
        <f t="array" ref="Z15" xml:space="preserve"> SVG_length(Z$73:Z$84)</f>
        <v>257</v>
      </c>
      <c r="AD15" cm="1">
        <f t="array" ref="AD15" xml:space="preserve"> SVG_length(AD$73:AD$84)</f>
        <v>391</v>
      </c>
      <c r="AH15" cm="1">
        <f t="array" ref="AH15" xml:space="preserve"> SVG_length(AH$73:AH$84)</f>
        <v>371</v>
      </c>
      <c r="AL15" cm="1">
        <f t="array" ref="AL15" xml:space="preserve"> SVG_length(AL$73:AL$84)</f>
        <v>375</v>
      </c>
      <c r="AP15" cm="1">
        <f t="array" ref="AP15" xml:space="preserve"> SVG_length(AP$73:AP$84)</f>
        <v>310</v>
      </c>
      <c r="AT15" cm="1">
        <f t="array" ref="AT15" xml:space="preserve"> SVG_length(AT$73:AT$84)</f>
        <v>505</v>
      </c>
      <c r="AX15" cm="1">
        <f t="array" ref="AX15" xml:space="preserve"> SVG_length(AX$73:AX$84)</f>
        <v>389</v>
      </c>
      <c r="BB15" cm="1">
        <f t="array" ref="BB15" xml:space="preserve"> SVG_length(BB$73:BB$84)</f>
        <v>410</v>
      </c>
      <c r="BF15" cm="1">
        <f t="array" ref="BF15" xml:space="preserve"> SVG_length(BF$73:BF$84)</f>
        <v>371</v>
      </c>
      <c r="BJ15" cm="1">
        <f t="array" ref="BJ15" xml:space="preserve"> SVG_length(BJ$73:BJ$84)</f>
        <v>348</v>
      </c>
      <c r="BN15" cm="1">
        <f t="array" ref="BN15" xml:space="preserve"> SVG_length(BN$73:BN$84)</f>
        <v>290</v>
      </c>
      <c r="BR15" cm="1">
        <f t="array" ref="BR15" xml:space="preserve"> SVG_length(BR$73:BR$84)</f>
        <v>440</v>
      </c>
      <c r="BV15" cm="1">
        <f t="array" ref="BV15" xml:space="preserve"> SVG_length(BV$73:BV$84)</f>
        <v>324</v>
      </c>
      <c r="BZ15" cm="1">
        <f t="array" ref="BZ15" xml:space="preserve"> SVG_length(BZ$73:BZ$84)</f>
        <v>437</v>
      </c>
      <c r="CD15" cm="1">
        <f t="array" ref="CD15" xml:space="preserve"> SVG_length(CD$73:CD$84)</f>
        <v>312</v>
      </c>
    </row>
    <row r="16" spans="2:87" ht="17" thickBot="1">
      <c r="B16" s="2" t="s">
        <v>123</v>
      </c>
      <c r="C16" s="2" t="s">
        <v>16</v>
      </c>
      <c r="D16" s="2" t="s">
        <v>17</v>
      </c>
    </row>
    <row r="17" spans="2:82">
      <c r="B17" s="1"/>
      <c r="C17" s="1"/>
      <c r="D17" s="1"/>
    </row>
    <row r="18" spans="2:8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c r="J28" s="5"/>
      <c r="N28" s="5"/>
      <c r="R28" s="5"/>
      <c r="V28" s="5"/>
      <c r="Z28" s="5"/>
      <c r="AD28" s="5"/>
      <c r="AH28" s="5"/>
      <c r="AL28" s="5"/>
      <c r="AP28" s="5"/>
      <c r="AT28" s="5"/>
      <c r="AX28" s="5"/>
      <c r="BB28" s="5"/>
      <c r="BF28" s="5"/>
      <c r="BJ28" s="5"/>
      <c r="BN28" s="5"/>
      <c r="BR28" s="5"/>
      <c r="BV28" s="5"/>
      <c r="BZ28" s="5"/>
      <c r="CD28" s="5"/>
    </row>
    <row r="30" spans="2:8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c r="B33" t="s">
        <v>143</v>
      </c>
      <c r="C33" s="1">
        <f xml:space="preserve"> - C32</f>
        <v>0.15541568772728709</v>
      </c>
      <c r="D33" s="1">
        <f xml:space="preserve"> D32</f>
        <v>0.21391134274543211</v>
      </c>
      <c r="AR33">
        <f t="shared" si="84"/>
        <v>-0.15542</v>
      </c>
      <c r="AS33">
        <f t="shared" si="85"/>
        <v>-0.21390999999999999</v>
      </c>
      <c r="AT33" t="str">
        <v>H-.1554</v>
      </c>
    </row>
    <row r="34" spans="2:46">
      <c r="B34" t="s">
        <v>143</v>
      </c>
      <c r="C34" s="1">
        <f xml:space="preserve"> -C31</f>
        <v>0.25146786512769093</v>
      </c>
      <c r="D34" s="1">
        <f xml:space="preserve"> D31</f>
        <v>-8.170686234962686E-2</v>
      </c>
      <c r="AR34">
        <f t="shared" si="84"/>
        <v>-0.25147000000000003</v>
      </c>
      <c r="AS34">
        <f t="shared" si="85"/>
        <v>8.1710000000000005E-2</v>
      </c>
      <c r="AT34" t="str">
        <v>L-.2515 .0817Z</v>
      </c>
    </row>
    <row r="35" spans="2:46">
      <c r="C35" s="1"/>
      <c r="D35" s="1"/>
    </row>
    <row r="36" spans="2:46">
      <c r="C36" s="1"/>
      <c r="D36" s="1"/>
    </row>
    <row r="37" spans="2:46">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c r="B39" t="s">
        <v>148</v>
      </c>
      <c r="C39" s="1">
        <f xml:space="preserve"> - C38</f>
        <v>-0.12451398828979236</v>
      </c>
      <c r="D39" s="1">
        <f xml:space="preserve"> D38</f>
        <v>0.30901699437494745</v>
      </c>
      <c r="AR39">
        <f t="shared" si="86"/>
        <v>0.12451</v>
      </c>
      <c r="AS39">
        <f t="shared" si="87"/>
        <v>-0.30902000000000002</v>
      </c>
      <c r="AT39" t="str">
        <v>h.249Z</v>
      </c>
    </row>
    <row r="40" spans="2:46">
      <c r="C40" s="1"/>
      <c r="D40" s="1"/>
    </row>
    <row r="41" spans="2:46">
      <c r="C41" s="1"/>
      <c r="D41" s="1"/>
    </row>
    <row r="42" spans="2:46">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c r="C45" s="1"/>
      <c r="D45" s="1"/>
    </row>
    <row r="46" spans="2:46">
      <c r="C46" s="1"/>
      <c r="D46" s="1"/>
    </row>
    <row r="47" spans="2:46">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c r="B48" t="s">
        <v>145</v>
      </c>
      <c r="C48" s="1">
        <f xml:space="preserve"> - C44</f>
        <v>-0.25541568772728712</v>
      </c>
      <c r="D48" s="1">
        <f xml:space="preserve"> D44</f>
        <v>0.21391134274543211</v>
      </c>
      <c r="AR48">
        <f t="shared" si="90"/>
        <v>0.25541999999999998</v>
      </c>
      <c r="AS48">
        <f t="shared" si="91"/>
        <v>-0.21390999999999999</v>
      </c>
      <c r="AT48" t="str">
        <v>H.2554</v>
      </c>
    </row>
    <row r="49" spans="2:82">
      <c r="B49" t="s">
        <v>145</v>
      </c>
      <c r="C49" s="1">
        <f xml:space="preserve"> - C43</f>
        <v>-0.33236956456518563</v>
      </c>
      <c r="D49" s="1">
        <f xml:space="preserve"> D43</f>
        <v>-2.2928337120379547E-2</v>
      </c>
      <c r="AR49">
        <f t="shared" si="90"/>
        <v>0.33237</v>
      </c>
      <c r="AS49">
        <f t="shared" si="91"/>
        <v>2.2929999999999999E-2</v>
      </c>
      <c r="AT49" t="str">
        <v>l.077 .2368Z</v>
      </c>
    </row>
    <row r="50" spans="2:82">
      <c r="C50" s="1"/>
      <c r="D50" s="1"/>
    </row>
    <row r="51" spans="2:82">
      <c r="C51" s="1"/>
      <c r="D51" s="1"/>
    </row>
    <row r="52" spans="2:8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c r="C55" s="1"/>
      <c r="D55" s="1"/>
    </row>
    <row r="56" spans="2:82">
      <c r="C56" s="1"/>
      <c r="D56" s="1"/>
    </row>
    <row r="57" spans="2:8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c r="B58" t="s">
        <v>147</v>
      </c>
      <c r="C58" s="1">
        <f xml:space="preserve"> - C54</f>
        <v>-0.28236956456518564</v>
      </c>
      <c r="D58" s="1">
        <f xml:space="preserve"> D54</f>
        <v>-0.17681251397914222</v>
      </c>
      <c r="AR58">
        <f t="shared" si="94"/>
        <v>0.28237000000000001</v>
      </c>
      <c r="AS58">
        <f t="shared" si="95"/>
        <v>0.17680999999999999</v>
      </c>
      <c r="AT58" t="str">
        <v>L.2824 .1768</v>
      </c>
    </row>
    <row r="59" spans="2:82">
      <c r="B59" t="s">
        <v>147</v>
      </c>
      <c r="C59" s="1">
        <f xml:space="preserve"> - C53</f>
        <v>-8.0901699437494742E-2</v>
      </c>
      <c r="D59" s="1">
        <f xml:space="preserve"> D53</f>
        <v>-0.32318748602085767</v>
      </c>
      <c r="AR59">
        <f t="shared" si="94"/>
        <v>8.09E-2</v>
      </c>
      <c r="AS59">
        <f t="shared" si="95"/>
        <v>0.32318999999999998</v>
      </c>
      <c r="AT59" t="str">
        <v>L.0809 .3232Z</v>
      </c>
    </row>
    <row r="62" spans="2:82">
      <c r="F62" s="4" t="s">
        <v>12</v>
      </c>
      <c r="J62">
        <f xml:space="preserve"> ROUND(MAX(H$18:H$59), _xlfn.SINGLE(Star_5_2.DecimalPlaces))</f>
        <v>9.5106000000000002</v>
      </c>
      <c r="N62" s="28">
        <f xml:space="preserve"> ROUND(MAX(_xlfn.SINGLE(Star_5_2.SizeOuter), _xlfn.SINGLE(Star_5_2.SizeMiddle), _xlfn.SINGLE(Star_5_2.SizeInner)), _xlfn.SINGLE(Star_5_2.DecimalPlaces))</f>
        <v>10</v>
      </c>
      <c r="R62" s="28">
        <f xml:space="preserve"> ROUND(MAX(_xlfn.SINGLE(Star_5_2.SizeOuter), _xlfn.SINGLE(Star_5_2.SizeMiddle), _xlfn.SINGLE(Star_5_2.SizeInner)), _xlfn.SINGLE(Star_5_2.DecimalPlaces))</f>
        <v>5</v>
      </c>
      <c r="V62">
        <f xml:space="preserve"> ROUND(MAX(T$18:T$59), _xlfn.SINGLE(Star_5_2.DecimalPlaces))</f>
        <v>8.8400999999999996</v>
      </c>
      <c r="Z62" s="28">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28">
        <f xml:space="preserve"> ROUND(MAX(_xlfn.SINGLE(Star_5_2.SizeOuter), _xlfn.SINGLE(Star_5_2.SizeMiddle), _xlfn.SINGLE(Star_5_2.SizeInner)), _xlfn.SINGLE(Star_5_2.DecimalPlaces))</f>
        <v>4</v>
      </c>
      <c r="AP62" s="28">
        <f xml:space="preserve"> ROUND(MAX(_xlfn.SINGLE(Star_5_2.SizeOuter), _xlfn.SINGLE(Star_5_2.SizeMiddle), _xlfn.SINGLE(Star_5_2.SizeInner)), _xlfn.SINGLE(Star_5_2.DecimalPlaces))</f>
        <v>16</v>
      </c>
      <c r="AT62">
        <f xml:space="preserve"> ROUND(MAX(AR$18:AR$59), _xlfn.SINGLE(Star_5_2.DecimalPlaces))</f>
        <v>0.95106000000000002</v>
      </c>
      <c r="AX62" s="28">
        <f xml:space="preserve"> _xlfn.SINGLE(Star_5_2.SizeOuter)</f>
        <v>6</v>
      </c>
      <c r="BB62">
        <f xml:space="preserve"> ROUND(MAX(AZ$18:AZ$59), _xlfn.SINGLE(Star_5_2.DecimalPlaces))</f>
        <v>25.6785</v>
      </c>
      <c r="BF62">
        <f xml:space="preserve"> ROUND(MAX(BD$18:BD$59), _xlfn.SINGLE(Star_5_2.DecimalPlaces))</f>
        <v>9.5106000000000002</v>
      </c>
      <c r="BJ62" s="28">
        <f xml:space="preserve"> ROUND(MAX(_xlfn.SINGLE(Star_5_2.SizeOuter), _xlfn.SINGLE(Star_5_2.SizeMiddle), _xlfn.SINGLE(Star_5_2.SizeInner)), _xlfn.SINGLE(Star_5_2.DecimalPlaces))</f>
        <v>8</v>
      </c>
      <c r="BN62" s="28">
        <f xml:space="preserve"> ROUND(MAX(_xlfn.SINGLE(Star_5_2.SizeOuter), _xlfn.SINGLE(Star_5_2.SizeMiddle), _xlfn.SINGLE(Star_5_2.SizeInner)), _xlfn.SINGLE(Star_5_2.DecimalPlaces))</f>
        <v>1</v>
      </c>
      <c r="BR62">
        <f xml:space="preserve"> ROUND(MAX(BP$18:BP$59), _xlfn.SINGLE(Star_5_2.DecimalPlaces))</f>
        <v>25.6785</v>
      </c>
      <c r="BV62" s="28">
        <v>40</v>
      </c>
      <c r="BZ62">
        <f xml:space="preserve"> ROUND(MAX(BX$18:BX$59), _xlfn.SINGLE(Star_5_2.DecimalPlaces))</f>
        <v>25.6785</v>
      </c>
      <c r="CD62" s="28">
        <v>3</v>
      </c>
    </row>
    <row r="63" spans="2:82">
      <c r="F63" s="4" t="s">
        <v>14</v>
      </c>
      <c r="J63">
        <f xml:space="preserve"> ROUND(MAX(I$18:I$59), _xlfn.SINGLE(Star_5_2.DecimalPlaces))</f>
        <v>8.0901999999999994</v>
      </c>
      <c r="N63" s="28">
        <f xml:space="preserve"> _xlfn.SINGLE(Star_5_2.MaxX)</f>
        <v>10</v>
      </c>
      <c r="R63" s="28">
        <f xml:space="preserve"> _xlfn.SINGLE(Star_5_2.MaxX)</f>
        <v>5</v>
      </c>
      <c r="V63">
        <f xml:space="preserve"> ROUND(MAX(U$18:U$59), _xlfn.SINGLE(Star_5_2.DecimalPlaces))</f>
        <v>9.8520000000000003</v>
      </c>
      <c r="Z63" s="28">
        <f xml:space="preserve"> _xlfn.SINGLE(Star_5_2.MaxX)</f>
        <v>1</v>
      </c>
      <c r="AD63">
        <f xml:space="preserve"> ROUND(MAX(AC$18:AC$59), _xlfn.SINGLE(Star_5_2.DecimalPlaces))</f>
        <v>9.7680000000000007</v>
      </c>
      <c r="AH63">
        <f xml:space="preserve"> ROUND(MAX(AG$18:AG$59), _xlfn.SINGLE(Star_5_2.DecimalPlaces))</f>
        <v>9.5106000000000002</v>
      </c>
      <c r="AL63" s="28">
        <f xml:space="preserve"> _xlfn.SINGLE(Star_5_2.MaxX)</f>
        <v>4</v>
      </c>
      <c r="AP63" s="28">
        <f xml:space="preserve"> _xlfn.SINGLE(Star_5_2.MaxX)</f>
        <v>16</v>
      </c>
      <c r="AT63">
        <f xml:space="preserve"> ROUND(MAX(AS$18:AS$59), _xlfn.SINGLE(Star_5_2.DecimalPlaces))</f>
        <v>0.80901999999999996</v>
      </c>
      <c r="AX63" s="2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28">
        <f xml:space="preserve"> _xlfn.SINGLE(Star_5_2.MaxX)</f>
        <v>8</v>
      </c>
      <c r="BN63" s="28">
        <f xml:space="preserve"> _xlfn.SINGLE(Star_5_2.MaxX)</f>
        <v>1</v>
      </c>
      <c r="BR63">
        <f xml:space="preserve"> ROUND(MAX(BQ$18:BQ$59), _xlfn.SINGLE(Star_5_2.DecimalPlaces))</f>
        <v>21.843499999999999</v>
      </c>
      <c r="BV63" s="28">
        <f xml:space="preserve"> _xlfn.SINGLE(Star_5_2.MaxX)</f>
        <v>40</v>
      </c>
      <c r="BZ63">
        <f xml:space="preserve"> ROUND(MAX(BY$18:BY$59), _xlfn.SINGLE(Star_5_2.DecimalPlaces))</f>
        <v>21.843499999999999</v>
      </c>
      <c r="CD63" s="28">
        <f xml:space="preserve"> _xlfn.SINGLE(Star_5_2.MaxX)</f>
        <v>3</v>
      </c>
    </row>
    <row r="64" spans="2:82">
      <c r="F64" s="4" t="s">
        <v>11</v>
      </c>
      <c r="J64">
        <f xml:space="preserve"> ROUND( MIN(H$18:H$59), _xlfn.SINGLE(Star_5_2.DecimalPlaces))</f>
        <v>-9.5106000000000002</v>
      </c>
      <c r="N64" s="28">
        <f xml:space="preserve"> - _xlfn.SINGLE(Star_5_2.MaxX)</f>
        <v>-10</v>
      </c>
      <c r="R64" s="28">
        <f xml:space="preserve"> - _xlfn.SINGLE(Star_5_2.MaxX)</f>
        <v>-5</v>
      </c>
      <c r="V64">
        <f xml:space="preserve"> ROUND( MIN(T$18:T$59), _xlfn.SINGLE(Star_5_2.DecimalPlaces))</f>
        <v>-9.8994999999999997</v>
      </c>
      <c r="Z64" s="28">
        <f xml:space="preserve"> - _xlfn.SINGLE(Star_5_2.MaxX)</f>
        <v>-1</v>
      </c>
      <c r="AD64">
        <f xml:space="preserve"> ROUND( MIN(AB$18:AB$59), _xlfn.SINGLE(Star_5_2.DecimalPlaces))</f>
        <v>-9.9517000000000007</v>
      </c>
      <c r="AH64">
        <f xml:space="preserve"> ROUND( MIN(AF$18:AF$59), _xlfn.SINGLE(Star_5_2.DecimalPlaces))</f>
        <v>-10</v>
      </c>
      <c r="AL64" s="28">
        <f xml:space="preserve"> - _xlfn.SINGLE(Star_5_2.MaxX)</f>
        <v>-4</v>
      </c>
      <c r="AP64" s="28">
        <f xml:space="preserve"> - _xlfn.SINGLE(Star_5_2.MaxX)</f>
        <v>-16</v>
      </c>
      <c r="AT64">
        <f xml:space="preserve"> ROUND( MIN(AR$18:AR$59), _xlfn.SINGLE(Star_5_2.DecimalPlaces))</f>
        <v>-0.95106000000000002</v>
      </c>
      <c r="AX64" s="28">
        <f xml:space="preserve"> - _xlfn.SINGLE(Star_5_2.SizeOuter)</f>
        <v>-6</v>
      </c>
      <c r="BB64">
        <f xml:space="preserve"> ROUND( MIN(AZ$18:AZ$59), _xlfn.SINGLE(Star_5_2.DecimalPlaces))</f>
        <v>-25.6785</v>
      </c>
      <c r="BF64">
        <f xml:space="preserve"> ROUND( MIN(BD$18:BD$59), _xlfn.SINGLE(Star_5_2.DecimalPlaces))</f>
        <v>-9.5106000000000002</v>
      </c>
      <c r="BJ64" s="28">
        <f xml:space="preserve"> - _xlfn.SINGLE(Star_5_2.MaxX)</f>
        <v>-8</v>
      </c>
      <c r="BN64" s="28">
        <f xml:space="preserve"> - _xlfn.SINGLE(Star_5_2.MaxX)</f>
        <v>-1</v>
      </c>
      <c r="BR64">
        <f xml:space="preserve"> ROUND( MIN(BP$18:BP$59), _xlfn.SINGLE(Star_5_2.DecimalPlaces))</f>
        <v>-25.6785</v>
      </c>
      <c r="BV64" s="28">
        <f xml:space="preserve"> - _xlfn.SINGLE(Star_5_2.MaxX)</f>
        <v>-40</v>
      </c>
      <c r="BZ64">
        <f xml:space="preserve"> ROUND( MIN(BX$18:BX$59), _xlfn.SINGLE(Star_5_2.DecimalPlaces))</f>
        <v>-25.6785</v>
      </c>
      <c r="CD64" s="28">
        <f xml:space="preserve"> - _xlfn.SINGLE(Star_5_2.MaxX)</f>
        <v>-3</v>
      </c>
    </row>
    <row r="65" spans="5:87">
      <c r="F65" s="4" t="s">
        <v>13</v>
      </c>
      <c r="J65">
        <f xml:space="preserve"> ROUND( MIN(I$18:I$59), _xlfn.SINGLE(Star_5_2.DecimalPlaces))</f>
        <v>-10</v>
      </c>
      <c r="N65" s="28">
        <f xml:space="preserve"> - _xlfn.SINGLE(Star_5_2.MaxY)</f>
        <v>-10</v>
      </c>
      <c r="R65" s="28">
        <f xml:space="preserve"> - _xlfn.SINGLE(Star_5_2.MaxY)</f>
        <v>-5</v>
      </c>
      <c r="V65">
        <f xml:space="preserve"> ROUND( MIN(U$18:U$59), _xlfn.SINGLE(Star_5_2.DecimalPlaces))</f>
        <v>-8.9779999999999998</v>
      </c>
      <c r="Z65" s="28">
        <f xml:space="preserve"> - _xlfn.SINGLE(Star_5_2.MaxY)</f>
        <v>-1</v>
      </c>
      <c r="AD65">
        <f xml:space="preserve"> ROUND( MIN(AC$18:AC$59), _xlfn.SINGLE(Star_5_2.DecimalPlaces))</f>
        <v>-9.1613000000000007</v>
      </c>
      <c r="AH65">
        <f xml:space="preserve"> ROUND( MIN(AG$18:AG$59), _xlfn.SINGLE(Star_5_2.DecimalPlaces))</f>
        <v>-9.5106000000000002</v>
      </c>
      <c r="AL65" s="28">
        <f xml:space="preserve"> - _xlfn.SINGLE(Star_5_2.MaxY)</f>
        <v>-4</v>
      </c>
      <c r="AP65" s="28">
        <f xml:space="preserve"> - _xlfn.SINGLE(Star_5_2.MaxY)</f>
        <v>-16</v>
      </c>
      <c r="AT65">
        <f xml:space="preserve"> ROUND( MIN(AS$18:AS$59), _xlfn.SINGLE(Star_5_2.DecimalPlaces))</f>
        <v>-1</v>
      </c>
      <c r="AX65" s="28">
        <f xml:space="preserve"> - _xlfn.SINGLE(Star_5_2.MaxY)</f>
        <v>-6.8522400000000001</v>
      </c>
      <c r="BB65">
        <f xml:space="preserve"> ROUND( MIN(BA$18:BA$59), _xlfn.SINGLE(Star_5_2.DecimalPlaces))</f>
        <v>-27</v>
      </c>
      <c r="BF65">
        <f xml:space="preserve"> ROUND( MIN(BE$18:BE$59), _xlfn.SINGLE(Star_5_2.DecimalPlaces))</f>
        <v>-10</v>
      </c>
      <c r="BJ65" s="28">
        <f xml:space="preserve"> - _xlfn.SINGLE(Star_5_2.MaxY)</f>
        <v>-8</v>
      </c>
      <c r="BN65" s="28">
        <f xml:space="preserve"> - _xlfn.SINGLE(Star_5_2.MaxY)</f>
        <v>-1</v>
      </c>
      <c r="BR65">
        <f xml:space="preserve"> ROUND( MIN(BQ$18:BQ$59), _xlfn.SINGLE(Star_5_2.DecimalPlaces))</f>
        <v>-27</v>
      </c>
      <c r="BV65" s="28">
        <f xml:space="preserve"> - _xlfn.SINGLE(Star_5_2.MaxY)</f>
        <v>-40</v>
      </c>
      <c r="BZ65">
        <f xml:space="preserve"> ROUND( MIN(BY$18:BY$59), _xlfn.SINGLE(Star_5_2.DecimalPlaces))</f>
        <v>-27</v>
      </c>
      <c r="CD65" s="28">
        <f xml:space="preserve"> - _xlfn.SINGLE(Star_5_2.MaxY)</f>
        <v>-3</v>
      </c>
    </row>
    <row r="66" spans="5:87">
      <c r="J66">
        <f xml:space="preserve"> SQRT(_xlfn.SINGLE(Star_5_2.AreaMultiplier) * BasicBBoxArea * _xlfn.SINGLE(Star_5_2.Aspect))</f>
        <v>23.071644961104962</v>
      </c>
    </row>
    <row r="67" spans="5:8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27">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15</v>
      </c>
      <c r="R68">
        <f xml:space="preserve"> VALUE(TEXT( IF(Star_5_2.AreaMultiplier_Default=_xlfn.SINGLE(Star_5_2.AreaMultiplier), Star_5_2.OuterPoints_Default * SQRT(_xlfn.SINGLE(Star_5_2.Aspect)), SQRT(_xlfn.SINGLE(Star_5_2.AreaMultiplier) * BasicBBoxArea * _xlfn.SINGLE(Star_5_2.Aspect)) ), SVG.NumberFormatHeight))</f>
        <v>15</v>
      </c>
      <c r="V68">
        <f xml:space="preserve"> VALUE(TEXT( IF(Star_5_2.AreaMultiplier_Default=_xlfn.SINGLE(Star_5_2.AreaMultiplier), Star_5_2.OuterPoints_Default * SQRT(_xlfn.SINGLE(Star_5_2.Aspect)), SQRT(_xlfn.SINGLE(Star_5_2.AreaMultiplier) * BasicBBoxArea * _xlfn.SINGLE(Star_5_2.Aspect)) ), SVG.NumberFormatHeight))</f>
        <v>19</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AH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15</v>
      </c>
      <c r="A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AX68">
        <f xml:space="preserve"> VALUE(TEXT( IF(Star_5_2.AreaMultiplier_Default=_xlfn.SINGLE(Star_5_2.AreaMultiplier), Star_5_2.OuterPoints_Default * SQRT(_xlfn.SINGLE(Star_5_2.Aspect)), SQRT(_xlfn.SINGLE(Star_5_2.AreaMultiplier) * BasicBBoxArea * _xlfn.SINGLE(Star_5_2.Aspect)) ), SVG.NumberFormatHeight))</f>
        <v>14.8</v>
      </c>
      <c r="BB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J68">
        <f xml:space="preserve"> VALUE(TEXT( IF(Star_5_2.AreaMultiplier_Default=_xlfn.SINGLE(Star_5_2.AreaMultiplier), Star_5_2.OuterPoints_Default * SQRT(_xlfn.SINGLE(Star_5_2.Aspect)), SQRT(_xlfn.SINGLE(Star_5_2.AreaMultiplier) * BasicBBoxArea * _xlfn.SINGLE(Star_5_2.Aspect)) ), SVG.NumberFormatHeight))</f>
        <v>13.8</v>
      </c>
      <c r="BN68">
        <f xml:space="preserve"> VALUE(TEXT( IF(Star_5_2.AreaMultiplier_Default=_xlfn.SINGLE(Star_5_2.AreaMultiplier), Star_5_2.OuterPoints_Default * SQRT(_xlfn.SINGLE(Star_5_2.Aspect)), SQRT(_xlfn.SINGLE(Star_5_2.AreaMultiplier) * BasicBBoxArea * _xlfn.SINGLE(Star_5_2.Aspect)) ), SVG.NumberFormatHeight))</f>
        <v>13.8</v>
      </c>
      <c r="BR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V68">
        <f xml:space="preserve"> VALUE(TEXT( IF(Star_5_2.AreaMultiplier_Default=_xlfn.SINGLE(Star_5_2.AreaMultiplier), Star_5_2.OuterPoints_Default * SQRT(_xlfn.SINGLE(Star_5_2.Aspect)), SQRT(_xlfn.SINGLE(Star_5_2.AreaMultiplier) * BasicBBoxArea * _xlfn.SINGLE(Star_5_2.Aspect)) ), SVG.NumberFormatHeight))</f>
        <v>15</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87">
      <c r="F69" s="4" t="s">
        <v>80</v>
      </c>
      <c r="J69">
        <f xml:space="preserve"> _xlfn.SINGLE(Star_5_2.Height) / _xlfn.SINGLE(Star_5_2.Aspect)</f>
        <v>21.969486000000003</v>
      </c>
      <c r="N69">
        <f xml:space="preserve"> _xlfn.SINGLE(Star_5_2.Height) / _xlfn.SINGLE(Star_5_2.Aspect)</f>
        <v>15</v>
      </c>
      <c r="R69">
        <f xml:space="preserve"> _xlfn.SINGLE(Star_5_2.Height) / _xlfn.SINGLE(Star_5_2.Aspect)</f>
        <v>15</v>
      </c>
      <c r="V69">
        <f xml:space="preserve"> _xlfn.SINGLE(Star_5_2.Height) / _xlfn.SINGLE(Star_5_2.Aspect)</f>
        <v>19.091605765326836</v>
      </c>
      <c r="Z69">
        <f xml:space="preserve"> _xlfn.SINGLE(Star_5_2.Height) / _xlfn.SINGLE(Star_5_2.Aspect)</f>
        <v>15</v>
      </c>
      <c r="AD69">
        <f xml:space="preserve"> _xlfn.SINGLE(Star_5_2.Height) / _xlfn.SINGLE(Star_5_2.Aspect)</f>
        <v>19.255439189189186</v>
      </c>
      <c r="AH69">
        <f xml:space="preserve"> _xlfn.SINGLE(Star_5_2.Height) / _xlfn.SINGLE(Star_5_2.Aspect)</f>
        <v>19.557125733392215</v>
      </c>
      <c r="AL69">
        <f xml:space="preserve"> _xlfn.SINGLE(Star_5_2.Height) / _xlfn.SINGLE(Star_5_2.Aspect)</f>
        <v>15</v>
      </c>
      <c r="AP69">
        <f xml:space="preserve"> _xlfn.SINGLE(Star_5_2.Height) / _xlfn.SINGLE(Star_5_2.Aspect)</f>
        <v>15</v>
      </c>
      <c r="AT69">
        <f xml:space="preserve"> _xlfn.SINGLE(Star_5_2.Height) / _xlfn.SINGLE(Star_5_2.Aspect)</f>
        <v>18.640776000000002</v>
      </c>
      <c r="AX69">
        <f xml:space="preserve"> _xlfn.SINGLE(Star_5_2.Height) / _xlfn.SINGLE(Star_5_2.Aspect)</f>
        <v>12.959265875100698</v>
      </c>
      <c r="BB69">
        <f xml:space="preserve"> _xlfn.SINGLE(Star_5_2.Height) / _xlfn.SINGLE(Star_5_2.Aspect)</f>
        <v>18.640688888888892</v>
      </c>
      <c r="BF69">
        <f xml:space="preserve"> _xlfn.SINGLE(Star_5_2.Height) / _xlfn.SINGLE(Star_5_2.Aspect)</f>
        <v>18.640776000000002</v>
      </c>
      <c r="BJ69">
        <f xml:space="preserve"> _xlfn.SINGLE(Star_5_2.Height) / _xlfn.SINGLE(Star_5_2.Aspect)</f>
        <v>13.8</v>
      </c>
      <c r="BN69">
        <f xml:space="preserve"> _xlfn.SINGLE(Star_5_2.Height) / _xlfn.SINGLE(Star_5_2.Aspect)</f>
        <v>13.8</v>
      </c>
      <c r="BR69">
        <f xml:space="preserve"> _xlfn.SINGLE(Star_5_2.Height) / _xlfn.SINGLE(Star_5_2.Aspect)</f>
        <v>18.640688888888892</v>
      </c>
      <c r="BV69">
        <f xml:space="preserve"> _xlfn.SINGLE(Star_5_2.Height) / _xlfn.SINGLE(Star_5_2.Aspect)</f>
        <v>15</v>
      </c>
      <c r="BZ69">
        <f xml:space="preserve"> _xlfn.SINGLE(Star_5_2.Height) / _xlfn.SINGLE(Star_5_2.Aspect)</f>
        <v>18.640688888888892</v>
      </c>
      <c r="CD69">
        <f xml:space="preserve"> _xlfn.SINGLE(Star_5_2.Height) / _xlfn.SINGLE(Star_5_2.Aspect)</f>
        <v>15</v>
      </c>
    </row>
    <row r="72" spans="5:87" ht="17" thickBot="1">
      <c r="F72" s="6" t="s">
        <v>95</v>
      </c>
    </row>
    <row r="73" spans="5:87">
      <c r="E73" t="s">
        <v>1753</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O73" s="7" t="str">
        <f xml:space="preserve"> ""</f>
        <v/>
      </c>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S73" s="7" t="str">
        <f xml:space="preserve"> ""</f>
        <v/>
      </c>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A73" s="7" t="str">
        <f xml:space="preserve"> ""</f>
        <v/>
      </c>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E73" s="7" t="str">
        <f xml:space="preserve"> ""</f>
        <v/>
      </c>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AI73" s="7" t="str">
        <f xml:space="preserve"> ""</f>
        <v/>
      </c>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AY73" s="7"/>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BW73" s="7"/>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A73" s="7"/>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E73" s="7"/>
      <c r="CF73" s="7"/>
      <c r="CG73" s="7"/>
      <c r="CH73" s="7"/>
      <c r="CI73" s="8"/>
    </row>
    <row r="74" spans="5:87">
      <c r="E74" t="s">
        <v>1754</v>
      </c>
      <c r="G74" s="13" t="str">
        <f t="shared" ref="G74:G84" si="96" xml:space="preserve"> ""</f>
        <v/>
      </c>
      <c r="K74" t="str">
        <f t="shared" ref="K74:K84" si="97" xml:space="preserve"> ""</f>
        <v/>
      </c>
      <c r="N74" s="27" t="str">
        <f xml:space="preserve"> "&lt;circle " &amp; _xlfn.SINGLE(Star_5_2.SVG_painting_Outer) &amp; " r='" &amp; ROUND(_xlfn.SINGLE(Star_5_2.SizeOuter), _xlfn.SINGLE(Star_5_2.DecimalPlaces)) &amp; "'/&gt;"</f>
        <v>&lt;circle fill='#FF33FF'  r='10'/&gt;</v>
      </c>
      <c r="O74" t="str">
        <f t="shared" ref="O74:O84" si="98" xml:space="preserve"> ""</f>
        <v/>
      </c>
      <c r="R74" s="27" t="str">
        <f xml:space="preserve"> "&lt;circle " &amp; _xlfn.SINGLE(Star_5_2.SVG_painting_Outer) &amp; " r='" &amp; ROUND(_xlfn.SINGLE(Star_5_2.SizeOuter), _xlfn.SINGLE(Star_5_2.DecimalPlaces)) &amp; "'/&gt;"</f>
        <v>&lt;circle fill='#012169' r='5'/&gt;</v>
      </c>
      <c r="S74" t="str">
        <f t="shared" ref="S74:S84" si="99" xml:space="preserve"> ""</f>
        <v/>
      </c>
      <c r="W74" t="str">
        <f t="shared" ref="W74:W84" si="100" xml:space="preserve"> ""</f>
        <v/>
      </c>
      <c r="Z74" s="27" t="str">
        <f xml:space="preserve"> "&lt;circle " &amp; _xlfn.SINGLE(Star_5_2.SVG_painting_Outer) &amp; " r='" &amp; ROUND(_xlfn.SINGLE(Star_5_2.SizeOuter), _xlfn.SINGLE(Star_5_2.DecimalPlaces)) &amp; "'/&gt;"</f>
        <v>&lt;circle fill='#A78337' r='1'/&gt;</v>
      </c>
      <c r="AA74" t="str">
        <f t="shared" ref="AA74:AA84" si="101" xml:space="preserve"> ""</f>
        <v/>
      </c>
      <c r="AE74" t="str">
        <f t="shared" ref="AE74:AE84" si="102" xml:space="preserve"> ""</f>
        <v/>
      </c>
      <c r="AI74" t="str">
        <f t="shared" ref="AI74:AI84" si="103" xml:space="preserve"> ""</f>
        <v/>
      </c>
      <c r="AL74" s="27" t="str">
        <f xml:space="preserve"> "&lt;circle " &amp; _xlfn.SINGLE(Star_5_2.SVG_painting_Outer) &amp; " r='" &amp; ROUND(_xlfn.SINGLE(Star_5_2.SizeOuter), _xlfn.SINGLE(Star_5_2.DecimalPlaces)) &amp; "'/&gt;"</f>
        <v>&lt;circle fill='#0F47AF' r='4'/&gt;</v>
      </c>
      <c r="AM74" t="str">
        <f t="shared" ref="AM74:AM84" si="104" xml:space="preserve"> ""</f>
        <v/>
      </c>
      <c r="AP74" s="27" t="str">
        <f xml:space="preserve"> "&lt;circle " &amp; _xlfn.SINGLE(Star_5_2.SVG_painting_Outer) &amp; " r='" &amp; ROUND(_xlfn.SINGLE(Star_5_2.SizeOuter), _xlfn.SINGLE(Star_5_2.DecimalPlaces)) &amp; "'/&gt;"</f>
        <v>&lt;circle fill='#E70013' r='16'/&gt;</v>
      </c>
      <c r="AQ74" t="str">
        <f t="shared" ref="AQ74:AQ84" si="105" xml:space="preserve"> ""</f>
        <v/>
      </c>
      <c r="AU74" t="str">
        <f t="shared" ref="AU74:AU84" si="106" xml:space="preserve"> ""</f>
        <v/>
      </c>
      <c r="AX74" s="27" t="str" cm="1">
        <f t="array" ref="AX74" xml:space="preserve"> svgPathRect(DecimalPlaces, _xlfn.SINGLE(Star_5_2.SVG_painting_Outer), _xlfn.SINGLE(Star_5_2.SizeOuter), _xlfn.SINGLE(Star_5_2.MaxY))</f>
        <v>&lt;path fill='#006633' d='M6 6.85224H-6V-6.85224H6Z'/&gt;</v>
      </c>
      <c r="BC74" t="str">
        <f t="shared" ref="BC74:BC84" si="107" xml:space="preserve"> ""</f>
        <v/>
      </c>
      <c r="BG74" t="str">
        <f t="shared" ref="BG74:BG84" si="108" xml:space="preserve"> ""</f>
        <v/>
      </c>
      <c r="BJ74" s="27" t="str" cm="1">
        <f t="array" ref="BJ74" xml:space="preserve"> svgPathRect(DecimalPlaces, _xlfn.SINGLE(Star_5_2.SVG_painting_Outer), _xlfn.SINGLE(Star_5_2.SizeOuter), _xlfn.SINGLE(Star_5_2.SizeOuter))</f>
        <v>&lt;path fill='#D52B1E' d='M8 8V-8H-8V8Z'/&gt;</v>
      </c>
      <c r="BK74" t="str">
        <f t="shared" ref="BK74:BK84" si="109" xml:space="preserve"> ""</f>
        <v/>
      </c>
      <c r="BN74" s="27" t="str" cm="1">
        <f t="array" ref="BN74" xml:space="preserve"> svgPathRect(DecimalPlaces, _xlfn.SINGLE(Star_5_2.SVG_painting_Outer), _xlfn.SINGLE(Star_5_2.SizeOuter), _xlfn.SINGLE(Star_5_2.SizeOuter))</f>
        <v>&lt;path fill='#072357' d='M1 1V-1H-1V1Z'/&gt;</v>
      </c>
      <c r="BO74" t="str">
        <f t="shared" ref="BO74:BO84" si="110" xml:space="preserve"> ""</f>
        <v/>
      </c>
      <c r="BV74" s="27" t="str">
        <f xml:space="preserve"> "&lt;circle " &amp; _xlfn.SINGLE(Star_5_2.SVG_painting_Outer) &amp; " r='40'/&gt;"</f>
        <v>&lt;circle fill='#024FA2' r='40'/&gt;</v>
      </c>
      <c r="CD74" t="str">
        <f xml:space="preserve"> "&lt;circle r='" &amp; ROUND(_xlfn.SINGLE(Star_5_2.SizeOuter), _xlfn.SINGLE(Star_5_2.DecimalPlaces)) &amp; "' " &amp; _xlfn.SINGLE(Star_5_2.SVG_painting_Outer) &amp;"/&gt;"</f>
        <v>&lt;circle r='3' fill='#1EB53A'/&gt;</v>
      </c>
      <c r="CI74" s="9"/>
    </row>
    <row r="75" spans="5:87">
      <c r="E75" t="s">
        <v>1755</v>
      </c>
      <c r="G75" s="13" t="str">
        <f t="shared" si="96"/>
        <v/>
      </c>
      <c r="K75" t="str">
        <f t="shared" si="97"/>
        <v/>
      </c>
      <c r="N75" s="27" t="str">
        <f xml:space="preserve"> "&lt;circle " &amp; _xlfn.SINGLE(Star_5_2.SVG_painting_Middle) &amp; " r='" &amp; _xlfn.SINGLE(Star_5_2.SizeMiddle) &amp; "'/&gt;"</f>
        <v>&lt;circle fill='#FFF' r='8'/&gt;</v>
      </c>
      <c r="O75" t="str">
        <f t="shared" si="98"/>
        <v/>
      </c>
      <c r="S75" t="str">
        <f t="shared" si="99"/>
        <v/>
      </c>
      <c r="W75" t="str">
        <f t="shared" si="100"/>
        <v/>
      </c>
      <c r="AA75" t="str">
        <f t="shared" si="101"/>
        <v/>
      </c>
      <c r="AE75" t="str">
        <f t="shared" si="102"/>
        <v/>
      </c>
      <c r="AI75" t="str">
        <f t="shared" si="103"/>
        <v/>
      </c>
      <c r="AM75" t="str">
        <f t="shared" si="104"/>
        <v/>
      </c>
      <c r="AP75" s="27" t="str">
        <f xml:space="preserve"> "&lt;circle " &amp; _xlfn.SINGLE(Star_5_2.SVG_painting_Middle) &amp; " r='" &amp; ROUND(_xlfn.SINGLE(Star_5_2.SizeMiddle), _xlfn.SINGLE(Star_5_2.DecimalPlaces)) &amp; "'/&gt;"</f>
        <v>&lt;circle fill='#FFF' r='14'/&gt;</v>
      </c>
      <c r="AQ75" t="str">
        <f t="shared" si="105"/>
        <v/>
      </c>
      <c r="AU75" t="str">
        <f t="shared" si="106"/>
        <v/>
      </c>
      <c r="AX75" s="27"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BC75" t="str">
        <f t="shared" si="107"/>
        <v/>
      </c>
      <c r="BG75" t="str">
        <f t="shared" si="108"/>
        <v/>
      </c>
      <c r="BJ75" s="27" t="str" cm="1">
        <f t="array" ref="BJ75" xml:space="preserve"> svgPathRect(DecimalPlaces, _xlfn.SINGLE(Star_5_2.SVG_painting_Middle), _xlfn.SINGLE(Star_5_2.SizeMiddle), _xlfn.SINGLE(Star_5_2.SizeMiddle))</f>
        <v>&lt;path fill='#FFF' d='M7 7V-7H-7V7Z'/&gt;</v>
      </c>
      <c r="BK75" t="str">
        <f t="shared" si="109"/>
        <v/>
      </c>
      <c r="BO75" t="str">
        <f t="shared" si="110"/>
        <v/>
      </c>
      <c r="BV75" s="27" t="str">
        <f xml:space="preserve"> "&lt;circle " &amp; _xlfn.SINGLE(Star_5_2.SVG_painting_Middle) &amp; " r='32'/&gt;"</f>
        <v>&lt;circle fill='#ED1C27' r='32'/&gt;</v>
      </c>
      <c r="CD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I75" s="9"/>
    </row>
    <row r="76" spans="5:87">
      <c r="E76" t="s">
        <v>1756</v>
      </c>
      <c r="G76" s="13" t="str">
        <f t="shared" si="9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97"/>
        <v/>
      </c>
      <c r="N76" t="str" cm="1">
        <f t="array" ref="N76" xml:space="preserve"> IF(_xlfn.SINGLE(Star_5_2.MultipleStars), "&lt;defs&gt;&lt;path id='" &amp; _xlfn.SINGLE(Star_5_2.ID) &amp; "-s' d='" &amp; _xlfn.TEXTJOIN(" ", TRUE, IF("Path"=Star_5_2.Part,N$17:N$59,"")) &amp; "'/&gt;&lt;/defs&gt;", "")</f>
        <v/>
      </c>
      <c r="O76" t="str">
        <f t="shared" si="98"/>
        <v/>
      </c>
      <c r="R76"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t="str">
        <f t="shared" si="99"/>
        <v/>
      </c>
      <c r="V76"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t="str">
        <f t="shared" si="100"/>
        <v/>
      </c>
      <c r="Z76" t="str" cm="1">
        <f t="array" ref="Z76" xml:space="preserve"> IF(_xlfn.SINGLE(Star_5_2.MultipleStars), "&lt;defs&gt;&lt;path id='" &amp; _xlfn.SINGLE(Star_5_2.ID) &amp; "-s' d='" &amp; _xlfn.TEXTJOIN(" ", TRUE, IF("Path"=Star_5_2.Part,Z$17:Z$59,"")) &amp; "'/&gt;&lt;/defs&gt;", "")</f>
        <v/>
      </c>
      <c r="AA76" t="str">
        <f t="shared" si="101"/>
        <v/>
      </c>
      <c r="AD76"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t="str">
        <f t="shared" si="102"/>
        <v/>
      </c>
      <c r="AH76"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t="str">
        <f t="shared" si="103"/>
        <v/>
      </c>
      <c r="AL76"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t="str">
        <f t="shared" si="104"/>
        <v/>
      </c>
      <c r="AP76" t="str" cm="1">
        <f t="array" ref="AP76" xml:space="preserve"> IF(_xlfn.SINGLE(Star_5_2.MultipleStars), "&lt;defs&gt;&lt;path id='" &amp; _xlfn.SINGLE(Star_5_2.ID) &amp; "-s' d='" &amp; _xlfn.TEXTJOIN(" ", TRUE, IF("Path"=Star_5_2.Part,AP$17:AP$59,"")) &amp; "'/&gt;&lt;/defs&gt;", "")</f>
        <v/>
      </c>
      <c r="AQ76" t="str">
        <f t="shared" si="105"/>
        <v/>
      </c>
      <c r="AT76" t="str" cm="1">
        <f t="array" ref="AT76" xml:space="preserve"> IF(_xlfn.SINGLE(Star_5_2.MultipleStars), "&lt;defs&gt;&lt;path id='" &amp; _xlfn.SINGLE(Star_5_2.ID) &amp; "-s' d='" &amp; _xlfn.TEXTJOIN(" ", TRUE, IF("Path"=Star_5_2.Part,AT$17:AT$59,"")) &amp; "'/&gt;&lt;/defs&gt;", "")</f>
        <v/>
      </c>
      <c r="AU76" t="str">
        <f t="shared" si="106"/>
        <v/>
      </c>
      <c r="AX76" t="str" cm="1">
        <f t="array" ref="AX76" xml:space="preserve"> IF(_xlfn.SINGLE(Star_5_2.MultipleStars), "&lt;defs&gt;&lt;path id='" &amp; _xlfn.SINGLE(Star_5_2.ID) &amp; "-s' d='" &amp; _xlfn.TEXTJOIN(" ", TRUE, IF("Path"=Star_5_2.Part,AX$17:AX$59,"")) &amp; "'/&gt;&lt;/defs&gt;", "")</f>
        <v/>
      </c>
      <c r="BB76"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t="str">
        <f t="shared" si="107"/>
        <v/>
      </c>
      <c r="BF76"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t="str">
        <f t="shared" si="108"/>
        <v/>
      </c>
      <c r="BJ76" t="str" cm="1">
        <f t="array" ref="BJ76" xml:space="preserve"> IF(_xlfn.SINGLE(Star_5_2.MultipleStars), "&lt;defs&gt;&lt;path id='" &amp; _xlfn.SINGLE(Star_5_2.ID) &amp; "-s' d='" &amp; _xlfn.TEXTJOIN(" ", TRUE, IF("Path"=Star_5_2.Part,BJ$17:BJ$59,"")) &amp; "'/&gt;&lt;/defs&gt;", "")</f>
        <v/>
      </c>
      <c r="BK76" t="str">
        <f t="shared" si="109"/>
        <v/>
      </c>
      <c r="BN76" t="str" cm="1">
        <f t="array" ref="BN76" xml:space="preserve"> IF(_xlfn.SINGLE(Star_5_2.MultipleStars), "&lt;defs&gt;&lt;path id='" &amp; _xlfn.SINGLE(Star_5_2.ID) &amp; "-s' d='" &amp; _xlfn.TEXTJOIN(" ", TRUE, IF("Path"=Star_5_2.Part,BN$17:BN$59,"")) &amp; "'/&gt;&lt;/defs&gt;", "")</f>
        <v/>
      </c>
      <c r="BO76" t="str">
        <f t="shared" si="110"/>
        <v/>
      </c>
      <c r="BR76"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Z76"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D76" t="str" cm="1">
        <f t="array" ref="CD76" xml:space="preserve"> IF(_xlfn.SINGLE(Star_5_2.MultipleStars), "&lt;defs&gt;&lt;path id='" &amp; _xlfn.SINGLE(Star_5_2.ID) &amp; "-s' d='" &amp; _xlfn.TEXTJOIN(" ", TRUE, IF("Path"=Star_5_2.Part,CD$17:CD$59,"")) &amp; "'/&gt;&lt;/defs&gt;", "")</f>
        <v/>
      </c>
      <c r="CI76" s="9"/>
    </row>
    <row r="77" spans="5:87">
      <c r="E77" t="s">
        <v>1768</v>
      </c>
      <c r="G77" s="13" t="str">
        <f t="shared" si="9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9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t="str">
        <f t="shared" si="98"/>
        <v/>
      </c>
      <c r="R77" s="55"/>
      <c r="S77" t="str">
        <f t="shared" si="99"/>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t="str">
        <f t="shared" si="100"/>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t="str">
        <f t="shared" si="101"/>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t="str">
        <f t="shared" si="102"/>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t="str">
        <f t="shared" si="103"/>
        <v/>
      </c>
      <c r="AL77" s="55"/>
      <c r="AM77" t="str">
        <f t="shared" si="104"/>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t="str">
        <f t="shared" si="105"/>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06"/>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t="str">
        <f t="shared" si="107"/>
        <v/>
      </c>
      <c r="BF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t="str">
        <f t="shared" si="108"/>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09"/>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10"/>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s="9"/>
    </row>
    <row r="78" spans="5:87">
      <c r="E78" t="s">
        <v>1769</v>
      </c>
      <c r="G78" s="13" t="str">
        <f t="shared" si="9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9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t="str">
        <f t="shared" si="98"/>
        <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t="str">
        <f t="shared" si="99"/>
        <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t="str">
        <f t="shared" si="100"/>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t="str">
        <f t="shared" si="101"/>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t="str">
        <f t="shared" si="102"/>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t="str">
        <f t="shared" si="103"/>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t="str">
        <f t="shared" si="104"/>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t="str">
        <f t="shared" si="105"/>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06"/>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t="str">
        <f t="shared" si="107"/>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t="str">
        <f t="shared" si="108"/>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09"/>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10"/>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s="9"/>
    </row>
    <row r="79" spans="5:87">
      <c r="E79" t="s">
        <v>1770</v>
      </c>
      <c r="G79" s="13" t="str">
        <f t="shared" si="9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9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t="str">
        <f t="shared" si="98"/>
        <v/>
      </c>
      <c r="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t="str">
        <f t="shared" si="99"/>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00"/>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t="str">
        <f t="shared" si="101"/>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t="str">
        <f t="shared" si="102"/>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t="str">
        <f t="shared" si="103"/>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t="str">
        <f t="shared" si="104"/>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05"/>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06"/>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B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t="str">
        <f t="shared" si="107"/>
        <v/>
      </c>
      <c r="BF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t="str">
        <f t="shared" si="108"/>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09"/>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10"/>
        <v/>
      </c>
      <c r="B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Z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D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I79" s="9"/>
    </row>
    <row r="80" spans="5:87">
      <c r="E80" t="s">
        <v>1771</v>
      </c>
      <c r="G80" s="13" t="str">
        <f t="shared" si="9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97"/>
        <v/>
      </c>
      <c r="N80" s="55"/>
      <c r="O80" t="str">
        <f t="shared" si="98"/>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t="str">
        <f t="shared" si="99"/>
        <v/>
      </c>
      <c r="V80"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t="str">
        <f t="shared" si="100"/>
        <v/>
      </c>
      <c r="Z80" s="55"/>
      <c r="AA80" t="str">
        <f t="shared" si="101"/>
        <v/>
      </c>
      <c r="AD80"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t="str">
        <f t="shared" si="102"/>
        <v/>
      </c>
      <c r="AH80"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t="str">
        <f t="shared" si="103"/>
        <v/>
      </c>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04"/>
        <v/>
      </c>
      <c r="AP80" s="55"/>
      <c r="AQ80" t="str">
        <f t="shared" si="105"/>
        <v/>
      </c>
      <c r="AT80"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t="str">
        <f t="shared" si="106"/>
        <v/>
      </c>
      <c r="AX80" s="55"/>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07"/>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08"/>
        <v/>
      </c>
      <c r="BJ80" s="55"/>
      <c r="BK80" t="str">
        <f t="shared" si="109"/>
        <v/>
      </c>
      <c r="BN80" s="55"/>
      <c r="BO80" t="str">
        <f t="shared" si="110"/>
        <v/>
      </c>
      <c r="BR80"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V80" s="55"/>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I80" s="9"/>
    </row>
    <row r="81" spans="3:87">
      <c r="E81" t="s">
        <v>1772</v>
      </c>
      <c r="G81" s="13" t="str">
        <f t="shared" si="9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97"/>
        <v/>
      </c>
      <c r="N81" s="55"/>
      <c r="O81" t="str">
        <f t="shared" si="98"/>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t="str">
        <f t="shared" si="99"/>
        <v/>
      </c>
      <c r="V81"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t="str">
        <f t="shared" si="100"/>
        <v/>
      </c>
      <c r="Z81"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t="str">
        <f t="shared" si="101"/>
        <v/>
      </c>
      <c r="AD81"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t="str">
        <f t="shared" si="102"/>
        <v/>
      </c>
      <c r="AH81"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t="str">
        <f t="shared" si="103"/>
        <v/>
      </c>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04"/>
        <v/>
      </c>
      <c r="AP81" s="55"/>
      <c r="AQ81" t="str">
        <f t="shared" si="105"/>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t="str">
        <f t="shared" si="106"/>
        <v/>
      </c>
      <c r="AX81" s="55"/>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07"/>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08"/>
        <v/>
      </c>
      <c r="BJ81" s="55"/>
      <c r="BK81" t="str">
        <f t="shared" si="109"/>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10"/>
        <v/>
      </c>
      <c r="BR81"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V81" s="55"/>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I81" s="9"/>
    </row>
    <row r="82" spans="3:87">
      <c r="E82" t="s">
        <v>1773</v>
      </c>
      <c r="G82" s="13" t="str">
        <f t="shared" si="9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9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t="str">
        <f t="shared" si="98"/>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t="str">
        <f t="shared" si="99"/>
        <v/>
      </c>
      <c r="W82" t="str">
        <f t="shared" si="100"/>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t="str">
        <f t="shared" si="101"/>
        <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t="str">
        <f t="shared" si="102"/>
        <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t="str">
        <f t="shared" si="103"/>
        <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04"/>
        <v/>
      </c>
      <c r="AP82"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t="str">
        <f t="shared" si="105"/>
        <v/>
      </c>
      <c r="AT82" s="27"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t="str">
        <f t="shared" si="106"/>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07"/>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08"/>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t="str">
        <f t="shared" si="109"/>
        <v/>
      </c>
      <c r="BN82"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t="str">
        <f t="shared" si="110"/>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I82" s="9"/>
    </row>
    <row r="83" spans="3:87">
      <c r="E83" t="s">
        <v>1776</v>
      </c>
      <c r="G83" s="13" t="str">
        <f t="shared" si="96"/>
        <v/>
      </c>
      <c r="K83" t="str">
        <f t="shared" si="97"/>
        <v/>
      </c>
      <c r="O83" t="str">
        <f t="shared" si="98"/>
        <v/>
      </c>
      <c r="S83" t="str">
        <f t="shared" si="99"/>
        <v/>
      </c>
      <c r="W83" t="str">
        <f t="shared" si="100"/>
        <v/>
      </c>
      <c r="AA83" t="str">
        <f t="shared" si="101"/>
        <v/>
      </c>
      <c r="AE83" t="str">
        <f t="shared" si="102"/>
        <v/>
      </c>
      <c r="AI83" t="str">
        <f t="shared" si="103"/>
        <v/>
      </c>
      <c r="AM83" t="str">
        <f t="shared" si="104"/>
        <v/>
      </c>
      <c r="AQ83" t="str">
        <f t="shared" si="105"/>
        <v/>
      </c>
      <c r="AU83" t="str">
        <f t="shared" si="106"/>
        <v/>
      </c>
      <c r="BC83" t="str">
        <f t="shared" si="107"/>
        <v/>
      </c>
      <c r="BG83" t="str">
        <f t="shared" si="108"/>
        <v/>
      </c>
      <c r="BK83" t="str">
        <f t="shared" si="109"/>
        <v/>
      </c>
      <c r="BO83" t="str">
        <f t="shared" si="110"/>
        <v/>
      </c>
      <c r="CI83" s="9"/>
    </row>
    <row r="84" spans="3:87">
      <c r="G84" s="14" t="str">
        <f t="shared" si="96"/>
        <v/>
      </c>
      <c r="H84" s="10"/>
      <c r="I84" s="10"/>
      <c r="J84" s="10" t="s">
        <v>15</v>
      </c>
      <c r="K84" s="10" t="str">
        <f t="shared" si="97"/>
        <v/>
      </c>
      <c r="L84" s="10"/>
      <c r="M84" s="10"/>
      <c r="N84" s="10" t="s">
        <v>15</v>
      </c>
      <c r="O84" s="10" t="str">
        <f t="shared" si="98"/>
        <v/>
      </c>
      <c r="P84" s="10"/>
      <c r="Q84" s="10"/>
      <c r="R84" s="10" t="s">
        <v>15</v>
      </c>
      <c r="S84" s="10" t="str">
        <f t="shared" si="99"/>
        <v/>
      </c>
      <c r="T84" s="10"/>
      <c r="U84" s="10"/>
      <c r="V84" s="10" t="s">
        <v>15</v>
      </c>
      <c r="W84" s="10" t="str">
        <f t="shared" si="100"/>
        <v/>
      </c>
      <c r="X84" s="10"/>
      <c r="Y84" s="10"/>
      <c r="Z84" s="10" t="s">
        <v>15</v>
      </c>
      <c r="AA84" s="10" t="str">
        <f t="shared" si="101"/>
        <v/>
      </c>
      <c r="AB84" s="10"/>
      <c r="AC84" s="10"/>
      <c r="AD84" s="10" t="s">
        <v>15</v>
      </c>
      <c r="AE84" s="10" t="str">
        <f t="shared" si="102"/>
        <v/>
      </c>
      <c r="AF84" s="10"/>
      <c r="AG84" s="10"/>
      <c r="AH84" s="10" t="s">
        <v>15</v>
      </c>
      <c r="AI84" s="10" t="str">
        <f t="shared" si="103"/>
        <v/>
      </c>
      <c r="AJ84" s="10"/>
      <c r="AK84" s="10"/>
      <c r="AL84" s="10" t="s">
        <v>15</v>
      </c>
      <c r="AM84" s="10" t="str">
        <f t="shared" si="104"/>
        <v/>
      </c>
      <c r="AN84" s="10"/>
      <c r="AO84" s="10"/>
      <c r="AP84" s="10" t="s">
        <v>15</v>
      </c>
      <c r="AQ84" s="10" t="str">
        <f t="shared" si="105"/>
        <v/>
      </c>
      <c r="AR84" s="10"/>
      <c r="AS84" s="10"/>
      <c r="AT84" s="10" t="s">
        <v>15</v>
      </c>
      <c r="AU84" s="10" t="str">
        <f t="shared" si="106"/>
        <v/>
      </c>
      <c r="AV84" s="10"/>
      <c r="AW84" s="10"/>
      <c r="AX84" s="10" t="s">
        <v>15</v>
      </c>
      <c r="AY84" s="10"/>
      <c r="AZ84" s="10"/>
      <c r="BA84" s="10"/>
      <c r="BB84" s="10" t="s">
        <v>15</v>
      </c>
      <c r="BC84" s="10" t="str">
        <f t="shared" si="107"/>
        <v/>
      </c>
      <c r="BD84" s="10"/>
      <c r="BE84" s="10"/>
      <c r="BF84" s="10" t="s">
        <v>15</v>
      </c>
      <c r="BG84" s="10" t="str">
        <f t="shared" si="108"/>
        <v/>
      </c>
      <c r="BH84" s="10"/>
      <c r="BI84" s="10"/>
      <c r="BJ84" s="10" t="s">
        <v>15</v>
      </c>
      <c r="BK84" s="10" t="str">
        <f t="shared" si="109"/>
        <v/>
      </c>
      <c r="BL84" s="10"/>
      <c r="BM84" s="10"/>
      <c r="BN84" s="10" t="s">
        <v>15</v>
      </c>
      <c r="BO84" s="10" t="str">
        <f t="shared" si="110"/>
        <v/>
      </c>
      <c r="BP84" s="10"/>
      <c r="BQ84" s="10"/>
      <c r="BR84" s="10" t="s">
        <v>15</v>
      </c>
      <c r="BS84" s="10"/>
      <c r="BT84" s="10"/>
      <c r="BU84" s="10"/>
      <c r="BV84" s="10" t="s">
        <v>15</v>
      </c>
      <c r="BW84" s="10"/>
      <c r="BX84" s="10"/>
      <c r="BY84" s="10"/>
      <c r="BZ84" s="10" t="s">
        <v>15</v>
      </c>
      <c r="CA84" s="10"/>
      <c r="CB84" s="10"/>
      <c r="CC84" s="10"/>
      <c r="CD84" s="10" t="s">
        <v>15</v>
      </c>
      <c r="CE84" s="10"/>
      <c r="CF84" s="10"/>
      <c r="CG84" s="10"/>
      <c r="CH84" s="10"/>
      <c r="CI84" s="11"/>
    </row>
    <row r="90" spans="3:87">
      <c r="E90" t="s">
        <v>1809</v>
      </c>
      <c r="J90">
        <f xml:space="preserve"> VALUE(TEXT( 13 * Star_5_2.OuterPoints_Default * SQRT(Star_5_2.Aspect), SVG.NumberFormatHeight))</f>
        <v>254</v>
      </c>
      <c r="V90">
        <f xml:space="preserve"> VALUE(TEXT( 13 * Star_5_2.OuterPoints_Default * SQRT(Star_5_2.Aspect), SVG.NumberFormatHeight))</f>
        <v>247</v>
      </c>
      <c r="AD90">
        <f xml:space="preserve"> VALUE(TEXT( 13 * Star_5_2.OuterPoints_Default * SQRT(Star_5_2.Aspect), SVG.NumberFormatHeight))</f>
        <v>246</v>
      </c>
      <c r="AX90">
        <f xml:space="preserve"> VALUE(TEXT( 13 * Star_5_2.OuterPoints_Default * SQRT(Star_5_2.Aspect), SVG.NumberFormatHeight))</f>
        <v>265</v>
      </c>
    </row>
    <row r="91" spans="3:87">
      <c r="E91" t="s">
        <v>1808</v>
      </c>
      <c r="J91">
        <f xml:space="preserve"> ROUND(J$90 / _xlfn.SINGLE(Star_5_2.Aspect), svgSizeDecimalPlaces)</f>
        <v>241.56924000000001</v>
      </c>
      <c r="V91">
        <f xml:space="preserve"> ROUND(V$90 / _xlfn.SINGLE(Star_5_2.Aspect), svgSizeDecimalPlaces)</f>
        <v>248.19086999999999</v>
      </c>
      <c r="AD91">
        <f xml:space="preserve"> ROUND(AD$90 / _xlfn.SINGLE(Star_5_2.Aspect), svgSizeDecimalPlaces)</f>
        <v>250.62635</v>
      </c>
      <c r="AX91">
        <f xml:space="preserve"> ROUND(AX$90 / _xlfn.SINGLE(Star_5_2.Aspect), svgSizeDecimalPlaces)</f>
        <v>232.04091</v>
      </c>
    </row>
    <row r="94" spans="3:87">
      <c r="E94" t="s">
        <v>1810</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V94" s="56"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D94" s="56"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87">
      <c r="C95" t="s">
        <v>1823</v>
      </c>
      <c r="E95" t="s">
        <v>1812</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61" t="str">
        <f xml:space="preserve"> ""</f>
        <v/>
      </c>
    </row>
    <row r="96" spans="3:87">
      <c r="C96" t="s">
        <v>1822</v>
      </c>
      <c r="D96">
        <v>0.44</v>
      </c>
      <c r="E96" t="s">
        <v>1814</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61" t="str">
        <f xml:space="preserve"> ""</f>
        <v/>
      </c>
    </row>
    <row r="97" spans="3:50">
      <c r="E97" t="s">
        <v>1811</v>
      </c>
      <c r="J97" s="57" t="str">
        <f t="shared" ref="J97:J106" si="111" xml:space="preserve"> IF(ISTEXT(J74), J74, "")</f>
        <v/>
      </c>
      <c r="V97" s="57" t="str">
        <f t="shared" ref="V97:V106" si="112" xml:space="preserve"> IF(ISTEXT(V74), V74, "")</f>
        <v/>
      </c>
      <c r="AD97" s="57" t="str">
        <f t="shared" ref="AD97:AD106" si="113" xml:space="preserve"> IF(ISTEXT(AD74), AD74, "")</f>
        <v/>
      </c>
      <c r="AX97" s="57" t="str">
        <f t="shared" ref="AX97:AX106" si="114" xml:space="preserve"> IF(ISTEXT(AX74), AX74, "")</f>
        <v>&lt;path fill='#006633' d='M6 6.85224H-6V-6.85224H6Z'/&gt;</v>
      </c>
    </row>
    <row r="98" spans="3:50">
      <c r="E98" t="s">
        <v>1811</v>
      </c>
      <c r="J98" s="57" t="str">
        <f t="shared" si="111"/>
        <v/>
      </c>
      <c r="V98" s="57" t="str">
        <f t="shared" si="112"/>
        <v/>
      </c>
      <c r="AD98" s="57" t="str">
        <f t="shared" si="113"/>
        <v/>
      </c>
      <c r="AX98" s="57" t="str">
        <f t="shared" si="114"/>
        <v>&lt;path fill='#FFF' d='M4.8541 5.70634H-4.8541V-5.70634H4.8541Z'/&gt;</v>
      </c>
    </row>
    <row r="99" spans="3:50">
      <c r="E99" t="s">
        <v>1811</v>
      </c>
      <c r="J99" s="57" t="str">
        <f t="shared" si="111"/>
        <v>&lt;defs&gt;&lt;path id='USD-s' d='M0 -10 l-2.2451 6.9098 H-9.5106 l5.8779 4.2705 L-5.8779 8.0902 L0 3.8197 L5.8779 8.0902 L3.6327 1.1803 L9.5106 -3.0902 H2.2451Z'/&gt;&lt;/defs&gt;</v>
      </c>
      <c r="V99" s="57" t="str">
        <f t="shared" si="112"/>
        <v>&lt;defs&gt;&lt;path id='CNY-s' d='M-9.8995 1.4142 l7.1579 1.2454 L-1.7141 9.852 L1.6822 3.4293 L8.8401 4.6747 L3.7813 -.5402 L7.1776 -6.9629 L.6547 -3.7631 L-4.4041 -8.978 l1.0275 7.1924Z'/&gt;&lt;/defs&gt;</v>
      </c>
      <c r="AD99" s="57" t="str">
        <f t="shared" si="113"/>
        <v>&lt;defs&gt;&lt;path id='PKR-s' d='M7.4741 -6.6436 L.818 -3.731 L-4.0089 -9.1613 l.7133 7.2304 L-9.9517 .9817 l7.0969 1.5559 l.7132 7.2304 L1.5312 3.4993 l7.0969 1.556 L3.8012 -.375Z'/&gt;&lt;/defs&gt;</v>
      </c>
      <c r="AX99" s="57" t="str">
        <f t="shared" si="114"/>
        <v/>
      </c>
    </row>
    <row r="100" spans="3:50">
      <c r="E100" t="s">
        <v>1811</v>
      </c>
      <c r="J100" s="57" t="str">
        <f t="shared" si="111"/>
        <v>&lt;use href='#USD-s' fill='black'/&gt;</v>
      </c>
      <c r="V100" s="57" t="str">
        <f t="shared" si="112"/>
        <v>&lt;use href='#CNY-s' fill='#DE2910'/&gt;</v>
      </c>
      <c r="AD100" s="57" t="str">
        <f t="shared" si="113"/>
        <v>&lt;use href='#PKR-s' fill='#01411C'/&gt;</v>
      </c>
      <c r="AX100" s="57" t="str">
        <f t="shared" si="114"/>
        <v/>
      </c>
    </row>
    <row r="101" spans="3:50">
      <c r="E101" t="s">
        <v>1811</v>
      </c>
      <c r="J101" s="57" t="str">
        <f t="shared" si="111"/>
        <v>&lt;use href='#USD-s' fill='#FFF' transform='scale(0.6)'/&gt;</v>
      </c>
      <c r="V101" s="57" t="str">
        <f t="shared" si="112"/>
        <v>&lt;use href='#CNY-s' fill='#FFDE00' transform='scale(0.7)'/&gt;</v>
      </c>
      <c r="AD101" s="57" t="str">
        <f t="shared" si="113"/>
        <v>&lt;use href='#PKR-s' fill='#FFF' transform='scale(0.7)'/&gt;</v>
      </c>
      <c r="AX101" s="57" t="str">
        <f t="shared" si="114"/>
        <v/>
      </c>
    </row>
    <row r="102" spans="3:50">
      <c r="E102" t="s">
        <v>1811</v>
      </c>
      <c r="J102" s="57" t="str">
        <f t="shared" si="111"/>
        <v/>
      </c>
      <c r="V102" s="57" t="str">
        <f t="shared" si="112"/>
        <v/>
      </c>
      <c r="AD102" s="57" t="str">
        <f t="shared" si="113"/>
        <v/>
      </c>
      <c r="AX102" s="57" t="str">
        <f t="shared" si="114"/>
        <v/>
      </c>
    </row>
    <row r="103" spans="3:50">
      <c r="E103" t="s">
        <v>1811</v>
      </c>
      <c r="J103" s="57" t="str">
        <f t="shared" si="111"/>
        <v/>
      </c>
      <c r="V103" s="57" t="str">
        <f t="shared" si="112"/>
        <v/>
      </c>
      <c r="AD103" s="57" t="str">
        <f t="shared" si="113"/>
        <v/>
      </c>
      <c r="AX103" s="57" t="str">
        <f t="shared" si="114"/>
        <v/>
      </c>
    </row>
    <row r="104" spans="3:50">
      <c r="E104" t="s">
        <v>1811</v>
      </c>
      <c r="J104" s="57" t="str">
        <f t="shared" si="111"/>
        <v/>
      </c>
      <c r="V104" s="57" t="str">
        <f t="shared" si="112"/>
        <v/>
      </c>
      <c r="AD104" s="57" t="str">
        <f t="shared" si="113"/>
        <v/>
      </c>
      <c r="AX104" s="57" t="str">
        <f t="shared" si="114"/>
        <v/>
      </c>
    </row>
    <row r="105" spans="3:50">
      <c r="E105" t="s">
        <v>1811</v>
      </c>
      <c r="J105" s="57" t="str">
        <f t="shared" si="111"/>
        <v/>
      </c>
      <c r="V105" s="57" t="str">
        <f t="shared" si="112"/>
        <v/>
      </c>
      <c r="AD105" s="57" t="str">
        <f t="shared" si="113"/>
        <v/>
      </c>
      <c r="AX105" s="57" t="str">
        <f t="shared" si="114"/>
        <v>&lt;path fill='#D21034' d='M6 0 L1.8541 -1.3471 V-5.7063 L-.7082 -2.1796 L-4.8541 -3.5267 L-2.2918 0 L-4.8541 3.5267 L-.7082 2.1796 L1.8541 5.7063 V1.3471Z'/&gt;</v>
      </c>
    </row>
    <row r="106" spans="3:50">
      <c r="E106" t="s">
        <v>1811</v>
      </c>
      <c r="J106" s="57" t="str">
        <f t="shared" si="111"/>
        <v/>
      </c>
      <c r="V106" s="57" t="str">
        <f t="shared" si="112"/>
        <v/>
      </c>
      <c r="AD106" s="57" t="str">
        <f t="shared" si="113"/>
        <v/>
      </c>
      <c r="AX106" s="57" t="str">
        <f t="shared" si="114"/>
        <v/>
      </c>
    </row>
    <row r="107" spans="3:50">
      <c r="C107" t="s">
        <v>1813</v>
      </c>
      <c r="D107">
        <f xml:space="preserve"> D$96 / 2</f>
        <v>0.22</v>
      </c>
      <c r="E107" t="s">
        <v>1815</v>
      </c>
      <c r="J107" s="58" t="str">
        <f xml:space="preserve"> "&lt;circle fill='none' " &amp; $C107 &amp; " stroke-width='" &amp; $D107 &amp; "' r='" &amp; ROUND(ABS(Star_5_2.SizeOuter),Star_5_2.DecimalPlaces) &amp; "'/&gt;"</f>
        <v>&lt;circle fill='none' opacity='60%' stroke='#00AACC' stroke-width='0.22' r='10'/&gt;</v>
      </c>
      <c r="V107" s="58" t="str">
        <f xml:space="preserve"> "&lt;circle fill='none' " &amp; $C107 &amp; " stroke-width='" &amp; $D107 &amp; "' r='" &amp; ROUND(ABS(Star_5_2.SizeOuter),Star_5_2.DecimalPlaces) &amp; "'/&gt;"</f>
        <v>&lt;circle fill='none' opacity='60%' stroke='#00AACC' stroke-width='0.22' r='10'/&gt;</v>
      </c>
      <c r="AD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r='6'/&gt;</v>
      </c>
    </row>
    <row r="108" spans="3:50">
      <c r="C108" t="str">
        <f xml:space="preserve"> C$107</f>
        <v>opacity='60%' stroke='#00AACC'</v>
      </c>
      <c r="D108">
        <f xml:space="preserve"> D$107</f>
        <v>0.22</v>
      </c>
      <c r="E108" t="s">
        <v>1816</v>
      </c>
      <c r="J108" s="58" t="str">
        <f xml:space="preserve"> "&lt;circle fill='none' " &amp; $C107 &amp; " stroke-width='" &amp; $D107 &amp; "' r='" &amp; ROUND(ABS(Star_5_2.SizeMiddle),Star_5_2.DecimalPlaces) &amp; "'/&gt;"</f>
        <v>&lt;circle fill='none' opacity='60%' stroke='#00AACC' stroke-width='0.22' r='6'/&gt;</v>
      </c>
      <c r="V108" s="58" t="str">
        <f xml:space="preserve"> "&lt;circle fill='none' " &amp; $C107 &amp; " stroke-width='" &amp; $D107 &amp; "' r='" &amp; ROUND(ABS(Star_5_2.SizeMiddle),Star_5_2.DecimalPlaces) &amp; "'/&gt;"</f>
        <v>&lt;circle fill='none' opacity='60%' stroke='#00AACC' stroke-width='0.22' r='7'/&gt;</v>
      </c>
      <c r="AD108" s="58" t="str">
        <f xml:space="preserve"> "&lt;circle fill='none' " &amp; $C107 &amp; " stroke-width='" &amp; $D107 &amp; "' r='" &amp; ROUND(ABS(Star_5_2.SizeMiddle),Star_5_2.DecimalPlaces) &amp; "'/&gt;"</f>
        <v>&lt;circle fill='none' opacity='60%' stroke='#00AACC' stroke-width='0.22' r='7'/&gt;</v>
      </c>
      <c r="AX108" s="61" t="str">
        <f xml:space="preserve"> ""</f>
        <v/>
      </c>
    </row>
    <row r="109" spans="3:50">
      <c r="C109" t="str">
        <f t="shared" ref="C109:D110" si="115" xml:space="preserve"> C$107</f>
        <v>opacity='60%' stroke='#00AACC'</v>
      </c>
      <c r="D109">
        <f t="shared" si="115"/>
        <v>0.22</v>
      </c>
      <c r="E109" t="s">
        <v>1817</v>
      </c>
      <c r="J109" s="58" t="str">
        <f xml:space="preserve"> "&lt;circle fill='none' " &amp; $C107 &amp; " stroke-width='" &amp; $D107 &amp; "' r='" &amp; ROUND(ABS(Star_5_2.SizeOuter * (3 - Sqrt5) / 2),Star_5_2.DecimalPlaces) &amp; "'/&gt;"</f>
        <v>&lt;circle fill='none' opacity='60%' stroke='#00AACC' stroke-width='0.22' r='3.8197'/&gt;</v>
      </c>
      <c r="V109" s="58" t="str">
        <f xml:space="preserve"> "&lt;circle fill='none' " &amp; $C107 &amp; " stroke-width='" &amp; $D107 &amp; "' r='" &amp; ROUND(ABS(Star_5_2.SizeOuter * (3 - Sqrt5) / 2),Star_5_2.DecimalPlaces) &amp; "'/&gt;"</f>
        <v>&lt;circle fill='none' opacity='60%' stroke='#00AACC' stroke-width='0.22' r='3.8197'/&gt;</v>
      </c>
      <c r="AD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r='2.2918'/&gt;</v>
      </c>
    </row>
    <row r="110" spans="3:50">
      <c r="C110" t="str">
        <f t="shared" si="115"/>
        <v>opacity='60%' stroke='#00AACC'</v>
      </c>
      <c r="D110">
        <f t="shared" si="115"/>
        <v>0.22</v>
      </c>
      <c r="E110" t="s">
        <v>1818</v>
      </c>
      <c r="J110" s="58" t="str">
        <f xml:space="preserve"> "&lt;circle fill='none' " &amp; $C107 &amp; " stroke-width='" &amp; $D107 &amp; "' r='" &amp; ROUND(ABS(Star_5_2.SizeMiddle * (3 - Sqrt5) / 2),Star_5_2.DecimalPlaces) &amp; "'/&gt;"</f>
        <v>&lt;circle fill='none' opacity='60%' stroke='#00AACC' stroke-width='0.22' r='2.2918'/&gt;</v>
      </c>
      <c r="V110" s="58" t="str">
        <f xml:space="preserve"> "&lt;circle fill='none' " &amp; $C107 &amp; " stroke-width='" &amp; $D107 &amp; "' r='" &amp; ROUND(ABS(Star_5_2.SizeMiddle * (3 - Sqrt5) / 2),Star_5_2.DecimalPlaces) &amp; "'/&gt;"</f>
        <v>&lt;circle fill='none' opacity='60%' stroke='#00AACC' stroke-width='0.22' r='2.6738'/&gt;</v>
      </c>
      <c r="AD110" s="58" t="str">
        <f xml:space="preserve"> "&lt;circle fill='none' " &amp; $C107 &amp; " stroke-width='" &amp; $D107 &amp; "' r='" &amp; ROUND(ABS(Star_5_2.SizeMiddle * (3 - Sqrt5) / 2),Star_5_2.DecimalPlaces) &amp; "'/&gt;"</f>
        <v>&lt;circle fill='none' opacity='60%' stroke='#00AACC' stroke-width='0.22' r='2.6738'/&gt;</v>
      </c>
      <c r="AX110" s="61" t="str">
        <f xml:space="preserve"> ""</f>
        <v/>
      </c>
    </row>
    <row r="111" spans="3:50">
      <c r="C111" t="s">
        <v>1821</v>
      </c>
      <c r="D111">
        <f xml:space="preserve"> D$107</f>
        <v>0.22</v>
      </c>
      <c r="E111" t="s">
        <v>1820</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58"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58"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c r="C112" t="str">
        <f xml:space="preserve"> C96</f>
        <v>fill='none' stroke='#0000FF'</v>
      </c>
      <c r="D112">
        <f xml:space="preserve"> D$107</f>
        <v>0.22</v>
      </c>
      <c r="E112" t="s">
        <v>1819</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c r="C113" t="s">
        <v>2088</v>
      </c>
      <c r="D113">
        <f xml:space="preserve"> D112 / 2</f>
        <v>0.11</v>
      </c>
      <c r="J113" s="58" t="str">
        <f xml:space="preserve"> "&lt;circle " &amp; $C113 &amp; " r='" &amp; $D113 &amp; "'/&gt;"</f>
        <v>&lt;circle fill='#FFF' r='0.11'/&gt;</v>
      </c>
      <c r="V113" s="58" t="str">
        <f xml:space="preserve"> "&lt;circle " &amp; $C113 &amp; " r='" &amp; $D113 &amp; "'/&gt;"</f>
        <v>&lt;circle fill='#FFF' r='0.11'/&gt;</v>
      </c>
      <c r="AD113" s="58" t="str">
        <f xml:space="preserve"> "&lt;circle " &amp; $C113 &amp; " r='" &amp; $D113 &amp; "'/&gt;"</f>
        <v>&lt;circle fill='#FFF' r='0.11'/&gt;</v>
      </c>
      <c r="AX113" s="58" t="str">
        <f xml:space="preserve"> "&lt;circle " &amp; $C113 &amp; " r='" &amp; $D113 &amp; "'/&gt;"</f>
        <v>&lt;circle fill='#FFF' r='0.11'/&gt;</v>
      </c>
    </row>
    <row r="114" spans="3:50">
      <c r="J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V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font-size='1.1168' font-weight='800'&gt;CNY&lt;/text&gt;</v>
      </c>
      <c r="AD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font-size='1.1073' font-weight='800'&gt;PKR&lt;/text&gt;</v>
      </c>
      <c r="AX114" s="60"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font-size='0.72401' font-weight='800'&gt;DZD&lt;/text&gt;</v>
      </c>
    </row>
    <row r="115" spans="3:50">
      <c r="J115" s="59" t="s">
        <v>15</v>
      </c>
      <c r="V115" s="59" t="s">
        <v>15</v>
      </c>
      <c r="AD115" s="59" t="s">
        <v>15</v>
      </c>
      <c r="AX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c r="B15" s="4" t="s">
        <v>109</v>
      </c>
      <c r="D15" t="str">
        <f xml:space="preserve"> "fill='#FFF'"</f>
        <v>fill='#FFF'</v>
      </c>
      <c r="H15" t="s">
        <v>718</v>
      </c>
      <c r="L15" t="s">
        <v>722</v>
      </c>
      <c r="N15" t="s">
        <v>2088</v>
      </c>
      <c r="P15" t="s">
        <v>1638</v>
      </c>
      <c r="R15" t="s">
        <v>730</v>
      </c>
      <c r="T15" t="s">
        <v>2088</v>
      </c>
      <c r="V15" t="s">
        <v>732</v>
      </c>
      <c r="X15" s="28" t="s">
        <v>2301</v>
      </c>
      <c r="Z15" t="s">
        <v>2129</v>
      </c>
      <c r="AD15" t="s">
        <v>1673</v>
      </c>
      <c r="AF15" t="s">
        <v>2088</v>
      </c>
      <c r="AJ15" t="s">
        <v>2088</v>
      </c>
      <c r="AL15" t="s">
        <v>2088</v>
      </c>
    </row>
    <row r="16" spans="2:40">
      <c r="B16" s="4" t="s">
        <v>110</v>
      </c>
      <c r="L16" t="s">
        <v>721</v>
      </c>
      <c r="N16" t="s">
        <v>727</v>
      </c>
      <c r="P16" t="s">
        <v>1639</v>
      </c>
      <c r="R16" t="s">
        <v>731</v>
      </c>
      <c r="T16" t="str">
        <f xml:space="preserve"> _xlfn.SINGLE(Circles.SVG_Painting_3)</f>
        <v>fill='#C8102E'</v>
      </c>
      <c r="Z16" t="s">
        <v>2088</v>
      </c>
      <c r="AF16" t="s">
        <v>2250</v>
      </c>
      <c r="AJ16" t="s">
        <v>737</v>
      </c>
      <c r="AL16" t="s">
        <v>2040</v>
      </c>
    </row>
    <row r="17" spans="2:40">
      <c r="B17" s="4" t="s">
        <v>107</v>
      </c>
      <c r="F17" t="s">
        <v>2088</v>
      </c>
      <c r="J17" t="s">
        <v>720</v>
      </c>
      <c r="AB17" t="s">
        <v>736</v>
      </c>
      <c r="AD17" t="s">
        <v>1672</v>
      </c>
      <c r="AH17" t="s">
        <v>2088</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c r="B15" s="4" t="s">
        <v>158</v>
      </c>
      <c r="F15" t="s">
        <v>2088</v>
      </c>
      <c r="H15" t="s">
        <v>2088</v>
      </c>
      <c r="J15" t="s">
        <v>2088</v>
      </c>
      <c r="L15" t="s">
        <v>741</v>
      </c>
      <c r="N15" t="s">
        <v>1961</v>
      </c>
      <c r="P15" t="s">
        <v>2088</v>
      </c>
      <c r="R15" t="s">
        <v>2088</v>
      </c>
      <c r="T15" t="s">
        <v>2088</v>
      </c>
      <c r="V15" t="s">
        <v>2088</v>
      </c>
      <c r="X15" t="s">
        <v>2151</v>
      </c>
      <c r="Z15" s="28" t="s">
        <v>2287</v>
      </c>
      <c r="AB15" t="s">
        <v>742</v>
      </c>
      <c r="AD15" t="s">
        <v>2382</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c r="B17" s="4" t="s">
        <v>160</v>
      </c>
      <c r="D17" t="s">
        <v>2088</v>
      </c>
      <c r="P17" t="s">
        <v>723</v>
      </c>
      <c r="R17" t="s">
        <v>1688</v>
      </c>
      <c r="AB17" t="s">
        <v>2088</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2282</v>
      </c>
      <c r="N2" t="s">
        <v>126</v>
      </c>
      <c r="P2" t="s">
        <v>676</v>
      </c>
      <c r="R2" t="s">
        <v>128</v>
      </c>
      <c r="T2" t="s">
        <v>1540</v>
      </c>
      <c r="V2" t="s">
        <v>657</v>
      </c>
      <c r="X2" t="s">
        <v>2293</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2089</v>
      </c>
      <c r="T88" t="s">
        <v>2089</v>
      </c>
      <c r="V88" s="5"/>
      <c r="X88" s="5"/>
    </row>
    <row r="89" spans="6:26">
      <c r="H89" s="4" t="s">
        <v>1572</v>
      </c>
      <c r="R89" t="s">
        <v>791</v>
      </c>
      <c r="T89" t="s">
        <v>1541</v>
      </c>
      <c r="V89" s="5"/>
      <c r="X89" s="5"/>
    </row>
    <row r="90" spans="6:26">
      <c r="H90" s="4" t="s">
        <v>1573</v>
      </c>
      <c r="J90" t="s">
        <v>2088</v>
      </c>
      <c r="L90" t="s">
        <v>2129</v>
      </c>
      <c r="N90" s="5" t="s">
        <v>722</v>
      </c>
      <c r="P90" s="5" t="s">
        <v>2088</v>
      </c>
      <c r="V90" s="5"/>
      <c r="X90" s="5"/>
    </row>
    <row r="91" spans="6:26">
      <c r="H91" s="4" t="s">
        <v>1575</v>
      </c>
      <c r="N91" s="5"/>
      <c r="P91" s="5"/>
      <c r="V91" s="5" t="s">
        <v>2088</v>
      </c>
      <c r="X91" s="63" t="s">
        <v>2287</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1785</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1786</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1784</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1787</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1788</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2294</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1826</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2272</v>
      </c>
      <c r="C60" s="3" t="s">
        <v>2273</v>
      </c>
      <c r="E60" s="3" t="s">
        <v>2274</v>
      </c>
      <c r="G60" s="36" t="s">
        <v>2271</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2129</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2306</v>
      </c>
      <c r="BB6" s="5" t="s">
        <v>2309</v>
      </c>
    </row>
    <row r="7" spans="2:77">
      <c r="B7" s="4" t="s">
        <v>373</v>
      </c>
      <c r="C7" s="5"/>
      <c r="D7" s="5" t="s">
        <v>716</v>
      </c>
      <c r="E7" s="5"/>
      <c r="F7" s="5" t="s">
        <v>1825</v>
      </c>
      <c r="G7" s="5"/>
      <c r="H7" s="5" t="s">
        <v>1067</v>
      </c>
      <c r="I7" s="5"/>
      <c r="J7" s="5" t="s">
        <v>1616</v>
      </c>
      <c r="K7" s="5"/>
      <c r="L7" s="5" t="s">
        <v>1504</v>
      </c>
      <c r="M7" s="5"/>
      <c r="N7" s="5" t="s">
        <v>752</v>
      </c>
      <c r="O7" s="5"/>
      <c r="P7" s="5" t="s">
        <v>723</v>
      </c>
      <c r="Q7" s="5"/>
      <c r="R7" s="5" t="s">
        <v>755</v>
      </c>
      <c r="S7" s="5"/>
      <c r="T7" s="5" t="s">
        <v>2153</v>
      </c>
      <c r="U7" s="5"/>
      <c r="V7" s="5" t="s">
        <v>723</v>
      </c>
      <c r="W7" s="5"/>
      <c r="X7" s="5" t="s">
        <v>1778</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2088</v>
      </c>
      <c r="AY7" s="5"/>
      <c r="AZ7" s="5" t="s">
        <v>1071</v>
      </c>
      <c r="BA7" s="5"/>
      <c r="BB7" s="5" t="s">
        <v>2088</v>
      </c>
      <c r="BC7" s="5"/>
      <c r="BD7" s="5" t="s">
        <v>1043</v>
      </c>
      <c r="BE7" s="5"/>
      <c r="BF7" s="5" t="str">
        <f xml:space="preserve"> $AV$9</f>
        <v>fill='#00A3E0'</v>
      </c>
      <c r="BG7" s="5"/>
      <c r="BH7" s="5" t="s">
        <v>2088</v>
      </c>
      <c r="BI7" s="5"/>
      <c r="BJ7" s="5" t="s">
        <v>2034</v>
      </c>
      <c r="BK7" s="5"/>
      <c r="BL7" s="5" t="s">
        <v>1706</v>
      </c>
      <c r="BM7" s="5"/>
      <c r="BN7" s="5" t="s">
        <v>930</v>
      </c>
      <c r="BO7" s="5"/>
      <c r="BP7" s="5" t="s">
        <v>2444</v>
      </c>
      <c r="BQ7" s="5"/>
      <c r="BR7" s="5" t="s">
        <v>2046</v>
      </c>
      <c r="BS7" s="5"/>
      <c r="BT7" s="5" t="s">
        <v>2316</v>
      </c>
      <c r="BU7" s="5"/>
      <c r="BV7" s="5"/>
      <c r="BW7" s="5"/>
      <c r="BX7" s="5"/>
      <c r="BY7" s="5"/>
    </row>
    <row r="8" spans="2:77">
      <c r="B8" s="4" t="s">
        <v>374</v>
      </c>
      <c r="C8" s="5"/>
      <c r="D8" s="5" t="s">
        <v>2090</v>
      </c>
      <c r="E8" s="5"/>
      <c r="F8" s="5" t="s">
        <v>2090</v>
      </c>
      <c r="G8" s="5"/>
      <c r="H8" s="5" t="s">
        <v>2088</v>
      </c>
      <c r="I8" s="5"/>
      <c r="J8" s="5" t="s">
        <v>1615</v>
      </c>
      <c r="K8" s="5"/>
      <c r="L8" s="5" t="s">
        <v>1503</v>
      </c>
      <c r="M8" s="5"/>
      <c r="N8" s="5" t="s">
        <v>2088</v>
      </c>
      <c r="O8" s="5"/>
      <c r="P8" s="5" t="s">
        <v>2088</v>
      </c>
      <c r="Q8" s="5"/>
      <c r="R8" s="5" t="s">
        <v>2088</v>
      </c>
      <c r="S8" s="5"/>
      <c r="T8" s="5" t="s">
        <v>2154</v>
      </c>
      <c r="U8" s="5"/>
      <c r="V8" s="5" t="s">
        <v>750</v>
      </c>
      <c r="W8" s="5"/>
      <c r="X8" s="5" t="s">
        <v>1779</v>
      </c>
      <c r="Y8" s="5"/>
      <c r="Z8" s="5" t="s">
        <v>2088</v>
      </c>
      <c r="AA8" s="5"/>
      <c r="AB8" s="5" t="s">
        <v>751</v>
      </c>
      <c r="AC8" s="5"/>
      <c r="AD8" s="5" t="s">
        <v>728</v>
      </c>
      <c r="AE8" s="5"/>
      <c r="AF8" s="5" t="s">
        <v>723</v>
      </c>
      <c r="AG8" s="5"/>
      <c r="AH8" s="5" t="s">
        <v>726</v>
      </c>
      <c r="AI8" s="5"/>
      <c r="AJ8" s="5" t="s">
        <v>759</v>
      </c>
      <c r="AK8" s="5"/>
      <c r="AL8" s="5" t="s">
        <v>1621</v>
      </c>
      <c r="AM8" s="5"/>
      <c r="AN8" s="5" t="s">
        <v>2088</v>
      </c>
      <c r="AO8" s="5"/>
      <c r="AP8" s="5" t="s">
        <v>2276</v>
      </c>
      <c r="AQ8" s="5"/>
      <c r="AR8" s="5" t="s">
        <v>2088</v>
      </c>
      <c r="AS8" s="5"/>
      <c r="AT8" s="5" t="s">
        <v>2129</v>
      </c>
      <c r="AU8" s="5"/>
      <c r="AV8" s="5" t="s">
        <v>2088</v>
      </c>
      <c r="AW8" s="5"/>
      <c r="AX8" s="5" t="s">
        <v>738</v>
      </c>
      <c r="AY8" s="5"/>
      <c r="AZ8" s="5" t="s">
        <v>1072</v>
      </c>
      <c r="BA8" s="5"/>
      <c r="BB8" s="5" t="s">
        <v>2129</v>
      </c>
      <c r="BC8" s="5"/>
      <c r="BD8" s="5" t="s">
        <v>2088</v>
      </c>
      <c r="BE8" s="5"/>
      <c r="BF8" s="5" t="s">
        <v>2088</v>
      </c>
      <c r="BG8" s="5"/>
      <c r="BH8" s="5" t="str">
        <f xml:space="preserve"> "stroke-width='" &amp; _xlfn.SINGLE(Simple.SVG_borderWidth) &amp; "' stroke-linejoin='round' stroke='#1B618C' fill='none' "</f>
        <v xml:space="preserve">stroke-width='44' stroke-linejoin='round' stroke='#1B618C' fill='none' </v>
      </c>
      <c r="BI8" s="5"/>
      <c r="BJ8" s="5" t="s">
        <v>2088</v>
      </c>
      <c r="BK8" s="5"/>
      <c r="BL8" s="5" t="s">
        <v>1707</v>
      </c>
      <c r="BM8" s="5"/>
      <c r="BN8" s="5" t="s">
        <v>931</v>
      </c>
      <c r="BO8" s="5"/>
      <c r="BP8" s="5" t="s">
        <v>2445</v>
      </c>
      <c r="BQ8" s="5"/>
      <c r="BR8" s="5" t="s">
        <v>2047</v>
      </c>
      <c r="BS8" s="5"/>
      <c r="BT8" s="5" t="s">
        <v>2317</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2088</v>
      </c>
      <c r="AI9" s="5"/>
      <c r="AJ9" s="5" t="s">
        <v>726</v>
      </c>
      <c r="AK9" s="5"/>
      <c r="AL9" s="5" t="s">
        <v>1622</v>
      </c>
      <c r="AM9" s="5"/>
      <c r="AN9" s="5"/>
      <c r="AO9" s="5"/>
      <c r="AP9" s="5"/>
      <c r="AQ9" s="5"/>
      <c r="AR9" s="5"/>
      <c r="AS9" s="5"/>
      <c r="AT9" s="5"/>
      <c r="AU9" s="5"/>
      <c r="AV9" s="5" t="s">
        <v>733</v>
      </c>
      <c r="AW9" s="5"/>
      <c r="AX9" s="5"/>
      <c r="AY9" s="5"/>
      <c r="AZ9" s="5" t="s">
        <v>2088</v>
      </c>
      <c r="BA9" s="5"/>
      <c r="BB9" s="5" t="s">
        <v>2308</v>
      </c>
      <c r="BC9" s="5"/>
      <c r="BD9" s="5" t="s">
        <v>797</v>
      </c>
      <c r="BE9" s="5"/>
      <c r="BF9" s="5" t="str">
        <f xml:space="preserve"> $AV$7</f>
        <v>fill='#EF3340'</v>
      </c>
      <c r="BG9" s="5"/>
      <c r="BH9" s="5"/>
      <c r="BI9" s="5"/>
      <c r="BJ9" s="5" t="s">
        <v>2035</v>
      </c>
      <c r="BK9" s="5"/>
      <c r="BL9" s="5"/>
      <c r="BM9" s="5"/>
      <c r="BN9" s="5"/>
      <c r="BO9" s="5"/>
      <c r="BP9" s="5"/>
      <c r="BQ9" s="5"/>
      <c r="BR9" s="5" t="s">
        <v>2088</v>
      </c>
      <c r="BS9" s="5"/>
      <c r="BT9" s="5" t="s">
        <v>2318</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329</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212</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href='#SGD-h'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0L8 8H-8L-1 0L-8 -8H8Z'/&gt;"</f>
        <v>&lt;path fill='#009639' d='M1 0L8 8H-8L-1 0L-8 -8H8Z'/&gt;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href='#SGD-h'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d='M8 8V-8L-8 8V-8Z'/&gt;"</f>
        <v>&lt;path fill='black' d='M8 8V-8L-8 8V-8Z'/&gt;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href='#SGD-h'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1764</v>
      </c>
      <c r="P5" s="3" t="s">
        <v>478</v>
      </c>
      <c r="Q5" s="3" t="s">
        <v>479</v>
      </c>
      <c r="S5" s="3" t="s">
        <v>1765</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2088</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2252</v>
      </c>
      <c r="K41" t="s">
        <v>0</v>
      </c>
      <c r="L41" t="s">
        <v>2255</v>
      </c>
      <c r="M41" t="s">
        <v>2256</v>
      </c>
      <c r="N41" t="s">
        <v>2257</v>
      </c>
      <c r="O41" t="s">
        <v>2258</v>
      </c>
      <c r="P41" t="s">
        <v>2259</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2253</v>
      </c>
      <c r="P43" t="s">
        <v>728</v>
      </c>
    </row>
    <row r="44" spans="2:16">
      <c r="E44" s="4" t="s">
        <v>21</v>
      </c>
      <c r="F44">
        <f xml:space="preserve"> ROUND(MAX(GBP.RawY), GBP.DecimalPlaces)</f>
        <v>15</v>
      </c>
      <c r="J44" s="4" t="s">
        <v>1471</v>
      </c>
      <c r="K44" t="s">
        <v>728</v>
      </c>
      <c r="L44" t="s">
        <v>2088</v>
      </c>
      <c r="M44" t="s">
        <v>1779</v>
      </c>
      <c r="N44" t="s">
        <v>2088</v>
      </c>
      <c r="O44" t="s">
        <v>728</v>
      </c>
      <c r="P44" t="s">
        <v>2253</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1781</v>
      </c>
      <c r="D2" s="3" t="s">
        <v>1780</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1752</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2088</v>
      </c>
    </row>
    <row r="50" spans="4:7" ht="17" thickBot="1">
      <c r="F50" s="3" t="s">
        <v>92</v>
      </c>
      <c r="G50" s="3" t="s">
        <v>2280</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1782</v>
      </c>
      <c r="C2" s="3" t="s">
        <v>1783</v>
      </c>
      <c r="D2" s="3" t="s">
        <v>1687</v>
      </c>
      <c r="E2" s="3" t="s">
        <v>189</v>
      </c>
    </row>
    <row r="3" spans="2:5">
      <c r="B3" t="b">
        <v>0</v>
      </c>
      <c r="C3" t="b">
        <v>1</v>
      </c>
      <c r="D3">
        <v>1</v>
      </c>
      <c r="E3">
        <f xml:space="preserve"> DecimalPlaces - INT(LOG(HKD.Size, 10) + 0.2)</f>
        <v>5</v>
      </c>
    </row>
    <row r="5" spans="2:5" ht="17" thickBot="1">
      <c r="B5" s="3" t="s">
        <v>190</v>
      </c>
      <c r="C5" s="3" t="s">
        <v>191</v>
      </c>
      <c r="E5" s="3" t="s">
        <v>1751</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2088</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1750</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1709</v>
      </c>
      <c r="H15">
        <f xml:space="preserve"> 17/48</f>
        <v>0.35416666666666669</v>
      </c>
    </row>
    <row r="16" spans="5:8">
      <c r="G16" s="4" t="s">
        <v>1710</v>
      </c>
      <c r="H16">
        <v>8.1500000000000003E-2</v>
      </c>
    </row>
    <row r="17" spans="2:8">
      <c r="G17" s="4" t="s">
        <v>297</v>
      </c>
      <c r="H17" s="5" t="s">
        <v>762</v>
      </c>
    </row>
    <row r="18" spans="2:8">
      <c r="G18" s="4" t="s">
        <v>298</v>
      </c>
      <c r="H18" s="5" t="s">
        <v>2088</v>
      </c>
    </row>
    <row r="20" spans="2:8" ht="17" thickBot="1">
      <c r="B20" s="3" t="s">
        <v>295</v>
      </c>
      <c r="C20" s="3" t="s">
        <v>300</v>
      </c>
      <c r="D20" s="3" t="s">
        <v>301</v>
      </c>
      <c r="E20" s="3" t="s">
        <v>1766</v>
      </c>
      <c r="F20" s="3" t="s">
        <v>1767</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2260</v>
      </c>
    </row>
    <row r="26" spans="2:9">
      <c r="I26" s="21" t="s">
        <v>2261</v>
      </c>
    </row>
    <row r="27" spans="2:9">
      <c r="I27" s="21" t="s">
        <v>2262</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1749</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2088</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1748</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2074</v>
      </c>
      <c r="C2" s="3" t="s">
        <v>2075</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2070</v>
      </c>
      <c r="C5" s="3" t="s">
        <v>2071</v>
      </c>
      <c r="D5" s="3" t="s">
        <v>2072</v>
      </c>
      <c r="F5" s="3" t="s">
        <v>2073</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2079</v>
      </c>
    </row>
    <row r="26" spans="2:10">
      <c r="J26" t="s">
        <v>2080</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2081</v>
      </c>
    </row>
    <row r="29" spans="2:10">
      <c r="B29" t="s">
        <v>1026</v>
      </c>
      <c r="C29">
        <v>1</v>
      </c>
      <c r="D29">
        <f xml:space="preserve"> - MKD.Big</f>
        <v>-7</v>
      </c>
      <c r="F29" t="str">
        <v>L1 -7</v>
      </c>
      <c r="J29" t="s">
        <v>2082</v>
      </c>
    </row>
    <row r="30" spans="2:10">
      <c r="B30" t="s">
        <v>1026</v>
      </c>
      <c r="C30">
        <v>-1</v>
      </c>
      <c r="D30">
        <f xml:space="preserve"> - MKD.Big</f>
        <v>-7</v>
      </c>
      <c r="F30" t="str">
        <v>H-1Z</v>
      </c>
      <c r="J30" t="s">
        <v>2083</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2076</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2340</v>
      </c>
      <c r="D2" s="3" t="s">
        <v>2341</v>
      </c>
      <c r="F2" t="s">
        <v>2342</v>
      </c>
    </row>
    <row r="3" spans="2:6">
      <c r="C3">
        <f>AZN.SizeOuter / 2</f>
        <v>27</v>
      </c>
      <c r="D3" s="64">
        <v>54</v>
      </c>
      <c r="F3" s="34" cm="1">
        <f t="array" ref="F3" xml:space="preserve"> DecimalPlaces - INT(LOG(MIN(  AZN.MaxX - AZN.MinX,  AZN.MaxY - AZN.MinY  )/2, 10) + 0.2)</f>
        <v>4</v>
      </c>
    </row>
    <row r="5" spans="2:6" ht="17" thickBot="1">
      <c r="B5" s="3" t="s">
        <v>2357</v>
      </c>
      <c r="C5" s="3" t="s">
        <v>2343</v>
      </c>
      <c r="D5" s="3" t="s">
        <v>2344</v>
      </c>
      <c r="F5" s="3" t="s">
        <v>2345</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2346</v>
      </c>
      <c r="F23" s="64">
        <v>60</v>
      </c>
    </row>
    <row r="24" spans="2:6">
      <c r="E24" s="4" t="s">
        <v>2347</v>
      </c>
      <c r="F24">
        <f xml:space="preserve"> AZN.MaxX</f>
        <v>60</v>
      </c>
    </row>
    <row r="25" spans="2:6">
      <c r="E25" s="4" t="s">
        <v>2348</v>
      </c>
      <c r="F25">
        <f xml:space="preserve"> - AZN.MaxX</f>
        <v>-60</v>
      </c>
    </row>
    <row r="26" spans="2:6">
      <c r="E26" s="4" t="s">
        <v>2349</v>
      </c>
      <c r="F26">
        <f xml:space="preserve"> - AZN.MaxY</f>
        <v>-60</v>
      </c>
    </row>
    <row r="28" spans="2:6">
      <c r="E28" s="4" t="s">
        <v>2402</v>
      </c>
      <c r="F28" s="5" t="s">
        <v>2403</v>
      </c>
    </row>
    <row r="29" spans="2:6">
      <c r="E29" s="4" t="s">
        <v>2350</v>
      </c>
      <c r="F29" s="5" t="s">
        <v>717</v>
      </c>
    </row>
    <row r="30" spans="2:6">
      <c r="E30" s="4" t="s">
        <v>2351</v>
      </c>
      <c r="F30" s="5" t="s">
        <v>2088</v>
      </c>
    </row>
    <row r="32" spans="2:6">
      <c r="E32" s="4" t="s">
        <v>2352</v>
      </c>
      <c r="F32">
        <f xml:space="preserve"> MODE(Circles.AreaMultiplier)</f>
        <v>1</v>
      </c>
    </row>
    <row r="33" spans="4:6">
      <c r="E33" s="4" t="s">
        <v>2353</v>
      </c>
      <c r="F33" cm="1">
        <f t="array" ref="F33" xml:space="preserve">  MAX(AZN.MaxY, - AZN.MinY)   /   MAX(AZN.MaxX, - AZN.MinX)</f>
        <v>1</v>
      </c>
    </row>
    <row r="34" spans="4:6">
      <c r="E34" s="4" t="s">
        <v>2354</v>
      </c>
      <c r="F34" cm="1">
        <f t="array" ref="F34" xml:space="preserve"> VALUE(TEXT(SQRT( AZN.AreaMultiplier * BasicBBoxArea *  AZN.Aspect), SVG.NumberFormatHeight))</f>
        <v>15</v>
      </c>
    </row>
    <row r="35" spans="4:6">
      <c r="E35" s="4" t="s">
        <v>2355</v>
      </c>
      <c r="F35" cm="1">
        <f t="array" ref="F35" xml:space="preserve">  AZN.Height /  AZN.Aspect</f>
        <v>15</v>
      </c>
    </row>
    <row r="38" spans="4:6" ht="17" thickBot="1">
      <c r="F38" s="3" t="s">
        <v>2356</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2319</v>
      </c>
      <c r="C2" s="3" t="s">
        <v>2335</v>
      </c>
      <c r="E2" t="s">
        <v>2320</v>
      </c>
    </row>
    <row r="3" spans="2:5">
      <c r="B3">
        <v>1</v>
      </c>
      <c r="C3">
        <f xml:space="preserve"> AMD.SizeInner * SQRT(2)</f>
        <v>1.4142135623730951</v>
      </c>
      <c r="E3" s="34">
        <f xml:space="preserve"> DecimalPlaces - INT(LOG(MIN(  AMD.MaxX - AMD.MinX,  AMD.MaxY - AMD.MinY  )/2, 10) + 0.2)</f>
        <v>5</v>
      </c>
    </row>
    <row r="5" spans="2:5" ht="17" thickBot="1">
      <c r="B5" s="3" t="s">
        <v>2321</v>
      </c>
      <c r="C5" s="3" t="s">
        <v>2322</v>
      </c>
      <c r="E5" s="3" t="s">
        <v>2323</v>
      </c>
    </row>
    <row r="6" spans="2:5">
      <c r="E6" t="s">
        <v>2182</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2183</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2324</v>
      </c>
      <c r="E28">
        <f xml:space="preserve"> _xlfn.MAXIFS(AMD.RawX,   AMD.RawX,"&gt;0")</f>
        <v>1.4142135623730951</v>
      </c>
    </row>
    <row r="29" spans="2:6">
      <c r="D29" s="4" t="s">
        <v>2325</v>
      </c>
      <c r="E29">
        <f xml:space="preserve"> _xlfn.MAXIFS(AMD.RawY,   AMD.RawY,"&gt;0")</f>
        <v>1.4142135623730951</v>
      </c>
    </row>
    <row r="30" spans="2:6">
      <c r="D30" s="4" t="s">
        <v>2326</v>
      </c>
      <c r="E30">
        <f xml:space="preserve">  _xlfn.MINIFS(AMD.RawX,   AMD.RawX,"&lt;0")</f>
        <v>-1.4142135623730951</v>
      </c>
    </row>
    <row r="31" spans="2:6">
      <c r="D31" s="4" t="s">
        <v>2327</v>
      </c>
      <c r="E31">
        <f xml:space="preserve">  _xlfn.MINIFS(AMD.RawY,   AMD.RawY,"&lt;0")</f>
        <v>-1.4142135623730951</v>
      </c>
    </row>
    <row r="33" spans="2:6">
      <c r="D33" s="4" t="s">
        <v>2328</v>
      </c>
      <c r="E33" s="5" t="s">
        <v>2337</v>
      </c>
    </row>
    <row r="34" spans="2:6">
      <c r="D34" s="4" t="s">
        <v>2329</v>
      </c>
      <c r="E34" s="5" t="s">
        <v>781</v>
      </c>
    </row>
    <row r="35" spans="2:6">
      <c r="D35" s="4" t="s">
        <v>2336</v>
      </c>
      <c r="E35" s="5" t="s">
        <v>2338</v>
      </c>
    </row>
    <row r="37" spans="2:6">
      <c r="B37">
        <f xml:space="preserve"> 19999899241 / 50097997976</f>
        <v>0.39921553852473651</v>
      </c>
      <c r="D37" s="4" t="s">
        <v>2330</v>
      </c>
      <c r="E37">
        <f xml:space="preserve"> CHOOSE(1,   19999899241 / 50097997976,   (8 + SQRT(2)*3) * 3 / 92)   *   MODE(Circles.AreaMultiplier) * PI()</f>
        <v>1.2541726030282052</v>
      </c>
      <c r="F37" s="5" t="s">
        <v>2339</v>
      </c>
    </row>
    <row r="38" spans="2:6">
      <c r="B38">
        <f xml:space="preserve"> (8 + SQRT(2)*3) * 3 / 92</f>
        <v>0.39921654414519414</v>
      </c>
      <c r="D38" s="4" t="s">
        <v>2331</v>
      </c>
      <c r="E38" cm="1">
        <f t="array" ref="E38" xml:space="preserve">  MAX(AMD.MaxY, - AMD.MinY)   /   MAX(AMD.MaxX, - AMD.MinX)</f>
        <v>1</v>
      </c>
    </row>
    <row r="39" spans="2:6">
      <c r="B39">
        <f xml:space="preserve"> LN(B37/B38)</f>
        <v>-2.5189881004052337E-6</v>
      </c>
      <c r="D39" s="4" t="s">
        <v>2332</v>
      </c>
      <c r="E39" cm="1">
        <f t="array" ref="E39" xml:space="preserve"> VALUE(TEXT(SQRT( AMD.AreaMultiplier * BasicBBoxArea *  AMD.Aspect), SVG.NumberFormatHeight))</f>
        <v>16.8</v>
      </c>
    </row>
    <row r="40" spans="2:6">
      <c r="D40" s="4" t="s">
        <v>2333</v>
      </c>
      <c r="E40" cm="1">
        <f t="array" ref="E40" xml:space="preserve">  AMD.Height /  AMD.Aspect</f>
        <v>16.8</v>
      </c>
    </row>
    <row r="43" spans="2:6" ht="17" thickBot="1">
      <c r="E43" s="3" t="s">
        <v>2334</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2359</v>
      </c>
      <c r="D2" s="3" t="s">
        <v>2360</v>
      </c>
      <c r="F2" t="s">
        <v>2361</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2376</v>
      </c>
      <c r="C5" s="3" t="s">
        <v>2362</v>
      </c>
      <c r="D5" s="3" t="s">
        <v>2363</v>
      </c>
      <c r="F5" s="3" t="s">
        <v>2364</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2365</v>
      </c>
      <c r="F24">
        <f xml:space="preserve"> TMT.SizeOuter</f>
        <v>3.4142135623730949</v>
      </c>
    </row>
    <row r="25" spans="2:6">
      <c r="E25" s="4" t="s">
        <v>2366</v>
      </c>
      <c r="F25">
        <f xml:space="preserve"> TMT.SizeOuter</f>
        <v>3.4142135623730949</v>
      </c>
    </row>
    <row r="26" spans="2:6">
      <c r="E26" s="4" t="s">
        <v>2367</v>
      </c>
      <c r="F26">
        <f xml:space="preserve"> - TMT.MaxX</f>
        <v>-3.4142135623730949</v>
      </c>
    </row>
    <row r="27" spans="2:6">
      <c r="E27" s="4" t="s">
        <v>2368</v>
      </c>
      <c r="F27">
        <f xml:space="preserve"> - TMT.MaxY</f>
        <v>-3.4142135623730949</v>
      </c>
    </row>
    <row r="29" spans="2:6">
      <c r="E29" s="4" t="s">
        <v>2369</v>
      </c>
      <c r="F29" s="5" t="s">
        <v>1779</v>
      </c>
    </row>
    <row r="30" spans="2:6">
      <c r="E30" s="4" t="s">
        <v>2370</v>
      </c>
      <c r="F30" s="5" t="s">
        <v>2377</v>
      </c>
    </row>
    <row r="32" spans="2:6">
      <c r="E32" s="4" t="s">
        <v>2371</v>
      </c>
      <c r="F32">
        <f xml:space="preserve"> PI() / (16 * (1 - SqrtHalf) / 2)</f>
        <v>1.3407585306672443</v>
      </c>
    </row>
    <row r="33" spans="4:6">
      <c r="E33" s="4" t="s">
        <v>2372</v>
      </c>
      <c r="F33" cm="1">
        <f t="array" ref="F33" xml:space="preserve">  MAX(TMT.MaxY, - TMT.MinY)   /   MAX(TMT.MaxX, - TMT.MinX)</f>
        <v>1</v>
      </c>
    </row>
    <row r="34" spans="4:6">
      <c r="E34" s="4" t="s">
        <v>2373</v>
      </c>
      <c r="F34" cm="1">
        <f t="array" ref="F34" xml:space="preserve"> VALUE(TEXT(SQRT( TMT.AreaMultiplier * BasicBBoxArea *  TMT.Aspect), SVG.NumberFormatHeight))</f>
        <v>17.399999999999999</v>
      </c>
    </row>
    <row r="35" spans="4:6">
      <c r="E35" s="4" t="s">
        <v>2374</v>
      </c>
      <c r="F35" cm="1">
        <f t="array" ref="F35" xml:space="preserve">  TMT.Height /  TMT.Aspect</f>
        <v>17.399999999999999</v>
      </c>
    </row>
    <row r="38" spans="4:6" ht="17" thickBot="1">
      <c r="F38" s="3" t="s">
        <v>2375</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2440</v>
      </c>
      <c r="F2">
        <v>750</v>
      </c>
      <c r="H2" cm="1">
        <f t="array" ref="H2" xml:space="preserve"> GCD(IF(NPR.RawX &lt;= 0, NPR.MaxX, NPR.RawX))</f>
        <v>15</v>
      </c>
    </row>
    <row r="3" spans="2:8">
      <c r="E3" s="4" t="s">
        <v>2441</v>
      </c>
      <c r="F3">
        <f xml:space="preserve"> NPR.HalfWidth * 8 / 15</f>
        <v>400</v>
      </c>
      <c r="H3" cm="1">
        <f t="array" ref="H3" xml:space="preserve"> GCD(IF(NPR.RawY &lt;= 0, NPR.MaxY, NPR.RawY))</f>
        <v>8</v>
      </c>
    </row>
    <row r="4" spans="2:8">
      <c r="E4" s="4" t="s">
        <v>2442</v>
      </c>
      <c r="F4">
        <v>60</v>
      </c>
    </row>
    <row r="6" spans="2:8">
      <c r="E6" s="4" t="s">
        <v>2424</v>
      </c>
      <c r="F6">
        <f xml:space="preserve"> DecimalPlaces - INT(LOG(MIN(NPR.HalfWidth, NPR.HalfHeight), 10) + 0.2)</f>
        <v>3</v>
      </c>
    </row>
    <row r="8" spans="2:8" ht="17" thickBot="1">
      <c r="B8" s="3" t="s">
        <v>2438</v>
      </c>
      <c r="C8" s="3" t="s">
        <v>2425</v>
      </c>
      <c r="D8" s="3" t="s">
        <v>2426</v>
      </c>
      <c r="F8" s="3" t="s">
        <v>2427</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2430</v>
      </c>
      <c r="F22" cm="1">
        <f t="array" ref="F22" xml:space="preserve"> ROUND( MIN(NPR.RawX), NPR.DecimalPlaces)</f>
        <v>-750</v>
      </c>
    </row>
    <row r="23" spans="2:6">
      <c r="E23" s="4" t="s">
        <v>2428</v>
      </c>
      <c r="F23" cm="1">
        <f t="array" ref="F23" xml:space="preserve"> ROUND(MAX(NPR.RawX), NPR.DecimalPlaces)</f>
        <v>750</v>
      </c>
    </row>
    <row r="24" spans="2:6">
      <c r="E24" s="4" t="s">
        <v>2431</v>
      </c>
      <c r="F24" cm="1">
        <f t="array" ref="F24" xml:space="preserve"> ROUND( MIN(NPR.RawY), NPR.DecimalPlaces)</f>
        <v>-400</v>
      </c>
    </row>
    <row r="25" spans="2:6">
      <c r="E25" s="4" t="s">
        <v>2429</v>
      </c>
      <c r="F25" cm="1">
        <f t="array" ref="F25" xml:space="preserve"> ROUND(MAX(NPR.RawY), NPR.DecimalPlaces)</f>
        <v>400</v>
      </c>
    </row>
    <row r="27" spans="2:6">
      <c r="E27" s="4" t="s">
        <v>2439</v>
      </c>
      <c r="F27" s="5" t="s">
        <v>2422</v>
      </c>
    </row>
    <row r="28" spans="2:6">
      <c r="E28" s="4" t="s">
        <v>2432</v>
      </c>
      <c r="F28" s="5" t="s">
        <v>2088</v>
      </c>
    </row>
    <row r="30" spans="2:6">
      <c r="E30" s="4" t="s">
        <v>2433</v>
      </c>
      <c r="F30">
        <f xml:space="preserve"> INDEX(Simple.AreaMultiplier, MATCH("LU", Simple.ID, 0))</f>
        <v>1.3812499999999999</v>
      </c>
    </row>
    <row r="31" spans="2:6">
      <c r="E31" s="4" t="s">
        <v>2434</v>
      </c>
      <c r="F31" cm="1">
        <f t="array" ref="F31" xml:space="preserve">  MAX(NPR.MaxY, - NPR.MinY)   /   MAX(NPR.MaxX, - NPR.MinX)</f>
        <v>0.53333333333333333</v>
      </c>
    </row>
    <row r="32" spans="2:6">
      <c r="E32" s="4" t="s">
        <v>2435</v>
      </c>
      <c r="F32" cm="1">
        <f t="array" ref="F32" xml:space="preserve"> VALUE(TEXT(SQRT( NPR.AreaMultiplier * BasicBBoxArea *  NPR.Aspect), SVG.NumberFormatHeight))</f>
        <v>12.9</v>
      </c>
    </row>
    <row r="33" spans="4:6">
      <c r="E33" s="4" t="s">
        <v>2436</v>
      </c>
      <c r="F33" cm="1">
        <f t="array" ref="F33" xml:space="preserve">  NPR.Height /  NPR.Aspect</f>
        <v>24.1875</v>
      </c>
    </row>
    <row r="36" spans="4:6" ht="17" thickBot="1">
      <c r="F36" s="3" t="s">
        <v>2437</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2263</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2264</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2265</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2088</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2059</v>
      </c>
      <c r="C2" s="3" t="s">
        <v>2061</v>
      </c>
      <c r="D2" s="3" t="s">
        <v>2062</v>
      </c>
      <c r="I2" s="3" t="s">
        <v>2048</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2049</v>
      </c>
      <c r="D5" s="3" t="s">
        <v>2058</v>
      </c>
      <c r="E5" s="3" t="s">
        <v>2050</v>
      </c>
      <c r="F5" s="3" t="s">
        <v>2051</v>
      </c>
      <c r="G5" s="3" t="s">
        <v>2066</v>
      </c>
      <c r="H5" s="3" t="s">
        <v>2067</v>
      </c>
      <c r="I5" s="3" t="s">
        <v>2068</v>
      </c>
      <c r="K5" s="3" t="s">
        <v>2052</v>
      </c>
    </row>
    <row r="7" spans="2:11">
      <c r="B7" t="s">
        <v>2060</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2060</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2060</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2085</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2085</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2085</v>
      </c>
      <c r="C20">
        <v>54</v>
      </c>
      <c r="D20" s="28"/>
      <c r="E20" s="28"/>
      <c r="F20" s="28"/>
      <c r="G20" s="28"/>
      <c r="H20" s="28">
        <f xml:space="preserve"> H19</f>
        <v>0.30976000000000004</v>
      </c>
      <c r="I20" s="28">
        <f xml:space="preserve"> I21</f>
        <v>0.30902000000000002</v>
      </c>
    </row>
    <row r="21" spans="2:9">
      <c r="B21" t="s">
        <v>2085</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2085</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2085</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2085</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2085</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2085</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2085</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2085</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2085</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2085</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2085</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2085</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2084</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2130</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2130</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2130</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2130</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2130</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2063</v>
      </c>
      <c r="K75" s="5" t="s">
        <v>2065</v>
      </c>
      <c r="M75" t="str">
        <f xml:space="preserve"> DEC2HEX(INT(HEX2DEC("D4")/2),2)  &amp;  DEC2HEX(INT(HEX2DEC("AF")/2),2)  &amp;  DEC2HEX(INT(HEX2DEC("37")/2),2)</f>
        <v>6A571B</v>
      </c>
    </row>
    <row r="76" spans="10:13">
      <c r="J76" s="4" t="s">
        <v>2064</v>
      </c>
      <c r="K76" s="5" t="s">
        <v>2077</v>
      </c>
    </row>
    <row r="78" spans="10:13">
      <c r="J78" s="4" t="s">
        <v>2053</v>
      </c>
      <c r="K78" s="26">
        <v>1.55</v>
      </c>
    </row>
    <row r="79" spans="10:13">
      <c r="J79" s="4" t="s">
        <v>2054</v>
      </c>
      <c r="K79" cm="1">
        <f t="array" ref="K79" xml:space="preserve">  MAX(RUB.MaxY, - RUB.MinY)   /   MAX(RUB.MaxX, - RUB.MinX)</f>
        <v>1.0514583727630222</v>
      </c>
    </row>
    <row r="80" spans="10:13">
      <c r="J80" s="4" t="s">
        <v>2055</v>
      </c>
      <c r="K80" cm="1">
        <f t="array" ref="K80" xml:space="preserve"> VALUE(TEXT(SQRT( RUB.AreaMultiplier * BasicBBoxArea *  RUB.Aspect), SVG.NumberFormatHeight))</f>
        <v>19.100000000000001</v>
      </c>
    </row>
    <row r="81" spans="8:11">
      <c r="J81" s="4" t="s">
        <v>2056</v>
      </c>
      <c r="K81" cm="1">
        <f t="array" ref="K81" xml:space="preserve">  RUB.Height /  RUB.Aspect</f>
        <v>18.165246000000003</v>
      </c>
    </row>
    <row r="83" spans="8:11" ht="17" thickBot="1">
      <c r="K83" s="3" t="s">
        <v>2057</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1757</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1977</v>
      </c>
      <c r="C2" s="3" t="s">
        <v>1978</v>
      </c>
      <c r="E2" t="s">
        <v>1962</v>
      </c>
    </row>
    <row r="3" spans="2:5">
      <c r="B3" s="34">
        <v>5</v>
      </c>
      <c r="C3">
        <v>1</v>
      </c>
      <c r="E3" s="34">
        <f xml:space="preserve"> DecimalPlaces - INT(LOG(MIN(  MAX( OMR.RawX) - MIN( OMR.RawX),  MAX( OMR.RawY) - MIN( OMR.RawY)  )/2, 10) + 0.2)</f>
        <v>5</v>
      </c>
    </row>
    <row r="5" spans="2:5" ht="17" thickBot="1">
      <c r="B5" s="3" t="s">
        <v>1963</v>
      </c>
      <c r="C5" s="3" t="s">
        <v>1964</v>
      </c>
      <c r="E5" s="3" t="s">
        <v>1965</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1967</v>
      </c>
      <c r="E20">
        <f xml:space="preserve"> 1 + OMR.SizeInner</f>
        <v>6</v>
      </c>
    </row>
    <row r="21" spans="2:5">
      <c r="D21" s="4" t="s">
        <v>1969</v>
      </c>
      <c r="E21">
        <f xml:space="preserve"> OMR.MaxX</f>
        <v>6</v>
      </c>
    </row>
    <row r="22" spans="2:5">
      <c r="D22" s="4" t="s">
        <v>1966</v>
      </c>
      <c r="E22">
        <f xml:space="preserve"> - OMR.MaxX</f>
        <v>-6</v>
      </c>
    </row>
    <row r="23" spans="2:5">
      <c r="D23" s="4" t="s">
        <v>1968</v>
      </c>
      <c r="E23">
        <f xml:space="preserve"> - OMR.MaxY</f>
        <v>-6</v>
      </c>
    </row>
    <row r="25" spans="2:5">
      <c r="D25" s="4" t="s">
        <v>1970</v>
      </c>
      <c r="E25" s="5" t="s">
        <v>728</v>
      </c>
    </row>
    <row r="26" spans="2:5">
      <c r="D26" s="4" t="s">
        <v>1971</v>
      </c>
      <c r="E26" s="5" t="s">
        <v>1961</v>
      </c>
    </row>
    <row r="28" spans="2:5">
      <c r="D28" s="4" t="s">
        <v>1972</v>
      </c>
      <c r="E28">
        <f xml:space="preserve"> MODE(Squares.AreaMultiplier)</f>
        <v>0.85</v>
      </c>
    </row>
    <row r="29" spans="2:5">
      <c r="D29" s="4" t="s">
        <v>1973</v>
      </c>
      <c r="E29" cm="1">
        <f t="array" ref="E29" xml:space="preserve">  MAX(OMR.MaxY, - OMR.MinY)   /   MAX(OMR.MaxX, - OMR.MinX)</f>
        <v>1</v>
      </c>
    </row>
    <row r="30" spans="2:5">
      <c r="D30" s="4" t="s">
        <v>1974</v>
      </c>
      <c r="E30" cm="1">
        <f t="array" ref="E30" xml:space="preserve"> VALUE(TEXT(SQRT( OMR.AreaMultiplier * BasicBBoxArea *  OMR.Aspect), SVG.NumberFormatHeight))</f>
        <v>13.8</v>
      </c>
    </row>
    <row r="31" spans="2:5">
      <c r="D31" s="4" t="s">
        <v>1975</v>
      </c>
      <c r="E31" cm="1">
        <f t="array" ref="E31" xml:space="preserve">  OMR.Height /  OMR.Aspect</f>
        <v>13.8</v>
      </c>
    </row>
    <row r="34" spans="3:5" ht="17" thickBot="1">
      <c r="E34" s="3" t="s">
        <v>1976</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1747</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1746</v>
      </c>
      <c r="C15" s="54">
        <v>-99</v>
      </c>
      <c r="D15" s="1">
        <v>-99</v>
      </c>
      <c r="F15" t="str">
        <f t="array" ref="F15:F26" xml:space="preserve"> svgpath($C15:$C26, $D15:$D26, QAR.DecimalPlaces)</f>
        <v>M-99 -99</v>
      </c>
    </row>
    <row r="16" spans="2:6">
      <c r="B16" t="s">
        <v>1746</v>
      </c>
      <c r="C16">
        <v>-72</v>
      </c>
      <c r="D16" s="1">
        <f xml:space="preserve"> D15</f>
        <v>-99</v>
      </c>
      <c r="F16" t="str">
        <v>h27</v>
      </c>
    </row>
    <row r="17" spans="2:6">
      <c r="B17" t="s">
        <v>1746</v>
      </c>
      <c r="C17">
        <f xml:space="preserve"> -72 - C16</f>
        <v>0</v>
      </c>
      <c r="D17">
        <f xml:space="preserve"> 22 + D16</f>
        <v>-77</v>
      </c>
      <c r="F17" t="str">
        <v>L0 -77</v>
      </c>
    </row>
    <row r="18" spans="2:6">
      <c r="B18" t="s">
        <v>1746</v>
      </c>
      <c r="C18">
        <f t="shared" ref="C18:C25" si="0" xml:space="preserve"> -72 - C17</f>
        <v>-72</v>
      </c>
      <c r="D18">
        <f t="shared" ref="D18:D25" si="1" xml:space="preserve"> 22 + D17</f>
        <v>-55</v>
      </c>
      <c r="F18" t="str">
        <v>l-72 22</v>
      </c>
    </row>
    <row r="19" spans="2:6">
      <c r="B19" t="s">
        <v>1746</v>
      </c>
      <c r="C19">
        <f t="shared" si="0"/>
        <v>0</v>
      </c>
      <c r="D19">
        <f t="shared" si="1"/>
        <v>-33</v>
      </c>
      <c r="F19" t="str">
        <v>L0 -33</v>
      </c>
    </row>
    <row r="20" spans="2:6">
      <c r="B20" t="s">
        <v>1746</v>
      </c>
      <c r="C20">
        <f t="shared" si="0"/>
        <v>-72</v>
      </c>
      <c r="D20">
        <f t="shared" si="1"/>
        <v>-11</v>
      </c>
      <c r="F20" t="str">
        <v>l-72 22</v>
      </c>
    </row>
    <row r="21" spans="2:6">
      <c r="B21" t="s">
        <v>1746</v>
      </c>
      <c r="C21">
        <f t="shared" si="0"/>
        <v>0</v>
      </c>
      <c r="D21">
        <f t="shared" si="1"/>
        <v>11</v>
      </c>
      <c r="F21" t="str">
        <v>L0 11</v>
      </c>
    </row>
    <row r="22" spans="2:6">
      <c r="B22" t="s">
        <v>1746</v>
      </c>
      <c r="C22">
        <f t="shared" si="0"/>
        <v>-72</v>
      </c>
      <c r="D22">
        <f t="shared" si="1"/>
        <v>33</v>
      </c>
      <c r="F22" t="str">
        <v>L-72 33</v>
      </c>
    </row>
    <row r="23" spans="2:6">
      <c r="B23" t="s">
        <v>1746</v>
      </c>
      <c r="C23">
        <f t="shared" si="0"/>
        <v>0</v>
      </c>
      <c r="D23">
        <f t="shared" si="1"/>
        <v>55</v>
      </c>
      <c r="F23" t="str">
        <v>L0 55</v>
      </c>
    </row>
    <row r="24" spans="2:6">
      <c r="B24" t="s">
        <v>1746</v>
      </c>
      <c r="C24">
        <f t="shared" si="0"/>
        <v>-72</v>
      </c>
      <c r="D24">
        <f t="shared" si="1"/>
        <v>77</v>
      </c>
      <c r="F24" t="str">
        <v>L-72 77</v>
      </c>
    </row>
    <row r="25" spans="2:6">
      <c r="B25" t="s">
        <v>1746</v>
      </c>
      <c r="C25">
        <f t="shared" si="0"/>
        <v>0</v>
      </c>
      <c r="D25">
        <f t="shared" si="1"/>
        <v>99</v>
      </c>
      <c r="F25" t="str">
        <v>L0 99</v>
      </c>
    </row>
    <row r="26" spans="2:6">
      <c r="B26" t="s">
        <v>1746</v>
      </c>
      <c r="C26">
        <f xml:space="preserve"> C15</f>
        <v>-99</v>
      </c>
      <c r="D26">
        <f xml:space="preserve"> D25</f>
        <v>99</v>
      </c>
      <c r="F26" t="str">
        <v>H-99Z</v>
      </c>
    </row>
    <row r="28" spans="2:6">
      <c r="B28" t="s">
        <v>1746</v>
      </c>
      <c r="C28" s="54">
        <f xml:space="preserve"> - C15</f>
        <v>99</v>
      </c>
      <c r="D28">
        <f xml:space="preserve"> D15</f>
        <v>-99</v>
      </c>
      <c r="F28" t="str">
        <f t="array" ref="F28:F39" xml:space="preserve"> svgpath($C28:$C39, $D28:$D39, QAR.DecimalPlaces)</f>
        <v>M99 -99</v>
      </c>
    </row>
    <row r="29" spans="2:6">
      <c r="B29" t="s">
        <v>1746</v>
      </c>
      <c r="C29" s="1">
        <f xml:space="preserve"> 72 + C16</f>
        <v>0</v>
      </c>
      <c r="D29">
        <f t="shared" ref="D29:D39" si="2" xml:space="preserve"> D16</f>
        <v>-99</v>
      </c>
      <c r="F29" t="str">
        <v>H0</v>
      </c>
    </row>
    <row r="30" spans="2:6">
      <c r="B30" t="s">
        <v>1746</v>
      </c>
      <c r="C30" s="1">
        <f t="shared" ref="C30:C38" si="3" xml:space="preserve"> 72 + C17</f>
        <v>72</v>
      </c>
      <c r="D30">
        <f t="shared" si="2"/>
        <v>-77</v>
      </c>
      <c r="F30" t="str">
        <v>l72 22</v>
      </c>
    </row>
    <row r="31" spans="2:6">
      <c r="B31" t="s">
        <v>1746</v>
      </c>
      <c r="C31" s="1">
        <f t="shared" si="3"/>
        <v>0</v>
      </c>
      <c r="D31">
        <f t="shared" si="2"/>
        <v>-55</v>
      </c>
      <c r="F31" t="str">
        <v>L0 -55</v>
      </c>
    </row>
    <row r="32" spans="2:6">
      <c r="B32" t="s">
        <v>1746</v>
      </c>
      <c r="C32" s="1">
        <f t="shared" si="3"/>
        <v>72</v>
      </c>
      <c r="D32">
        <f t="shared" si="2"/>
        <v>-33</v>
      </c>
      <c r="F32" t="str">
        <v>l72 22</v>
      </c>
    </row>
    <row r="33" spans="2:6">
      <c r="B33" t="s">
        <v>1746</v>
      </c>
      <c r="C33" s="1">
        <f t="shared" si="3"/>
        <v>0</v>
      </c>
      <c r="D33">
        <f t="shared" si="2"/>
        <v>-11</v>
      </c>
      <c r="F33" t="str">
        <v>L0 -11</v>
      </c>
    </row>
    <row r="34" spans="2:6">
      <c r="B34" t="s">
        <v>1746</v>
      </c>
      <c r="C34" s="1">
        <f t="shared" si="3"/>
        <v>72</v>
      </c>
      <c r="D34">
        <f t="shared" si="2"/>
        <v>11</v>
      </c>
      <c r="F34" t="str">
        <v>L72 11</v>
      </c>
    </row>
    <row r="35" spans="2:6">
      <c r="B35" t="s">
        <v>1746</v>
      </c>
      <c r="C35" s="1">
        <f t="shared" si="3"/>
        <v>0</v>
      </c>
      <c r="D35">
        <f t="shared" si="2"/>
        <v>33</v>
      </c>
      <c r="F35" t="str">
        <v>L0 33</v>
      </c>
    </row>
    <row r="36" spans="2:6">
      <c r="B36" t="s">
        <v>1746</v>
      </c>
      <c r="C36" s="1">
        <f t="shared" si="3"/>
        <v>72</v>
      </c>
      <c r="D36">
        <f t="shared" si="2"/>
        <v>55</v>
      </c>
      <c r="F36" t="str">
        <v>L72 55</v>
      </c>
    </row>
    <row r="37" spans="2:6">
      <c r="B37" t="s">
        <v>1746</v>
      </c>
      <c r="C37" s="1">
        <f t="shared" si="3"/>
        <v>0</v>
      </c>
      <c r="D37">
        <f t="shared" si="2"/>
        <v>77</v>
      </c>
      <c r="F37" t="str">
        <v>L0 77</v>
      </c>
    </row>
    <row r="38" spans="2:6">
      <c r="B38" t="s">
        <v>1746</v>
      </c>
      <c r="C38" s="1">
        <f t="shared" si="3"/>
        <v>72</v>
      </c>
      <c r="D38">
        <f t="shared" si="2"/>
        <v>99</v>
      </c>
      <c r="F38" t="str">
        <v>L72 99</v>
      </c>
    </row>
    <row r="39" spans="2:6">
      <c r="B39" t="s">
        <v>1746</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2088</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2384</v>
      </c>
    </row>
    <row r="3" spans="2:6">
      <c r="F3">
        <f xml:space="preserve"> DecimalPlaces - INT(LOG(MIN(  MAX(BHD.RawX) - MIN(BHD.RawX),  MAX(BHD.RawY) - MIN(BHD.RawY)  )/2, 10) + 0.2)</f>
        <v>4</v>
      </c>
    </row>
    <row r="5" spans="2:6" ht="17" thickBot="1">
      <c r="C5" s="3" t="s">
        <v>2385</v>
      </c>
    </row>
    <row r="6" spans="2:6">
      <c r="C6" cm="1">
        <f t="array" ref="C6" xml:space="preserve"> SQRT(1417) * 45 / 88 / GoldenRatio</f>
        <v>11.896716885504146</v>
      </c>
    </row>
    <row r="8" spans="2:6" ht="17" thickBot="1">
      <c r="B8" s="3" t="s">
        <v>2386</v>
      </c>
      <c r="C8" s="3" t="s">
        <v>2387</v>
      </c>
      <c r="D8" s="3" t="s">
        <v>2388</v>
      </c>
      <c r="F8" s="3" t="s">
        <v>2389</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1746</v>
      </c>
      <c r="C15" s="54">
        <v>-48</v>
      </c>
      <c r="D15" s="1">
        <v>35</v>
      </c>
      <c r="F15" t="str" cm="1">
        <f t="array" ref="F15:F22" xml:space="preserve"> svgpath($C15:$C22, $D15:$D22, BHD.DecimalPlaces)</f>
        <v>M-48 35</v>
      </c>
    </row>
    <row r="16" spans="2:6">
      <c r="B16" t="s">
        <v>1746</v>
      </c>
      <c r="C16">
        <v>-35</v>
      </c>
      <c r="D16" s="1">
        <f xml:space="preserve"> D15</f>
        <v>35</v>
      </c>
      <c r="F16" t="str">
        <v>h13</v>
      </c>
    </row>
    <row r="17" spans="2:6">
      <c r="B17" t="s">
        <v>1746</v>
      </c>
      <c r="C17">
        <v>0</v>
      </c>
      <c r="D17">
        <f xml:space="preserve"> D16 - 14</f>
        <v>21</v>
      </c>
      <c r="F17" t="str">
        <v>L0 21</v>
      </c>
    </row>
    <row r="18" spans="2:6">
      <c r="B18" t="s">
        <v>1746</v>
      </c>
      <c r="C18">
        <f xml:space="preserve"> C16</f>
        <v>-35</v>
      </c>
      <c r="D18">
        <f t="shared" ref="D18:D21" si="0" xml:space="preserve"> D17 - 14</f>
        <v>7</v>
      </c>
      <c r="F18" t="str">
        <v>L-35 7</v>
      </c>
    </row>
    <row r="19" spans="2:6">
      <c r="B19" t="s">
        <v>1746</v>
      </c>
      <c r="C19">
        <f t="shared" ref="C19:C21" si="1" xml:space="preserve"> C17</f>
        <v>0</v>
      </c>
      <c r="D19">
        <f t="shared" si="0"/>
        <v>-7</v>
      </c>
      <c r="F19" t="str">
        <v>L0 -7</v>
      </c>
    </row>
    <row r="20" spans="2:6">
      <c r="B20" t="s">
        <v>1746</v>
      </c>
      <c r="C20">
        <f t="shared" si="1"/>
        <v>-35</v>
      </c>
      <c r="D20">
        <f t="shared" si="0"/>
        <v>-21</v>
      </c>
      <c r="F20" t="str">
        <v>L-35 -21</v>
      </c>
    </row>
    <row r="21" spans="2:6">
      <c r="B21" t="s">
        <v>1746</v>
      </c>
      <c r="C21">
        <f t="shared" si="1"/>
        <v>0</v>
      </c>
      <c r="D21">
        <f t="shared" si="0"/>
        <v>-35</v>
      </c>
      <c r="F21" t="str">
        <v>L0 -35</v>
      </c>
    </row>
    <row r="22" spans="2:6">
      <c r="B22" t="s">
        <v>1746</v>
      </c>
      <c r="C22" s="54">
        <f xml:space="preserve"> C15</f>
        <v>-48</v>
      </c>
      <c r="D22">
        <f xml:space="preserve"> D21</f>
        <v>-35</v>
      </c>
      <c r="F22" t="str">
        <v>H-48Z</v>
      </c>
    </row>
    <row r="24" spans="2:6">
      <c r="B24" t="s">
        <v>1746</v>
      </c>
      <c r="C24" s="1">
        <f t="shared" ref="C24:D31" si="2" xml:space="preserve"> - C15</f>
        <v>48</v>
      </c>
      <c r="D24" s="1">
        <f t="shared" si="2"/>
        <v>-35</v>
      </c>
      <c r="F24" t="str" cm="1">
        <f t="array" ref="F24:F31" xml:space="preserve"> svgpath($C24:$C31, $D24:$D31, BHD.DecimalPlaces)</f>
        <v>M48 -35</v>
      </c>
    </row>
    <row r="25" spans="2:6">
      <c r="B25" t="s">
        <v>1746</v>
      </c>
      <c r="C25" s="1">
        <f t="shared" si="2"/>
        <v>35</v>
      </c>
      <c r="D25" s="1">
        <f t="shared" si="2"/>
        <v>-35</v>
      </c>
      <c r="F25" t="str">
        <v>H35</v>
      </c>
    </row>
    <row r="26" spans="2:6">
      <c r="B26" t="s">
        <v>1746</v>
      </c>
      <c r="C26" s="1">
        <f t="shared" si="2"/>
        <v>0</v>
      </c>
      <c r="D26" s="1">
        <f t="shared" si="2"/>
        <v>-21</v>
      </c>
      <c r="F26" t="str">
        <v>L0 -21</v>
      </c>
    </row>
    <row r="27" spans="2:6">
      <c r="B27" t="s">
        <v>1746</v>
      </c>
      <c r="C27" s="1">
        <f t="shared" si="2"/>
        <v>35</v>
      </c>
      <c r="D27" s="1">
        <f t="shared" si="2"/>
        <v>-7</v>
      </c>
      <c r="F27" t="str">
        <v>L35 -7</v>
      </c>
    </row>
    <row r="28" spans="2:6">
      <c r="B28" t="s">
        <v>1746</v>
      </c>
      <c r="C28" s="1">
        <f t="shared" si="2"/>
        <v>0</v>
      </c>
      <c r="D28" s="1">
        <f t="shared" si="2"/>
        <v>7</v>
      </c>
      <c r="F28" t="str">
        <v>L0 7</v>
      </c>
    </row>
    <row r="29" spans="2:6">
      <c r="B29" t="s">
        <v>1746</v>
      </c>
      <c r="C29" s="1">
        <f t="shared" si="2"/>
        <v>35</v>
      </c>
      <c r="D29" s="1">
        <f t="shared" si="2"/>
        <v>21</v>
      </c>
      <c r="F29" t="str">
        <v>L35 21</v>
      </c>
    </row>
    <row r="30" spans="2:6">
      <c r="B30" t="s">
        <v>1746</v>
      </c>
      <c r="C30" s="1">
        <f t="shared" si="2"/>
        <v>0</v>
      </c>
      <c r="D30" s="1">
        <f t="shared" si="2"/>
        <v>35</v>
      </c>
      <c r="F30" t="str">
        <v>L0 35</v>
      </c>
    </row>
    <row r="31" spans="2:6">
      <c r="B31" t="s">
        <v>1746</v>
      </c>
      <c r="C31" s="1">
        <f t="shared" si="2"/>
        <v>48</v>
      </c>
      <c r="D31" s="1">
        <f t="shared" si="2"/>
        <v>35</v>
      </c>
      <c r="F31" t="str">
        <v>H48Z</v>
      </c>
    </row>
    <row r="34" spans="4:6">
      <c r="E34" s="4" t="s">
        <v>2390</v>
      </c>
      <c r="F34" cm="1">
        <f t="array" ref="F34" xml:space="preserve"> ROUND( MIN(BHD.RawX), BHD.DecimalPlaces)</f>
        <v>-61</v>
      </c>
    </row>
    <row r="35" spans="4:6">
      <c r="E35" s="4" t="s">
        <v>2391</v>
      </c>
      <c r="F35" cm="1">
        <f t="array" ref="F35" xml:space="preserve"> ROUND(MAX(BHD.RawX), BHD.DecimalPlaces)</f>
        <v>61</v>
      </c>
    </row>
    <row r="36" spans="4:6">
      <c r="E36" s="4" t="s">
        <v>2392</v>
      </c>
      <c r="F36" cm="1">
        <f t="array" ref="F36" xml:space="preserve"> ROUND( MIN(BHD.RawY), BHD.DecimalPlaces)</f>
        <v>-48</v>
      </c>
    </row>
    <row r="37" spans="4:6">
      <c r="E37" s="4" t="s">
        <v>2393</v>
      </c>
      <c r="F37" cm="1">
        <f t="array" ref="F37" xml:space="preserve"> ROUND(MAX(BHD.RawY), BHD.DecimalPlaces)</f>
        <v>48</v>
      </c>
    </row>
    <row r="39" spans="4:6">
      <c r="E39" s="4" t="s">
        <v>2394</v>
      </c>
      <c r="F39" s="26">
        <v>0.8</v>
      </c>
    </row>
    <row r="40" spans="4:6">
      <c r="E40" s="4" t="s">
        <v>2395</v>
      </c>
      <c r="F40" cm="1">
        <f t="array" ref="F40" xml:space="preserve">  MAX(BHD.MaxY, - BHD.MinY)   /   MAX(BHD.MaxX, - BHD.MinX)</f>
        <v>0.78688524590163933</v>
      </c>
    </row>
    <row r="41" spans="4:6">
      <c r="E41" s="4" t="s">
        <v>2396</v>
      </c>
      <c r="F41" cm="1">
        <f t="array" ref="F41" xml:space="preserve"> VALUE(TEXT(SQRT(BHD.AreaMultiplier * BasicBBoxArea * BHD.Aspect), SVG.NumberFormatHeight))</f>
        <v>11.9</v>
      </c>
    </row>
    <row r="42" spans="4:6">
      <c r="E42" s="4" t="s">
        <v>2397</v>
      </c>
      <c r="F42" cm="1">
        <f t="array" ref="F42" xml:space="preserve"> BHD.Height / BHD.Aspect</f>
        <v>15.122916666666667</v>
      </c>
    </row>
    <row r="43" spans="4:6">
      <c r="E43" s="4"/>
      <c r="F43" s="5"/>
    </row>
    <row r="44" spans="4:6">
      <c r="E44" s="4" t="s">
        <v>2398</v>
      </c>
      <c r="F44" s="5" t="s">
        <v>2401</v>
      </c>
    </row>
    <row r="45" spans="4:6">
      <c r="E45" s="4" t="s">
        <v>2399</v>
      </c>
      <c r="F45" s="5" t="s">
        <v>2088</v>
      </c>
    </row>
    <row r="47" spans="4:6" ht="17" thickBot="1">
      <c r="F47" s="3" t="s">
        <v>2400</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1745</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2088</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2030</v>
      </c>
      <c r="C2" s="3" t="s">
        <v>2031</v>
      </c>
    </row>
    <row r="3" spans="2:6">
      <c r="B3">
        <v>6</v>
      </c>
      <c r="C3">
        <v>16</v>
      </c>
    </row>
    <row r="5" spans="2:6" ht="17" thickBot="1">
      <c r="B5" s="3" t="s">
        <v>2028</v>
      </c>
      <c r="C5" s="3" t="s">
        <v>2029</v>
      </c>
      <c r="E5" s="3" t="s">
        <v>2007</v>
      </c>
      <c r="F5" s="35" t="s">
        <v>2008</v>
      </c>
    </row>
    <row r="6" spans="2:6">
      <c r="E6" t="s">
        <v>23</v>
      </c>
      <c r="F6" s="5" t="s">
        <v>2032</v>
      </c>
    </row>
    <row r="7" spans="2:6">
      <c r="E7" t="s">
        <v>23</v>
      </c>
      <c r="F7" s="5" t="s">
        <v>2020</v>
      </c>
    </row>
    <row r="8" spans="2:6">
      <c r="E8" t="s">
        <v>23</v>
      </c>
      <c r="F8" s="5" t="s">
        <v>2021</v>
      </c>
    </row>
    <row r="9" spans="2:6">
      <c r="F9" s="5"/>
    </row>
    <row r="10" spans="2:6">
      <c r="F10" s="5"/>
    </row>
    <row r="11" spans="2:6">
      <c r="E11" t="s">
        <v>23</v>
      </c>
      <c r="F11" s="5" t="s">
        <v>2022</v>
      </c>
    </row>
    <row r="12" spans="2:6">
      <c r="E12" t="s">
        <v>23</v>
      </c>
      <c r="F12" s="5" t="s">
        <v>2023</v>
      </c>
    </row>
    <row r="13" spans="2:6">
      <c r="E13" t="s">
        <v>23</v>
      </c>
      <c r="F13" s="5" t="s">
        <v>2024</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2009</v>
      </c>
      <c r="F30">
        <v>20</v>
      </c>
    </row>
    <row r="31" spans="2:6">
      <c r="E31" s="4" t="s">
        <v>2010</v>
      </c>
      <c r="F31">
        <v>30</v>
      </c>
    </row>
    <row r="32" spans="2:6">
      <c r="E32" s="4" t="s">
        <v>2011</v>
      </c>
      <c r="F32">
        <f xml:space="preserve"> - F30</f>
        <v>-20</v>
      </c>
    </row>
    <row r="33" spans="4:6">
      <c r="E33" s="4" t="s">
        <v>2012</v>
      </c>
      <c r="F33">
        <f xml:space="preserve"> - F31</f>
        <v>-30</v>
      </c>
    </row>
    <row r="35" spans="4:6">
      <c r="E35" s="4" t="s">
        <v>2013</v>
      </c>
      <c r="F35" s="5" t="s">
        <v>2025</v>
      </c>
    </row>
    <row r="36" spans="4:6">
      <c r="E36" s="4" t="s">
        <v>2014</v>
      </c>
      <c r="F36" s="5" t="s">
        <v>726</v>
      </c>
    </row>
    <row r="38" spans="4:6">
      <c r="E38" s="4" t="s">
        <v>2015</v>
      </c>
      <c r="F38">
        <f xml:space="preserve"> 17 / 16</f>
        <v>1.0625</v>
      </c>
    </row>
    <row r="39" spans="4:6">
      <c r="E39" s="4" t="s">
        <v>2016</v>
      </c>
      <c r="F39" cm="1">
        <f t="array" ref="F39" xml:space="preserve">  MAX(YER.MaxY, - YER.MinY)   /   MAX(YER.MaxX, - YER.MinX)</f>
        <v>1.5</v>
      </c>
    </row>
    <row r="40" spans="4:6">
      <c r="E40" s="4" t="s">
        <v>2017</v>
      </c>
      <c r="F40" cm="1">
        <f t="array" ref="F40" xml:space="preserve"> VALUE(TEXT(SQRT( YER.AreaMultiplier * BasicBBoxArea *  YER.Aspect), SVG.NumberFormatHeight))</f>
        <v>18.899999999999999</v>
      </c>
    </row>
    <row r="41" spans="4:6">
      <c r="E41" s="4" t="s">
        <v>2018</v>
      </c>
      <c r="F41" cm="1">
        <f t="array" ref="F41" xml:space="preserve">  YER.Height /  YER.Aspect</f>
        <v>12.6</v>
      </c>
    </row>
    <row r="44" spans="4:6" ht="17" thickBot="1">
      <c r="F44" s="3" t="s">
        <v>2019</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1789</v>
      </c>
      <c r="F2" s="3" t="s">
        <v>1790</v>
      </c>
    </row>
    <row r="3" spans="2:6">
      <c r="B3">
        <v>5.77</v>
      </c>
      <c r="F3">
        <f xml:space="preserve"> DecimalPlaces - INT(LOG(EGP.Multiplier, 10) + 0.2)</f>
        <v>5</v>
      </c>
    </row>
    <row r="5" spans="2:6" ht="17" thickBot="1">
      <c r="B5" s="3" t="s">
        <v>1791</v>
      </c>
      <c r="C5" s="3" t="s">
        <v>1792</v>
      </c>
      <c r="D5" s="3" t="s">
        <v>1793</v>
      </c>
      <c r="F5" s="3" t="s">
        <v>1794</v>
      </c>
    </row>
    <row r="6" spans="2:6">
      <c r="B6" t="s">
        <v>1806</v>
      </c>
      <c r="C6">
        <f xml:space="preserve"> EGP.Multiplier</f>
        <v>5.77</v>
      </c>
      <c r="D6">
        <f xml:space="preserve"> EGP.Multiplier</f>
        <v>5.77</v>
      </c>
      <c r="F6" s="42" t="str">
        <f t="array" ref="F6:F9" xml:space="preserve">  svgpath($C6:$C9, $D6:$D9, EGP.DecimalPlaces)</f>
        <v>M5.77 5.77</v>
      </c>
    </row>
    <row r="7" spans="2:6">
      <c r="B7" t="s">
        <v>1806</v>
      </c>
      <c r="C7">
        <f xml:space="preserve"> - EGP.Multiplier</f>
        <v>-5.77</v>
      </c>
      <c r="D7">
        <f xml:space="preserve"> EGP.Multiplier</f>
        <v>5.77</v>
      </c>
      <c r="F7" t="str">
        <v>H-5.77</v>
      </c>
    </row>
    <row r="8" spans="2:6">
      <c r="B8" t="s">
        <v>1806</v>
      </c>
      <c r="C8">
        <f xml:space="preserve"> - EGP.Multiplier</f>
        <v>-5.77</v>
      </c>
      <c r="D8">
        <f xml:space="preserve"> - EGP.Multiplier</f>
        <v>-5.77</v>
      </c>
      <c r="F8" t="str">
        <v>V-5.77</v>
      </c>
    </row>
    <row r="9" spans="2:6">
      <c r="B9" t="s">
        <v>1806</v>
      </c>
      <c r="C9">
        <f xml:space="preserve"> EGP.Multiplier</f>
        <v>5.77</v>
      </c>
      <c r="D9">
        <f xml:space="preserve"> - EGP.Multiplier</f>
        <v>-5.77</v>
      </c>
      <c r="F9" t="str">
        <v>H5.77Z</v>
      </c>
    </row>
    <row r="11" spans="2:6">
      <c r="B11" t="s">
        <v>1807</v>
      </c>
      <c r="C11">
        <f xml:space="preserve"> EGP.Multiplier * Sqrt2 / 10</f>
        <v>0.81600122548927578</v>
      </c>
      <c r="D11">
        <v>0</v>
      </c>
      <c r="F11" s="42" t="str">
        <f t="array" ref="F11:F13" xml:space="preserve">  svgpath($C11:$C13, $D11:$D13, EGP.DecimalPlaces)</f>
        <v>M.816 0</v>
      </c>
    </row>
    <row r="12" spans="2:6">
      <c r="B12" t="s">
        <v>1807</v>
      </c>
      <c r="C12">
        <f xml:space="preserve"> EGP.Multiplier * 4 / 5</f>
        <v>4.6159999999999997</v>
      </c>
      <c r="D12">
        <f xml:space="preserve"> EGP.Multiplier * (4 / 5  -  Sqrt2 / 10)</f>
        <v>3.7999987745107244</v>
      </c>
      <c r="F12" t="str">
        <v>l3.8 3.8</v>
      </c>
    </row>
    <row r="13" spans="2:6">
      <c r="B13" t="s">
        <v>1807</v>
      </c>
      <c r="C13">
        <f xml:space="preserve"> EGP.Multiplier * 4 / 5</f>
        <v>4.6159999999999997</v>
      </c>
      <c r="D13">
        <f xml:space="preserve"> EGP.Multiplier * (Sqrt2 / 10  -  4 / 5)</f>
        <v>-3.7999987745107244</v>
      </c>
      <c r="F13" t="str">
        <v>V-3.8Z</v>
      </c>
    </row>
    <row r="15" spans="2:6">
      <c r="B15" t="s">
        <v>1807</v>
      </c>
      <c r="C15">
        <f xml:space="preserve"> D11</f>
        <v>0</v>
      </c>
      <c r="D15">
        <f xml:space="preserve"> C11</f>
        <v>0.81600122548927578</v>
      </c>
      <c r="F15" s="42" t="str">
        <f t="array" ref="F15:F17" xml:space="preserve">  svgpath($C15:$C17, $D15:$D17, EGP.DecimalPlaces)</f>
        <v>M0 .816</v>
      </c>
    </row>
    <row r="16" spans="2:6">
      <c r="B16" t="s">
        <v>1807</v>
      </c>
      <c r="C16">
        <f t="shared" ref="C16:C17" si="0" xml:space="preserve"> D12</f>
        <v>3.7999987745107244</v>
      </c>
      <c r="D16">
        <f t="shared" ref="D16:D17" si="1" xml:space="preserve"> C12</f>
        <v>4.6159999999999997</v>
      </c>
      <c r="F16" t="str">
        <v>l3.8 3.8</v>
      </c>
    </row>
    <row r="17" spans="2:6">
      <c r="B17" t="s">
        <v>1807</v>
      </c>
      <c r="C17">
        <f t="shared" si="0"/>
        <v>-3.7999987745107244</v>
      </c>
      <c r="D17">
        <f t="shared" si="1"/>
        <v>4.6159999999999997</v>
      </c>
      <c r="F17" t="str">
        <v>H-3.8Z</v>
      </c>
    </row>
    <row r="18" spans="2:6">
      <c r="F18" s="42"/>
    </row>
    <row r="19" spans="2:6">
      <c r="B19" t="s">
        <v>1807</v>
      </c>
      <c r="C19">
        <f xml:space="preserve"> - C11</f>
        <v>-0.81600122548927578</v>
      </c>
      <c r="D19">
        <f xml:space="preserve"> - D11</f>
        <v>0</v>
      </c>
      <c r="F19" s="42" t="str">
        <f t="array" ref="F19:F21" xml:space="preserve">  svgpath($C19:$C21, $D19:$D21, EGP.DecimalPlaces)</f>
        <v>M-.816 0</v>
      </c>
    </row>
    <row r="20" spans="2:6">
      <c r="B20" t="s">
        <v>1807</v>
      </c>
      <c r="C20">
        <f t="shared" ref="C20:D21" si="2" xml:space="preserve"> - C12</f>
        <v>-4.6159999999999997</v>
      </c>
      <c r="D20">
        <f t="shared" si="2"/>
        <v>-3.7999987745107244</v>
      </c>
      <c r="F20" t="str">
        <v>l-3.8 -3.8</v>
      </c>
    </row>
    <row r="21" spans="2:6">
      <c r="B21" t="s">
        <v>1807</v>
      </c>
      <c r="C21">
        <f t="shared" si="2"/>
        <v>-4.6159999999999997</v>
      </c>
      <c r="D21">
        <f t="shared" si="2"/>
        <v>3.7999987745107244</v>
      </c>
      <c r="F21" t="str">
        <v>V3.8Z</v>
      </c>
    </row>
    <row r="23" spans="2:6">
      <c r="B23" t="s">
        <v>1807</v>
      </c>
      <c r="C23">
        <f xml:space="preserve"> - C15</f>
        <v>0</v>
      </c>
      <c r="D23">
        <f xml:space="preserve"> - D15</f>
        <v>-0.81600122548927578</v>
      </c>
      <c r="F23" s="42" t="str">
        <f t="array" ref="F23:F25" xml:space="preserve">  svgpath($C23:$C25, $D23:$D25, EGP.DecimalPlaces)</f>
        <v>M0 -.816</v>
      </c>
    </row>
    <row r="24" spans="2:6">
      <c r="B24" t="s">
        <v>1807</v>
      </c>
      <c r="C24">
        <f t="shared" ref="C24:D24" si="3" xml:space="preserve"> - C16</f>
        <v>-3.7999987745107244</v>
      </c>
      <c r="D24">
        <f t="shared" si="3"/>
        <v>-4.6159999999999997</v>
      </c>
      <c r="F24" t="str">
        <v>l-3.8 -3.8</v>
      </c>
    </row>
    <row r="25" spans="2:6">
      <c r="B25" t="s">
        <v>1807</v>
      </c>
      <c r="C25">
        <f t="shared" ref="C25:D25" si="4" xml:space="preserve"> - C17</f>
        <v>3.7999987745107244</v>
      </c>
      <c r="D25">
        <f t="shared" si="4"/>
        <v>-4.6159999999999997</v>
      </c>
      <c r="F25" t="str">
        <v>H3.8Z</v>
      </c>
    </row>
    <row r="28" spans="2:6">
      <c r="E28" s="4" t="s">
        <v>1795</v>
      </c>
      <c r="F28" cm="1">
        <f t="array" ref="F28" xml:space="preserve"> ROUND( MIN(EGP.RawX), EGP.DecimalPlaces)</f>
        <v>-5.77</v>
      </c>
    </row>
    <row r="29" spans="2:6">
      <c r="E29" s="4" t="s">
        <v>1796</v>
      </c>
      <c r="F29" cm="1">
        <f t="array" ref="F29" xml:space="preserve"> ROUND(MAX(EGP.RawX), EGP.DecimalPlaces)</f>
        <v>5.77</v>
      </c>
    </row>
    <row r="30" spans="2:6">
      <c r="E30" s="4" t="s">
        <v>1797</v>
      </c>
      <c r="F30" cm="1">
        <f t="array" ref="F30" xml:space="preserve"> ROUND( MIN(EGP.RawY), EGP.DecimalPlaces)</f>
        <v>-5.77</v>
      </c>
    </row>
    <row r="31" spans="2:6">
      <c r="E31" s="4" t="s">
        <v>1798</v>
      </c>
      <c r="F31" cm="1">
        <f t="array" ref="F31" xml:space="preserve"> ROUND(MAX(EGP.RawY), EGP.DecimalPlaces)</f>
        <v>5.77</v>
      </c>
    </row>
    <row r="33" spans="4:6">
      <c r="E33" s="4" t="s">
        <v>1799</v>
      </c>
      <c r="F33" s="26">
        <f xml:space="preserve"> MODE(Squares.AreaMultiplier)</f>
        <v>0.85</v>
      </c>
    </row>
    <row r="34" spans="4:6">
      <c r="E34" s="4" t="s">
        <v>1800</v>
      </c>
      <c r="F34" cm="1">
        <f t="array" ref="F34" xml:space="preserve">  MAX(EGP.MaxY, - EGP.MinY)   /   MAX(EGP.MaxX, - EGP.MinX)</f>
        <v>1</v>
      </c>
    </row>
    <row r="35" spans="4:6">
      <c r="E35" s="4" t="s">
        <v>1801</v>
      </c>
      <c r="F35" cm="1">
        <f t="array" ref="F35" xml:space="preserve"> VALUE(TEXT(SQRT(EGP.AreaMultiplier* BasicBBoxArea * EGP.Aspect), SVG.NumberFormatHeight))</f>
        <v>13.8</v>
      </c>
    </row>
    <row r="36" spans="4:6">
      <c r="E36" s="4" t="s">
        <v>1802</v>
      </c>
      <c r="F36" cm="1">
        <f t="array" ref="F36" xml:space="preserve"> EGP.Height / EGP.Aspect</f>
        <v>13.8</v>
      </c>
    </row>
    <row r="38" spans="4:6">
      <c r="E38" s="4" t="s">
        <v>1803</v>
      </c>
      <c r="F38" t="s">
        <v>726</v>
      </c>
    </row>
    <row r="39" spans="4:6">
      <c r="E39" s="4" t="s">
        <v>1804</v>
      </c>
      <c r="F39" t="s">
        <v>2088</v>
      </c>
    </row>
    <row r="41" spans="4:6" ht="17" thickBot="1">
      <c r="F41" s="3" t="s">
        <v>1805</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2266</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1758</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2088</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1744</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1989</v>
      </c>
    </row>
    <row r="3" spans="2:6">
      <c r="F3">
        <f xml:space="preserve"> DecimalPlaces - INT(LOG(MAX(SDG.RawX, SDG.RawY), 10) + 0.2)</f>
        <v>5</v>
      </c>
    </row>
    <row r="5" spans="2:6" ht="17" thickBot="1">
      <c r="B5" s="3" t="s">
        <v>1990</v>
      </c>
      <c r="C5" s="3" t="s">
        <v>1991</v>
      </c>
      <c r="D5" s="3" t="s">
        <v>1992</v>
      </c>
      <c r="F5" s="3" t="s">
        <v>1993</v>
      </c>
    </row>
    <row r="6" spans="2:6">
      <c r="B6" t="s">
        <v>1806</v>
      </c>
      <c r="C6">
        <v>5</v>
      </c>
      <c r="D6">
        <f xml:space="preserve"> $C$6</f>
        <v>5</v>
      </c>
      <c r="F6" s="42"/>
    </row>
    <row r="7" spans="2:6">
      <c r="B7" t="s">
        <v>1806</v>
      </c>
      <c r="C7">
        <f xml:space="preserve"> C6</f>
        <v>5</v>
      </c>
      <c r="D7">
        <f xml:space="preserve"> - D6</f>
        <v>-5</v>
      </c>
    </row>
    <row r="8" spans="2:6">
      <c r="B8" t="s">
        <v>1806</v>
      </c>
      <c r="C8">
        <f xml:space="preserve"> - C7</f>
        <v>-5</v>
      </c>
      <c r="D8">
        <f xml:space="preserve"> D7</f>
        <v>-5</v>
      </c>
    </row>
    <row r="9" spans="2:6">
      <c r="B9" t="s">
        <v>1806</v>
      </c>
      <c r="C9">
        <f xml:space="preserve"> C8</f>
        <v>-5</v>
      </c>
      <c r="D9">
        <f xml:space="preserve"> - D8</f>
        <v>5</v>
      </c>
    </row>
    <row r="11" spans="2:6">
      <c r="B11" t="s">
        <v>2005</v>
      </c>
      <c r="C11">
        <f xml:space="preserve"> $C$6 - 1</f>
        <v>4</v>
      </c>
      <c r="D11">
        <f xml:space="preserve"> $C$6 - 2</f>
        <v>3</v>
      </c>
      <c r="F11" s="42" t="str">
        <f t="array" ref="F11:F14" xml:space="preserve">  svgpath($C11:$C14, $D11:$D14, SDG.DecimalPlaces, 1, -1)</f>
        <v>M4 -3</v>
      </c>
    </row>
    <row r="12" spans="2:6">
      <c r="B12" t="s">
        <v>2005</v>
      </c>
      <c r="C12">
        <f xml:space="preserve"> $C$6 - 1</f>
        <v>4</v>
      </c>
      <c r="D12">
        <f xml:space="preserve"> D11 - 2</f>
        <v>1</v>
      </c>
      <c r="F12" t="str">
        <v>v2</v>
      </c>
    </row>
    <row r="13" spans="2:6">
      <c r="B13" t="s">
        <v>2005</v>
      </c>
      <c r="C13">
        <f xml:space="preserve"> - $D12</f>
        <v>-1</v>
      </c>
      <c r="D13">
        <f xml:space="preserve"> - $C11</f>
        <v>-4</v>
      </c>
      <c r="F13" t="str">
        <v>L-1 4</v>
      </c>
    </row>
    <row r="14" spans="2:6">
      <c r="B14" t="s">
        <v>2005</v>
      </c>
      <c r="C14">
        <f xml:space="preserve"> - D11</f>
        <v>-3</v>
      </c>
      <c r="D14">
        <f xml:space="preserve"> - C11</f>
        <v>-4</v>
      </c>
      <c r="F14" t="str">
        <v>H-3Z</v>
      </c>
    </row>
    <row r="15" spans="2:6">
      <c r="F15" s="42"/>
    </row>
    <row r="16" spans="2:6">
      <c r="B16" t="s">
        <v>2005</v>
      </c>
      <c r="C16">
        <f xml:space="preserve"> $C$6 - 1</f>
        <v>4</v>
      </c>
      <c r="D16">
        <f xml:space="preserve"> D12 - 2</f>
        <v>-1</v>
      </c>
      <c r="F16" s="42" t="str">
        <f t="array" ref="F16:F19" xml:space="preserve">  svgpath($C16:$C19, $D16:$D19, SDG.DecimalPlaces, 1, -1)</f>
        <v>M4 1</v>
      </c>
    </row>
    <row r="17" spans="2:6">
      <c r="B17" t="s">
        <v>2005</v>
      </c>
      <c r="C17">
        <f xml:space="preserve"> $C$6 - 1</f>
        <v>4</v>
      </c>
      <c r="D17">
        <f xml:space="preserve"> D16 - 2</f>
        <v>-3</v>
      </c>
      <c r="F17" t="str">
        <v>V3</v>
      </c>
    </row>
    <row r="18" spans="2:6">
      <c r="B18" t="s">
        <v>2005</v>
      </c>
      <c r="C18">
        <f xml:space="preserve"> - $D17</f>
        <v>3</v>
      </c>
      <c r="D18">
        <f xml:space="preserve"> - $C16</f>
        <v>-4</v>
      </c>
      <c r="F18" t="str">
        <v>L3 4</v>
      </c>
    </row>
    <row r="19" spans="2:6">
      <c r="B19" t="s">
        <v>2005</v>
      </c>
      <c r="C19">
        <f xml:space="preserve"> - D16</f>
        <v>1</v>
      </c>
      <c r="D19">
        <f xml:space="preserve"> - C16</f>
        <v>-4</v>
      </c>
      <c r="F19" t="str">
        <v>H1Z</v>
      </c>
    </row>
    <row r="21" spans="2:6">
      <c r="B21" t="s">
        <v>2005</v>
      </c>
      <c r="C21">
        <f t="shared" ref="C21:D24" si="0" xml:space="preserve"> - C11</f>
        <v>-4</v>
      </c>
      <c r="D21">
        <f t="shared" si="0"/>
        <v>-3</v>
      </c>
      <c r="F21" s="42" t="str">
        <f t="array" ref="F21:F24" xml:space="preserve">  svgpath($C21:$C24, $D21:$D24, SDG.DecimalPlaces, 1, -1)</f>
        <v>M-4 3</v>
      </c>
    </row>
    <row r="22" spans="2:6">
      <c r="B22" t="s">
        <v>2005</v>
      </c>
      <c r="C22">
        <f t="shared" si="0"/>
        <v>-4</v>
      </c>
      <c r="D22">
        <f t="shared" si="0"/>
        <v>-1</v>
      </c>
      <c r="F22" t="str">
        <v>V1</v>
      </c>
    </row>
    <row r="23" spans="2:6">
      <c r="B23" t="s">
        <v>2005</v>
      </c>
      <c r="C23">
        <f t="shared" si="0"/>
        <v>1</v>
      </c>
      <c r="D23">
        <f t="shared" si="0"/>
        <v>4</v>
      </c>
      <c r="F23" t="str">
        <v>L1 -4</v>
      </c>
    </row>
    <row r="24" spans="2:6">
      <c r="B24" t="s">
        <v>2005</v>
      </c>
      <c r="C24">
        <f t="shared" si="0"/>
        <v>3</v>
      </c>
      <c r="D24">
        <f t="shared" si="0"/>
        <v>4</v>
      </c>
      <c r="F24" t="str">
        <v>H3Z</v>
      </c>
    </row>
    <row r="26" spans="2:6">
      <c r="B26" t="s">
        <v>2005</v>
      </c>
      <c r="C26">
        <f t="shared" ref="C26:D29" si="1" xml:space="preserve"> - C16</f>
        <v>-4</v>
      </c>
      <c r="D26">
        <f t="shared" si="1"/>
        <v>1</v>
      </c>
      <c r="F26" s="42" t="str">
        <f t="array" ref="F26:F29" xml:space="preserve">  svgpath($C26:$C29, $D26:$D29, SDG.DecimalPlaces, 1, -1)</f>
        <v>M-4 -1</v>
      </c>
    </row>
    <row r="27" spans="2:6">
      <c r="B27" t="s">
        <v>2005</v>
      </c>
      <c r="C27">
        <f t="shared" si="1"/>
        <v>-4</v>
      </c>
      <c r="D27">
        <f t="shared" si="1"/>
        <v>3</v>
      </c>
      <c r="F27" t="str">
        <v>V-3</v>
      </c>
    </row>
    <row r="28" spans="2:6">
      <c r="B28" t="s">
        <v>2005</v>
      </c>
      <c r="C28">
        <f t="shared" si="1"/>
        <v>-3</v>
      </c>
      <c r="D28">
        <f t="shared" si="1"/>
        <v>4</v>
      </c>
      <c r="F28" t="str">
        <v>l1 -1</v>
      </c>
    </row>
    <row r="29" spans="2:6">
      <c r="B29" t="s">
        <v>2005</v>
      </c>
      <c r="C29">
        <f t="shared" si="1"/>
        <v>-1</v>
      </c>
      <c r="D29">
        <f t="shared" si="1"/>
        <v>4</v>
      </c>
      <c r="F29" t="str">
        <v>h2Z</v>
      </c>
    </row>
    <row r="32" spans="2:6">
      <c r="E32" s="4" t="s">
        <v>1994</v>
      </c>
      <c r="F32" cm="1">
        <f t="array" ref="F32" xml:space="preserve"> ROUND( MIN(SDG.RawX), SDG.DecimalPlaces)</f>
        <v>-5</v>
      </c>
    </row>
    <row r="33" spans="4:6">
      <c r="E33" s="4" t="s">
        <v>1995</v>
      </c>
      <c r="F33" cm="1">
        <f t="array" ref="F33" xml:space="preserve"> ROUND(MAX(SDG.RawX), SDG.DecimalPlaces)</f>
        <v>5</v>
      </c>
    </row>
    <row r="34" spans="4:6">
      <c r="E34" s="4" t="s">
        <v>1996</v>
      </c>
      <c r="F34" cm="1">
        <f t="array" ref="F34" xml:space="preserve"> ROUND( MIN(SDG.RawY), SDG.DecimalPlaces)</f>
        <v>-5</v>
      </c>
    </row>
    <row r="35" spans="4:6">
      <c r="E35" s="4" t="s">
        <v>1997</v>
      </c>
      <c r="F35" cm="1">
        <f t="array" ref="F35" xml:space="preserve"> ROUND(MAX(SDG.RawY), SDG.DecimalPlaces)</f>
        <v>5</v>
      </c>
    </row>
    <row r="37" spans="4:6">
      <c r="E37" s="4" t="s">
        <v>1998</v>
      </c>
      <c r="F37" s="26">
        <f xml:space="preserve"> MODE(Squares.AreaMultiplier)</f>
        <v>0.85</v>
      </c>
    </row>
    <row r="38" spans="4:6">
      <c r="E38" s="4" t="s">
        <v>1999</v>
      </c>
      <c r="F38" cm="1">
        <f t="array" ref="F38" xml:space="preserve">  MAX(SDG.MaxY, - SDG.MinY)   /   MAX(SDG.MaxX, - SDG.MinX)</f>
        <v>1</v>
      </c>
    </row>
    <row r="39" spans="4:6">
      <c r="E39" s="4" t="s">
        <v>2000</v>
      </c>
      <c r="F39" cm="1">
        <f t="array" ref="F39" xml:space="preserve"> VALUE(TEXT(SQRT(SDG.AreaMultiplier* BasicBBoxArea * SDG.Aspect), SVG.NumberFormatHeight))</f>
        <v>13.8</v>
      </c>
    </row>
    <row r="40" spans="4:6">
      <c r="E40" s="4" t="s">
        <v>2001</v>
      </c>
      <c r="F40" cm="1">
        <f t="array" ref="F40" xml:space="preserve"> SDG.Height / SDG.Aspect</f>
        <v>13.8</v>
      </c>
    </row>
    <row r="42" spans="4:6">
      <c r="E42" s="4" t="s">
        <v>2002</v>
      </c>
      <c r="F42" t="s">
        <v>726</v>
      </c>
    </row>
    <row r="43" spans="4:6">
      <c r="E43" s="4" t="s">
        <v>2003</v>
      </c>
      <c r="F43" t="s">
        <v>2088</v>
      </c>
    </row>
    <row r="45" spans="4:6" ht="17" thickBot="1">
      <c r="F45" s="3" t="s">
        <v>2004</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1759</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2088</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2088</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1743</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2088</v>
      </c>
    </row>
    <row r="25" spans="2:8">
      <c r="E25" s="4" t="s">
        <v>592</v>
      </c>
      <c r="F25" t="s">
        <v>777</v>
      </c>
    </row>
    <row r="27" spans="2:8" ht="17" thickBot="1">
      <c r="F27" s="3" t="s">
        <v>597</v>
      </c>
      <c r="H27" s="3" t="s">
        <v>2270</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1716</v>
      </c>
      <c r="D2" s="2" t="s">
        <v>1717</v>
      </c>
      <c r="F2" s="3" t="s">
        <v>1718</v>
      </c>
    </row>
    <row r="3" spans="2:16">
      <c r="C3" t="b">
        <v>1</v>
      </c>
      <c r="D3" t="b" cm="1">
        <f t="array" ref="D3" xml:space="preserve"> NL.ReflectX</f>
        <v>1</v>
      </c>
      <c r="F3">
        <f xml:space="preserve"> DecimalPlaces - INT(LOG(MIN(  MAX(NL.RawX) - MIN(NL.RawX),  MAX(NL.RawY) - MIN(NL.RawY)  )/2, 10) + 0.2)</f>
        <v>4</v>
      </c>
    </row>
    <row r="5" spans="2:16" ht="17" thickBot="1">
      <c r="B5" s="3" t="s">
        <v>1719</v>
      </c>
      <c r="C5" s="3" t="s">
        <v>1720</v>
      </c>
      <c r="D5" s="3" t="s">
        <v>1721</v>
      </c>
      <c r="F5" s="3" t="s">
        <v>1742</v>
      </c>
      <c r="K5" s="3" t="s">
        <v>1722</v>
      </c>
      <c r="L5" s="3" t="s">
        <v>1723</v>
      </c>
      <c r="M5" s="3" t="s">
        <v>1724</v>
      </c>
      <c r="N5" s="3" t="s">
        <v>1725</v>
      </c>
      <c r="O5" s="3" t="s">
        <v>1726</v>
      </c>
      <c r="P5" s="3" t="s">
        <v>1727</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1728</v>
      </c>
      <c r="I23">
        <v>-1</v>
      </c>
    </row>
    <row r="24" spans="2:16">
      <c r="H24" s="4" t="s">
        <v>1729</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1730</v>
      </c>
      <c r="F43">
        <f xml:space="preserve"> ROUND( MIN(NL.RawX), NL.DecimalPlaces)</f>
        <v>-10</v>
      </c>
    </row>
    <row r="44" spans="2:16">
      <c r="E44" s="4" t="s">
        <v>1731</v>
      </c>
      <c r="F44">
        <f xml:space="preserve"> ROUND(MAX(NL.RawX), NL.DecimalPlaces)</f>
        <v>10</v>
      </c>
    </row>
    <row r="45" spans="2:16">
      <c r="E45" s="4" t="s">
        <v>1732</v>
      </c>
      <c r="F45">
        <f xml:space="preserve"> ROUND( MIN(NL.RawY), NL.DecimalPlaces)</f>
        <v>-7</v>
      </c>
    </row>
    <row r="46" spans="2:16">
      <c r="E46" s="4" t="s">
        <v>1733</v>
      </c>
      <c r="F46">
        <f xml:space="preserve"> ROUND(MAX(NL.RawY), NL.DecimalPlaces)</f>
        <v>7</v>
      </c>
    </row>
    <row r="48" spans="2:16">
      <c r="E48" s="4" t="s">
        <v>1734</v>
      </c>
      <c r="F48" s="26">
        <v>0.875</v>
      </c>
    </row>
    <row r="49" spans="4:7">
      <c r="E49" s="4" t="s">
        <v>1735</v>
      </c>
      <c r="F49" cm="1">
        <f t="array" ref="F49" xml:space="preserve">  MAX(NL.MaxY, - NL.MinY)   /   MAX(NL.MaxX, - NL.MinX)</f>
        <v>0.7</v>
      </c>
    </row>
    <row r="50" spans="4:7">
      <c r="E50" s="4" t="s">
        <v>1736</v>
      </c>
      <c r="F50" cm="1">
        <f t="array" ref="F50" xml:space="preserve"> VALUE(TEXT(SQRT(NL.AreaMultiplier* BasicBBoxArea * NL.Aspect), SVG.NumberFormatHeight))</f>
        <v>11.7</v>
      </c>
    </row>
    <row r="51" spans="4:7">
      <c r="E51" s="4" t="s">
        <v>1737</v>
      </c>
      <c r="F51" cm="1">
        <f t="array" ref="F51" xml:space="preserve"> NL.Height / NL.Aspect</f>
        <v>16.714285714285715</v>
      </c>
    </row>
    <row r="53" spans="4:7">
      <c r="E53" s="4" t="s">
        <v>1738</v>
      </c>
      <c r="F53" t="s">
        <v>721</v>
      </c>
    </row>
    <row r="54" spans="4:7">
      <c r="E54" s="4" t="s">
        <v>1739</v>
      </c>
      <c r="F54" t="s">
        <v>1741</v>
      </c>
    </row>
    <row r="55" spans="4:7">
      <c r="E55" s="4" t="s">
        <v>2284</v>
      </c>
      <c r="F55" t="s">
        <v>2286</v>
      </c>
    </row>
    <row r="57" spans="4:7" ht="17" thickBot="1">
      <c r="F57" s="3" t="s">
        <v>1740</v>
      </c>
      <c r="G57" s="3" t="s">
        <v>2285</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2288</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2283</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2133</v>
      </c>
    </row>
    <row r="3" spans="2:5">
      <c r="E3">
        <f xml:space="preserve"> DecimalPlaces - INT(LOG(MIN(  MAX(GR.RawX) - MIN(GR.RawX),  MAX(GR.RawY) - MIN(GR.RawY)  )/2, 10) + 0.2)</f>
        <v>5</v>
      </c>
    </row>
    <row r="5" spans="2:5" ht="17" thickBot="1">
      <c r="B5" s="3" t="s">
        <v>2134</v>
      </c>
      <c r="C5" s="3" t="s">
        <v>2135</v>
      </c>
      <c r="E5" s="3" t="s">
        <v>2136</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2138</v>
      </c>
      <c r="E20">
        <f xml:space="preserve"> ROUND(MAX(GR.RawX), GR.DecimalPlaces) + 1</f>
        <v>6</v>
      </c>
    </row>
    <row r="21" spans="2:5">
      <c r="D21" s="4" t="s">
        <v>2140</v>
      </c>
      <c r="E21">
        <f xml:space="preserve"> GR.MaxX</f>
        <v>6</v>
      </c>
    </row>
    <row r="22" spans="2:5">
      <c r="D22" s="4" t="s">
        <v>2137</v>
      </c>
      <c r="E22">
        <f xml:space="preserve"> - GR.MaxX</f>
        <v>-6</v>
      </c>
    </row>
    <row r="23" spans="2:5">
      <c r="D23" s="4" t="s">
        <v>2139</v>
      </c>
      <c r="E23">
        <f xml:space="preserve"> - GR.MaxY</f>
        <v>-6</v>
      </c>
    </row>
    <row r="25" spans="2:5">
      <c r="D25" s="4" t="s">
        <v>2141</v>
      </c>
      <c r="E25" s="26">
        <f xml:space="preserve"> MODE(Squares.AreaMultiplier)</f>
        <v>0.85</v>
      </c>
    </row>
    <row r="26" spans="2:5">
      <c r="D26" s="4" t="s">
        <v>2142</v>
      </c>
      <c r="E26" cm="1">
        <f t="array" ref="E26" xml:space="preserve">  MAX(GR.MaxY, - GR.MinY)   /   MAX(GR.MaxX, - GR.MinX)</f>
        <v>1</v>
      </c>
    </row>
    <row r="27" spans="2:5">
      <c r="D27" s="4" t="s">
        <v>2143</v>
      </c>
      <c r="E27" cm="1">
        <f t="array" ref="E27" xml:space="preserve"> VALUE(TEXT(SQRT(GR.AreaMultiplier * BasicBBoxArea * GR.Aspect), SVG.NumberFormatHeight))</f>
        <v>13.8</v>
      </c>
    </row>
    <row r="28" spans="2:5">
      <c r="D28" s="4" t="s">
        <v>2144</v>
      </c>
      <c r="E28" cm="1">
        <f t="array" ref="E28" xml:space="preserve"> GR.Height / GR.Aspect</f>
        <v>13.8</v>
      </c>
    </row>
    <row r="29" spans="2:5">
      <c r="D29" s="4"/>
      <c r="E29" s="5"/>
    </row>
    <row r="30" spans="2:5">
      <c r="D30" s="4" t="s">
        <v>2145</v>
      </c>
      <c r="E30" s="5" t="s">
        <v>790</v>
      </c>
    </row>
    <row r="31" spans="2:5">
      <c r="D31" s="4" t="s">
        <v>2146</v>
      </c>
      <c r="E31" s="5" t="s">
        <v>2088</v>
      </c>
    </row>
    <row r="32" spans="2:5">
      <c r="D32" s="4" t="s">
        <v>2295</v>
      </c>
      <c r="E32" s="5" t="s">
        <v>2301</v>
      </c>
    </row>
    <row r="34" spans="5:6">
      <c r="E34" cm="1">
        <f t="array" ref="E34" xml:space="preserve"> SVG_length(GR.svg)</f>
        <v>225</v>
      </c>
    </row>
    <row r="36" spans="5:6" ht="17" thickBot="1">
      <c r="E36" s="3" t="s">
        <v>2147</v>
      </c>
      <c r="F36" s="3" t="s">
        <v>2296</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1760</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2088</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2088</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1761</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2088</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1762</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2088</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2180</v>
      </c>
      <c r="D2" s="3" t="s">
        <v>2181</v>
      </c>
      <c r="E2" s="3" t="s">
        <v>2212</v>
      </c>
      <c r="I2" t="s">
        <v>2164</v>
      </c>
    </row>
    <row r="3" spans="3:36">
      <c r="C3">
        <v>60</v>
      </c>
      <c r="D3">
        <f xml:space="preserve"> FLOOR(_IADB.RadiusI * 6/5, 1)</f>
        <v>72</v>
      </c>
      <c r="E3">
        <f xml:space="preserve"> _IADB.RadiusI * -0.073722838915784</f>
        <v>-4.4233703349470401</v>
      </c>
      <c r="I3" s="34">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c r="T4" s="4" t="s">
        <v>2188</v>
      </c>
      <c r="U4">
        <v>43.759270416190446</v>
      </c>
      <c r="V4">
        <v>6.5164472691005715</v>
      </c>
      <c r="Z4" s="4" t="s">
        <v>2198</v>
      </c>
      <c r="AA4">
        <v>0</v>
      </c>
      <c r="AB4">
        <v>-4.4233703349470401</v>
      </c>
    </row>
    <row r="5" spans="3:36">
      <c r="T5" s="4" t="s">
        <v>2189</v>
      </c>
      <c r="U5">
        <v>30.000000000000004</v>
      </c>
      <c r="V5">
        <v>3.0766296650529608</v>
      </c>
      <c r="Z5" s="4" t="s">
        <v>2199</v>
      </c>
      <c r="AA5">
        <v>0</v>
      </c>
      <c r="AB5">
        <v>-4.4233703349470401</v>
      </c>
    </row>
    <row r="6" spans="3:36">
      <c r="E6">
        <v>-6.1629474202226898E-2</v>
      </c>
      <c r="F6">
        <v>5.0115259951281468</v>
      </c>
      <c r="Z6" s="4" t="s">
        <v>2208</v>
      </c>
      <c r="AA6">
        <v>0</v>
      </c>
      <c r="AB6">
        <v>-22.700000000000003</v>
      </c>
    </row>
    <row r="7" spans="3:36">
      <c r="E7">
        <v>-7.4999999999999997E-2</v>
      </c>
      <c r="F7">
        <v>6.1043176067272302</v>
      </c>
    </row>
    <row r="8" spans="3:36">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c r="E10">
        <f xml:space="preserve"> ( (F9-6)*E8 + (6-F8)*E9 ) / (F9 - F8)</f>
        <v>-7.3722838915591796E-2</v>
      </c>
      <c r="F10">
        <v>5.999999999987641</v>
      </c>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2209</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2218</v>
      </c>
      <c r="Z13" s="3" t="s">
        <v>2219</v>
      </c>
      <c r="AA13" s="3" t="s">
        <v>2220</v>
      </c>
      <c r="AB13" s="3" t="s">
        <v>2221</v>
      </c>
      <c r="AC13" s="3" t="s">
        <v>2222</v>
      </c>
      <c r="AG13" s="3" t="s">
        <v>2225</v>
      </c>
      <c r="AJ13" s="3" t="s">
        <v>2224</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2179</v>
      </c>
      <c r="D20" s="3" t="s">
        <v>2165</v>
      </c>
      <c r="E20" s="3" t="s">
        <v>2166</v>
      </c>
      <c r="F20" s="3" t="s">
        <v>2186</v>
      </c>
      <c r="I20" s="3" t="s">
        <v>2167</v>
      </c>
      <c r="S20" s="3" t="s">
        <v>2196</v>
      </c>
      <c r="T20" s="3" t="s">
        <v>2195</v>
      </c>
      <c r="U20" s="3" t="s">
        <v>2193</v>
      </c>
      <c r="V20" s="3" t="s">
        <v>2194</v>
      </c>
      <c r="Y20" s="3" t="s">
        <v>2203</v>
      </c>
      <c r="Z20" s="3" t="s">
        <v>2204</v>
      </c>
      <c r="AA20" s="3" t="s">
        <v>2205</v>
      </c>
      <c r="AB20" s="3" t="s">
        <v>2206</v>
      </c>
      <c r="AC20" s="3" t="s">
        <v>2207</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2172</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2174</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2175</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2176</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2177</v>
      </c>
      <c r="I50" s="5" t="s">
        <v>2088</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2211</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2178</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2210</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2213</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2214</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2215</v>
      </c>
      <c r="I57" s="5" t="s">
        <v>15</v>
      </c>
    </row>
    <row r="58" spans="3:29">
      <c r="C58" t="s">
        <v>2215</v>
      </c>
    </row>
    <row r="59" spans="3:29">
      <c r="C59" t="s">
        <v>2216</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2217</v>
      </c>
      <c r="E65">
        <f xml:space="preserve"> ($E23 - $E21) / ($D23 - $D21)</f>
        <v>0.14891581160113579</v>
      </c>
    </row>
    <row r="66" spans="3:5">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2239</v>
      </c>
      <c r="D2" t="s">
        <v>2240</v>
      </c>
      <c r="E2" t="s">
        <v>2241</v>
      </c>
      <c r="G2" t="s">
        <v>2226</v>
      </c>
    </row>
    <row r="3" spans="2:7">
      <c r="C3" s="34">
        <v>8</v>
      </c>
      <c r="D3" s="34">
        <v>7</v>
      </c>
      <c r="E3" s="34">
        <v>2.5</v>
      </c>
      <c r="G3" s="34">
        <f xml:space="preserve"> DecimalPlaces - INT(LOG(_CoEDB.Radius_1, 10) + 0.2)</f>
        <v>4</v>
      </c>
    </row>
    <row r="5" spans="2:7" ht="17" thickBot="1">
      <c r="B5" s="3" t="s">
        <v>2242</v>
      </c>
      <c r="C5" s="3" t="s">
        <v>2243</v>
      </c>
      <c r="D5" s="3" t="s">
        <v>2227</v>
      </c>
      <c r="E5" s="3" t="s">
        <v>2228</v>
      </c>
      <c r="G5" s="3" t="s">
        <v>2229</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2231</v>
      </c>
      <c r="G26">
        <f xml:space="preserve"> _CoEDB.Radius_1</f>
        <v>8</v>
      </c>
    </row>
    <row r="27" spans="2:7">
      <c r="F27" s="4" t="s">
        <v>2233</v>
      </c>
      <c r="G27">
        <f xml:space="preserve"> _CoEDB.MaxX</f>
        <v>8</v>
      </c>
    </row>
    <row r="28" spans="2:7">
      <c r="F28" s="4" t="s">
        <v>2230</v>
      </c>
      <c r="G28">
        <f xml:space="preserve"> - G26</f>
        <v>-8</v>
      </c>
    </row>
    <row r="29" spans="2:7">
      <c r="F29" s="4" t="s">
        <v>2232</v>
      </c>
      <c r="G29">
        <f xml:space="preserve"> - G27</f>
        <v>-8</v>
      </c>
    </row>
    <row r="31" spans="2:7">
      <c r="F31" s="4" t="s">
        <v>2234</v>
      </c>
      <c r="G31" s="26">
        <f xml:space="preserve"> MODE(Circles.AreaMultiplier)</f>
        <v>1</v>
      </c>
    </row>
    <row r="32" spans="2:7">
      <c r="F32" s="4" t="s">
        <v>2235</v>
      </c>
      <c r="G32" cm="1">
        <f t="array" ref="G32" xml:space="preserve">  MAX(_CoEDB.MaxY, - _CoEDB.MinY)   /   MAX(_CoEDB.MaxX, - _CoEDB.MinX)</f>
        <v>1</v>
      </c>
    </row>
    <row r="33" spans="5:7">
      <c r="F33" s="4" t="s">
        <v>2236</v>
      </c>
      <c r="G33" cm="1">
        <f t="array" ref="G33" xml:space="preserve"> VALUE(TEXT(SQRT(_CoEDB.AreaMultiplier * BasicBBoxArea * _CoEDB.Aspect), SVG.NumberFormatHeight))</f>
        <v>15</v>
      </c>
    </row>
    <row r="34" spans="5:7">
      <c r="F34" s="4" t="s">
        <v>2237</v>
      </c>
      <c r="G34" cm="1">
        <f t="array" ref="G34" xml:space="preserve"> _CoEDB.Height / _CoEDB.Aspect</f>
        <v>15</v>
      </c>
    </row>
    <row r="36" spans="5:7">
      <c r="F36" s="4" t="s">
        <v>2244</v>
      </c>
      <c r="G36" s="5" t="s">
        <v>2246</v>
      </c>
    </row>
    <row r="37" spans="5:7">
      <c r="F37" s="4" t="s">
        <v>2245</v>
      </c>
      <c r="G37" s="5" t="s">
        <v>2088</v>
      </c>
    </row>
    <row r="39" spans="5:7" ht="17" thickBot="1">
      <c r="G39" s="3" t="s">
        <v>2238</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2089</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1763</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sheetData>
    <row r="2" spans="2:17" ht="17" thickBot="1">
      <c r="B2" s="3" t="s">
        <v>1828</v>
      </c>
      <c r="C2" s="3" t="s">
        <v>1829</v>
      </c>
      <c r="E2" s="3" t="s">
        <v>1830</v>
      </c>
      <c r="F2" s="3" t="s">
        <v>1831</v>
      </c>
      <c r="G2" s="3" t="s">
        <v>1984</v>
      </c>
      <c r="H2" s="3" t="s">
        <v>1832</v>
      </c>
      <c r="I2" s="3" t="s">
        <v>1833</v>
      </c>
      <c r="J2" s="3" t="s">
        <v>1834</v>
      </c>
      <c r="K2" s="3" t="s">
        <v>1835</v>
      </c>
    </row>
    <row r="3" spans="2:17">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5" t="s">
        <v>1957</v>
      </c>
    </row>
    <row r="14" spans="2:17">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5" t="s">
        <v>15</v>
      </c>
    </row>
    <row r="15" spans="2:17">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c r="B344" t="s">
        <v>2621</v>
      </c>
      <c r="C344" t="s">
        <v>2621</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workbookViewId="0">
      <pane ySplit="5" topLeftCell="A7" activePane="bottomLeft" state="frozenSplit"/>
      <selection pane="bottomLeft"/>
    </sheetView>
  </sheetViews>
  <sheetFormatPr baseColWidth="10" defaultRowHeight="16"/>
  <cols>
    <col min="2" max="2" width="10.83203125" style="5"/>
    <col min="3" max="5" width="40.83203125" customWidth="1"/>
  </cols>
  <sheetData>
    <row r="5" spans="2:5" ht="17" thickBot="1">
      <c r="B5" s="35" t="s">
        <v>2448</v>
      </c>
      <c r="C5" s="3" t="s">
        <v>2449</v>
      </c>
      <c r="D5" s="3" t="s">
        <v>2450</v>
      </c>
      <c r="E5" s="3" t="s">
        <v>2451</v>
      </c>
    </row>
    <row r="7" spans="2:5">
      <c r="B7" s="5" t="s">
        <v>2</v>
      </c>
      <c r="C7" t="s">
        <v>2644</v>
      </c>
      <c r="E7" t="s">
        <v>2645</v>
      </c>
    </row>
    <row r="8" spans="2:5">
      <c r="B8" s="5" t="s">
        <v>405</v>
      </c>
      <c r="C8" t="s">
        <v>2452</v>
      </c>
    </row>
    <row r="9" spans="2:5">
      <c r="B9" s="5" t="s">
        <v>0</v>
      </c>
      <c r="C9" t="s">
        <v>2453</v>
      </c>
      <c r="D9" t="s">
        <v>2454</v>
      </c>
    </row>
    <row r="10" spans="2:5">
      <c r="B10" s="5" t="s">
        <v>2257</v>
      </c>
      <c r="C10" t="s">
        <v>2455</v>
      </c>
    </row>
    <row r="11" spans="2:5">
      <c r="B11" s="5" t="s">
        <v>2255</v>
      </c>
      <c r="C11" t="s">
        <v>2456</v>
      </c>
    </row>
    <row r="12" spans="2:5">
      <c r="B12" s="5" t="s">
        <v>2258</v>
      </c>
      <c r="C12" t="s">
        <v>2457</v>
      </c>
    </row>
    <row r="13" spans="2:5">
      <c r="B13" s="5" t="s">
        <v>2256</v>
      </c>
      <c r="C13" t="s">
        <v>2458</v>
      </c>
    </row>
    <row r="14" spans="2:5">
      <c r="B14" s="5" t="s">
        <v>2259</v>
      </c>
      <c r="C14" t="s">
        <v>2459</v>
      </c>
      <c r="D14" t="s">
        <v>2630</v>
      </c>
    </row>
    <row r="15" spans="2:5">
      <c r="B15" s="5" t="s">
        <v>7</v>
      </c>
      <c r="C15" t="s">
        <v>2460</v>
      </c>
    </row>
    <row r="16" spans="2:5">
      <c r="B16" s="5" t="s">
        <v>1539</v>
      </c>
      <c r="C16" t="s">
        <v>2461</v>
      </c>
      <c r="D16" t="s">
        <v>2462</v>
      </c>
    </row>
    <row r="17" spans="2:5">
      <c r="B17" s="5" t="s">
        <v>2282</v>
      </c>
      <c r="C17" t="s">
        <v>2463</v>
      </c>
      <c r="D17" t="s">
        <v>2464</v>
      </c>
    </row>
    <row r="18" spans="2:5">
      <c r="B18" s="5" t="s">
        <v>1841</v>
      </c>
      <c r="C18" t="s">
        <v>2465</v>
      </c>
      <c r="D18" t="s">
        <v>2466</v>
      </c>
    </row>
    <row r="19" spans="2:5">
      <c r="B19" s="5" t="s">
        <v>2300</v>
      </c>
      <c r="C19" t="s">
        <v>2467</v>
      </c>
      <c r="D19" t="s">
        <v>2468</v>
      </c>
    </row>
    <row r="20" spans="2:5">
      <c r="B20" s="5" t="s">
        <v>1842</v>
      </c>
      <c r="C20" t="s">
        <v>2469</v>
      </c>
    </row>
    <row r="21" spans="2:5">
      <c r="B21" s="5" t="s">
        <v>122</v>
      </c>
      <c r="C21" t="s">
        <v>2470</v>
      </c>
    </row>
    <row r="22" spans="2:5">
      <c r="B22" s="5" t="s">
        <v>126</v>
      </c>
      <c r="C22" t="s">
        <v>2471</v>
      </c>
    </row>
    <row r="23" spans="2:5">
      <c r="B23" s="5" t="s">
        <v>128</v>
      </c>
      <c r="C23" t="s">
        <v>2472</v>
      </c>
    </row>
    <row r="24" spans="2:5">
      <c r="B24" s="5" t="s">
        <v>133</v>
      </c>
      <c r="C24" t="s">
        <v>2473</v>
      </c>
    </row>
    <row r="25" spans="2:5">
      <c r="B25" s="5" t="s">
        <v>1885</v>
      </c>
      <c r="C25" t="s">
        <v>2474</v>
      </c>
    </row>
    <row r="26" spans="2:5">
      <c r="B26" s="5" t="s">
        <v>203</v>
      </c>
      <c r="C26" t="s">
        <v>2475</v>
      </c>
    </row>
    <row r="27" spans="2:5">
      <c r="B27" s="5" t="s">
        <v>1887</v>
      </c>
      <c r="C27" t="s">
        <v>2634</v>
      </c>
      <c r="E27" t="s">
        <v>2635</v>
      </c>
    </row>
    <row r="28" spans="2:5">
      <c r="B28" s="5" t="s">
        <v>136</v>
      </c>
      <c r="C28" t="s">
        <v>2476</v>
      </c>
    </row>
    <row r="29" spans="2:5">
      <c r="B29" s="5" t="s">
        <v>235</v>
      </c>
      <c r="C29" t="s">
        <v>2636</v>
      </c>
      <c r="E29" t="s">
        <v>2637</v>
      </c>
    </row>
    <row r="30" spans="2:5">
      <c r="B30" s="5" t="s">
        <v>162</v>
      </c>
      <c r="C30" t="s">
        <v>2477</v>
      </c>
    </row>
    <row r="31" spans="2:5">
      <c r="B31" s="5" t="s">
        <v>163</v>
      </c>
      <c r="C31" t="s">
        <v>2478</v>
      </c>
    </row>
    <row r="32" spans="2:5">
      <c r="B32" s="5" t="s">
        <v>2380</v>
      </c>
      <c r="C32" t="s">
        <v>2479</v>
      </c>
    </row>
    <row r="33" spans="2:3">
      <c r="B33" s="5" t="s">
        <v>248</v>
      </c>
      <c r="C33" t="s">
        <v>2480</v>
      </c>
    </row>
    <row r="34" spans="2:3">
      <c r="B34" s="5" t="s">
        <v>261</v>
      </c>
      <c r="C34" t="s">
        <v>2481</v>
      </c>
    </row>
    <row r="35" spans="2:3">
      <c r="B35" s="5" t="s">
        <v>296</v>
      </c>
      <c r="C35" t="s">
        <v>2482</v>
      </c>
    </row>
    <row r="36" spans="2:3">
      <c r="B36" s="5" t="s">
        <v>135</v>
      </c>
      <c r="C36" t="s">
        <v>2483</v>
      </c>
    </row>
    <row r="37" spans="2:3">
      <c r="B37" s="5" t="s">
        <v>97</v>
      </c>
      <c r="C37" t="s">
        <v>2484</v>
      </c>
    </row>
    <row r="38" spans="2:3">
      <c r="B38" s="5" t="s">
        <v>164</v>
      </c>
      <c r="C38" t="s">
        <v>2485</v>
      </c>
    </row>
    <row r="39" spans="2:3">
      <c r="B39" s="5" t="s">
        <v>2421</v>
      </c>
      <c r="C39" t="s">
        <v>2629</v>
      </c>
    </row>
    <row r="40" spans="2:3">
      <c r="B40" s="5" t="s">
        <v>1901</v>
      </c>
      <c r="C40" t="s">
        <v>2486</v>
      </c>
    </row>
    <row r="41" spans="2:3">
      <c r="B41" s="5" t="s">
        <v>2312</v>
      </c>
      <c r="C41" t="s">
        <v>2487</v>
      </c>
    </row>
    <row r="42" spans="2:3">
      <c r="B42" s="5" t="s">
        <v>2410</v>
      </c>
      <c r="C42" t="s">
        <v>2488</v>
      </c>
    </row>
    <row r="43" spans="2:3">
      <c r="B43" s="5" t="s">
        <v>1614</v>
      </c>
      <c r="C43" t="s">
        <v>2489</v>
      </c>
    </row>
    <row r="44" spans="2:3">
      <c r="B44" s="5" t="s">
        <v>2269</v>
      </c>
      <c r="C44" t="s">
        <v>2490</v>
      </c>
    </row>
    <row r="45" spans="2:3">
      <c r="B45" s="5" t="s">
        <v>132</v>
      </c>
      <c r="C45" t="s">
        <v>2491</v>
      </c>
    </row>
    <row r="46" spans="2:3">
      <c r="B46" s="5" t="s">
        <v>1540</v>
      </c>
      <c r="C46" t="s">
        <v>2492</v>
      </c>
    </row>
    <row r="47" spans="2:3">
      <c r="B47" s="5" t="s">
        <v>326</v>
      </c>
      <c r="C47" t="s">
        <v>2493</v>
      </c>
    </row>
    <row r="48" spans="2:3">
      <c r="B48" s="5" t="s">
        <v>372</v>
      </c>
      <c r="C48" t="s">
        <v>2494</v>
      </c>
    </row>
    <row r="49" spans="2:5">
      <c r="B49" s="5" t="s">
        <v>357</v>
      </c>
      <c r="C49" t="s">
        <v>2642</v>
      </c>
    </row>
    <row r="50" spans="2:5">
      <c r="B50" s="5" t="s">
        <v>376</v>
      </c>
      <c r="C50" t="s">
        <v>2495</v>
      </c>
    </row>
    <row r="51" spans="2:5">
      <c r="B51" s="5" t="s">
        <v>393</v>
      </c>
      <c r="C51" t="s">
        <v>2496</v>
      </c>
    </row>
    <row r="52" spans="2:5">
      <c r="B52" s="5" t="s">
        <v>879</v>
      </c>
      <c r="C52" t="s">
        <v>2497</v>
      </c>
    </row>
    <row r="53" spans="2:5">
      <c r="B53" s="5" t="s">
        <v>394</v>
      </c>
      <c r="C53" t="s">
        <v>2498</v>
      </c>
    </row>
    <row r="54" spans="2:5">
      <c r="B54" s="5" t="s">
        <v>406</v>
      </c>
      <c r="C54" t="s">
        <v>2499</v>
      </c>
    </row>
    <row r="55" spans="2:5">
      <c r="B55" s="5" t="s">
        <v>1670</v>
      </c>
      <c r="C55" t="s">
        <v>2500</v>
      </c>
    </row>
    <row r="56" spans="2:5">
      <c r="B56" s="5" t="s">
        <v>165</v>
      </c>
      <c r="C56" t="s">
        <v>2501</v>
      </c>
    </row>
    <row r="57" spans="2:5">
      <c r="B57" s="5" t="s">
        <v>1913</v>
      </c>
      <c r="C57" t="s">
        <v>2502</v>
      </c>
      <c r="E57" t="s">
        <v>2503</v>
      </c>
    </row>
    <row r="58" spans="2:5">
      <c r="B58" s="5" t="s">
        <v>2415</v>
      </c>
      <c r="C58" t="s">
        <v>2504</v>
      </c>
    </row>
    <row r="59" spans="2:5">
      <c r="B59" s="5" t="s">
        <v>2416</v>
      </c>
      <c r="C59" t="s">
        <v>2505</v>
      </c>
    </row>
    <row r="60" spans="2:5">
      <c r="B60" s="5" t="s">
        <v>2155</v>
      </c>
      <c r="C60" t="s">
        <v>2506</v>
      </c>
    </row>
    <row r="61" spans="2:5">
      <c r="B61" s="5" t="s">
        <v>407</v>
      </c>
      <c r="C61" t="s">
        <v>2638</v>
      </c>
      <c r="E61" t="s">
        <v>2639</v>
      </c>
    </row>
    <row r="62" spans="2:5">
      <c r="B62" s="5" t="s">
        <v>134</v>
      </c>
      <c r="C62" t="s">
        <v>2646</v>
      </c>
    </row>
    <row r="63" spans="2:5">
      <c r="B63" s="5" t="s">
        <v>166</v>
      </c>
      <c r="C63" t="s">
        <v>2507</v>
      </c>
    </row>
    <row r="64" spans="2:5">
      <c r="B64" s="5" t="s">
        <v>459</v>
      </c>
      <c r="C64" t="s">
        <v>2508</v>
      </c>
    </row>
    <row r="65" spans="2:5">
      <c r="B65" s="5" t="s">
        <v>1979</v>
      </c>
      <c r="C65" t="s">
        <v>2509</v>
      </c>
    </row>
    <row r="66" spans="2:5">
      <c r="B66" s="5" t="s">
        <v>473</v>
      </c>
      <c r="C66" t="s">
        <v>2510</v>
      </c>
    </row>
    <row r="67" spans="2:5">
      <c r="B67" s="5" t="s">
        <v>2414</v>
      </c>
      <c r="C67" t="s">
        <v>2511</v>
      </c>
    </row>
    <row r="68" spans="2:5">
      <c r="B68" s="5" t="s">
        <v>1917</v>
      </c>
      <c r="C68" t="s">
        <v>2512</v>
      </c>
    </row>
    <row r="69" spans="2:5">
      <c r="B69" s="5" t="s">
        <v>2027</v>
      </c>
      <c r="C69" t="s">
        <v>2513</v>
      </c>
    </row>
    <row r="70" spans="2:5">
      <c r="B70" s="5" t="s">
        <v>491</v>
      </c>
      <c r="C70" t="s">
        <v>2514</v>
      </c>
    </row>
    <row r="71" spans="2:5">
      <c r="B71" s="5" t="s">
        <v>167</v>
      </c>
      <c r="C71" t="s">
        <v>2515</v>
      </c>
    </row>
    <row r="72" spans="2:5">
      <c r="B72" s="5" t="s">
        <v>2311</v>
      </c>
      <c r="C72" t="s">
        <v>2648</v>
      </c>
    </row>
    <row r="73" spans="2:5">
      <c r="B73" s="5" t="s">
        <v>2307</v>
      </c>
      <c r="C73" t="s">
        <v>2516</v>
      </c>
    </row>
    <row r="74" spans="2:5">
      <c r="B74" s="5" t="s">
        <v>1919</v>
      </c>
      <c r="C74" t="s">
        <v>2517</v>
      </c>
    </row>
    <row r="75" spans="2:5">
      <c r="B75" s="5" t="s">
        <v>137</v>
      </c>
      <c r="C75" t="s">
        <v>2518</v>
      </c>
    </row>
    <row r="76" spans="2:5">
      <c r="B76" s="5" t="s">
        <v>138</v>
      </c>
      <c r="C76" t="s">
        <v>2519</v>
      </c>
    </row>
    <row r="77" spans="2:5">
      <c r="B77" s="5" t="s">
        <v>1624</v>
      </c>
      <c r="C77" t="s">
        <v>2520</v>
      </c>
      <c r="E77" t="s">
        <v>2647</v>
      </c>
    </row>
    <row r="78" spans="2:5">
      <c r="B78" s="5" t="s">
        <v>492</v>
      </c>
      <c r="C78" t="s">
        <v>2521</v>
      </c>
    </row>
    <row r="79" spans="2:5">
      <c r="B79" s="5" t="s">
        <v>900</v>
      </c>
      <c r="C79" t="s">
        <v>2522</v>
      </c>
    </row>
    <row r="80" spans="2:5">
      <c r="B80" s="5" t="s">
        <v>510</v>
      </c>
      <c r="C80" t="s">
        <v>2632</v>
      </c>
      <c r="E80" t="s">
        <v>2633</v>
      </c>
    </row>
    <row r="81" spans="2:3">
      <c r="B81" s="5" t="s">
        <v>433</v>
      </c>
      <c r="C81" t="s">
        <v>2523</v>
      </c>
    </row>
    <row r="82" spans="2:3">
      <c r="B82" s="5" t="s">
        <v>168</v>
      </c>
      <c r="C82" t="s">
        <v>2524</v>
      </c>
    </row>
    <row r="83" spans="2:3">
      <c r="B83" s="5" t="s">
        <v>1617</v>
      </c>
      <c r="C83" t="s">
        <v>2525</v>
      </c>
    </row>
    <row r="84" spans="2:3">
      <c r="B84" s="5" t="s">
        <v>2006</v>
      </c>
      <c r="C84" t="s">
        <v>2526</v>
      </c>
    </row>
    <row r="85" spans="2:3">
      <c r="B85" s="5" t="s">
        <v>1627</v>
      </c>
      <c r="C85" t="s">
        <v>2527</v>
      </c>
    </row>
    <row r="86" spans="2:3">
      <c r="B86" s="5" t="s">
        <v>1623</v>
      </c>
      <c r="C86" t="s">
        <v>2528</v>
      </c>
    </row>
    <row r="87" spans="2:3">
      <c r="B87" s="5" t="s">
        <v>1637</v>
      </c>
      <c r="C87" t="s">
        <v>2529</v>
      </c>
    </row>
    <row r="88" spans="2:3">
      <c r="B88" s="5" t="s">
        <v>1620</v>
      </c>
      <c r="C88" t="s">
        <v>2530</v>
      </c>
    </row>
    <row r="89" spans="2:3">
      <c r="B89" s="5" t="s">
        <v>1960</v>
      </c>
      <c r="C89" t="s">
        <v>2531</v>
      </c>
    </row>
    <row r="90" spans="2:3">
      <c r="B90" s="5" t="s">
        <v>139</v>
      </c>
      <c r="C90" t="s">
        <v>2532</v>
      </c>
    </row>
    <row r="91" spans="2:3">
      <c r="B91" s="5" t="s">
        <v>99</v>
      </c>
      <c r="C91" t="s">
        <v>2533</v>
      </c>
    </row>
    <row r="92" spans="2:3">
      <c r="B92" s="5" t="s">
        <v>98</v>
      </c>
      <c r="C92" t="s">
        <v>2534</v>
      </c>
    </row>
    <row r="93" spans="2:3">
      <c r="B93" s="5" t="s">
        <v>2419</v>
      </c>
      <c r="C93" t="s">
        <v>2535</v>
      </c>
    </row>
    <row r="94" spans="2:3">
      <c r="B94" s="5" t="s">
        <v>2152</v>
      </c>
      <c r="C94" t="s">
        <v>2536</v>
      </c>
    </row>
    <row r="95" spans="2:3">
      <c r="B95" s="5" t="s">
        <v>526</v>
      </c>
      <c r="C95" t="s">
        <v>2537</v>
      </c>
    </row>
    <row r="96" spans="2:3">
      <c r="B96" s="5" t="s">
        <v>528</v>
      </c>
      <c r="C96" t="s">
        <v>2538</v>
      </c>
    </row>
    <row r="97" spans="2:5">
      <c r="B97" s="5" t="s">
        <v>140</v>
      </c>
      <c r="C97" t="s">
        <v>2539</v>
      </c>
      <c r="E97" t="s">
        <v>2540</v>
      </c>
    </row>
    <row r="98" spans="2:5">
      <c r="B98" s="5" t="s">
        <v>100</v>
      </c>
      <c r="C98" t="s">
        <v>2541</v>
      </c>
    </row>
    <row r="99" spans="2:5">
      <c r="B99" s="5" t="s">
        <v>101</v>
      </c>
      <c r="C99" t="s">
        <v>2542</v>
      </c>
    </row>
    <row r="100" spans="2:5">
      <c r="B100" s="5" t="s">
        <v>544</v>
      </c>
      <c r="C100" t="s">
        <v>2543</v>
      </c>
    </row>
    <row r="101" spans="2:5">
      <c r="B101" s="5" t="s">
        <v>102</v>
      </c>
      <c r="C101" t="s">
        <v>2544</v>
      </c>
    </row>
    <row r="102" spans="2:5">
      <c r="B102" s="5" t="s">
        <v>1937</v>
      </c>
      <c r="C102" t="s">
        <v>2545</v>
      </c>
    </row>
    <row r="103" spans="2:5">
      <c r="B103" s="5" t="s">
        <v>560</v>
      </c>
      <c r="C103" t="s">
        <v>2546</v>
      </c>
    </row>
    <row r="104" spans="2:5">
      <c r="B104" s="5" t="s">
        <v>563</v>
      </c>
      <c r="C104" t="s">
        <v>2547</v>
      </c>
    </row>
    <row r="105" spans="2:5">
      <c r="B105" s="5" t="s">
        <v>2315</v>
      </c>
      <c r="C105" t="s">
        <v>2548</v>
      </c>
    </row>
    <row r="106" spans="2:5">
      <c r="B106" s="5" t="s">
        <v>2310</v>
      </c>
      <c r="C106" t="s">
        <v>2549</v>
      </c>
    </row>
    <row r="107" spans="2:5">
      <c r="B107" s="5" t="s">
        <v>169</v>
      </c>
      <c r="C107" t="s">
        <v>2550</v>
      </c>
    </row>
    <row r="108" spans="2:5">
      <c r="B108" s="5" t="s">
        <v>2358</v>
      </c>
      <c r="C108" t="s">
        <v>2551</v>
      </c>
    </row>
    <row r="109" spans="2:5">
      <c r="B109" s="5" t="s">
        <v>2378</v>
      </c>
      <c r="C109" t="s">
        <v>2552</v>
      </c>
    </row>
    <row r="110" spans="2:5">
      <c r="B110" s="5" t="s">
        <v>1708</v>
      </c>
      <c r="C110" t="s">
        <v>2553</v>
      </c>
      <c r="E110" t="s">
        <v>2540</v>
      </c>
    </row>
    <row r="111" spans="2:5">
      <c r="B111" s="5" t="s">
        <v>578</v>
      </c>
      <c r="C111" t="s">
        <v>2554</v>
      </c>
    </row>
    <row r="112" spans="2:5">
      <c r="B112" s="5" t="s">
        <v>579</v>
      </c>
      <c r="C112" t="s">
        <v>2555</v>
      </c>
    </row>
    <row r="113" spans="2:4">
      <c r="B113" s="5" t="s">
        <v>580</v>
      </c>
      <c r="C113" t="s">
        <v>2556</v>
      </c>
    </row>
    <row r="114" spans="2:4">
      <c r="B114" s="5" t="s">
        <v>1777</v>
      </c>
      <c r="C114" t="s">
        <v>2557</v>
      </c>
    </row>
    <row r="115" spans="2:4">
      <c r="B115" s="5" t="s">
        <v>794</v>
      </c>
      <c r="C115" t="s">
        <v>2558</v>
      </c>
    </row>
    <row r="116" spans="2:4">
      <c r="B116" s="5" t="s">
        <v>796</v>
      </c>
      <c r="C116" t="s">
        <v>2559</v>
      </c>
    </row>
    <row r="117" spans="2:4">
      <c r="B117" s="5" t="s">
        <v>581</v>
      </c>
      <c r="C117" t="s">
        <v>2560</v>
      </c>
      <c r="D117" t="s">
        <v>2561</v>
      </c>
    </row>
    <row r="118" spans="2:4">
      <c r="B118" s="5" t="str">
        <f xml:space="preserve"> B117&amp;"_2"</f>
        <v>DE_2</v>
      </c>
      <c r="C118" t="str">
        <f xml:space="preserve"> "Shape from `" &amp; $B117 &amp; "` marker; red replacing white."</f>
        <v>Shape from `DE` marker; red replacing white.</v>
      </c>
      <c r="D118" t="s">
        <v>2562</v>
      </c>
    </row>
    <row r="119" spans="2:4">
      <c r="B119" s="5" t="s">
        <v>598</v>
      </c>
      <c r="C119" t="s">
        <v>2563</v>
      </c>
      <c r="D119" t="s">
        <v>2564</v>
      </c>
    </row>
    <row r="120" spans="2:4">
      <c r="B120" s="5" t="str">
        <f xml:space="preserve"> B119&amp;"_2"</f>
        <v>FR_2</v>
      </c>
      <c r="C120" t="str">
        <f xml:space="preserve"> "Shape from `" &amp; $B119 &amp; "` marker; colours re-ordereed and black replacing white."</f>
        <v>Shape from `FR` marker; colours re-ordereed and black replacing white.</v>
      </c>
      <c r="D120" t="s">
        <v>2628</v>
      </c>
    </row>
    <row r="121" spans="2:4">
      <c r="B121" s="5" t="s">
        <v>635</v>
      </c>
      <c r="C121" t="s">
        <v>2565</v>
      </c>
      <c r="D121" t="s">
        <v>2566</v>
      </c>
    </row>
    <row r="122" spans="2:4">
      <c r="B122" s="5" t="str">
        <f xml:space="preserve"> B121&amp;"_2"</f>
        <v>IT_2</v>
      </c>
      <c r="C122" t="str">
        <f xml:space="preserve"> "Shape from `" &amp; $B121 &amp; "` marker; black replacing white."</f>
        <v>Shape from `IT` marker; black replacing white.</v>
      </c>
      <c r="D122" t="s">
        <v>2567</v>
      </c>
    </row>
    <row r="123" spans="2:4">
      <c r="B123" s="5" t="s">
        <v>170</v>
      </c>
      <c r="C123" t="s">
        <v>2568</v>
      </c>
      <c r="D123" t="s">
        <v>2643</v>
      </c>
    </row>
    <row r="124" spans="2:4">
      <c r="B124" s="5" t="str">
        <f xml:space="preserve"> B123&amp;"_2"</f>
        <v>ES_2</v>
      </c>
      <c r="C124" t="str">
        <f xml:space="preserve"> "Shape from `" &amp; $B123 &amp; "` marker; green replacing gold."</f>
        <v>Shape from `ES` marker; green replacing gold.</v>
      </c>
      <c r="D124" t="s">
        <v>2569</v>
      </c>
    </row>
    <row r="125" spans="2:4">
      <c r="B125" s="5" t="s">
        <v>636</v>
      </c>
      <c r="C125" t="s">
        <v>2570</v>
      </c>
      <c r="D125" t="s">
        <v>2571</v>
      </c>
    </row>
    <row r="126" spans="2:4">
      <c r="B126" s="5" t="str">
        <f xml:space="preserve"> B125&amp;"_2"</f>
        <v>NL_2</v>
      </c>
      <c r="C126" t="str">
        <f xml:space="preserve"> "Shape from `" &amp; $B125 &amp; "` marker; the colours switched."</f>
        <v>Shape from `NL` marker; the colours switched.</v>
      </c>
      <c r="D126" t="s">
        <v>2572</v>
      </c>
    </row>
    <row r="127" spans="2:4">
      <c r="B127" s="5" t="s">
        <v>655</v>
      </c>
      <c r="C127" t="s">
        <v>2573</v>
      </c>
      <c r="D127" t="s">
        <v>2622</v>
      </c>
    </row>
    <row r="128" spans="2:4">
      <c r="B128" s="5" t="str">
        <f xml:space="preserve"> B127&amp;"_2"</f>
        <v>BE_2</v>
      </c>
      <c r="C128" t="str">
        <f xml:space="preserve"> "Shape from `" &amp; $B127 &amp; "` marker; the colours switched."</f>
        <v>Shape from `BE` marker; the colours switched.</v>
      </c>
      <c r="D128" t="s">
        <v>2574</v>
      </c>
    </row>
    <row r="129" spans="2:5">
      <c r="B129" s="5" t="s">
        <v>656</v>
      </c>
      <c r="C129" t="s">
        <v>2575</v>
      </c>
      <c r="D129" t="s">
        <v>2576</v>
      </c>
    </row>
    <row r="130" spans="2:5">
      <c r="B130" s="5" t="str">
        <f xml:space="preserve"> B129&amp;"_2"</f>
        <v>AT_2</v>
      </c>
      <c r="C130" t="str">
        <f xml:space="preserve"> "Shape from `" &amp; $B129 &amp; "` marker; black replacing white."</f>
        <v>Shape from `AT` marker; black replacing white.</v>
      </c>
      <c r="D130" t="s">
        <v>2577</v>
      </c>
    </row>
    <row r="131" spans="2:5">
      <c r="B131" s="5" t="s">
        <v>103</v>
      </c>
      <c r="C131" t="s">
        <v>2578</v>
      </c>
      <c r="D131" t="s">
        <v>2579</v>
      </c>
    </row>
    <row r="132" spans="2:5">
      <c r="B132" s="5" t="str">
        <f xml:space="preserve"> B131&amp;"_2"</f>
        <v>PT_2</v>
      </c>
      <c r="C132" t="str">
        <f xml:space="preserve"> "Shape from `" &amp; $B131 &amp; "` marker; bright green replacing dark green."</f>
        <v>Shape from `PT` marker; bright green replacing dark green.</v>
      </c>
      <c r="D132" t="s">
        <v>2580</v>
      </c>
    </row>
    <row r="133" spans="2:5">
      <c r="B133" s="5" t="s">
        <v>171</v>
      </c>
      <c r="C133" t="s">
        <v>2581</v>
      </c>
      <c r="D133" t="s">
        <v>2582</v>
      </c>
    </row>
    <row r="134" spans="2:5">
      <c r="B134" s="5" t="str">
        <f xml:space="preserve"> B133&amp;"_2"</f>
        <v>GR_2</v>
      </c>
      <c r="C134" t="str">
        <f xml:space="preserve"> "Shape from `" &amp; $B133 &amp; "` marker; green replacing white."</f>
        <v>Shape from `GR` marker; green replacing white.</v>
      </c>
      <c r="D134" t="s">
        <v>2583</v>
      </c>
    </row>
    <row r="135" spans="2:5">
      <c r="B135" s="5" t="s">
        <v>675</v>
      </c>
      <c r="C135" t="s">
        <v>2631</v>
      </c>
      <c r="D135" t="s">
        <v>2584</v>
      </c>
    </row>
    <row r="136" spans="2:5">
      <c r="B136" s="5" t="str">
        <f xml:space="preserve"> B135&amp;"_2"</f>
        <v>IE_2</v>
      </c>
      <c r="C136" t="str">
        <f xml:space="preserve"> "Shape from `" &amp; $B135 &amp; "` marker; the colours switched."</f>
        <v>Shape from `IE` marker; the colours switched.</v>
      </c>
      <c r="D136" t="s">
        <v>2585</v>
      </c>
    </row>
    <row r="137" spans="2:5">
      <c r="B137" s="5" t="s">
        <v>657</v>
      </c>
      <c r="C137" t="s">
        <v>2586</v>
      </c>
      <c r="D137" t="s">
        <v>2587</v>
      </c>
    </row>
    <row r="138" spans="2:5">
      <c r="B138" s="5" t="str">
        <f xml:space="preserve"> B137&amp;"_2"</f>
        <v>FI_2</v>
      </c>
      <c r="C138" t="str">
        <f xml:space="preserve"> "Shape from `" &amp; $B137 &amp; "` marker; green replacing white."</f>
        <v>Shape from `FI` marker; green replacing white.</v>
      </c>
      <c r="D138" t="s">
        <v>2588</v>
      </c>
    </row>
    <row r="139" spans="2:5">
      <c r="B139" s="5" t="s">
        <v>358</v>
      </c>
      <c r="C139" t="s">
        <v>2589</v>
      </c>
      <c r="D139" t="s">
        <v>2590</v>
      </c>
    </row>
    <row r="140" spans="2:5">
      <c r="B140" s="5" t="str">
        <f xml:space="preserve"> B139&amp;"_2"</f>
        <v>SK_2</v>
      </c>
      <c r="C140" t="str">
        <f xml:space="preserve"> "Shape from `" &amp; $B139 &amp; "` marker; the colours switched."</f>
        <v>Shape from `SK` marker; the colours switched.</v>
      </c>
      <c r="D140" t="s">
        <v>2591</v>
      </c>
    </row>
    <row r="141" spans="2:5">
      <c r="B141" s="5" t="s">
        <v>1666</v>
      </c>
      <c r="C141" t="s">
        <v>2592</v>
      </c>
    </row>
    <row r="142" spans="2:5">
      <c r="B142" s="5" t="s">
        <v>359</v>
      </c>
      <c r="C142" t="s">
        <v>2593</v>
      </c>
    </row>
    <row r="143" spans="2:5">
      <c r="B143" s="5" t="s">
        <v>614</v>
      </c>
      <c r="C143" t="s">
        <v>2594</v>
      </c>
      <c r="E143" t="s">
        <v>2595</v>
      </c>
    </row>
    <row r="144" spans="2:5">
      <c r="B144" s="5" t="s">
        <v>676</v>
      </c>
      <c r="C144" t="s">
        <v>2596</v>
      </c>
    </row>
    <row r="145" spans="2:5">
      <c r="B145" s="5" t="s">
        <v>104</v>
      </c>
      <c r="C145" t="s">
        <v>2597</v>
      </c>
      <c r="E145" t="s">
        <v>2640</v>
      </c>
    </row>
    <row r="146" spans="2:5">
      <c r="B146" s="5" t="s">
        <v>105</v>
      </c>
      <c r="C146" t="s">
        <v>2598</v>
      </c>
    </row>
    <row r="147" spans="2:5">
      <c r="B147" s="5" t="s">
        <v>694</v>
      </c>
      <c r="C147" t="s">
        <v>2599</v>
      </c>
    </row>
    <row r="148" spans="2:5">
      <c r="B148" s="5" t="s">
        <v>714</v>
      </c>
      <c r="C148" t="s">
        <v>2600</v>
      </c>
    </row>
    <row r="149" spans="2:5">
      <c r="B149" s="5" t="s">
        <v>1705</v>
      </c>
      <c r="C149" t="s">
        <v>2601</v>
      </c>
      <c r="E149" t="s">
        <v>2602</v>
      </c>
    </row>
    <row r="150" spans="2:5">
      <c r="B150" s="5" t="s">
        <v>715</v>
      </c>
      <c r="C150" t="s">
        <v>2603</v>
      </c>
    </row>
    <row r="151" spans="2:5">
      <c r="B151" s="5" t="s">
        <v>795</v>
      </c>
      <c r="C151" t="s">
        <v>2604</v>
      </c>
    </row>
    <row r="152" spans="2:5">
      <c r="B152" s="5" t="s">
        <v>2132</v>
      </c>
      <c r="C152" t="s">
        <v>2641</v>
      </c>
    </row>
    <row r="153" spans="2:5">
      <c r="B153" s="5" t="s">
        <v>172</v>
      </c>
      <c r="C153" t="s">
        <v>2605</v>
      </c>
    </row>
    <row r="154" spans="2:5">
      <c r="B154" s="5" t="s">
        <v>971</v>
      </c>
      <c r="C154" t="s">
        <v>2606</v>
      </c>
    </row>
    <row r="155" spans="2:5">
      <c r="B155" s="5" t="s">
        <v>2247</v>
      </c>
      <c r="C155" t="s">
        <v>2607</v>
      </c>
    </row>
    <row r="156" spans="2:5">
      <c r="B156" s="5" t="s">
        <v>1942</v>
      </c>
      <c r="C156" t="s">
        <v>2608</v>
      </c>
    </row>
    <row r="157" spans="2:5">
      <c r="B157" s="5" t="s">
        <v>798</v>
      </c>
      <c r="C157" t="s">
        <v>2609</v>
      </c>
    </row>
    <row r="158" spans="2:5">
      <c r="B158" s="5" t="s">
        <v>2248</v>
      </c>
      <c r="C158" t="s">
        <v>2627</v>
      </c>
    </row>
    <row r="159" spans="2:5">
      <c r="B159" s="5" t="s">
        <v>173</v>
      </c>
      <c r="C159" t="s">
        <v>2610</v>
      </c>
    </row>
    <row r="160" spans="2:5">
      <c r="B160" s="5" t="s">
        <v>1944</v>
      </c>
      <c r="C160" t="s">
        <v>2611</v>
      </c>
    </row>
    <row r="161" spans="2:5">
      <c r="B161" s="5" t="s">
        <v>955</v>
      </c>
      <c r="C161" t="s">
        <v>2612</v>
      </c>
    </row>
    <row r="162" spans="2:5">
      <c r="B162" s="5" t="s">
        <v>106</v>
      </c>
      <c r="C162" t="s">
        <v>2613</v>
      </c>
    </row>
    <row r="163" spans="2:5">
      <c r="B163" s="5" t="s">
        <v>2043</v>
      </c>
      <c r="C163" t="s">
        <v>2649</v>
      </c>
    </row>
    <row r="164" spans="2:5">
      <c r="B164" s="5" t="s">
        <v>992</v>
      </c>
      <c r="C164" t="s">
        <v>2614</v>
      </c>
    </row>
    <row r="165" spans="2:5">
      <c r="B165" s="5" t="s">
        <v>2033</v>
      </c>
      <c r="C165" t="s">
        <v>2615</v>
      </c>
    </row>
    <row r="166" spans="2:5">
      <c r="B166" s="5" t="s">
        <v>2038</v>
      </c>
      <c r="C166" t="s">
        <v>2616</v>
      </c>
    </row>
    <row r="167" spans="2:5">
      <c r="B167" s="5" t="s">
        <v>1050</v>
      </c>
      <c r="C167" t="s">
        <v>2617</v>
      </c>
    </row>
    <row r="168" spans="2:5">
      <c r="B168" s="5" t="s">
        <v>1947</v>
      </c>
      <c r="C168" t="s">
        <v>2625</v>
      </c>
      <c r="E168" t="s">
        <v>2626</v>
      </c>
    </row>
    <row r="169" spans="2:5">
      <c r="B169" s="5" t="s">
        <v>1948</v>
      </c>
      <c r="C169" t="s">
        <v>2623</v>
      </c>
      <c r="D169" t="s">
        <v>2624</v>
      </c>
    </row>
    <row r="170" spans="2:5">
      <c r="B170" s="5" t="s">
        <v>1950</v>
      </c>
      <c r="C170" t="s">
        <v>2618</v>
      </c>
    </row>
    <row r="171" spans="2:5">
      <c r="B171" s="5" t="s">
        <v>1951</v>
      </c>
      <c r="C171" t="s">
        <v>2619</v>
      </c>
    </row>
    <row r="172" spans="2:5">
      <c r="B172" s="5" t="s">
        <v>929</v>
      </c>
      <c r="C172" t="s">
        <v>2620</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2157</v>
      </c>
      <c r="AB2" s="3" t="s">
        <v>1824</v>
      </c>
      <c r="AD2" s="36" t="s">
        <v>96</v>
      </c>
    </row>
    <row r="3" spans="2:30">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45673.912555787036</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45673</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30">
      <c r="B12" s="4" t="s">
        <v>2158</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2160</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263769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45395.848414351851</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2095</v>
      </c>
      <c r="M36" t="s">
        <v>2124</v>
      </c>
      <c r="N36" t="s">
        <v>2127</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2127</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2092</v>
      </c>
      <c r="M38" t="s">
        <v>2121</v>
      </c>
      <c r="N38" t="s">
        <v>2127</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2127</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2127</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2093</v>
      </c>
      <c r="M41" t="s">
        <v>2122</v>
      </c>
      <c r="N41" t="s">
        <v>2127</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2094</v>
      </c>
      <c r="M42" t="s">
        <v>2123</v>
      </c>
      <c r="N42" t="s">
        <v>2127</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2097</v>
      </c>
      <c r="M43" t="s">
        <v>2109</v>
      </c>
      <c r="N43" t="s">
        <v>2127</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2304</v>
      </c>
      <c r="M44" t="s">
        <v>2305</v>
      </c>
      <c r="N44" t="s">
        <v>2127</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2098</v>
      </c>
      <c r="M45" t="s">
        <v>2110</v>
      </c>
      <c r="N45" t="s">
        <v>2127</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2099</v>
      </c>
      <c r="M46" t="s">
        <v>2111</v>
      </c>
      <c r="N46" t="s">
        <v>2127</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2127</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2127</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2100</v>
      </c>
      <c r="M49" t="s">
        <v>2112</v>
      </c>
      <c r="N49" t="s">
        <v>2127</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2127</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2101</v>
      </c>
      <c r="M51" t="s">
        <v>2113</v>
      </c>
      <c r="N51" t="s">
        <v>2127</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2127</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2127</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2102</v>
      </c>
      <c r="M54" t="s">
        <v>2114</v>
      </c>
      <c r="N54" t="s">
        <v>2127</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2127</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2103</v>
      </c>
      <c r="M56" t="s">
        <v>2115</v>
      </c>
      <c r="N56" t="s">
        <v>2127</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2127</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2127</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2127</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2127</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2104</v>
      </c>
      <c r="M61" t="s">
        <v>2116</v>
      </c>
      <c r="N61" t="s">
        <v>2127</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2127</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2091</v>
      </c>
      <c r="M63" t="s">
        <v>2120</v>
      </c>
      <c r="N63" t="s">
        <v>2127</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2105</v>
      </c>
      <c r="M64" t="s">
        <v>2117</v>
      </c>
      <c r="N64" t="s">
        <v>2127</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2127</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2106</v>
      </c>
      <c r="M66" t="s">
        <v>2118</v>
      </c>
      <c r="N66" t="s">
        <v>2127</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2127</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2127</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2107</v>
      </c>
      <c r="M69" t="s">
        <v>2119</v>
      </c>
      <c r="N69" t="s">
        <v>2127</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2108</v>
      </c>
      <c r="M71" t="s">
        <v>2126</v>
      </c>
      <c r="N71" t="s">
        <v>2127</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2127</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2096</v>
      </c>
      <c r="M73" t="s">
        <v>2125</v>
      </c>
      <c r="N73" t="s">
        <v>2127</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2091</v>
      </c>
      <c r="T422" t="s">
        <v>2120</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2092</v>
      </c>
      <c r="T424" t="s">
        <v>2121</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2093</v>
      </c>
      <c r="T426" t="s">
        <v>2122</v>
      </c>
    </row>
    <row r="427" spans="18:20">
      <c r="R427" cm="1">
        <f t="array" ref="R427" xml:space="preserve"> 1 + _xlfn.SINGLE(ROW()) - _xlfn.SINGLE(ROW(ExportSubstitutions_Within.RowNum))</f>
        <v>422</v>
      </c>
      <c r="S427" t="s">
        <v>2094</v>
      </c>
      <c r="T427" t="s">
        <v>2123</v>
      </c>
    </row>
    <row r="428" spans="18:20">
      <c r="R428" cm="1">
        <f t="array" ref="R428" xml:space="preserve"> 1 + _xlfn.SINGLE(ROW()) - _xlfn.SINGLE(ROW(ExportSubstitutions_Within.RowNum))</f>
        <v>423</v>
      </c>
      <c r="S428" t="s">
        <v>2094</v>
      </c>
      <c r="T428" t="s">
        <v>2123</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2095</v>
      </c>
      <c r="T436" t="s">
        <v>2124</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2096</v>
      </c>
      <c r="T447" t="s">
        <v>2125</v>
      </c>
    </row>
    <row r="448" spans="18:20">
      <c r="R448" cm="1">
        <f t="array" ref="R448" xml:space="preserve"> 1 + _xlfn.SINGLE(ROW()) - _xlfn.SINGLE(ROW(ExportSubstitutions_Within.RowNum))</f>
        <v>443</v>
      </c>
      <c r="S448" t="s">
        <v>2097</v>
      </c>
      <c r="T448" t="s">
        <v>2109</v>
      </c>
    </row>
    <row r="449" spans="18:20">
      <c r="R449" cm="1">
        <f t="array" ref="R449" xml:space="preserve"> 1 + _xlfn.SINGLE(ROW()) - _xlfn.SINGLE(ROW(ExportSubstitutions_Within.RowNum))</f>
        <v>444</v>
      </c>
      <c r="S449" t="s">
        <v>2098</v>
      </c>
      <c r="T449" t="s">
        <v>2110</v>
      </c>
    </row>
    <row r="450" spans="18:20">
      <c r="R450" cm="1">
        <f t="array" ref="R450" xml:space="preserve"> 1 + _xlfn.SINGLE(ROW()) - _xlfn.SINGLE(ROW(ExportSubstitutions_Within.RowNum))</f>
        <v>445</v>
      </c>
      <c r="S450" t="s">
        <v>2099</v>
      </c>
      <c r="T450" t="s">
        <v>2111</v>
      </c>
    </row>
    <row r="451" spans="18:20">
      <c r="R451" cm="1">
        <f t="array" ref="R451" xml:space="preserve"> 1 + _xlfn.SINGLE(ROW()) - _xlfn.SINGLE(ROW(ExportSubstitutions_Within.RowNum))</f>
        <v>446</v>
      </c>
      <c r="S451" t="s">
        <v>2100</v>
      </c>
      <c r="T451" t="s">
        <v>2112</v>
      </c>
    </row>
    <row r="452" spans="18:20">
      <c r="R452" cm="1">
        <f t="array" ref="R452" xml:space="preserve"> 1 + _xlfn.SINGLE(ROW()) - _xlfn.SINGLE(ROW(ExportSubstitutions_Within.RowNum))</f>
        <v>447</v>
      </c>
      <c r="S452" t="s">
        <v>2101</v>
      </c>
      <c r="T452" t="s">
        <v>2113</v>
      </c>
    </row>
    <row r="453" spans="18:20">
      <c r="R453" cm="1">
        <f t="array" ref="R453" xml:space="preserve"> 1 + _xlfn.SINGLE(ROW()) - _xlfn.SINGLE(ROW(ExportSubstitutions_Within.RowNum))</f>
        <v>448</v>
      </c>
      <c r="S453" t="s">
        <v>2102</v>
      </c>
      <c r="T453" t="s">
        <v>2114</v>
      </c>
    </row>
    <row r="454" spans="18:20">
      <c r="R454" cm="1">
        <f t="array" ref="R454" xml:space="preserve"> 1 + _xlfn.SINGLE(ROW()) - _xlfn.SINGLE(ROW(ExportSubstitutions_Within.RowNum))</f>
        <v>449</v>
      </c>
      <c r="S454" t="s">
        <v>2103</v>
      </c>
      <c r="T454" t="s">
        <v>2115</v>
      </c>
    </row>
    <row r="455" spans="18:20">
      <c r="R455" cm="1">
        <f t="array" ref="R455" xml:space="preserve"> 1 + _xlfn.SINGLE(ROW()) - _xlfn.SINGLE(ROW(ExportSubstitutions_Within.RowNum))</f>
        <v>450</v>
      </c>
      <c r="S455" t="s">
        <v>2104</v>
      </c>
      <c r="T455" t="s">
        <v>2116</v>
      </c>
    </row>
    <row r="456" spans="18:20">
      <c r="R456" cm="1">
        <f t="array" ref="R456" xml:space="preserve"> 1 + _xlfn.SINGLE(ROW()) - _xlfn.SINGLE(ROW(ExportSubstitutions_Within.RowNum))</f>
        <v>451</v>
      </c>
      <c r="S456" t="s">
        <v>2105</v>
      </c>
      <c r="T456" t="s">
        <v>2117</v>
      </c>
    </row>
    <row r="457" spans="18:20">
      <c r="R457" cm="1">
        <f t="array" ref="R457" xml:space="preserve"> 1 + _xlfn.SINGLE(ROW()) - _xlfn.SINGLE(ROW(ExportSubstitutions_Within.RowNum))</f>
        <v>452</v>
      </c>
      <c r="S457" t="s">
        <v>2106</v>
      </c>
      <c r="T457" t="s">
        <v>2118</v>
      </c>
    </row>
    <row r="458" spans="18:20">
      <c r="R458" cm="1">
        <f t="array" ref="R458" xml:space="preserve"> 1 + _xlfn.SINGLE(ROW()) - _xlfn.SINGLE(ROW(ExportSubstitutions_Within.RowNum))</f>
        <v>453</v>
      </c>
      <c r="S458" t="s">
        <v>2107</v>
      </c>
      <c r="T458" t="s">
        <v>2119</v>
      </c>
    </row>
    <row r="459" spans="18:20">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2025-01-16T21:54:30Z</dcterms:modified>
</cp:coreProperties>
</file>