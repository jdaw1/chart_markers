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omments1.xml" ContentType="application/vnd.openxmlformats-officedocument.spreadsheetml.comments+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6F49A01A-F4A1-1042-AFC8-2B1126CF8EF0}" xr6:coauthVersionLast="47" xr6:coauthVersionMax="47" xr10:uidLastSave="{00000000-0000-0000-0000-000000000000}"/>
  <bookViews>
    <workbookView xWindow="200" yWindow="500" windowWidth="42080" windowHeight="26540" firstSheet="38"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_xlpm.hex"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ChartLines!$J$3:$J$362</definedName>
    <definedName name="ChartLines.G">ChartLines!$I$3:$I$362</definedName>
    <definedName name="ChartLines.Hex6">ChartLines!$C$3:$C$362</definedName>
    <definedName name="ChartLines.ID">ChartLines!$B$3:$B$362</definedName>
    <definedName name="ChartLines.InstanceNum">ChartLines!$F$3:$F$362</definedName>
    <definedName name="ChartLines.NumInstances">ChartLines!$E$3:$E$362</definedName>
    <definedName name="ChartLines.R">ChartLines!$H$3:$H$362</definedName>
    <definedName name="ChartLines.RowNum">ChartLines!$K$3:$K$362</definedName>
    <definedName name="ChartLines.ThicknessText">ChartLines!$G$3:$G$362</definedName>
    <definedName name="ChowRobbinsConstant">Smalls!$C$50</definedName>
    <definedName name="Circles.AreaMultiplier">Circles!$C$4:$AP$4</definedName>
    <definedName name="Circles.Aspect">Circles!$C$5:$AP$5</definedName>
    <definedName name="Circles.Height">Circles!$C$6:$AP$6</definedName>
    <definedName name="Circles.ID">Circles!$C$2:$AP$2</definedName>
    <definedName name="Circles.svg">Circles!$C$25:$AP$31</definedName>
    <definedName name="Circles.SVG_Painting_0">Circles!$C$17:$AP$17</definedName>
    <definedName name="Circles.SVG_Painting_1">Circles!$C$16:$AP$16</definedName>
    <definedName name="Circles.SVG_Painting_2">Circles!$C$15:$AP$15</definedName>
    <definedName name="Circles.SVG_Painting_3">Circles!$C$14:$AP$14</definedName>
    <definedName name="Circles.SVG_Radius_0">Circles!$C$12:$AP$12</definedName>
    <definedName name="Circles.SVG_Radius_1">Circles!$C$11:$AP$11</definedName>
    <definedName name="Circles.SVG_Radius_2">Circles!$C$10:$AP$10</definedName>
    <definedName name="Circles.SVG_Radius_3">Circles!$C$9:$AP$9</definedName>
    <definedName name="Circles.SVG_Radius_Max">Circles!$C$20:$AP$20</definedName>
    <definedName name="Circles.Width">Circles!$C$7:$AP$7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Notes!$E$6:$E$181</definedName>
    <definedName name="Notes.ID">Notes!$B$6:$B$181</definedName>
    <definedName name="Notes.Mnemonic">Notes!$C$6:$C$181</definedName>
    <definedName name="Notes.Usage">Notes!$D$6:$D$181</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4" i="5" l="1"/>
  <c r="AD26" i="25"/>
  <c r="V14" i="25"/>
  <c r="E276" i="63"/>
  <c r="E277" i="63"/>
  <c r="C276" i="63"/>
  <c r="C277" i="63"/>
  <c r="E185" i="63"/>
  <c r="E184" i="63"/>
  <c r="C184" i="63"/>
  <c r="C55" i="5"/>
  <c r="V27" i="25" a="1"/>
  <c r="V27" i="25" s="1"/>
  <c r="V26" i="25" a="1"/>
  <c r="V26" i="25" s="1"/>
  <c r="T26" i="25" a="1"/>
  <c r="T26" i="25" s="1"/>
  <c r="T13" i="25"/>
  <c r="V32" i="25"/>
  <c r="W29" i="25"/>
  <c r="W28" i="25"/>
  <c r="W27" i="25"/>
  <c r="W26" i="25"/>
  <c r="W25" i="25"/>
  <c r="V25" i="25" a="1"/>
  <c r="V25" i="25" s="1"/>
  <c r="W24" i="25"/>
  <c r="V13" i="25"/>
  <c r="T32" i="25"/>
  <c r="U29" i="25"/>
  <c r="U28" i="25"/>
  <c r="U27" i="25"/>
  <c r="U26" i="25"/>
  <c r="U25" i="25"/>
  <c r="T25" i="25" a="1"/>
  <c r="T25" i="25" s="1"/>
  <c r="U24" i="25"/>
  <c r="T14" i="25"/>
  <c r="F275" i="63"/>
  <c r="E275" i="63"/>
  <c r="E274" i="63"/>
  <c r="R16" i="8"/>
  <c r="R34" i="8"/>
  <c r="R29" i="8"/>
  <c r="R4" i="8"/>
  <c r="S31" i="8"/>
  <c r="S30" i="8"/>
  <c r="S29" i="8"/>
  <c r="S28" i="8"/>
  <c r="S27" i="8"/>
  <c r="S26" i="8"/>
  <c r="S25" i="8"/>
  <c r="E3" i="71"/>
  <c r="K3" i="63" a="1"/>
  <c r="E11" i="63"/>
  <c r="E10" i="63"/>
  <c r="C11" i="63"/>
  <c r="F35" i="25"/>
  <c r="F34" i="25"/>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F184" i="63" l="1"/>
  <c r="F274" i="63"/>
  <c r="F5" i="63"/>
  <c r="F276" i="63"/>
  <c r="G276" i="63" s="1" a="1"/>
  <c r="G276" i="63" s="1"/>
  <c r="F277" i="63"/>
  <c r="G277" i="63" s="1" a="1"/>
  <c r="G277" i="63" s="1"/>
  <c r="F185" i="63"/>
  <c r="G185" i="63" s="1" a="1"/>
  <c r="G185" i="63" s="1"/>
  <c r="V17" i="25"/>
  <c r="G184" i="63" a="1"/>
  <c r="G184" i="63" s="1"/>
  <c r="G275" i="63" a="1"/>
  <c r="G275" i="63" s="1"/>
  <c r="T17" i="25"/>
  <c r="G274" i="63" a="1"/>
  <c r="G274" i="63" s="1"/>
  <c r="K3" i="63"/>
  <c r="D3" i="71"/>
  <c r="F10" i="63"/>
  <c r="G10" i="63" s="1" a="1"/>
  <c r="G10" i="63" s="1"/>
  <c r="F11" i="63"/>
  <c r="G11" i="63" s="1" a="1"/>
  <c r="G11" i="63" s="1"/>
  <c r="F36" i="25"/>
  <c r="F25" i="25"/>
  <c r="F14" i="25"/>
  <c r="F17" i="25" s="1"/>
  <c r="J26" i="25"/>
  <c r="F51" i="63"/>
  <c r="G51" i="63" s="1" a="1"/>
  <c r="G51" i="63" s="1"/>
  <c r="G5" i="63" a="1"/>
  <c r="G5"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F10" i="8"/>
  <c r="X99" i="58"/>
  <c r="V99" i="58"/>
  <c r="P99" i="58"/>
  <c r="N99" i="58"/>
  <c r="L99" i="58"/>
  <c r="J99" i="58"/>
  <c r="X87" i="58"/>
  <c r="AN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8"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F27" i="25" l="1"/>
  <c r="AH77" i="61"/>
  <c r="AD77" i="61"/>
  <c r="Z77" i="61"/>
  <c r="B39" i="72"/>
  <c r="N8" i="61"/>
  <c r="N78" i="61" s="1"/>
  <c r="M8" i="61"/>
  <c r="Q8" i="61"/>
  <c r="R8" i="61"/>
  <c r="X8" i="61"/>
  <c r="Y7" i="61"/>
  <c r="Z7" i="61" s="1"/>
  <c r="Z79"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R82" i="61" a="1"/>
  <c r="R82" i="61" s="1"/>
  <c r="R79" i="61"/>
  <c r="N81" i="61" a="1"/>
  <c r="N81" i="61" s="1"/>
  <c r="R80" i="61" a="1"/>
  <c r="R80" i="61" s="1"/>
  <c r="N80" i="61" a="1"/>
  <c r="N80" i="61" s="1"/>
  <c r="N82" i="61" a="1"/>
  <c r="N82" i="61" s="1"/>
  <c r="R81" i="61" a="1"/>
  <c r="R81" i="61" s="1"/>
  <c r="F362" i="63"/>
  <c r="E362"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AH62" i="61" l="1"/>
  <c r="AH64" i="61" s="1"/>
  <c r="AD8" i="61"/>
  <c r="AC8" i="61"/>
  <c r="Y8" i="61"/>
  <c r="Z8" i="61"/>
  <c r="AG8" i="61"/>
  <c r="AH8" i="61"/>
  <c r="AD78" i="61"/>
  <c r="AD75" i="61"/>
  <c r="AD62" i="61"/>
  <c r="Z78" i="61"/>
  <c r="Z75" i="61"/>
  <c r="Z62" i="61"/>
  <c r="R78" i="61"/>
  <c r="AH78" i="61"/>
  <c r="AH75" i="61"/>
  <c r="G362" i="63" a="1"/>
  <c r="G362" i="63" s="1"/>
  <c r="W6" i="5" a="1"/>
  <c r="W6" i="5" s="1"/>
  <c r="AH63" i="61" l="1"/>
  <c r="AH65" i="61" s="1"/>
  <c r="AH67" i="61" s="1"/>
  <c r="AD64" i="61"/>
  <c r="AD63" i="61"/>
  <c r="AD65" i="61" s="1"/>
  <c r="Z64" i="61"/>
  <c r="Z63" i="61"/>
  <c r="Z65" i="61" s="1"/>
  <c r="C320" i="63"/>
  <c r="AD67" i="61" l="1"/>
  <c r="Z67" i="61"/>
  <c r="BV25" i="25"/>
  <c r="BV28" i="25"/>
  <c r="C15" i="76" l="1"/>
  <c r="C16" i="76" s="1"/>
  <c r="C12" i="76"/>
  <c r="C10" i="76"/>
  <c r="C14" i="76" l="1"/>
  <c r="D15" i="76" s="1"/>
  <c r="F6" i="76"/>
  <c r="D9" i="76"/>
  <c r="D11" i="76"/>
  <c r="E181" i="63"/>
  <c r="C181" i="63"/>
  <c r="E180" i="63"/>
  <c r="CB29" i="25"/>
  <c r="CB28" i="25"/>
  <c r="CB27" i="25"/>
  <c r="CB26" i="25"/>
  <c r="CB25" i="25"/>
  <c r="CB24" i="25"/>
  <c r="CA29" i="25"/>
  <c r="CA28" i="25"/>
  <c r="CA27" i="25"/>
  <c r="CA26" i="25"/>
  <c r="CA25" i="25"/>
  <c r="CA24" i="25"/>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31" i="14" s="1" a="1"/>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V31" i="14" l="1" a="1"/>
  <c r="V31" i="14" s="1"/>
  <c r="CX8" i="6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D30" i="8"/>
  <c r="E31" i="72" l="1"/>
  <c r="CX75" i="61"/>
  <c r="CX74" i="61"/>
  <c r="C28" i="75"/>
  <c r="D29" i="75"/>
  <c r="E30" i="72"/>
  <c r="E28" i="72"/>
  <c r="E29" i="72"/>
  <c r="CX77" i="61"/>
  <c r="CX79"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6" i="61" a="1"/>
  <c r="CX76" i="61" s="1"/>
  <c r="CX67" i="61"/>
  <c r="Z14" i="8"/>
  <c r="BH28" i="25"/>
  <c r="BH27" i="25"/>
  <c r="BH26" i="25"/>
  <c r="BH25" i="25"/>
  <c r="BH45" i="25"/>
  <c r="BH44" i="25" s="1"/>
  <c r="BH39" i="25"/>
  <c r="BH38" i="25" s="1"/>
  <c r="BH37" i="25" l="1"/>
  <c r="BI37" i="25" s="1"/>
  <c r="E45" i="72"/>
  <c r="C31" i="75"/>
  <c r="BH43" i="25"/>
  <c r="C229" i="63"/>
  <c r="C230" i="63"/>
  <c r="E230" i="63"/>
  <c r="E229" i="63"/>
  <c r="BH12" i="25"/>
  <c r="BH14" i="25" s="1"/>
  <c r="BH32" i="25"/>
  <c r="BI29" i="25"/>
  <c r="BI28" i="25"/>
  <c r="BI27" i="25"/>
  <c r="BI26" i="25"/>
  <c r="BI25" i="25"/>
  <c r="BI24" i="25"/>
  <c r="BI38" i="25" l="1"/>
  <c r="BI40" i="25"/>
  <c r="BI39" i="25"/>
  <c r="BI46" i="25"/>
  <c r="BI45" i="25"/>
  <c r="BI44" i="25"/>
  <c r="BI43" i="25"/>
  <c r="BH13" i="25"/>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6" i="25" a="1"/>
  <c r="AZ25"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E64" i="35"/>
  <c r="E62" i="35"/>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K36" i="67" s="1" a="1"/>
  <c r="E36" i="67"/>
  <c r="H36" i="67" s="1"/>
  <c r="E46" i="67"/>
  <c r="H46" i="67" s="1"/>
  <c r="F46" i="67"/>
  <c r="I46" i="67" s="1"/>
  <c r="F22" i="67"/>
  <c r="I22" i="67" s="1"/>
  <c r="I23" i="67" s="1"/>
  <c r="E23" i="67"/>
  <c r="H23" i="67" s="1"/>
  <c r="F37" i="67"/>
  <c r="I37" i="67" s="1"/>
  <c r="E37" i="67"/>
  <c r="H37" i="67" s="1"/>
  <c r="D26" i="67" a="1"/>
  <c r="D26" i="67" s="1"/>
  <c r="F26" i="67" s="1"/>
  <c r="E48" i="67"/>
  <c r="H48" i="67" s="1"/>
  <c r="K48" i="67" s="1" a="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7" i="67" a="1"/>
  <c r="K39"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88" i="67" a="1"/>
  <c r="K88" i="67" s="1"/>
  <c r="F30" i="67"/>
  <c r="I30" i="67" s="1"/>
  <c r="K85" i="67" a="1"/>
  <c r="K85"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55" i="63"/>
  <c r="C356" i="63"/>
  <c r="C358" i="63"/>
  <c r="E360" i="63"/>
  <c r="E359" i="63"/>
  <c r="E358" i="63"/>
  <c r="E357" i="63"/>
  <c r="E356" i="63"/>
  <c r="E355"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0" i="63"/>
  <c r="G360" i="63" s="1" a="1"/>
  <c r="G360" i="63" s="1"/>
  <c r="G186" i="63" a="1"/>
  <c r="G186" i="63" s="1"/>
  <c r="G9" i="63" a="1"/>
  <c r="G9" i="63" s="1"/>
  <c r="G83" i="63" a="1"/>
  <c r="G83" i="63" s="1"/>
  <c r="G209" i="63" a="1"/>
  <c r="G209" i="63" s="1"/>
  <c r="G354" i="63" a="1"/>
  <c r="G354" i="63" s="1"/>
  <c r="G3" i="63" a="1"/>
  <c r="G3" i="63" s="1"/>
  <c r="F349" i="63"/>
  <c r="G349" i="63" s="1" a="1"/>
  <c r="G349" i="63" s="1"/>
  <c r="F162" i="63"/>
  <c r="G162" i="63" s="1" a="1"/>
  <c r="G162" i="63" s="1"/>
  <c r="F357" i="63"/>
  <c r="G357" i="63" s="1" a="1"/>
  <c r="G357" i="63" s="1"/>
  <c r="F321" i="63"/>
  <c r="G321" i="63" s="1" a="1"/>
  <c r="G321" i="63" s="1"/>
  <c r="F322" i="63"/>
  <c r="G322" i="63" s="1" a="1"/>
  <c r="G322" i="63" s="1"/>
  <c r="F317" i="63"/>
  <c r="G317" i="63" s="1" a="1"/>
  <c r="G317" i="63" s="1"/>
  <c r="F326" i="63"/>
  <c r="G326" i="63" s="1" a="1"/>
  <c r="G326" i="63" s="1"/>
  <c r="F348" i="63"/>
  <c r="G348" i="63" s="1" a="1"/>
  <c r="G348" i="63" s="1"/>
  <c r="F358" i="63"/>
  <c r="G358" i="63" s="1" a="1"/>
  <c r="G358" i="63" s="1"/>
  <c r="F350" i="63"/>
  <c r="G350" i="63" s="1" a="1"/>
  <c r="G350" i="63" s="1"/>
  <c r="F160" i="63"/>
  <c r="G160" i="63" s="1" a="1"/>
  <c r="G160" i="63" s="1"/>
  <c r="F163" i="63"/>
  <c r="G163" i="63" s="1" a="1"/>
  <c r="G163" i="63" s="1"/>
  <c r="F355" i="63"/>
  <c r="G355" i="63" s="1" a="1"/>
  <c r="G355" i="63" s="1"/>
  <c r="F268" i="63"/>
  <c r="G268" i="63" s="1" a="1"/>
  <c r="G268" i="63" s="1"/>
  <c r="E23" i="64"/>
  <c r="E29" i="64" s="1" a="1"/>
  <c r="E29" i="64" s="1"/>
  <c r="F359" i="63"/>
  <c r="G359" i="63" s="1" a="1"/>
  <c r="G359"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56" i="63"/>
  <c r="G356" i="63" s="1" a="1"/>
  <c r="G356" i="63" s="1"/>
  <c r="D35" i="25"/>
  <c r="D34" i="25"/>
  <c r="J3" i="63" l="1"/>
  <c r="H3" i="63"/>
  <c r="I3" i="63"/>
  <c r="AB3" i="5"/>
  <c r="AB6" i="5" s="1"/>
  <c r="AB8" i="5" l="1"/>
  <c r="AB10" i="5"/>
  <c r="AB7" i="5"/>
  <c r="AB23" i="5"/>
  <c r="F18" i="36"/>
  <c r="C11" i="5" l="1" a="1"/>
  <c r="C11" i="5"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AF6" i="14" l="1"/>
  <c r="AF7" i="14" s="1"/>
  <c r="R6" i="8"/>
  <c r="R7" i="8" s="1"/>
  <c r="D112" i="61"/>
  <c r="D113" i="61" s="1"/>
  <c r="J113" i="61" s="1"/>
  <c r="V6" i="14"/>
  <c r="V7" i="14" s="1"/>
  <c r="AD6" i="14"/>
  <c r="AD7" i="14" s="1"/>
  <c r="J6" i="14"/>
  <c r="J7" i="14" s="1"/>
  <c r="F41" i="75" a="1"/>
  <c r="F41" i="75" s="1"/>
  <c r="F42" i="75" s="1" a="1"/>
  <c r="F42" i="75" s="1"/>
  <c r="AV18" i="25"/>
  <c r="AV19" i="25" s="1"/>
  <c r="AZ18" i="25"/>
  <c r="AZ19" i="25" s="1"/>
  <c r="AN6" i="8"/>
  <c r="AN7" i="8" s="1"/>
  <c r="AH6" i="8"/>
  <c r="AH7" i="8" s="1"/>
  <c r="C13" i="5"/>
  <c r="AX113" i="61"/>
  <c r="AP113" i="61"/>
  <c r="AB29" i="14"/>
  <c r="AB31" i="14"/>
  <c r="AB30" i="14"/>
  <c r="F30" i="14"/>
  <c r="F29" i="14"/>
  <c r="D29" i="14"/>
  <c r="R26" i="25"/>
  <c r="AX25" i="25" a="1"/>
  <c r="AX26" i="25" a="1"/>
  <c r="R25" i="25" a="1"/>
  <c r="AT25" i="25" a="1"/>
  <c r="BR113" i="61" l="1"/>
  <c r="R25" i="25"/>
  <c r="AX26" i="25"/>
  <c r="AX25" i="25"/>
  <c r="AT25" i="25"/>
  <c r="P27" i="25" a="1"/>
  <c r="P27" i="25" l="1"/>
  <c r="BR25" i="25" a="1"/>
  <c r="BR25" i="25" l="1"/>
  <c r="F54" i="33" a="1"/>
  <c r="F54" i="33" l="1"/>
  <c r="T10" i="8" l="1"/>
  <c r="T11" i="8" s="1"/>
  <c r="L11" i="8"/>
  <c r="J12" i="8"/>
  <c r="J30" i="8" s="1"/>
  <c r="V11" i="8" l="1"/>
  <c r="R11" i="8"/>
  <c r="P11" i="8"/>
  <c r="AB11" i="8"/>
  <c r="N11" i="8"/>
  <c r="AL11" i="8"/>
  <c r="BR110" i="61"/>
  <c r="BR108" i="61"/>
  <c r="AX97" i="61"/>
  <c r="AP97" i="61"/>
  <c r="J97" i="61"/>
  <c r="AX98" i="61"/>
  <c r="AP98" i="61"/>
  <c r="J98" i="61"/>
  <c r="BR95" i="61"/>
  <c r="BR96" i="61"/>
  <c r="D110" i="61"/>
  <c r="D109" i="61"/>
  <c r="D108" i="61"/>
  <c r="C109" i="61"/>
  <c r="C110" i="61"/>
  <c r="C108" i="61"/>
  <c r="C112" i="61"/>
  <c r="D111" i="61"/>
  <c r="R28" i="8" l="1"/>
  <c r="R10" i="14"/>
  <c r="R30" i="14" s="1" a="1"/>
  <c r="R9" i="14"/>
  <c r="R29" i="14" s="1"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E24" i="25"/>
  <c r="AE25" i="25"/>
  <c r="AE26" i="25"/>
  <c r="AE27" i="25"/>
  <c r="AE28" i="25"/>
  <c r="AE29" i="25"/>
  <c r="C36" i="30" l="1"/>
  <c r="D35" i="30"/>
  <c r="AD32" i="25"/>
  <c r="AD13" i="25"/>
  <c r="AD25" i="25" s="1"/>
  <c r="AD14" i="25"/>
  <c r="D36" i="30" l="1"/>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CD77" i="61" l="1"/>
  <c r="BN77" i="61"/>
  <c r="AT77" i="6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AD28" i="25" l="1"/>
  <c r="AD27" i="25"/>
  <c r="AL10" i="8"/>
  <c r="R10" i="8"/>
  <c r="AF31" i="14"/>
  <c r="AD31" i="14"/>
  <c r="AD10" i="14"/>
  <c r="AF10" i="14"/>
  <c r="H31" i="14"/>
  <c r="J9" i="14"/>
  <c r="J19" i="14" s="1"/>
  <c r="CR5" i="61"/>
  <c r="V9" i="14"/>
  <c r="V19" i="14" s="1"/>
  <c r="CT81" i="61" a="1"/>
  <c r="CT81" i="61" s="1"/>
  <c r="X28" i="25"/>
  <c r="X27" i="25"/>
  <c r="F31" i="36"/>
  <c r="H32" i="36"/>
  <c r="H31" i="36"/>
  <c r="F42" i="32"/>
  <c r="F32" i="36"/>
  <c r="F43" i="32"/>
  <c r="P10" i="8"/>
  <c r="AB10" i="8"/>
  <c r="V10" i="8"/>
  <c r="N10" i="8"/>
  <c r="BF25" i="25"/>
  <c r="BF11" i="25"/>
  <c r="BF13" i="25" s="1"/>
  <c r="BF12" i="25"/>
  <c r="BF14" i="25" s="1"/>
  <c r="L9" i="8"/>
  <c r="BB25" i="25"/>
  <c r="H38" i="25"/>
  <c r="H37" i="25"/>
  <c r="T30" i="14"/>
  <c r="CL81" i="61" a="1"/>
  <c r="CL81" i="61" s="1"/>
  <c r="BV81" i="61" a="1"/>
  <c r="BV81" i="61" s="1"/>
  <c r="CJ5" i="61"/>
  <c r="BT5" i="61"/>
  <c r="C40" i="60"/>
  <c r="D40" i="60"/>
  <c r="O41" i="60" a="1"/>
  <c r="O41" i="60" s="1"/>
  <c r="P41" i="60" a="1"/>
  <c r="P41" i="60" s="1"/>
  <c r="B13" i="35"/>
  <c r="C13" i="35" s="1"/>
  <c r="H9" i="14"/>
  <c r="T9" i="14"/>
  <c r="BB11" i="25"/>
  <c r="H13" i="25"/>
  <c r="H12" i="25"/>
  <c r="C3" i="53"/>
  <c r="C8" i="53" s="1"/>
  <c r="C5" i="53"/>
  <c r="C27" i="53"/>
  <c r="C12" i="53"/>
  <c r="H30" i="14" a="1"/>
  <c r="AF30" i="14" a="1"/>
  <c r="AD30" i="14" a="1"/>
  <c r="J30" i="14" a="1"/>
  <c r="V30" i="14" a="1"/>
  <c r="T29" i="14" a="1"/>
  <c r="R27" i="8" l="1"/>
  <c r="N9" i="8"/>
  <c r="R9" i="8"/>
  <c r="AF30" i="14"/>
  <c r="AD30" i="14"/>
  <c r="AD9" i="14"/>
  <c r="AD19" i="14" s="1"/>
  <c r="AF9" i="14"/>
  <c r="AF29" i="14" s="1" a="1"/>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J29" i="14" a="1"/>
  <c r="Z29" i="14" a="1"/>
  <c r="H29" i="14" a="1"/>
  <c r="V29" i="14" a="1"/>
  <c r="Z30" i="14" a="1"/>
  <c r="R26" i="8" l="1"/>
  <c r="R20" i="8"/>
  <c r="V29" i="14"/>
  <c r="CS8" i="61"/>
  <c r="CT8" i="61"/>
  <c r="CT77" i="61" s="1"/>
  <c r="BU8" i="61"/>
  <c r="BV8" i="61"/>
  <c r="CK8" i="61"/>
  <c r="CL8" i="61"/>
  <c r="AF29" i="14"/>
  <c r="AF19" i="14"/>
  <c r="J29" i="14"/>
  <c r="H29" i="14"/>
  <c r="CR18" i="61"/>
  <c r="CT80" i="61" a="1"/>
  <c r="CT80" i="61" s="1"/>
  <c r="Z30" i="14"/>
  <c r="Z29" i="14"/>
  <c r="CJ18" i="61"/>
  <c r="BV80" i="61" a="1"/>
  <c r="BV80" i="61" s="1"/>
  <c r="CL80" i="61" a="1"/>
  <c r="CL80" i="61" s="1"/>
  <c r="BT18" i="61"/>
  <c r="F3" i="60"/>
  <c r="AF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BB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L4" i="8"/>
  <c r="AD4" i="8"/>
  <c r="AB4" i="8"/>
  <c r="X4" i="8"/>
  <c r="Z4" i="8" s="1"/>
  <c r="V4" i="8"/>
  <c r="T4" i="8"/>
  <c r="N4" i="8"/>
  <c r="L4" i="8"/>
  <c r="J4" i="8"/>
  <c r="H4" i="8"/>
  <c r="F4" i="8"/>
  <c r="V3" i="25" l="1"/>
  <c r="V18" i="25" s="1"/>
  <c r="V19" i="25" s="1"/>
  <c r="T3" i="25"/>
  <c r="T18" i="25" s="1"/>
  <c r="T19" i="25" s="1"/>
  <c r="F3" i="25"/>
  <c r="F18" i="25" s="1"/>
  <c r="F19" i="25" s="1"/>
  <c r="E37" i="72"/>
  <c r="F46" i="26"/>
  <c r="BV3" i="25"/>
  <c r="BZ3" i="25"/>
  <c r="BZ18" i="25" s="1"/>
  <c r="BZ19" i="25" s="1"/>
  <c r="F32" i="73"/>
  <c r="E39" i="72" a="1"/>
  <c r="E39" i="72" s="1"/>
  <c r="E40" i="72" s="1" a="1"/>
  <c r="E40" i="72" s="1"/>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4" i="35"/>
  <c r="G46" i="35" s="1" a="1"/>
  <c r="G46" i="35" s="1"/>
  <c r="G47" i="35" s="1" a="1"/>
  <c r="G47" i="35" s="1"/>
  <c r="AP3" i="25"/>
  <c r="AP18" i="25" s="1"/>
  <c r="AP19" i="25" s="1"/>
  <c r="AD18" i="25" l="1"/>
  <c r="AD19" i="25" s="1"/>
  <c r="F6" i="14"/>
  <c r="D6" i="14"/>
  <c r="AL6" i="8"/>
  <c r="AD6" i="8"/>
  <c r="AB6" i="8"/>
  <c r="X6" i="8"/>
  <c r="Z6" i="8" s="1"/>
  <c r="V6" i="8"/>
  <c r="T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26" i="25" s="1" a="1"/>
  <c r="AF13" i="25"/>
  <c r="AF25"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H35" i="25"/>
  <c r="D25" i="25"/>
  <c r="D26" i="25"/>
  <c r="BN17" i="25"/>
  <c r="BN18" i="25" s="1"/>
  <c r="BJ14" i="25"/>
  <c r="BJ17" i="25" s="1"/>
  <c r="D14" i="25"/>
  <c r="D23" i="45"/>
  <c r="D13" i="44"/>
  <c r="D27" i="44" s="1"/>
  <c r="C23" i="45"/>
  <c r="C28" i="45" s="1"/>
  <c r="I23" i="43" a="1"/>
  <c r="I23" i="43" s="1"/>
  <c r="D36" i="25" l="1"/>
  <c r="H34" i="25"/>
  <c r="H39" i="25" s="1"/>
  <c r="J23" i="43"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4" i="35"/>
  <c r="C26" i="35" s="1"/>
  <c r="G25"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AJ30" i="8" a="1"/>
  <c r="F57" i="30" a="1"/>
  <c r="F6" i="32"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CE2" i="25"/>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F15" i="62" a="1"/>
  <c r="F19" i="62" a="1"/>
  <c r="F33" i="74" l="1" a="1"/>
  <c r="F33" i="74" s="1"/>
  <c r="F34" i="74" s="1" a="1"/>
  <c r="F34" i="74" s="1"/>
  <c r="F35" i="74" s="1" a="1"/>
  <c r="F35" i="74" s="1"/>
  <c r="F3" i="74" a="1"/>
  <c r="F3" i="74" s="1"/>
  <c r="F6" i="74" s="1" a="1"/>
  <c r="F6" i="74" s="1"/>
  <c r="F40"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V24" i="25" s="1"/>
  <c r="V22" i="25" s="1" a="1"/>
  <c r="V22" i="25" s="1"/>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R25" i="8" l="1"/>
  <c r="R23" i="8" s="1" a="1"/>
  <c r="R23" i="8" s="1"/>
  <c r="T24" i="25"/>
  <c r="T22" i="25" s="1" a="1"/>
  <c r="T22" i="25" s="1"/>
  <c r="Z73" i="61"/>
  <c r="F24" i="25"/>
  <c r="N68" i="61"/>
  <c r="N69" i="61" s="1"/>
  <c r="CT73" i="61"/>
  <c r="F39" i="32"/>
  <c r="X25" i="8"/>
  <c r="H57" i="22"/>
  <c r="AN24" i="25"/>
  <c r="CP73" i="61"/>
  <c r="AJ24" i="25"/>
  <c r="M54" i="40"/>
  <c r="G61" i="35"/>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G51" i="35"/>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3" i="61"/>
  <c r="BH24" i="25"/>
  <c r="V28" i="14"/>
  <c r="F65" i="31"/>
  <c r="K84" i="67"/>
  <c r="S38" i="9"/>
  <c r="V25" i="8"/>
  <c r="L25" i="8"/>
  <c r="BT24" i="25"/>
  <c r="BD24" i="25"/>
  <c r="P28" i="14"/>
  <c r="BV24" i="25"/>
  <c r="N28" i="14"/>
  <c r="J24" i="25"/>
  <c r="P24" i="25"/>
  <c r="F28" i="39"/>
  <c r="F52" i="33"/>
  <c r="AB24" i="25"/>
  <c r="P18" i="50"/>
  <c r="C26" i="53"/>
  <c r="D28" i="14"/>
  <c r="F46" i="65"/>
  <c r="AD24" i="25"/>
  <c r="AP24" i="25"/>
  <c r="AH25" i="8"/>
  <c r="BF24" i="25"/>
  <c r="Z25" i="8"/>
  <c r="J28" i="14"/>
  <c r="F48" i="75"/>
  <c r="AD73" i="61"/>
  <c r="AH73" i="61"/>
  <c r="G28" i="39"/>
  <c r="F37" i="76"/>
  <c r="BZ24" i="25"/>
  <c r="N73" i="61"/>
  <c r="BR63" i="61"/>
  <c r="AP99" i="61"/>
  <c r="AX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J22" i="25" a="1"/>
  <c r="AR22" i="25" a="1"/>
  <c r="C52" i="33" a="1"/>
  <c r="AX15" i="61" a="1"/>
  <c r="AF25" i="14" a="1"/>
  <c r="AH22" i="25" a="1"/>
  <c r="D23" i="8" a="1"/>
  <c r="V25" i="14" a="1"/>
  <c r="AD23" i="8" a="1"/>
  <c r="Z23" i="8" a="1"/>
  <c r="E34" i="69" a="1"/>
  <c r="D25" i="14" a="1"/>
  <c r="BJ15" i="61" a="1"/>
  <c r="R15" i="61" a="1"/>
  <c r="N23" i="8" a="1"/>
  <c r="V23" i="8" a="1"/>
  <c r="J23" i="8" a="1"/>
  <c r="T25" i="14" a="1"/>
  <c r="AP22" i="25" a="1"/>
  <c r="BZ22" i="25" a="1"/>
  <c r="D39" i="74" a="1"/>
  <c r="AJ23" i="8" a="1"/>
  <c r="AD15" i="61" a="1"/>
  <c r="F23" i="8" a="1"/>
  <c r="P25" i="14" a="1"/>
  <c r="BL22" i="25" a="1"/>
  <c r="AH15" i="61" a="1"/>
  <c r="CP15" i="61" a="1"/>
  <c r="CL15" i="61" a="1"/>
  <c r="Z25" i="14" a="1"/>
  <c r="X23" i="8" a="1"/>
  <c r="AD25" i="14" a="1"/>
  <c r="D48" i="75" a="1"/>
  <c r="BD22" i="25" a="1"/>
  <c r="AF22" i="25" a="1"/>
  <c r="AX22" i="25" a="1"/>
  <c r="X22" i="25" a="1"/>
  <c r="BV22" i="25" a="1"/>
  <c r="AT22" i="25" a="1"/>
  <c r="D22" i="25" a="1"/>
  <c r="O20" i="48" a="1"/>
  <c r="AB22" i="25" a="1"/>
  <c r="AF23" i="8" a="1"/>
  <c r="P22" i="25" a="1"/>
  <c r="AD22" i="25" a="1"/>
  <c r="F22" i="25" a="1"/>
  <c r="CT15" i="61" a="1"/>
  <c r="CH15" i="61" a="1"/>
  <c r="H23" i="8" a="1"/>
  <c r="J22" i="25" a="1"/>
  <c r="BV15" i="61" a="1"/>
  <c r="C35" i="64" a="1"/>
  <c r="BB15" i="61" a="1"/>
  <c r="Z22" i="25" a="1"/>
  <c r="D46" i="65" a="1"/>
  <c r="L23" i="8" a="1"/>
  <c r="E40" i="71" a="1"/>
  <c r="C35" i="42" a="1"/>
  <c r="L25" i="14" a="1"/>
  <c r="C62" i="23" a="1"/>
  <c r="BT22" i="25" a="1"/>
  <c r="D65" i="31" a="1"/>
  <c r="BP22" i="25" a="1"/>
  <c r="V15" i="61" a="1"/>
  <c r="R22" i="25" a="1"/>
  <c r="BN22" i="25" a="1"/>
  <c r="BR22" i="25" a="1"/>
  <c r="AB25" i="14" a="1"/>
  <c r="CX15" i="61" a="1"/>
  <c r="AL15" i="61" a="1"/>
  <c r="X25" i="14" a="1"/>
  <c r="AP15" i="61" a="1"/>
  <c r="N15" i="61" a="1"/>
  <c r="AV22" i="25" a="1"/>
  <c r="N25" i="14" a="1"/>
  <c r="J25" i="14" a="1"/>
  <c r="BF22" i="25" a="1"/>
  <c r="AT15" i="61" a="1"/>
  <c r="F3" i="21" a="1"/>
  <c r="D37" i="76" a="1"/>
  <c r="C62" i="34" a="1"/>
  <c r="R25" i="14" a="1"/>
  <c r="AL22" i="25" a="1"/>
  <c r="AH23" i="8" a="1"/>
  <c r="S35" i="9" a="1"/>
  <c r="H25" i="14" a="1"/>
  <c r="AN22" i="25" a="1"/>
  <c r="AZ22" i="25" a="1"/>
  <c r="BB22" i="25" a="1"/>
  <c r="AJ22" i="25" a="1"/>
  <c r="CD15" i="61" a="1"/>
  <c r="H84" i="67" a="1"/>
  <c r="F18" i="39" a="1"/>
  <c r="BX22" i="25" a="1"/>
  <c r="E13" i="22" a="1"/>
  <c r="H22" i="25" a="1"/>
  <c r="BF15" i="61" a="1"/>
  <c r="BZ15" i="61" a="1"/>
  <c r="AL23" i="8" a="1"/>
  <c r="C44" i="72" a="1"/>
  <c r="AN23" i="8" a="1"/>
  <c r="F25" i="14" a="1"/>
  <c r="AB23" i="8" a="1"/>
  <c r="L22" i="25" a="1"/>
  <c r="BH22" i="25" a="1"/>
  <c r="D42" i="62" a="1"/>
  <c r="P23" i="8" a="1"/>
  <c r="C31" i="51" a="1"/>
  <c r="C39" i="32" a="1"/>
  <c r="F22" i="25" l="1"/>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4" i="61"/>
  <c r="BR97" i="61" s="1"/>
  <c r="R15" i="61"/>
  <c r="BF22" i="25"/>
  <c r="D46" i="65"/>
  <c r="AB22" i="25"/>
  <c r="J22" i="25"/>
  <c r="BD22" i="25"/>
  <c r="S35" i="9"/>
  <c r="O3" i="9" s="1"/>
  <c r="BH22" i="25"/>
  <c r="E34" i="69"/>
  <c r="L22" i="25"/>
  <c r="AX22" i="25"/>
  <c r="X25" i="14"/>
  <c r="AL22" i="25"/>
  <c r="D48" i="75"/>
  <c r="AH23" i="8"/>
  <c r="D25" i="14"/>
  <c r="C52" i="33"/>
  <c r="N25" i="14"/>
  <c r="BT22" i="25"/>
  <c r="H84"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6" i="61" a="1"/>
  <c r="J76" i="61" s="1"/>
  <c r="J15" i="61" l="1" a="1"/>
  <c r="J15" i="61" s="1"/>
  <c r="J99"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<sst xmlns="http://schemas.openxmlformats.org/spreadsheetml/2006/main" count="4472" uniqueCount="2689">
  <si>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</si>
  <si>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</si>
  <si>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</si>
  <si>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</si>
  <si>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</si>
  <si>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</si>
  <si>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</si>
  <si>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</si>
  <si>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</si>
  <si>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</si>
  <si>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</si>
  <si>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</si>
  <si>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</si>
  <si>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</si>
  <si>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</si>
  <si>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</si>
  <si>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</si>
  <si>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</si>
  <si>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</si>
  <si>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</si>
  <si>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</si>
  <si>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</si>
  <si>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</si>
  <si>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</si>
  <si>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</si>
  <si>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</si>
  <si>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</si>
  <si>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</si>
  <si>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</si>
  <si>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</si>
  <si>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</si>
  <si>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</si>
  <si>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</si>
  <si>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</si>
  <si>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</si>
  <si>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</si>
  <si>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</si>
  <si>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</si>
  <si>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</si>
  <si>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</si>
  <si>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</si>
  <si>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</si>
  <si>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</si>
  <si>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</si>
  <si>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</si>
  <si>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</si>
  <si>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</si>
  <si>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</si>
  <si>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</si>
  <si>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</si>
  <si>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</si>
  <si>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</si>
  <si>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</si>
  <si>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</si>
  <si>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</si>
  <si>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</si>
  <si>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</si>
  <si>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</si>
  <si>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</si>
  <si>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</si>
  <si>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</si>
  <si>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</si>
  <si>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</si>
  <si>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</si>
  <si>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</si>
  <si>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</si>
  <si>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</si>
  <si>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</si>
  <si>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</si>
  <si>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</si>
  <si>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</si>
  <si>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</si>
  <si>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</si>
  <si>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</si>
  <si>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</si>
  <si>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</si>
  <si>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</si>
  <si>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</si>
  <si>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</si>
  <si>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</si>
  <si>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</si>
  <si>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</si>
  <si>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</si>
  <si>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</si>
  <si>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</si>
  <si>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</si>
  <si>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</si>
  <si>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</si>
  <si>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</si>
  <si>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</si>
  <si>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</si>
  <si>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</si>
  <si>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</si>
  <si>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</si>
  <si>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</si>
  <si>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</si>
  <si>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</si>
  <si>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</si>
  <si>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</si>
  <si>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</si>
  <si>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</si>
  <si>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</si>
  <si>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</si>
  <si>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</si>
  <si>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</si>
  <si>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</si>
  <si>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</si>
  <si>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</si>
  <si>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</si>
  <si>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</si>
  <si>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</si>
  <si>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</si>
  <si>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</si>
  <si>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</si>
  <si>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</si>
  <si>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</si>
  <si>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</si>
  <si>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</si>
  <si>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</si>
  <si>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</si>
  <si>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</si>
  <si>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</si>
  <si>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</si>
  <si>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</si>
  <si>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</si>
  <si>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</si>
  <si>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</si>
  <si>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</si>
  <si>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</si>
  <si>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</si>
  <si>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</si>
  <si>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</si>
  <si>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</si>
  <si>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</si>
  <si>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</si>
  <si>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</si>
  <si>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</si>
  <si>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</si>
  <si>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</si>
  <si>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</si>
  <si>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</si>
  <si>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</si>
  <si>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</si>
  <si>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</si>
  <si>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</si>
  <si>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</si>
  <si>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</si>
  <si>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</si>
  <si>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</si>
  <si>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</si>
  <si>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</si>
  <si>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</si>
  <si>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</si>
  <si>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</si>
  <si>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</si>
  <si>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</si>
  <si>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</si>
  <si>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</si>
  <si>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</si>
  <si>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</si>
  <si>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</si>
  <si>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</si>
  <si>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</si>
  <si>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</si>
  <si>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</si>
  <si>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</si>
  <si>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</si>
  <si>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</si>
  <si>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</si>
  <si>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</si>
  <si>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</si>
  <si>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</si>
  <si>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</si>
  <si>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</si>
  <si>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</si>
  <si>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</si>
  <si>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</si>
  <si>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</si>
  <si>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</si>
  <si>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</si>
  <si>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</si>
  <si>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</si>
  <si>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</si>
  <si>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</si>
  <si>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</si>
  <si>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</si>
  <si>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</si>
  <si>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</si>
  <si>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</si>
  <si>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</si>
  <si>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</si>
  <si>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</si>
  <si>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</si>
  <si>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</si>
  <si>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</si>
  <si>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</si>
  <si>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</si>
  <si>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</si>
  <si>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</si>
  <si>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</si>
  <si>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</si>
  <si>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</si>
  <si>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</si>
  <si>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</si>
  <si>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</si>
  <si>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</si>
  <si>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</si>
  <si>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</si>
  <si>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</si>
  <si>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</si>
  <si>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</si>
  <si>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</si>
  <si>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</si>
  <si>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</si>
  <si>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</si>
  <si>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</si>
  <si>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</si>
  <si>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</si>
  <si>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</si>
  <si>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</si>
  <si>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</si>
  <si>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</si>
  <si>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</si>
  <si>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</si>
  <si>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</si>
  <si>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</si>
  <si>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</si>
  <si>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</si>
  <si>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</si>
  <si>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</si>
  <si>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</si>
  <si>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</si>
  <si>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</si>
  <si>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</si>
  <si>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</si>
  <si>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</si>
  <si>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</si>
  <si>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</si>
  <si>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</si>
  <si>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</si>
  <si>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</si>
  <si>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</si>
  <si>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</si>
  <si>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</si>
  <si>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</si>
  <si>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</si>
  <si>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</si>
  <si>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</si>
  <si>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</si>
  <si>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</si>
  <si>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</si>
  <si>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</si>
  <si>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</si>
  <si>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</si>
  <si>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</si>
  <si>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</si>
  <si>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</si>
  <si>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</si>
  <si>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</si>
  <si>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</si>
  <si>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</si>
  <si>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</si>
  <si>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</si>
  <si>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</si>
  <si>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</si>
  <si>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</si>
  <si>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</si>
  <si>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</si>
  <si>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</si>
  <si>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</si>
  <si>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</si>
  <si>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</si>
  <si>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</si>
  <si>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</si>
  <si>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</si>
  <si>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</si>
  <si>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</si>
  <si>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</si>
  <si>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</si>
  <si>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</si>
  <si>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</si>
  <si>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</si>
  <si>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</si>
  <si>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</si>
  <si>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</si>
  <si>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</si>
  <si>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</si>
  <si>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</si>
  <si>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</si>
  <si>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</si>
  <si>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</si>
  <si>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</si>
  <si>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</si>
  <si>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</si>
  <si>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</si>
  <si>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</si>
  <si>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</si>
  <si>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</si>
  <si>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</si>
  <si>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</si>
  <si>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</si>
  <si>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</si>
  <si>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</si>
  <si>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</si>
  <si>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</si>
  <si>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</si>
  <si>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</si>
  <si>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</si>
  <si>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</si>
  <si>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</si>
  <si>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</si>
  <si>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</si>
  <si>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</si>
  <si>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</si>
  <si>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</si>
  <si>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</si>
  <si>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</si>
  <si>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</si>
  <si>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</si>
  <si>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</si>
  <si>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</si>
  <si>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</si>
  <si>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</si>
  <si>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</si>
  <si>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</si>
  <si>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</si>
  <si>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</si>
  <si>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</si>
  <si>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</si>
  <si>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</si>
  <si>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</si>
  <si>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</si>
  <si>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</si>
  <si>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</si>
  <si>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</si>
  <si>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</si>
  <si>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</si>
  <si>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</si>
  <si>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</si>
  <si>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</si>
  <si>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</si>
  <si>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</si>
  <si>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</si>
  <si>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</si>
  <si>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</si>
  <si>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</si>
  <si>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</si>
  <si>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</si>
  <si>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</si>
  <si>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</si>
  <si>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</si>
  <si>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</si>
  <si>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</si>
  <si>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</si>
  <si>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</si>
  <si>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</si>
  <si>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</si>
  <si>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</si>
  <si>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</si>
  <si>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</si>
  <si>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</si>
  <si>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</si>
  <si>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</si>
  <si>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</si>
  <si>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</si>
  <si>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</si>
  <si>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</si>
  <si>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</si>
  <si>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</si>
  <si>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</si>
  <si>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</si>
  <si>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</si>
  <si>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</si>
  <si>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</si>
  <si>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</si>
  <si>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</si>
  <si>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</si>
  <si>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</si>
  <si>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</si>
  <si>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</si>
  <si>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</si>
  <si>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</si>
  <si>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</si>
  <si>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</si>
  <si>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</si>
  <si>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</si>
  <si>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</si>
  <si>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</si>
  <si>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</si>
  <si>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</si>
  <si>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</si>
  <si>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</si>
  <si>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</si>
  <si>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</si>
  <si>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</si>
  <si>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</si>
  <si>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</si>
  <si>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</si>
  <si>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</si>
  <si>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</si>
  <si>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</si>
  <si>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</si>
  <si>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</si>
  <si>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</si>
  <si>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</si>
  <si>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</si>
  <si>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</si>
  <si>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</si>
  <si>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</si>
  <si>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</si>
  <si>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</si>
  <si>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</si>
  <si>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</si>
  <si>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</si>
  <si>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</si>
  <si>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</si>
  <si>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</si>
  <si>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</si>
  <si>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</si>
  <si>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</si>
  <si>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</si>
  <si>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</si>
  <si>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</si>
  <si>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</si>
  <si>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</si>
  <si>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</si>
  <si>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</si>
  <si>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</si>
  <si>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</si>
  <si>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</si>
  <si>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</si>
  <si>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</si>
  <si>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</si>
  <si>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</si>
  <si>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</si>
  <si>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</si>
  <si>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</si>
  <si>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</si>
  <si>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</si>
  <si>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</si>
  <si>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</si>
  <si>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</si>
  <si>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</si>
  <si>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</si>
  <si>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</si>
  <si>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</si>
  <si>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</si>
  <si>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</si>
  <si>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</si>
  <si>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</si>
  <si>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</si>
  <si>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</si>
  <si>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</si>
  <si>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</si>
  <si>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</si>
  <si>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</si>
  <si>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</si>
  <si>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</si>
  <si>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</si>
  <si>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</si>
  <si>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</si>
  <si>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</si>
  <si>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</si>
  <si>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</si>
  <si>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</si>
  <si>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</si>
  <si>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</si>
  <si>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</si>
  <si>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</si>
  <si>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</si>
  <si>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</si>
  <si>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</si>
  <si>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</si>
  <si>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</si>
  <si>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</si>
  <si>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</si>
  <si>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</si>
  <si>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</si>
  <si>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</si>
  <si>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</si>
  <si>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</si>
  <si>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</si>
  <si>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</si>
  <si>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</si>
  <si>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</si>
  <si>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</si>
  <si>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</si>
  <si>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</si>
  <si>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</si>
  <si>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</si>
  <si>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</si>
  <si>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</si>
  <si>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</si>
  <si>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</si>
  <si>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</si>
  <si>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</si>
  <si>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</si>
  <si>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</si>
  <si>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</si>
  <si>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</si>
  <si>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</si>
  <si>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</si>
  <si>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</si>
  <si>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</si>
  <si>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</si>
  <si>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</si>
  <si>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</si>
  <si>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</si>
  <si>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</si>
  <si>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</si>
  <si>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</si>
  <si>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</si>
  <si>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</si>
  <si>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</si>
  <si>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</si>
  <si>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</si>
  <si>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</si>
  <si>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</si>
  <si>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</si>
  <si>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</si>
  <si>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</si>
  <si>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</si>
  <si>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</si>
  <si>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</si>
  <si>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</si>
  <si>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</si>
  <si>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</si>
  <si>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</si>
  <si>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</si>
  <si>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</si>
  <si>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</si>
  <si>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</si>
  <si>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</si>
  <si>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</si>
  <si>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</si>
  <si>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</si>
  <si>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</si>
  <si>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</si>
  <si>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</si>
  <si>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</si>
  <si>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</si>
  <si>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</si>
  <si>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</si>
  <si>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</si>
  <si>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</si>
  <si>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</si>
  <si>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</si>
  <si>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</si>
  <si>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</si>
  <si>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</si>
  <si>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</si>
  <si>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</si>
  <si>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</si>
  <si>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</si>
  <si>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</si>
  <si>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</si>
  <si>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</si>
  <si>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</si>
  <si>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</si>
  <si>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</si>
  <si>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</si>
  <si>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</si>
  <si>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</si>
  <si>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</si>
  <si>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</si>
  <si>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</si>
  <si>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</si>
  <si>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</si>
  <si>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</si>
  <si>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</si>
  <si>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</si>
  <si>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</si>
  <si>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</si>
  <si>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</si>
  <si>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</si>
  <si>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</si>
  <si>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</si>
  <si>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</si>
  <si>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</si>
  <si>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</si>
  <si>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</si>
  <si>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</si>
  <si>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</si>
  <si>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</si>
  <si>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</si>
  <si>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</si>
  <si>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</si>
  <si>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</si>
  <si>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</si>
  <si>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</si>
  <si>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</si>
  <si>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</si>
  <si>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</si>
  <si>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</si>
  <si>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</si>
  <si>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</si>
  <si>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</si>
  <si>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</si>
  <si>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</si>
  <si>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</si>
  <si>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</si>
  <si>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</si>
  <si>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</si>
  <si>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</si>
  <si>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</si>
  <si>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</si>
  <si>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</si>
  <si>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</si>
  <si>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</si>
  <si>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</si>
  <si>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</si>
  <si>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</si>
  <si>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</si>
  <si>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</si>
  <si>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</si>
  <si>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</si>
  <si>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</si>
  <si>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</si>
  <si>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</si>
  <si>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</si>
  <si>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</si>
  <si>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</si>
  <si>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</si>
  <si>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</si>
  <si>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</si>
  <si>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</si>
  <si>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</si>
  <si>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</si>
  <si>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</si>
  <si>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</si>
  <si>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</si>
  <si>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</si>
  <si>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</si>
  <si>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</si>
  <si>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</si>
  <si>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</si>
  <si>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</si>
  <si>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</si>
  <si>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</si>
  <si>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</si>
  <si>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</si>
  <si>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</si>
  <si>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</si>
  <si>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</si>
  <si>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</si>
  <si>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</si>
  <si>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</si>
  <si>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</si>
  <si>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</si>
  <si>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</si>
  <si>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</si>
  <si>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</si>
  <si>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</si>
  <si>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</si>
  <si>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</si>
  <si>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</si>
  <si>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</si>
  <si>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</si>
  <si>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</si>
  <si>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</si>
  <si>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</si>
  <si>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</si>
  <si>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</si>
  <si>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</si>
  <si>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</si>
  <si>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</si>
  <si>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</si>
  <si>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</si>
  <si>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</si>
  <si>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</si>
  <si>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</si>
  <si>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</si>
  <si>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</si>
  <si>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</si>
  <si>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</si>
  <si>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</si>
  <si>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</si>
  <si>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</si>
  <si>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</si>
  <si>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</si>
  <si>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</si>
  <si>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</si>
  <si>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</si>
  <si>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</si>
  <si>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</si>
  <si>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</si>
  <si>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</si>
  <si>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</si>
  <si>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</si>
  <si>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</si>
  <si>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</si>
  <si>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</si>
  <si>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</si>
  <si>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</si>
  <si>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</si>
  <si>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</si>
  <si>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</si>
  <si>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</si>
  <si>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</si>
  <si>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</si>
  <si>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</si>
  <si>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</si>
  <si>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</si>
  <si>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</si>
  <si>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</si>
  <si>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</si>
  <si>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</si>
  <si>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</si>
  <si>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</si>
  <si>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</si>
  <si>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</si>
  <si>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</si>
  <si>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</si>
  <si>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</si>
  <si>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</si>
  <si>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</si>
  <si>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</si>
  <si>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</si>
  <si>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</si>
  <si>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</si>
  <si>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</si>
  <si>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</si>
  <si>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</si>
  <si>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</si>
  <si>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</si>
  <si>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</si>
  <si>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</si>
  <si>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</si>
  <si>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</si>
  <si>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</si>
  <si>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</si>
  <si>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</si>
  <si>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</si>
  <si>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</si>
  <si>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</si>
  <si>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</si>
  <si>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</si>
  <si>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</si>
  <si>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</si>
  <si>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</si>
  <si>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</si>
  <si>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</si>
  <si>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</si>
  <si>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</si>
  <si>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</si>
  <si>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</si>
  <si>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</si>
  <si>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</si>
  <si>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</si>
  <si>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</si>
  <si>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</si>
  <si>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</si>
  <si>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</si>
  <si>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</si>
  <si>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</si>
  <si>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</si>
  <si>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</si>
  <si>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</si>
  <si>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</si>
  <si>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</si>
  <si>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</si>
  <si>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</si>
  <si>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</si>
  <si>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</si>
  <si>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</si>
  <si>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</si>
  <si>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</si>
  <si>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</si>
  <si>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</si>
  <si>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</si>
  <si>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</si>
  <si>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</si>
  <si>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</si>
  <si>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</si>
  <si>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</si>
  <si>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</si>
  <si>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</si>
  <si>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</si>
  <si>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</si>
  <si>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</si>
  <si>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</si>
  <si>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</si>
  <si>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</si>
  <si>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</si>
  <si>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</si>
  <si>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</si>
  <si>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</si>
  <si>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</si>
  <si>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</si>
  <si>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</si>
  <si>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</si>
  <si>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</si>
  <si>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</si>
  <si>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</si>
  <si>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</si>
  <si>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</si>
  <si>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</si>
  <si>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</si>
  <si>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</si>
  <si>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</si>
  <si>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</si>
  <si>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</si>
  <si>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</si>
  <si>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</si>
  <si>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</si>
  <si>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</si>
  <si>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</si>
  <si>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</si>
  <si>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</si>
  <si>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</si>
  <si>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</si>
  <si>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</si>
  <si>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</si>
  <si>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</si>
  <si>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</si>
  <si>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</si>
  <si>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</si>
  <si>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</si>
  <si>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</si>
  <si>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</si>
  <si>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</si>
  <si>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</si>
  <si>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</si>
  <si>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</si>
  <si>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</si>
  <si>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</si>
  <si>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</si>
  <si>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</si>
  <si>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</si>
  <si>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</si>
  <si>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</si>
  <si>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</si>
  <si>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</si>
  <si>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</si>
  <si>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</si>
  <si>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</si>
  <si>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</si>
  <si>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</si>
  <si>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</si>
  <si>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</si>
  <si>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</si>
  <si>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</si>
  <si>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</si>
  <si>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</si>
  <si>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</si>
  <si>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</si>
  <si>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</si>
  <si>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</si>
  <si>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</si>
  <si>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</si>
  <si>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</si>
  <si>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</si>
  <si>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</si>
  <si>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</si>
  <si>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</si>
  <si>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</si>
  <si>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</si>
  <si>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</si>
  <si>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</si>
  <si>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</si>
  <si>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</si>
  <si>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</si>
  <si>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</si>
  <si>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</si>
  <si>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</si>
  <si>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</si>
  <si>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</si>
  <si>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</si>
  <si>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</si>
  <si>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</si>
  <si>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</si>
  <si>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</si>
  <si>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</si>
  <si>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</si>
  <si>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</si>
  <si>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</si>
  <si>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</si>
  <si>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</si>
  <si>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</si>
  <si>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</si>
  <si>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</si>
  <si>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</si>
  <si>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</si>
  <si>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</si>
  <si>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</si>
  <si>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</si>
  <si>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</si>
  <si>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</si>
  <si>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</si>
  <si>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</si>
  <si>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</si>
  <si>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</si>
  <si>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</si>
  <si>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</si>
  <si>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</si>
  <si>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</si>
  <si>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</si>
  <si>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</si>
  <si>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</si>
  <si>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</si>
  <si>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</si>
  <si>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</si>
  <si>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</si>
  <si>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</si>
  <si>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</si>
  <si>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</si>
  <si>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</si>
  <si>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</si>
  <si>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</si>
  <si>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</si>
  <si>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</si>
  <si>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</si>
  <si>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</si>
  <si>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</si>
  <si>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</si>
  <si>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</si>
  <si>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</si>
  <si>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</si>
  <si>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</si>
  <si>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</si>
  <si>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</si>
  <si>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</si>
  <si>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</si>
  <si>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</si>
  <si>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</si>
  <si>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</si>
  <si>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</si>
  <si>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</si>
  <si>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</si>
  <si>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</si>
  <si>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</si>
  <si>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</si>
  <si>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</si>
  <si>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</si>
  <si>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</si>
  <si>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</si>
  <si>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</si>
  <si>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</si>
  <si>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</si>
  <si>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</si>
  <si>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</si>
  <si>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</si>
  <si>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</si>
  <si>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</si>
  <si>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</si>
  <si>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</si>
  <si>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</si>
  <si>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</si>
  <si>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</si>
  <si>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</si>
  <si>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</si>
  <si>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</si>
  <si>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</si>
  <si>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</si>
  <si>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</si>
  <si>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</si>
  <si>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</si>
  <si>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</si>
  <si>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</si>
  <si>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</si>
  <si>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</si>
  <si>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</si>
  <si>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</si>
  <si>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</si>
  <si>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</si>
  <si>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</si>
  <si>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</si>
  <si>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</si>
  <si>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</si>
  <si>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</si>
  <si>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</si>
  <si>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</si>
  <si>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</si>
  <si>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</si>
  <si>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</si>
  <si>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</si>
  <si>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</si>
  <si>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</si>
  <si>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</si>
  <si>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</si>
  <si>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</si>
  <si>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</si>
  <si>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</si>
  <si>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</si>
  <si>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</si>
  <si>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</si>
  <si>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</si>
  <si>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</si>
  <si>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</si>
  <si>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</si>
  <si>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</si>
  <si>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</si>
  <si>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</si>
  <si>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</si>
  <si>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</si>
  <si>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</si>
  <si>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</si>
  <si>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</si>
  <si>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</si>
  <si>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</si>
  <si>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</si>
  <si>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</si>
  <si>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</si>
  <si>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</si>
  <si>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</si>
  <si>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</si>
  <si>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</si>
  <si>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</si>
  <si>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</si>
  <si>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</si>
  <si>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</si>
  <si>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</si>
  <si>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</si>
  <si>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</si>
  <si>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</si>
  <si>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</si>
  <si>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</si>
  <si>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</si>
  <si>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</si>
  <si>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</si>
  <si>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</si>
  <si>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</si>
  <si>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</si>
  <si>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</si>
  <si>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</si>
  <si>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</si>
  <si>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</si>
  <si>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</si>
  <si>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</si>
  <si>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</si>
  <si>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</si>
  <si>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</si>
  <si>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</si>
  <si>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</si>
  <si>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</si>
  <si>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</si>
  <si>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</si>
  <si>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</si>
  <si>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</si>
  <si>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</si>
  <si>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</si>
  <si>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</si>
  <si>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</si>
  <si>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</si>
  <si>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</si>
  <si>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</si>
  <si>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</si>
  <si>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</si>
  <si>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</si>
  <si>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</si>
  <si>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</si>
  <si>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</si>
  <si>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</si>
  <si>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</si>
  <si>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</si>
  <si>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</si>
  <si>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</si>
  <si>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</si>
  <si>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</si>
  <si>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</si>
  <si>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</si>
  <si>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</si>
  <si>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</si>
  <si>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</si>
  <si>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</si>
  <si>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</si>
  <si>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</si>
  <si>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</si>
  <si>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</si>
  <si>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</si>
  <si>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</si>
  <si>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</si>
  <si>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</si>
  <si>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</si>
  <si>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</si>
  <si>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</si>
  <si>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</si>
  <si>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</si>
  <si>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</si>
  <si>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</si>
  <si>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</si>
  <si>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</si>
  <si>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</si>
  <si>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</si>
  <si>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</si>
  <si>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</si>
  <si>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</si>
  <si>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</si>
  <si>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</si>
  <si>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</si>
  <si>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</si>
  <si>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</si>
  <si>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</si>
  <si>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</si>
  <si>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</si>
  <si>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</si>
  <si>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</si>
  <si>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</si>
  <si>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</si>
  <si>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</si>
  <si>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</si>
  <si>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</si>
  <si>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</si>
  <si>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</si>
  <si>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</si>
  <si>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</si>
  <si>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</si>
  <si>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</si>
  <si>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</si>
  <si>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</si>
  <si>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</si>
  <si>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</si>
  <si>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</si>
  <si>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</si>
  <si>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</si>
  <si>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</si>
  <si>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</si>
  <si>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</si>
  <si>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</si>
  <si>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</si>
  <si>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</si>
  <si>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</si>
  <si>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</si>
  <si>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</si>
  <si>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</si>
  <si>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</si>
  <si>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</si>
  <si>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</si>
  <si>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</si>
  <si>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</si>
  <si>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</si>
  <si>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</si>
  <si>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</si>
  <si>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</si>
  <si>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</si>
  <si>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</si>
  <si>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</si>
  <si>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</si>
  <si>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</si>
  <si>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</si>
  <si>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</si>
  <si>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</si>
  <si>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</si>
  <si>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</si>
  <si>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</si>
  <si>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</si>
  <si>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</si>
  <si>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</si>
  <si>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</si>
  <si>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</si>
  <si>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</si>
  <si>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</si>
  <si>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</si>
  <si>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</si>
  <si>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</si>
  <si>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</si>
  <si>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</si>
  <si>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</si>
  <si>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</si>
  <si>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</si>
  <si>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</si>
  <si>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</si>
  <si>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</si>
  <si>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</si>
  <si>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</si>
  <si>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</si>
  <si>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</si>
  <si>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</si>
  <si>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</si>
  <si>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</si>
  <si>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</si>
  <si>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</si>
  <si>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</si>
  <si>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</si>
  <si>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</si>
  <si>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</si>
  <si>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</si>
  <si>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</si>
  <si>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</si>
  <si>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</si>
  <si>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</si>
  <si>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</si>
  <si>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</si>
  <si>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</si>
  <si>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</si>
  <si>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</si>
  <si>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</si>
  <si>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</si>
  <si>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</si>
  <si>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</si>
  <si>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</si>
  <si>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</si>
  <si>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</si>
  <si>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</si>
  <si>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</si>
  <si>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</si>
  <si>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</si>
  <si>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</si>
  <si>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</si>
  <si>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</si>
  <si>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</si>
  <si>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</si>
  <si>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</si>
  <si>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</si>
  <si>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</si>
  <si>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</si>
  <si>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</si>
  <si>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</si>
  <si>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</si>
  <si>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</si>
  <si>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</si>
  <si>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</si>
  <si>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</si>
  <si>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</si>
  <si>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</si>
  <si>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</si>
  <si>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</si>
  <si>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</si>
  <si>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</si>
  <si>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</si>
  <si>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</si>
  <si>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</si>
  <si>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</si>
  <si>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</si>
  <si>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</si>
  <si>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</si>
  <si>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</si>
  <si>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</si>
  <si>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</si>
  <si>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</si>
  <si>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</si>
  <si>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</si>
  <si>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</si>
  <si>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</si>
  <si>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</si>
  <si>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</si>
  <si>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</si>
  <si>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</si>
  <si>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</si>
  <si>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</si>
  <si>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</si>
  <si>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</si>
  <si>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</si>
  <si>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</si>
  <si>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</si>
  <si>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</si>
  <si>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</si>
  <si>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</si>
  <si>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</si>
  <si>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</si>
  <si>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</si>
  <si>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</si>
  <si>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</si>
  <si>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</si>
  <si>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</si>
  <si>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</si>
  <si>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</si>
  <si>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</si>
  <si>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</si>
  <si>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</si>
  <si>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</si>
  <si>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</si>
  <si>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</si>
  <si>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</si>
  <si>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</si>
  <si>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</si>
  <si>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</si>
  <si>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</si>
  <si>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</si>
  <si>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</si>
  <si>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</si>
  <si>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</si>
  <si>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</si>
  <si>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</si>
  <si>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</si>
  <si>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</si>
  <si>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</si>
  <si>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</si>
  <si>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</si>
  <si>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</si>
  <si>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</si>
  <si>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</si>
  <si>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</si>
  <si>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</si>
  <si>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</si>
  <si>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</si>
  <si>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</si>
  <si>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</si>
  <si>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</si>
  <si>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</si>
  <si>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</si>
  <si>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</si>
  <si>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</si>
  <si>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</si>
  <si>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</si>
  <si>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</si>
  <si>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</si>
  <si>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</si>
  <si>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</si>
  <si>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</si>
  <si>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</si>
  <si>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</si>
  <si>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</si>
  <si>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</si>
  <si>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</si>
  <si>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</si>
  <si>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</si>
  <si>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</si>
  <si>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</si>
  <si>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</si>
  <si>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</si>
  <si>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</si>
  <si>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</si>
  <si>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</si>
  <si>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</si>
  <si>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</si>
  <si>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</si>
  <si>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</si>
  <si>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</si>
  <si>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</si>
  <si>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</si>
  <si>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</si>
  <si>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</si>
  <si>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</si>
  <si>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</si>
  <si>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</si>
  <si>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</si>
  <si>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</si>
  <si>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</si>
  <si>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</si>
  <si>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</si>
  <si>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</si>
  <si>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</si>
  <si>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</si>
  <si>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</si>
  <si>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</si>
  <si>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</si>
  <si>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</si>
  <si>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</si>
  <si>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</si>
  <si>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</si>
  <si>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</si>
  <si>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</si>
  <si>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</si>
  <si>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</si>
  <si>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</si>
  <si>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</si>
  <si>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</si>
  <si>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</si>
  <si>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</si>
  <si>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</si>
  <si>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</si>
  <si>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</si>
  <si>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</si>
  <si>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</si>
  <si>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</si>
  <si>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</si>
  <si>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</si>
  <si>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</si>
  <si>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</si>
  <si>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</si>
  <si>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</si>
  <si>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</si>
  <si>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</si>
  <si>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</si>
  <si>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</si>
  <si>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</si>
  <si>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</si>
  <si>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</si>
  <si>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</si>
  <si>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</si>
  <si>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</si>
  <si>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</si>
  <si>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</si>
  <si>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</si>
  <si>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</si>
  <si>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</si>
  <si>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</si>
  <si>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</si>
  <si>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</si>
  <si>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</si>
  <si>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</si>
  <si>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</si>
  <si>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</si>
  <si>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</si>
  <si>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</si>
  <si>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</si>
  <si>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</si>
  <si>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</si>
  <si>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</si>
  <si>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</si>
  <si>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</si>
  <si>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</si>
  <si>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</si>
  <si>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</si>
  <si>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</si>
  <si>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</si>
  <si>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</si>
  <si>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</si>
  <si>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</si>
  <si>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</si>
  <si>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</si>
  <si>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</si>
  <si>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</si>
  <si>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</si>
  <si>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</si>
  <si>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</si>
  <si>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</si>
  <si>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</si>
  <si>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</si>
  <si>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</si>
  <si>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</si>
  <si>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</si>
  <si>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</si>
  <si>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</si>
  <si>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</si>
  <si>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</si>
  <si>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</si>
  <si>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</si>
  <si>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</si>
  <si>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</si>
  <si>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</si>
  <si>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</si>
  <si>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</si>
  <si>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</si>
  <si>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</si>
  <si>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</si>
  <si>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</si>
  <si>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</si>
  <si>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</si>
  <si>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</si>
  <si>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</si>
  <si>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</si>
  <si>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</si>
  <si>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</si>
  <si>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</si>
  <si>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</si>
  <si>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</si>
  <si>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</si>
  <si>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</si>
  <si>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</si>
  <si>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</si>
  <si>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</si>
  <si>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</si>
  <si>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</si>
  <si>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</si>
  <si>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</si>
  <si>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</si>
  <si>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</si>
  <si>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</si>
  <si>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</si>
  <si>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</si>
  <si>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</si>
  <si>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</si>
  <si>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</si>
  <si>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</si>
  <si>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</si>
  <si>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</si>
  <si>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</si>
  <si>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</si>
  <si>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</si>
  <si>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</si>
  <si>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</si>
  <si>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</si>
  <si>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</si>
  <si>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</si>
  <si>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</si>
  <si>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</si>
  <si>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</si>
  <si>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</si>
  <si>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</si>
  <si>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</si>
  <si>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</si>
  <si>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</si>
  <si>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</si>
  <si>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</si>
  <si>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</si>
  <si>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</si>
  <si>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</si>
  <si>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</si>
  <si>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</si>
  <si>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</si>
  <si>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</si>
  <si>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</si>
  <si>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</si>
  <si>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</si>
  <si>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</si>
  <si>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</si>
  <si>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</si>
  <si>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</si>
  <si>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</si>
  <si>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</si>
  <si>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</si>
  <si>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</si>
  <si>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</si>
  <si>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</si>
  <si>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</si>
  <si>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</si>
  <si>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</si>
  <si>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</si>
  <si>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</si>
  <si>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</si>
  <si>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</si>
  <si>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</si>
  <si>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</si>
  <si>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</si>
  <si>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</si>
  <si>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</si>
  <si>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</si>
  <si>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</si>
  <si>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</si>
  <si>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</si>
  <si>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</si>
  <si>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</si>
  <si>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</si>
  <si>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</si>
  <si>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</si>
  <si>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</si>
  <si>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</si>
  <si>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</si>
  <si>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</si>
  <si>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</si>
  <si>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</si>
  <si>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</si>
  <si>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</si>
  <si>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</si>
  <si>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</si>
  <si>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</si>
  <si>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</si>
  <si>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</si>
  <si>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</si>
  <si>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</si>
  <si>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</si>
  <si>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</si>
  <si>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</si>
  <si>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</si>
  <si>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</si>
  <si>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</si>
  <si>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</si>
  <si>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</si>
  <si>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</si>
  <si>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</si>
  <si>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</si>
  <si>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</si>
  <si>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</si>
  <si>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</si>
  <si>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</si>
  <si>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</si>
  <si>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</si>
  <si>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</si>
  <si>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</si>
  <si>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</si>
  <si>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</si>
  <si>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</si>
  <si>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</si>
  <si>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</si>
  <si>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</si>
  <si>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</si>
  <si>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</si>
  <si>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</si>
  <si>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</si>
  <si>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</si>
  <si>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</si>
  <si>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</si>
  <si>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</si>
  <si>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</si>
  <si>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</si>
  <si>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</si>
  <si>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</si>
  <si>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</si>
  <si>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</si>
  <si>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</si>
  <si>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</si>
  <si>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</si>
  <si>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</si>
  <si>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</si>
  <si>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</si>
  <si>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</si>
  <si>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</si>
  <si>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</si>
  <si>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</si>
  <si>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</si>
  <si>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</si>
  <si>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</si>
  <si>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</si>
  <si>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</si>
  <si>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</si>
  <si>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</si>
  <si>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</si>
  <si>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</si>
  <si>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</si>
  <si>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</si>
  <si>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</si>
  <si>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</si>
  <si>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</si>
  <si>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</si>
  <si>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</si>
  <si>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</si>
  <si>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</si>
  <si>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</si>
  <si>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</si>
  <si>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</si>
  <si>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</si>
  <si>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</si>
  <si>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</si>
  <si>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</si>
  <si>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</si>
  <si>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</si>
  <si>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</si>
  <si>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</si>
  <si>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</si>
  <si>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</si>
  <si>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</si>
  <si>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</si>
  <si>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</si>
  <si>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</si>
  <si>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</si>
  <si>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</si>
  <si>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</si>
  <si>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</si>
  <si>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</si>
  <si>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</si>
  <si>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</si>
  <si>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</si>
  <si>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</si>
  <si>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</si>
  <si>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</si>
  <si>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</si>
  <si>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</si>
  <si>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</si>
  <si>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</si>
  <si>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</si>
  <si>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</si>
  <si>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</si>
  <si>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</si>
  <si>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</si>
  <si>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</si>
  <si>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</si>
  <si>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</si>
  <si>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</si>
  <si>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</si>
  <si>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</si>
  <si>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</si>
  <si>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</si>
  <si>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</si>
  <si>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</si>
  <si>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</si>
  <si>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</si>
  <si>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</si>
  <si>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</si>
  <si>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</si>
  <si>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</si>
  <si>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</si>
  <si>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</si>
  <si>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</si>
  <si>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</si>
  <si>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</si>
  <si>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</si>
  <si>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</si>
  <si>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</si>
  <si>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</si>
  <si>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</si>
  <si>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</si>
  <si>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</si>
  <si>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</si>
  <si>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</si>
  <si>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</si>
  <si>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</si>
  <si>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</si>
  <si>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</si>
  <si>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</si>
  <si>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</si>
  <si>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</si>
  <si>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</si>
  <si>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</si>
  <si>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</si>
  <si>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</si>
  <si>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</si>
  <si>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</si>
  <si>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</si>
  <si>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</si>
  <si>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</si>
  <si>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</si>
  <si>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</si>
  <si>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</si>
  <si>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</si>
  <si>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</si>
  <si>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</si>
  <si>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</si>
  <si>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</si>
  <si>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</si>
  <si>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</si>
  <si>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</si>
  <si>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</si>
  <si>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</si>
  <si>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</si>
  <si>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</si>
  <si>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</si>
  <si>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</si>
  <si>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</si>
  <si>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</si>
  <si>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</si>
  <si>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</si>
  <si>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</si>
  <si>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</si>
  <si>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</si>
  <si>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</si>
  <si>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</si>
  <si>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</si>
  <si>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</si>
  <si>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</si>
  <si>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</si>
  <si>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</si>
  <si>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</si>
  <si>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</si>
  <si>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</si>
  <si>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</si>
  <si>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</si>
  <si>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</si>
  <si>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</si>
  <si>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</si>
  <si>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</si>
  <si>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</si>
  <si>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</si>
  <si>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</si>
  <si>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</si>
  <si>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</si>
  <si>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</si>
  <si>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</si>
  <si>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</si>
  <si>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</si>
  <si>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</si>
  <si>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</si>
  <si>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</si>
  <si>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</si>
  <si>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</si>
  <si>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</si>
  <si>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</si>
  <si>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</si>
  <si>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</si>
  <si>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</si>
  <si>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</si>
  <si>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</si>
  <si>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</si>
  <si>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</si>
  <si>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</si>
  <si>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</si>
  <si>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</si>
  <si>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</si>
  <si>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</si>
  <si>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</si>
  <si>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</si>
  <si>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</si>
  <si>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</si>
  <si>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</si>
  <si>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</si>
  <si>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</si>
  <si>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</si>
  <si>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</si>
  <si>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</si>
  <si>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</si>
  <si>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</si>
  <si>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</si>
  <si>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</si>
  <si>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</si>
  <si>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</si>
  <si>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</si>
  <si>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</si>
  <si>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</si>
  <si>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</si>
  <si>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</si>
  <si>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</si>
  <si>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</si>
  <si>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</si>
  <si>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</si>
  <si>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</si>
  <si>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</si>
  <si>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</si>
  <si>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</si>
  <si>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</si>
  <si>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</si>
  <si>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</si>
  <si>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</si>
  <si>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</si>
  <si>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</si>
  <si>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</si>
  <si>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</si>
  <si>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</si>
  <si>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</si>
  <si>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</si>
  <si>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</si>
  <si>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</si>
  <si>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</si>
  <si>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</si>
  <si>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</si>
  <si>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</si>
  <si>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</si>
  <si>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</si>
  <si>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</si>
  <si>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</si>
  <si>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</si>
  <si>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</si>
  <si>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</si>
  <si>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</si>
  <si>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</si>
  <si>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</si>
  <si>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</si>
  <si>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</si>
  <si>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</si>
  <si>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</si>
  <si>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</si>
  <si>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</si>
  <si>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</si>
  <si>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</si>
  <si>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</si>
  <si>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</si>
  <si>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</si>
  <si>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</si>
  <si>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</si>
  <si>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</si>
  <si>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</si>
  <si>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</si>
  <si>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</si>
  <si>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</si>
  <si>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</si>
  <si>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</si>
  <si>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</si>
  <si>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</si>
  <si>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</si>
  <si>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</si>
  <si>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</si>
  <si>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</si>
  <si>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</si>
  <si>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</si>
  <si>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</si>
  <si>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</si>
  <si>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</si>
  <si>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</si>
  <si>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</si>
  <si>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</si>
  <si>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</si>
  <si>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</si>
  <si>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</si>
  <si>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</si>
  <si>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</si>
  <si>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</si>
  <si>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</si>
  <si>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</si>
  <si>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</si>
  <si>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</si>
  <si>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</si>
  <si>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</si>
  <si>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</si>
  <si>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</si>
  <si>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</si>
  <si>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</si>
  <si>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</si>
  <si>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</si>
  <si>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</si>
  <si>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</si>
  <si>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</si>
  <si>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</si>
  <si>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</si>
  <si>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</si>
  <si>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</si>
  <si>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</si>
  <si>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</si>
  <si>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</si>
  <si>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</si>
  <si>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</si>
  <si>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</si>
  <si>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</si>
  <si>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</si>
  <si>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</si>
  <si>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</si>
  <si>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</si>
  <si>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</si>
  <si>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</si>
  <si>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</si>
  <si>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</si>
  <si>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</si>
  <si>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</si>
  <si>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</si>
  <si>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</si>
  <si>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</si>
  <si>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</si>
  <si>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</si>
  <si>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</si>
  <si>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</si>
  <si>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</si>
  <si>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</si>
  <si>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</si>
  <si>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</si>
  <si>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</si>
  <si>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</si>
  <si>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</si>
  <si>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</si>
  <si>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</si>
  <si>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</si>
  <si>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</si>
  <si>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</si>
  <si>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</si>
  <si>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</si>
  <si>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</si>
  <si>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</si>
  <si>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</si>
  <si>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</si>
  <si>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</si>
  <si>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</si>
  <si>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</si>
  <si>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</si>
  <si>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</si>
  <si>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</si>
  <si>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</si>
  <si>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</si>
  <si>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</si>
  <si>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</si>
  <si>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</si>
  <si>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</si>
  <si>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</si>
  <si>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</si>
  <si>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</si>
  <si>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</si>
  <si>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</si>
  <si>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</si>
  <si>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</si>
  <si>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</si>
  <si>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</si>
  <si>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</si>
  <si>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</si>
  <si>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</si>
  <si>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</si>
  <si>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</si>
  <si>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</si>
  <si>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</si>
  <si>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</si>
  <si>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</si>
  <si>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</si>
  <si>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</si>
  <si>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</si>
  <si>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</si>
  <si>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</si>
  <si>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</si>
  <si>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</si>
  <si>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</si>
  <si>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</si>
  <si>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</si>
  <si>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</si>
  <si>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</si>
  <si>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</si>
  <si>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</si>
  <si>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</si>
  <si>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</si>
  <si>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</si>
  <si>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</si>
  <si>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</si>
  <si>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</si>
  <si>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</si>
  <si>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</si>
  <si>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</si>
  <si>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</si>
  <si>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</si>
  <si>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</si>
  <si>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</si>
  <si>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</si>
  <si>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</si>
  <si>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</si>
  <si>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</si>
  <si>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</si>
  <si>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</si>
  <si>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</si>
  <si>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</si>
  <si>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</si>
  <si>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</si>
  <si>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</si>
  <si>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</si>
  <si>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</si>
  <si>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</si>
  <si>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</si>
  <si>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</si>
  <si>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</si>
  <si>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</si>
  <si>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</si>
  <si>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</si>
  <si>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</si>
  <si>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</si>
  <si>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</si>
  <si>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</si>
  <si>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</si>
  <si>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</si>
  <si>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</si>
  <si>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</si>
  <si>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</si>
  <si>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</si>
  <si>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</si>
  <si>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</si>
  <si>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</si>
  <si>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</si>
  <si>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</si>
  <si>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</si>
  <si>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</si>
  <si>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</si>
  <si>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</si>
  <si>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</si>
  <si>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</si>
  <si>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</si>
  <si>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</si>
  <si>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</si>
  <si>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</si>
  <si>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</si>
  <si>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</si>
  <si>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</si>
  <si>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</si>
  <si>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</si>
  <si>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</si>
  <si>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</si>
  <si>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</si>
  <si>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</si>
  <si>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</si>
  <si>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</si>
  <si>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</si>
  <si>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</si>
  <si>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</si>
  <si>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</si>
  <si>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</si>
  <si>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</si>
  <si>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</si>
  <si>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</si>
  <si>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</si>
  <si>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</si>
  <si>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</si>
  <si>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</si>
  <si>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</si>
  <si>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</si>
  <si>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</si>
  <si>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</si>
  <si>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</si>
  <si>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</si>
  <si>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</si>
  <si>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</si>
  <si>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</si>
  <si>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</si>
  <si>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</si>
  <si>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</si>
  <si>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</si>
  <si>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</si>
  <si>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</si>
  <si>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</si>
  <si>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</si>
  <si>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</si>
  <si>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</si>
  <si>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</si>
  <si>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</si>
  <si>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</si>
  <si>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</si>
  <si>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</si>
  <si>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</si>
  <si>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</si>
  <si>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</si>
  <si>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</si>
  <si>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</si>
  <si>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</si>
  <si>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</si>
  <si>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</si>
  <si>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</si>
  <si>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</si>
  <si>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</si>
  <si>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</si>
  <si>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</si>
  <si>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</si>
  <si>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</si>
  <si>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</si>
  <si>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</si>
  <si>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</si>
  <si>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</si>
  <si>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</si>
  <si>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</si>
  <si>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</si>
  <si>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</si>
  <si>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</si>
  <si>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</si>
  <si>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</si>
  <si>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</si>
  <si>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</si>
  <si>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</si>
  <si>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</si>
  <si>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</si>
  <si>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</si>
  <si>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</si>
  <si>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</si>
  <si>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</si>
  <si>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</si>
  <si>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</si>
  <si>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</si>
  <si>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</si>
  <si>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</si>
  <si>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</si>
  <si>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</si>
  <si>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</si>
  <si>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</si>
  <si>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</si>
  <si>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</si>
  <si>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</si>
  <si>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</si>
  <si>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</si>
  <si>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</si>
  <si>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</si>
  <si>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</si>
  <si>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</si>
  <si>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</si>
  <si>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</si>
  <si>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</si>
  <si>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</si>
  <si>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</si>
  <si>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</si>
  <si>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</si>
  <si>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</si>
  <si>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</si>
  <si>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</si>
  <si>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</si>
  <si>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</si>
  <si>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</si>
  <si>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</si>
  <si>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</si>
  <si>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</si>
  <si>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</si>
  <si>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</si>
  <si>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</si>
  <si>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</si>
  <si>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</si>
  <si>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</si>
  <si>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</si>
  <si>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</si>
  <si>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</si>
  <si>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</si>
  <si>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</si>
  <si>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</si>
  <si>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</si>
  <si>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</si>
  <si>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</si>
  <si>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</si>
  <si>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</si>
  <si>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</si>
  <si>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</si>
  <si>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</si>
  <si>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</si>
  <si>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</si>
  <si>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</si>
  <si>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</si>
  <si>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</si>
  <si>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</si>
  <si>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</si>
  <si>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</si>
  <si>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</si>
  <si>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</si>
  <si>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</si>
  <si>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</si>
  <si>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</si>
  <si>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</si>
  <si>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</si>
  <si>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</si>
  <si>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</si>
  <si>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</si>
  <si>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</si>
  <si>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</si>
  <si>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</si>
  <si>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</si>
  <si>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</si>
  <si>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</si>
  <si>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</si>
  <si>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</si>
  <si>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</si>
  <si>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</si>
  <si>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</si>
  <si>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</si>
  <si>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</si>
  <si>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</si>
  <si>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</si>
  <si>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</si>
  <si>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</si>
  <si>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</si>
  <si>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</si>
  <si>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</si>
  <si>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</si>
  <si>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</si>
  <si>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</si>
  <si>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</si>
  <si>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</si>
  <si>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</si>
  <si>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</si>
  <si>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</si>
  <si>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</si>
  <si>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</si>
  <si>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</si>
  <si>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</si>
  <si>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</si>
  <si>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</si>
  <si>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</si>
  <si>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</si>
  <si>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</si>
  <si>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</si>
  <si>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</si>
  <si>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</si>
  <si>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</si>
  <si>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</si>
  <si>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</si>
  <si>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</si>
  <si>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</si>
  <si>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</si>
  <si>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</si>
  <si>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</si>
  <si>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</si>
  <si>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</si>
  <si>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</si>
  <si>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</si>
  <si>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</si>
  <si>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</si>
  <si>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</si>
  <si>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</si>
  <si>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</si>
  <si>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</si>
  <si>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</si>
  <si>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</si>
  <si>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</si>
  <si>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</si>
  <si>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</si>
  <si>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</si>
  <si>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</si>
  <si>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</si>
  <si>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</si>
  <si>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</si>
  <si>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</si>
  <si>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</si>
  <si>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</si>
  <si>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</si>
  <si>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</si>
  <si>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</si>
  <si>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</si>
  <si>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</si>
  <si>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</si>
  <si>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</si>
  <si>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</si>
  <si>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</si>
  <si>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</si>
  <si>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</si>
  <si>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</si>
  <si>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</si>
  <si>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</si>
  <si>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</si>
  <si>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</si>
  <si>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</si>
  <si>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</si>
  <si>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</si>
  <si>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</si>
  <si>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</si>
  <si>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</si>
  <si>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</si>
  <si>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</si>
  <si>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</si>
  <si>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</si>
  <si>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</si>
  <si>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</si>
  <si>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</si>
  <si>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</si>
  <si>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</si>
  <si>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</si>
  <si>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</si>
  <si>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</si>
  <si>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</si>
  <si>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</si>
  <si>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</si>
  <si>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</si>
  <si>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</si>
  <si>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</si>
  <si>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</si>
  <si>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</si>
  <si>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</si>
  <si>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</si>
  <si>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</si>
  <si>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</si>
  <si>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</si>
  <si>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</si>
  <si>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</si>
  <si>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</si>
  <si>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</si>
  <si>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</si>
  <si>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</si>
  <si>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</si>
  <si>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</si>
  <si>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</si>
  <si>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</si>
  <si>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</si>
  <si>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</si>
  <si>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</si>
  <si>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</si>
  <si>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</si>
  <si>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</si>
  <si>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</si>
  <si>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</si>
  <si>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</si>
  <si>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</si>
  <si>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</si>
  <si>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</si>
  <si>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</si>
  <si>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</si>
  <si>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</si>
  <si>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</si>
  <si>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</si>
  <si>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</si>
  <si>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</si>
  <si>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</si>
  <si>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</si>
  <si>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</si>
  <si>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</si>
  <si>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</si>
  <si>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</si>
  <si>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</si>
  <si>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</si>
  <si>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</si>
  <si>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</si>
  <si>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</si>
  <si>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</si>
  <si>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</si>
  <si>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</si>
  <si>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</si>
  <si>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</si>
  <si>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</si>
  <si>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</si>
  <si>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</si>
  <si>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</si>
  <si>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</si>
  <si>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</si>
  <si>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</si>
  <si>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</si>
  <si>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</si>
  <si>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</si>
  <si>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</si>
  <si>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</si>
  <si>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</si>
  <si>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</si>
  <si>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</si>
  <si>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</si>
  <si>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</si>
  <si>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</si>
  <si>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</si>
  <si>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</si>
  <si>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</si>
  <si>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</si>
  <si>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</si>
  <si>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</si>
  <si>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</si>
  <si>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</si>
  <si>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</si>
  <si>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</si>
  <si>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</si>
  <si>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</si>
  <si>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</si>
  <si>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</si>
  <si>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</si>
  <si>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</si>
  <si>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</si>
  <si>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</si>
  <si>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</si>
  <si>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</si>
  <si>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</si>
  <si>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</si>
  <si>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</si>
  <si>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</si>
  <si>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</si>
  <si>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</si>
  <si>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</si>
  <si>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</si>
  <si>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</si>
  <si>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</si>
  <si>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</si>
  <si>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</si>
  <si>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</si>
  <si>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</si>
  <si>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</si>
  <si>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</si>
  <si>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</si>
  <si>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</si>
  <si>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</si>
  <si>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</si>
  <si>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</si>
  <si>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</si>
  <si>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</si>
  <si>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</si>
  <si>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</si>
  <si>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</si>
  <si>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</si>
  <si>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</si>
  <si>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</si>
  <si>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</si>
  <si>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</si>
  <si>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</si>
  <si>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</si>
  <si>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</si>
  <si>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</si>
  <si>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</si>
  <si>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</si>
  <si>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</si>
  <si>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</si>
  <si>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</si>
  <si>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</si>
  <si>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</si>
  <si>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</si>
  <si>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</si>
  <si>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</si>
  <si>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</si>
  <si>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</si>
  <si>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</si>
  <si>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</si>
  <si>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</si>
  <si>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</si>
  <si>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</si>
  <si>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</si>
  <si>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</si>
  <si>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</si>
  <si>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</si>
  <si>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</si>
  <si>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</si>
  <si>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</si>
  <si>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</si>
  <si>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</si>
  <si>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</si>
  <si>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</si>
  <si>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</si>
  <si>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</si>
  <si>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</si>
  <si>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</si>
  <si>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</si>
  <si>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</si>
  <si>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</si>
  <si>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</si>
  <si>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</si>
  <si>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</si>
  <si>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</si>
  <si>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</si>
  <si>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</si>
  <si>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</si>
  <si>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</si>
  <si>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</si>
  <si>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</si>
  <si>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</si>
  <si>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</si>
  <si>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</si>
  <si>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</si>
  <si>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</si>
  <si>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</si>
  <si>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</si>
  <si>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</si>
  <si>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</si>
  <si>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</si>
  <si>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</si>
  <si>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</si>
  <si>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</si>
  <si>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</si>
  <si>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</si>
  <si>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</si>
  <si>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</si>
  <si>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</si>
  <si>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</si>
  <si>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</si>
  <si>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</si>
  <si>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</si>
  <si>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</si>
  <si>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</si>
  <si>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</si>
  <si>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</si>
  <si>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</si>
  <si>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</si>
  <si>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</si>
  <si>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</si>
  <si>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</si>
  <si>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</si>
  <si>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</si>
  <si>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</si>
  <si>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</si>
  <si>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</si>
  <si>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</si>
  <si>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</si>
  <si>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</si>
  <si>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</si>
  <si>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</si>
  <si>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</si>
  <si>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</si>
  <si>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</si>
  <si>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</si>
  <si>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</si>
  <si>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</si>
  <si>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</si>
  <si>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</si>
  <si>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</si>
  <si>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</si>
  <si>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</si>
  <si>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</si>
  <si>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</si>
  <si>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</si>
  <si>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</si>
  <si>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</si>
  <si>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</si>
  <si>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</si>
  <si>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</si>
  <si>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</si>
  <si>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</si>
  <si>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</si>
  <si>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</si>
  <si>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</si>
  <si>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</si>
  <si>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</si>
  <si>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</si>
  <si>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</si>
  <si>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</si>
  <si>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</si>
  <si>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</si>
  <si>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</si>
  <si>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</si>
  <si>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</si>
  <si>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</si>
  <si>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</si>
  <si>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</si>
  <si>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</si>
  <si>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</si>
  <si>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</si>
  <si>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</si>
  <si>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</si>
  <si>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</si>
  <si>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</si>
  <si>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</si>
  <si>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</si>
  <si>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</si>
  <si>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</si>
  <si>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</si>
  <si>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</si>
  <si>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</si>
  <si>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</si>
  <si>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</si>
  <si>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</si>
  <si>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</si>
  <si>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</si>
  <si>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</si>
  <si>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</si>
  <si>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</si>
  <si>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</si>
  <si>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</si>
  <si>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</si>
  <si>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</si>
  <si>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</si>
  <si>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</si>
  <si>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</si>
  <si>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</si>
  <si>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</si>
  <si>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</si>
  <si>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</si>
  <si>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</si>
  <si>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</si>
  <si>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</si>
  <si>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</si>
  <si>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</si>
  <si>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</si>
  <si>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</si>
  <si>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</si>
  <si>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</si>
  <si>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</si>
  <si>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</si>
  <si>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</si>
  <si>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</si>
  <si>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</si>
  <si>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</si>
  <si>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</si>
  <si>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</si>
  <si>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</si>
  <si>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</si>
  <si>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</si>
  <si>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</si>
  <si>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</si>
  <si>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</si>
  <si>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</si>
  <si>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</si>
  <si>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</si>
  <si>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</si>
  <si>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</si>
  <si>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</si>
  <si>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</si>
  <si>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</si>
  <si>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</si>
  <si>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</si>
  <si>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</si>
  <si>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</si>
  <si>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</si>
  <si>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</si>
  <si>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</si>
  <si>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</si>
  <si>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</si>
  <si>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</si>
  <si>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</si>
  <si>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</si>
  <si>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</si>
  <si>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</si>
  <si>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</si>
  <si>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</si>
  <si>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</si>
  <si>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</si>
  <si>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</si>
  <si>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</si>
  <si>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</si>
  <si>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</si>
  <si>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</si>
  <si>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</si>
  <si>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</si>
  <si>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</si>
  <si>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</si>
  <si>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</si>
  <si>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</si>
  <si>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</si>
  <si>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</si>
  <si>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</si>
  <si>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</si>
  <si>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</si>
  <si>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</si>
  <si>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</si>
  <si>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</si>
  <si>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</si>
  <si>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</si>
  <si>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</si>
  <si>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</si>
  <si>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</si>
  <si>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</si>
  <si>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</si>
  <si>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</si>
  <si>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</si>
  <si>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</si>
  <si>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</si>
  <si>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</si>
  <si>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</si>
  <si>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</si>
  <si>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</si>
  <si>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</si>
  <si>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</si>
  <si>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</si>
  <si>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</si>
  <si>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</si>
  <si>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</si>
  <si>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</si>
  <si>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</si>
  <si>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</si>
  <si>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</si>
  <si>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</si>
  <si>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</si>
  <si>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</si>
  <si>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</si>
  <si>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</si>
  <si>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</si>
  <si>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</si>
  <si>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</si>
  <si>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</si>
  <si>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</si>
  <si>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</si>
  <si>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</si>
  <si>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</si>
  <si>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</si>
  <si>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</si>
  <si>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</si>
  <si>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</si>
  <si>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</si>
  <si>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</si>
  <si>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</si>
  <si>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</si>
  <si>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</si>
  <si>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</si>
  <si>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</si>
  <si>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</si>
  <si>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</si>
  <si>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</si>
  <si>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</si>
  <si>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</si>
  <si>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</si>
  <si>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</si>
  <si>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</si>
  <si>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</si>
  <si>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</si>
  <si>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</si>
  <si>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</si>
  <si>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</si>
  <si>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</si>
  <si>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</si>
  <si>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</si>
  <si>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 xml:space="preserve"> NE AFN MGA BSD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</si>
</sst>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8">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2.45029690981724E-15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-1.3721662694976544E-14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-27.999999999999986</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P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2">
      <c r="B2" s="4" t="s">
        <v>91</v>
      </c>
      <c r="D2" t="s">
        <v>7</v>
      </c>
      <c r="F2" t="s">
        <v>132</v>
      </c>
      <c r="H2" t="s">
        <v>97</v>
      </c>
      <c r="J2" t="s">
        <v>394</v>
      </c>
      <c r="L2" t="s">
        <v>99</v>
      </c>
      <c r="N2" t="s">
        <v>98</v>
      </c>
      <c r="P2" t="s">
        <v>1637</v>
      </c>
      <c r="R2" t="s">
        <v>2677</v>
      </c>
      <c r="T2" t="s">
        <v>100</v>
      </c>
      <c r="V2" t="s">
        <v>101</v>
      </c>
      <c r="X2" t="s">
        <v>103</v>
      </c>
      <c r="Z2" t="s">
        <v>2297</v>
      </c>
      <c r="AB2" t="s">
        <v>105</v>
      </c>
      <c r="AD2" t="s">
        <v>715</v>
      </c>
      <c r="AF2" t="s">
        <v>1670</v>
      </c>
      <c r="AH2" t="s">
        <v>2247</v>
      </c>
      <c r="AJ2" t="s">
        <v>173</v>
      </c>
      <c r="AL2" t="s">
        <v>106</v>
      </c>
      <c r="AN2" t="s">
        <v>2037</v>
      </c>
    </row>
    <row r="4" spans="2:42">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row>
    <row r="5" spans="2:42">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row>
    <row r="6" spans="2:42">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row>
    <row r="7" spans="2:42">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row>
    <row r="9" spans="2:42">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row>
    <row r="10" spans="2:42">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row>
    <row r="11" spans="2:42">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row>
    <row r="12" spans="2:42">
      <c r="B12" s="4" t="s">
        <v>114</v>
      </c>
      <c r="J12">
        <f xml:space="preserve"> _xlfn.SINGLE(Circles.SVG_Radius_3) * 5 / 6</f>
        <v>5</v>
      </c>
      <c r="AF12">
        <v>1</v>
      </c>
      <c r="AJ12">
        <f xml:space="preserve"> _xlfn.SINGLE(Circles.SVG_Radius_3) * SqrtHalf</f>
        <v>0.70710678118654757</v>
      </c>
    </row>
    <row r="14" spans="2:42">
      <c r="B14" s="4" t="s">
        <v>108</v>
      </c>
      <c r="D14" t="s">
        <v>717</v>
      </c>
      <c r="F14" t="s">
        <v>720</v>
      </c>
      <c r="H14" t="s">
        <v>719</v>
      </c>
      <c r="J14" t="s">
        <v>726</v>
      </c>
      <c r="L14" t="s">
        <v>723</v>
      </c>
      <c r="N14" t="s">
        <v>724</v>
      </c>
      <c r="P14" t="s">
        <v>726</v>
      </c>
      <c r="R14" t="s">
        <v>2678</v>
      </c>
      <c r="T14" t="s">
        <v>728</v>
      </c>
      <c r="V14" t="s">
        <v>728</v>
      </c>
      <c r="X14" t="s">
        <v>720</v>
      </c>
      <c r="Z14" t="str">
        <f t="shared" ref="Z14" si="6" xml:space="preserve"> $X14</f>
        <v>fill='#DA291C'</v>
      </c>
      <c r="AB14" t="s">
        <v>734</v>
      </c>
      <c r="AD14" t="s">
        <v>735</v>
      </c>
      <c r="AF14" t="s">
        <v>1671</v>
      </c>
      <c r="AH14" t="s">
        <v>2248</v>
      </c>
      <c r="AJ14" t="s">
        <v>725</v>
      </c>
      <c r="AL14" t="s">
        <v>726</v>
      </c>
      <c r="AN14" t="s">
        <v>2038</v>
      </c>
    </row>
    <row r="15" spans="2:42">
      <c r="B15" s="4" t="s">
        <v>109</v>
      </c>
      <c r="D15" t="str">
        <f xml:space="preserve"> "fill='#FFF'"</f>
        <v>fill='#FFF'</v>
      </c>
      <c r="H15" t="s">
        <v>718</v>
      </c>
      <c r="L15" t="s">
        <v>722</v>
      </c>
      <c r="N15" t="s">
        <v>2087</v>
      </c>
      <c r="P15" t="s">
        <v>1638</v>
      </c>
      <c r="R15" t="s">
        <v>2679</v>
      </c>
      <c r="T15" t="s">
        <v>730</v>
      </c>
      <c r="V15" t="s">
        <v>2087</v>
      </c>
      <c r="X15" t="s">
        <v>732</v>
      </c>
      <c r="Z15" s="28" t="s">
        <v>2300</v>
      </c>
      <c r="AB15" t="s">
        <v>2128</v>
      </c>
      <c r="AF15" t="s">
        <v>1673</v>
      </c>
      <c r="AH15" t="s">
        <v>2087</v>
      </c>
      <c r="AL15" t="s">
        <v>2087</v>
      </c>
      <c r="AN15" t="s">
        <v>2087</v>
      </c>
    </row>
    <row r="16" spans="2:42">
      <c r="B16" s="4" t="s">
        <v>110</v>
      </c>
      <c r="L16" t="s">
        <v>721</v>
      </c>
      <c r="N16" t="s">
        <v>727</v>
      </c>
      <c r="P16" t="s">
        <v>1639</v>
      </c>
      <c r="R16" t="str">
        <f xml:space="preserve"> _xlfn.SINGLE(Circles.SVG_Painting_3)</f>
        <v>fill='#E05206'</v>
      </c>
      <c r="T16" t="s">
        <v>731</v>
      </c>
      <c r="V16" t="str">
        <f xml:space="preserve"> _xlfn.SINGLE(Circles.SVG_Painting_3)</f>
        <v>fill='#C8102E'</v>
      </c>
      <c r="AB16" t="s">
        <v>2087</v>
      </c>
      <c r="AH16" t="s">
        <v>2249</v>
      </c>
      <c r="AL16" t="s">
        <v>737</v>
      </c>
      <c r="AN16" t="s">
        <v>2039</v>
      </c>
    </row>
    <row r="17" spans="2:42">
      <c r="B17" s="4" t="s">
        <v>107</v>
      </c>
      <c r="F17" t="s">
        <v>2087</v>
      </c>
      <c r="J17" t="s">
        <v>720</v>
      </c>
      <c r="AD17" t="s">
        <v>736</v>
      </c>
      <c r="AF17" t="s">
        <v>1672</v>
      </c>
      <c r="AJ17" t="s">
        <v>2087</v>
      </c>
    </row>
    <row r="20" spans="2:42">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row>
    <row r="23" spans="2:42">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205</v>
      </c>
      <c r="T23" cm="1">
        <f t="array" ref="T23" xml:space="preserve"> SVG_length(T$25:T$31)</f>
        <v>196</v>
      </c>
      <c r="V23" cm="1">
        <f t="array" ref="V23" xml:space="preserve"> SVG_length(V$25:V$31)</f>
        <v>202</v>
      </c>
      <c r="X23" cm="1">
        <f t="array" ref="X23" xml:space="preserve"> SVG_length(X$25:X$31)</f>
        <v>168</v>
      </c>
      <c r="Z23" cm="1">
        <f t="array" ref="Z23" xml:space="preserve"> SVG_length(Z$25:Z$31)</f>
        <v>165</v>
      </c>
      <c r="AB23" cm="1">
        <f t="array" ref="AB23" xml:space="preserve"> SVG_length(AB$25:AB$31)</f>
        <v>187</v>
      </c>
      <c r="AD23" cm="1">
        <f t="array" ref="AD23" xml:space="preserve"> SVG_length(AD$25:AD$31)</f>
        <v>221</v>
      </c>
      <c r="AF23" cm="1">
        <f t="array" ref="AF23" xml:space="preserve"> SVG_length(AF$25:AF$31)</f>
        <v>235</v>
      </c>
      <c r="AH23" cm="1">
        <f t="array" ref="AH23" xml:space="preserve"> SVG_length(AH$25:AH$31)</f>
        <v>196</v>
      </c>
      <c r="AJ23" cm="1">
        <f t="array" ref="AJ23" xml:space="preserve"> SVG_length(AJ$25:AJ$31)</f>
        <v>200</v>
      </c>
      <c r="AL23" cm="1">
        <f t="array" ref="AL23" xml:space="preserve"> SVG_length(AL$25:AL$31)</f>
        <v>187</v>
      </c>
      <c r="AN23" cm="1">
        <f t="array" ref="AN23" xml:space="preserve"> SVG_length(AN$25:AN$31)</f>
        <v>196</v>
      </c>
    </row>
    <row r="24" spans="2:42" ht="17" thickBot="1">
      <c r="B24" s="6" t="s">
        <v>94</v>
      </c>
    </row>
    <row r="25" spans="2:42">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O25" s="18" t="str">
        <f t="shared" ref="AO25" si="7" xml:space="preserve"> ""</f>
        <v/>
      </c>
      <c r="AP25" s="19"/>
    </row>
    <row r="26" spans="2:42">
      <c r="C26" s="20"/>
      <c r="D26" s="21" t="str">
        <f xml:space="preserve"> IF(_xlfn.SINGLE(Circles.SVG_Radius_3)&lt;&gt;0, "&lt;circle " &amp; _xlfn.SINGLE(Circles.SVG_Painting_3) &amp; " r='" &amp; ROUND(_xlfn.SINGLE(Circles.SVG_Radius_3), DecimalPlaces) &amp; "'/&gt;", "")</f>
        <v>&lt;circle fill='#EF3340' r='3'/&gt;</v>
      </c>
      <c r="E26" s="21" t="str">
        <f t="shared" ref="E26:AO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fill='#E05206' r='27'/&gt;</v>
      </c>
      <c r="S26" s="21" t="str">
        <f t="shared" si="8"/>
        <v/>
      </c>
      <c r="T26" s="21" t="str">
        <f xml:space="preserve"> IF(_xlfn.SINGLE(Circles.SVG_Radius_3)&lt;&gt;0, "&lt;circle " &amp; _xlfn.SINGLE(Circles.SVG_Painting_3) &amp; " r='" &amp; ROUND(_xlfn.SINGLE(Circles.SVG_Radius_3), DecimalPlaces) &amp; "'/&gt;", "")</f>
        <v>&lt;circle fill='#C8102E' r='4'/&gt;</v>
      </c>
      <c r="U26" s="21" t="str">
        <f t="shared" si="8"/>
        <v/>
      </c>
      <c r="V26" s="21" t="str">
        <f xml:space="preserve"> IF(_xlfn.SINGLE(Circles.SVG_Radius_3)&lt;&gt;0, "&lt;circle " &amp; _xlfn.SINGLE(Circles.SVG_Painting_3) &amp; " r='" &amp; ROUND(_xlfn.SINGLE(Circles.SVG_Radius_3), DecimalPlaces) &amp; "'/&gt;", "")</f>
        <v>&lt;circle fill='#C8102E' r='27'/&gt;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fill='#DA291C' r='3'/&gt;</v>
      </c>
      <c r="AA26" s="21" t="str">
        <f t="shared" si="8"/>
        <v/>
      </c>
      <c r="AB26" s="21" t="str">
        <f xml:space="preserve"> IF(_xlfn.SINGLE(Circles.SVG_Radius_3)&lt;&gt;0, "&lt;circle " &amp; _xlfn.SINGLE(Circles.SVG_Painting_3) &amp; " r='" &amp; ROUND(_xlfn.SINGLE(Circles.SVG_Radius_3), DecimalPlaces) &amp; "'/&gt;", "")</f>
        <v>&lt;circle fill='#0072CE' r='27'/&gt;</v>
      </c>
      <c r="AC26" s="21" t="str">
        <f t="shared" si="8"/>
        <v/>
      </c>
      <c r="AD26" s="21" t="str">
        <f xml:space="preserve"> IF(_xlfn.SINGLE(Circles.SVG_Radius_3)&lt;&gt;0, "&lt;circle " &amp; _xlfn.SINGLE(Circles.SVG_Painting_3) &amp; " r='" &amp; ROUND(_xlfn.SINGLE(Circles.SVG_Radius_3), DecimalPlaces) &amp; "'/&gt;", "")</f>
        <v>&lt;circle fill='#215F8F' r='5'/&gt;</v>
      </c>
      <c r="AE26" s="21" t="str">
        <f t="shared" si="8"/>
        <v/>
      </c>
      <c r="AF26" s="21" t="str">
        <f xml:space="preserve"> IF(_xlfn.SINGLE(Circles.SVG_Radius_3)&lt;&gt;0, "&lt;circle " &amp; _xlfn.SINGLE(Circles.SVG_Painting_3) &amp; " r='" &amp; ROUND(_xlfn.SINGLE(Circles.SVG_Radius_3), DecimalPlaces) &amp; "'/&gt;", "")</f>
        <v>&lt;circle fill='#0046AE' r='5'/&gt;</v>
      </c>
      <c r="AG26" s="21" t="str">
        <f t="shared" si="8"/>
        <v/>
      </c>
      <c r="AH26" s="21" t="str">
        <f xml:space="preserve"> IF(_xlfn.SINGLE(Circles.SVG_Radius_3)&lt;&gt;0, "&lt;circle " &amp; _xlfn.SINGLE(Circles.SVG_Painting_3) &amp; " r='" &amp; ROUND(_xlfn.SINGLE(Circles.SVG_Radius_3), DecimalPlaces) &amp; "'/&gt;", "")</f>
        <v>&lt;circle fill='#273375' r='10'/&gt;</v>
      </c>
      <c r="AI26" s="21" t="str">
        <f t="shared" si="8"/>
        <v/>
      </c>
      <c r="AJ26" s="21" t="str">
        <f xml:space="preserve"> IF(_xlfn.SINGLE(Circles.SVG_Radius_3)&lt;&gt;0, "&lt;circle " &amp; _xlfn.SINGLE(Circles.SVG_Painting_3) &amp; " r='" &amp; ROUND(_xlfn.SINGLE(Circles.SVG_Radius_3), DecimalPlaces) &amp; "'/&gt;", "")</f>
        <v>&lt;circle fill='#1C3060' r='1'/&gt;</v>
      </c>
      <c r="AK26" s="21" t="str">
        <f t="shared" si="8"/>
        <v/>
      </c>
      <c r="AL26" s="21" t="str">
        <f xml:space="preserve"> IF(_xlfn.SINGLE(Circles.SVG_Radius_3)&lt;&gt;0, "&lt;circle " &amp; _xlfn.SINGLE(Circles.SVG_Painting_3) &amp; " r='" &amp; ROUND(_xlfn.SINGLE(Circles.SVG_Radius_3), DecimalPlaces) &amp; "'/&gt;", "")</f>
        <v>&lt;circle fill='black' r='27'/&gt;</v>
      </c>
      <c r="AM26" s="21" t="str">
        <f t="shared" si="8"/>
        <v/>
      </c>
      <c r="AN26" s="21" t="str">
        <f xml:space="preserve"> IF(_xlfn.SINGLE(Circles.SVG_Radius_3)&lt;&gt;0, "&lt;circle " &amp; _xlfn.SINGLE(Circles.SVG_Painting_3) &amp; " r='" &amp; ROUND(_xlfn.SINGLE(Circles.SVG_Radius_3), DecimalPlaces) &amp; "'/&gt;", "")</f>
        <v>&lt;circle fill='#EFBE20' r='10'/&gt;</v>
      </c>
      <c r="AO26" s="21" t="str">
        <f t="shared" si="8"/>
        <v/>
      </c>
      <c r="AP26" s="22"/>
    </row>
    <row r="27" spans="2:42">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fill='#0DB02B' r='19'/&gt;</v>
      </c>
      <c r="S27" s="21" t="str">
        <f t="shared" si="8"/>
        <v/>
      </c>
      <c r="T27" s="21" t="str">
        <f xml:space="preserve"> IF(_xlfn.SINGLE(Circles.SVG_Radius_2)&lt;&gt;0, "&lt;circle " &amp; _xlfn.SINGLE(Circles.SVG_Painting_2) &amp; " r='" &amp; ROUND(_xlfn.SINGLE(Circles.SVG_Radius_2), DecimalPlaces) &amp; "'/&gt;", "")</f>
        <v>&lt;circle fill='#003087' r='3'/&gt;</v>
      </c>
      <c r="U27" s="21" t="str">
        <f t="shared" si="8"/>
        <v/>
      </c>
      <c r="V27" s="21" t="str">
        <f xml:space="preserve"> IF(_xlfn.SINGLE(Circles.SVG_Radius_2)&lt;&gt;0, "&lt;circle " &amp; _xlfn.SINGLE(Circles.SVG_Painting_2) &amp; " r='" &amp; ROUND(_xlfn.SINGLE(Circles.SVG_Radius_2), DecimalPlaces) &amp; "'/&gt;", "")</f>
        <v>&lt;circle fill='#FFF' r='19'/&gt;</v>
      </c>
      <c r="W27" s="21" t="str">
        <f t="shared" si="8"/>
        <v/>
      </c>
      <c r="X27" s="21" t="str">
        <f xml:space="preserve"> IF(_xlfn.SINGLE(Circles.SVG_Radius_2)&lt;&gt;0, "&lt;circle " &amp; _xlfn.SINGLE(Circles.SVG_Painting_2) &amp; " r='" &amp; ROUND(_xlfn.SINGLE(Circles.SVG_Radius_2), DecimalPlaces) &amp; "'/&gt;", "")</f>
        <v>&lt;circle fill='#046A38' r='2'/&gt;</v>
      </c>
      <c r="Y27" s="21" t="str">
        <f t="shared" si="8"/>
        <v/>
      </c>
      <c r="Z27" s="21" t="str">
        <f xml:space="preserve"> IF(_xlfn.SINGLE(Circles.SVG_Radius_2)&lt;&gt;0, "&lt;circle " &amp; _xlfn.SINGLE(Circles.SVG_Painting_2) &amp; " r='" &amp; ROUND(_xlfn.SINGLE(Circles.SVG_Radius_2), DecimalPlaces) &amp; "'/&gt;", "")</f>
        <v>&lt;circle fill='#0F0' r='2'/&gt;</v>
      </c>
      <c r="AA27" s="21" t="str">
        <f t="shared" si="8"/>
        <v/>
      </c>
      <c r="AB27" s="21" t="str">
        <f xml:space="preserve"> IF(_xlfn.SINGLE(Circles.SVG_Radius_2)&lt;&gt;0, "&lt;circle " &amp; _xlfn.SINGLE(Circles.SVG_Painting_2) &amp; " r='" &amp; ROUND(_xlfn.SINGLE(Circles.SVG_Radius_2), DecimalPlaces) &amp; "'/&gt;", "")</f>
        <v>&lt;circle fill='#000' r='19'/&gt;</v>
      </c>
      <c r="AC27" s="21" t="str">
        <f t="shared" si="8"/>
        <v/>
      </c>
      <c r="AD27" s="21" t="str">
        <f xml:space="preserve"> IF(_xlfn.SINGLE(Circles.SVG_Radius_2)&lt;&gt;0, "&lt;circle " &amp; _xlfn.SINGLE(Circles.SVG_Painting_2) &amp; " r='" &amp; ROUND(_xlfn.SINGLE(Circles.SVG_Radius_2), DecimalPlaces) &amp; "'/&gt;", "")</f>
        <v/>
      </c>
      <c r="AE27" s="21" t="str">
        <f t="shared" si="8"/>
        <v/>
      </c>
      <c r="AF27" s="21" t="str">
        <f xml:space="preserve"> IF(_xlfn.SINGLE(Circles.SVG_Radius_2)&lt;&gt;0, "&lt;circle " &amp; _xlfn.SINGLE(Circles.SVG_Painting_2) &amp; " r='" &amp; ROUND(_xlfn.SINGLE(Circles.SVG_Radius_2), DecimalPlaces) &amp; "'/&gt;", "")</f>
        <v>&lt;circle fill='#FFD200' r='4'/&gt;</v>
      </c>
      <c r="AG27" s="21" t="str">
        <f t="shared" si="8"/>
        <v/>
      </c>
      <c r="AH27" s="21" t="str">
        <f xml:space="preserve"> IF(_xlfn.SINGLE(Circles.SVG_Radius_2)&lt;&gt;0, "&lt;circle " &amp; _xlfn.SINGLE(Circles.SVG_Painting_2) &amp; " r='" &amp; ROUND(_xlfn.SINGLE(Circles.SVG_Radius_2), DecimalPlaces) &amp; "'/&gt;", "")</f>
        <v>&lt;circle fill='#FFF' r='7'/&gt;</v>
      </c>
      <c r="AI27" s="21" t="str">
        <f t="shared" si="8"/>
        <v/>
      </c>
      <c r="AJ27" s="21" t="str">
        <f xml:space="preserve"> IF(_xlfn.SINGLE(Circles.SVG_Radius_2)&lt;&gt;0, "&lt;circle " &amp; _xlfn.SINGLE(Circles.SVG_Painting_2) &amp; " r='" &amp; ROUND(_xlfn.SINGLE(Circles.SVG_Radius_2), DecimalPlaces) &amp; "'/&gt;", "")</f>
        <v/>
      </c>
      <c r="AK27" s="21" t="str">
        <f t="shared" si="8"/>
        <v/>
      </c>
      <c r="AL27" s="21" t="str">
        <f xml:space="preserve"> IF(_xlfn.SINGLE(Circles.SVG_Radius_2)&lt;&gt;0, "&lt;circle " &amp; _xlfn.SINGLE(Circles.SVG_Painting_2) &amp; " r='" &amp; ROUND(_xlfn.SINGLE(Circles.SVG_Radius_2), DecimalPlaces) &amp; "'/&gt;", "")</f>
        <v>&lt;circle fill='#FFF' r='19'/&gt;</v>
      </c>
      <c r="AM27" s="21" t="str">
        <f t="shared" si="8"/>
        <v/>
      </c>
      <c r="AN27" s="21" t="str">
        <f xml:space="preserve"> IF(_xlfn.SINGLE(Circles.SVG_Radius_2)&lt;&gt;0, "&lt;circle " &amp; _xlfn.SINGLE(Circles.SVG_Painting_2) &amp; " r='" &amp; ROUND(_xlfn.SINGLE(Circles.SVG_Radius_2), DecimalPlaces) &amp; "'/&gt;", "")</f>
        <v>&lt;circle fill='#FFF' r='7'/&gt;</v>
      </c>
      <c r="AO27" s="21" t="str">
        <f t="shared" si="8"/>
        <v/>
      </c>
      <c r="AP27" s="22"/>
    </row>
    <row r="28" spans="2:42">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fill='#E05206' r='10'/&gt;</v>
      </c>
      <c r="S28" s="21" t="str">
        <f t="shared" si="8"/>
        <v/>
      </c>
      <c r="T28" s="21" t="str">
        <f xml:space="preserve"> IF(_xlfn.SINGLE(Circles.SVG_Radius_1)&lt;&gt;0, "&lt;circle " &amp; _xlfn.SINGLE(Circles.SVG_Painting_1) &amp; " r='" &amp; ROUND(_xlfn.SINGLE(Circles.SVG_Radius_1), DecimalPlaces) &amp; "'/&gt;", "")</f>
        <v>&lt;circle fill='#FFCD00' r='2'/&gt;</v>
      </c>
      <c r="U28" s="21" t="str">
        <f t="shared" si="8"/>
        <v/>
      </c>
      <c r="V28" s="21" t="str">
        <f xml:space="preserve"> IF(_xlfn.SINGLE(Circles.SVG_Radius_1)&lt;&gt;0, "&lt;circle " &amp; _xlfn.SINGLE(Circles.SVG_Painting_1) &amp; " r='" &amp; ROUND(_xlfn.SINGLE(Circles.SVG_Radius_1), DecimalPlaces) &amp; "'/&gt;", "")</f>
        <v>&lt;circle fill='#C8102E' r='10'/&gt;</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
      </c>
      <c r="AA28" s="21" t="str">
        <f t="shared" si="8"/>
        <v/>
      </c>
      <c r="AB28" s="21" t="str">
        <f xml:space="preserve"> IF(_xlfn.SINGLE(Circles.SVG_Radius_1)&lt;&gt;0, "&lt;circle " &amp; _xlfn.SINGLE(Circles.SVG_Painting_1) &amp; " r='" &amp; ROUND(_xlfn.SINGLE(Circles.SVG_Radius_1), DecimalPlaces) &amp; "'/&gt;", "")</f>
        <v>&lt;circle fill='#FFF' r='10'/&gt;</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
      </c>
      <c r="AG28" s="21" t="str">
        <f t="shared" si="8"/>
        <v/>
      </c>
      <c r="AH28" s="21" t="str">
        <f xml:space="preserve"> IF(_xlfn.SINGLE(Circles.SVG_Radius_1)&lt;&gt;0, "&lt;circle " &amp; _xlfn.SINGLE(Circles.SVG_Painting_1) &amp; " r='" &amp; ROUND(_xlfn.SINGLE(Circles.SVG_Radius_1), DecimalPlaces) &amp; "'/&gt;", "")</f>
        <v>&lt;circle fill='#E20613' r='5'/&gt;</v>
      </c>
      <c r="AI28" s="21" t="str">
        <f t="shared" si="8"/>
        <v/>
      </c>
      <c r="AJ28" s="21" t="str">
        <f xml:space="preserve"> IF(_xlfn.SINGLE(Circles.SVG_Radius_1)&lt;&gt;0, "&lt;circle " &amp; _xlfn.SINGLE(Circles.SVG_Painting_1) &amp; " r='" &amp; ROUND(_xlfn.SINGLE(Circles.SVG_Radius_1), DecimalPlaces) &amp; "'/&gt;", "")</f>
        <v/>
      </c>
      <c r="AK28" s="21" t="str">
        <f t="shared" si="8"/>
        <v/>
      </c>
      <c r="AL28" s="21" t="str">
        <f xml:space="preserve"> IF(_xlfn.SINGLE(Circles.SVG_Radius_1)&lt;&gt;0, "&lt;circle " &amp; _xlfn.SINGLE(Circles.SVG_Painting_1) &amp; " r='" &amp; ROUND(_xlfn.SINGLE(Circles.SVG_Radius_1), DecimalPlaces) &amp; "'/&gt;", "")</f>
        <v>&lt;circle fill='#039355' r='10'/&gt;</v>
      </c>
      <c r="AM28" s="21" t="str">
        <f t="shared" si="8"/>
        <v/>
      </c>
      <c r="AN28" s="21" t="str">
        <f xml:space="preserve"> IF(_xlfn.SINGLE(Circles.SVG_Radius_1)&lt;&gt;0, "&lt;circle " &amp; _xlfn.SINGLE(Circles.SVG_Painting_1) &amp; " r='" &amp; ROUND(_xlfn.SINGLE(Circles.SVG_Radius_1), DecimalPlaces) &amp; "'/&gt;", "")</f>
        <v>&lt;circle fill='#0B5CAE' r='5'/&gt;</v>
      </c>
      <c r="AO28" s="21" t="str">
        <f t="shared" si="8"/>
        <v/>
      </c>
      <c r="AP28" s="22"/>
    </row>
    <row r="29" spans="2:42">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21" t="str">
        <f xml:space="preserve"> IF(_xlfn.SINGLE(Circles.SVG_Radius_0)&lt;&gt;0, "&lt;circle " &amp; _xlfn.SINGLE(Circles.SVG_Painting_0) &amp; " r='" &amp; ROUND(_xlfn.SINGLE(Circles.SVG_Radius_0), DecimalPlaces) &amp; "'/&gt;", "")</f>
        <v/>
      </c>
      <c r="AE29" s="21" t="str">
        <f t="shared" si="8"/>
        <v/>
      </c>
      <c r="AF29" s="31"/>
      <c r="AG29" s="21" t="str">
        <f t="shared" si="8"/>
        <v/>
      </c>
      <c r="AH29" s="21" t="str">
        <f xml:space="preserve"> IF(_xlfn.SINGLE(Circles.SVG_Radius_0)&lt;&gt;0, "&lt;circle " &amp; _xlfn.SINGLE(Circles.SVG_Painting_0) &amp; " r='" &amp; ROUND(_xlfn.SINGLE(Circles.SVG_Radius_0), DecimalPlaces) &amp; "'/&gt;", "")</f>
        <v/>
      </c>
      <c r="AI29" s="21" t="str">
        <f t="shared" si="8"/>
        <v/>
      </c>
      <c r="AJ29" s="31"/>
      <c r="AK29" s="21" t="str">
        <f t="shared" si="8"/>
        <v/>
      </c>
      <c r="AL29" s="21" t="str">
        <f xml:space="preserve"> IF(_xlfn.SINGLE(Circles.SVG_Radius_0)&lt;&gt;0, "&lt;circle " &amp; _xlfn.SINGLE(Circles.SVG_Painting_0) &amp; " r='" &amp; ROUND(_xlfn.SINGLE(Circles.SVG_Radius_0), DecimalPlaces) &amp; "'/&gt;", "")</f>
        <v/>
      </c>
      <c r="AM29" s="21" t="str">
        <f t="shared" si="8"/>
        <v/>
      </c>
      <c r="AN29" s="21" t="str">
        <f xml:space="preserve"> IF(_xlfn.SINGLE(Circles.SVG_Radius_0)&lt;&gt;0, "&lt;circle " &amp; _xlfn.SINGLE(Circles.SVG_Painting_0) &amp; " r='" &amp; ROUND(_xlfn.SINGLE(Circles.SVG_Radius_0), DecimalPlaces) &amp; "'/&gt;", "")</f>
        <v/>
      </c>
      <c r="AO29" s="21" t="str">
        <f t="shared" si="8"/>
        <v/>
      </c>
      <c r="AP29" s="22"/>
    </row>
    <row r="30" spans="2:42">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1"/>
      <c r="AC30" s="21" t="str">
        <f t="shared" si="8"/>
        <v/>
      </c>
      <c r="AD30" s="29" t="str">
        <f xml:space="preserve"> "&lt;path " &amp; _xlfn.SINGLE(Circles.SVG_Painting_0) &amp; " transform='rotate(15)' d='M4 1H1V4H-1V1H-4V-1h3V-4H1v3H4Z'/&gt;"</f>
        <v>&lt;path fill='#D3AE45' transform='rotate(15)' d='M4 1H1V4H-1V1H-4V-1h3V-4H1v3H4Z'/&gt;</v>
      </c>
      <c r="AE30" s="21" t="str">
        <f t="shared" si="8"/>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8"/>
        <v/>
      </c>
      <c r="AH30" s="21"/>
      <c r="AI30" s="21" t="str">
        <f t="shared" si="8"/>
        <v/>
      </c>
      <c r="AJ30" s="29" t="str" cm="1">
        <f t="array" ref="AJ30" xml:space="preserve"> svgPathRect(DecimalPlaces, _xlfn.SINGLE(Circles.SVG_Painting_0), _xlfn.SINGLE(Circles.SVG_Radius_0), _xlfn.SINGLE(Circles.SVG_Radius_0))</f>
        <v>&lt;path fill='#FFF' d='M.70711 .70711V-.70711H-.70711V.70711Z'/&gt;</v>
      </c>
      <c r="AK30" s="21" t="str">
        <f t="shared" si="8"/>
        <v/>
      </c>
      <c r="AL30" s="21"/>
      <c r="AM30" s="21" t="str">
        <f t="shared" si="8"/>
        <v/>
      </c>
      <c r="AN30" s="21"/>
      <c r="AO30" s="21" t="str">
        <f t="shared" si="8"/>
        <v/>
      </c>
      <c r="AP30" s="22"/>
    </row>
    <row r="31" spans="2:42">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4" t="s">
        <v>15</v>
      </c>
      <c r="AO31" s="24" t="str">
        <f t="shared" si="8"/>
        <v/>
      </c>
      <c r="AP31" s="25"/>
    </row>
    <row r="34" spans="3:40">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row>
    <row r="35" spans="3:40">
      <c r="C35" s="5"/>
    </row>
    <row r="36" spans="3:40">
      <c r="C36" s="5"/>
    </row>
    <row r="37" spans="3:40">
      <c r="AM37" s="21"/>
    </row>
    <row r="38" spans="3:40">
      <c r="AM38" s="21"/>
    </row>
    <row r="39" spans="3:40">
      <c r="AM39" s="21"/>
    </row>
    <row r="40" spans="3:40">
      <c r="AM40" s="21"/>
    </row>
    <row r="41" spans="3:40">
      <c r="AM41" s="21"/>
    </row>
    <row r="42" spans="3:40">
      <c r="AM42" s="21"/>
    </row>
    <row r="43" spans="3:40">
      <c r="AM43" s="21"/>
    </row>
    <row r="44" spans="3:40">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361</v>
      </c>
      <c r="D2" t="s">
        <v>405</v>
      </c>
      <c r="F2" t="s">
        <v>2673</v>
      </c>
      <c r="H2" t="s">
        <v>796</v>
      </c>
      <c r="J2" t="s">
        <v>393</v>
      </c>
      <c r="L2" t="s">
        <v>879</v>
      </c>
      <c r="N2" t="s">
        <v>1614</v>
      </c>
      <c r="P2" t="s">
        <v>2154</v>
      </c>
      <c r="R2" t="s">
        <v>166</v>
      </c>
      <c r="T2" t="s">
        <v>2682</v>
      </c>
      <c r="V2" t="s">
        <v>2683</v>
      </c>
      <c r="X2" t="s">
        <v>492</v>
      </c>
      <c r="Z2" t="s">
        <v>2151</v>
      </c>
      <c r="AB2" t="s">
        <v>528</v>
      </c>
      <c r="AD2" t="s">
        <v>1776</v>
      </c>
      <c r="AF2" t="s">
        <v>168</v>
      </c>
      <c r="AH2" t="s">
        <v>578</v>
      </c>
      <c r="AJ2" t="s">
        <v>579</v>
      </c>
      <c r="AL2" t="s">
        <v>580</v>
      </c>
      <c r="AN2" t="s">
        <v>1627</v>
      </c>
      <c r="AP2" t="s">
        <v>1623</v>
      </c>
      <c r="AR2" t="s">
        <v>1620</v>
      </c>
      <c r="AT2" t="s">
        <v>581</v>
      </c>
      <c r="AV2" t="s">
        <v>2274</v>
      </c>
      <c r="AX2" t="s">
        <v>656</v>
      </c>
      <c r="AZ2" t="s">
        <v>2280</v>
      </c>
      <c r="BB2" t="s">
        <v>104</v>
      </c>
      <c r="BD2" t="s">
        <v>1666</v>
      </c>
      <c r="BF2" t="s">
        <v>372</v>
      </c>
      <c r="BH2" t="s">
        <v>2306</v>
      </c>
      <c r="BJ2" t="s">
        <v>795</v>
      </c>
      <c r="BL2" t="s">
        <v>2131</v>
      </c>
      <c r="BN2" t="s">
        <v>798</v>
      </c>
      <c r="BP2" t="s">
        <v>2032</v>
      </c>
      <c r="BR2" t="s">
        <v>1704</v>
      </c>
      <c r="BT2" t="s">
        <v>929</v>
      </c>
      <c r="BV2" t="s">
        <v>172</v>
      </c>
      <c r="BX2" t="s">
        <v>2042</v>
      </c>
      <c r="BZ2" t="s">
        <v>2314</v>
      </c>
      <c r="CE2" t="e">
        <f xml:space="preserve"> NA()</f>
        <v>#N/A</v>
      </c>
    </row>
    <row r="3" spans="2:83">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row>
    <row r="5" spans="2:83">
      <c r="B5" s="4" t="s">
        <v>363</v>
      </c>
      <c r="BN5">
        <v>44</v>
      </c>
      <c r="BP5">
        <v>44</v>
      </c>
    </row>
    <row r="6" spans="2:83">
      <c r="B6" s="4" t="s">
        <v>2305</v>
      </c>
      <c r="BH6" s="5" t="s">
        <v>2308</v>
      </c>
    </row>
    <row r="7" spans="2:83">
      <c r="B7" s="4" t="s">
        <v>373</v>
      </c>
      <c r="C7" s="5"/>
      <c r="D7" s="5" t="s">
        <v>716</v>
      </c>
      <c r="E7" s="5"/>
      <c r="F7" s="5" t="s">
        <v>2672</v>
      </c>
      <c r="G7" s="5"/>
      <c r="H7" s="5" t="s">
        <v>1824</v>
      </c>
      <c r="I7" s="5"/>
      <c r="J7" s="5" t="s">
        <v>1067</v>
      </c>
      <c r="K7" s="5"/>
      <c r="L7" s="5" t="s">
        <v>1504</v>
      </c>
      <c r="M7" s="5"/>
      <c r="N7" s="5" t="s">
        <v>1616</v>
      </c>
      <c r="O7" s="5"/>
      <c r="P7" s="5" t="s">
        <v>752</v>
      </c>
      <c r="Q7" s="5"/>
      <c r="R7" s="5" t="s">
        <v>723</v>
      </c>
      <c r="S7" s="5"/>
      <c r="T7" s="5" t="s">
        <v>2128</v>
      </c>
      <c r="U7" s="5"/>
      <c r="V7" s="5" t="s">
        <v>1070</v>
      </c>
      <c r="W7" s="5"/>
      <c r="X7" s="5" t="s">
        <v>755</v>
      </c>
      <c r="Y7" s="5"/>
      <c r="Z7" s="5" t="s">
        <v>2152</v>
      </c>
      <c r="AA7" s="5"/>
      <c r="AB7" s="5" t="s">
        <v>723</v>
      </c>
      <c r="AC7" s="5"/>
      <c r="AD7" s="5" t="s">
        <v>1777</v>
      </c>
      <c r="AE7" s="5"/>
      <c r="AF7" s="5" t="s">
        <v>723</v>
      </c>
      <c r="AG7" s="5"/>
      <c r="AH7" s="5"/>
      <c r="AI7" s="5"/>
      <c r="AJ7" s="5"/>
      <c r="AK7" s="5"/>
      <c r="AL7" s="5"/>
      <c r="AM7" s="5"/>
      <c r="AN7" s="5" t="s">
        <v>1628</v>
      </c>
      <c r="AO7" s="5"/>
      <c r="AP7" s="5"/>
      <c r="AQ7" s="5"/>
      <c r="AR7" s="5"/>
      <c r="AS7" s="5"/>
      <c r="AT7" s="5" t="s">
        <v>726</v>
      </c>
      <c r="AU7" s="5"/>
      <c r="AV7" s="5" t="s">
        <v>726</v>
      </c>
      <c r="AW7" s="5"/>
      <c r="AX7" s="5" t="s">
        <v>728</v>
      </c>
      <c r="AY7" s="5"/>
      <c r="AZ7" s="5" t="s">
        <v>728</v>
      </c>
      <c r="BA7" s="5"/>
      <c r="BB7" s="5" t="s">
        <v>717</v>
      </c>
      <c r="BC7" s="5"/>
      <c r="BD7" s="5" t="s">
        <v>2087</v>
      </c>
      <c r="BE7" s="5"/>
      <c r="BF7" s="5" t="s">
        <v>1071</v>
      </c>
      <c r="BG7" s="5"/>
      <c r="BH7" s="5" t="s">
        <v>2087</v>
      </c>
      <c r="BI7" s="5"/>
      <c r="BJ7" s="5" t="s">
        <v>1043</v>
      </c>
      <c r="BK7" s="5"/>
      <c r="BL7" s="5" t="str">
        <f xml:space="preserve"> $BB$9</f>
        <v>fill='#00A3E0'</v>
      </c>
      <c r="BM7" s="5"/>
      <c r="BN7" s="5" t="s">
        <v>2087</v>
      </c>
      <c r="BO7" s="5"/>
      <c r="BP7" s="5" t="s">
        <v>2033</v>
      </c>
      <c r="BQ7" s="5"/>
      <c r="BR7" s="5" t="s">
        <v>1705</v>
      </c>
      <c r="BS7" s="5"/>
      <c r="BT7" s="5" t="s">
        <v>930</v>
      </c>
      <c r="BU7" s="5"/>
      <c r="BV7" s="5" t="s">
        <v>2442</v>
      </c>
      <c r="BW7" s="5"/>
      <c r="BX7" s="5" t="s">
        <v>2045</v>
      </c>
      <c r="BY7" s="5"/>
      <c r="BZ7" s="5" t="s">
        <v>2315</v>
      </c>
      <c r="CA7" s="5"/>
      <c r="CB7" s="5"/>
      <c r="CC7" s="5"/>
      <c r="CD7" s="5"/>
      <c r="CE7" s="5"/>
    </row>
    <row r="8" spans="2:83">
      <c r="B8" s="4" t="s">
        <v>374</v>
      </c>
      <c r="C8" s="5"/>
      <c r="D8" s="5" t="s">
        <v>2089</v>
      </c>
      <c r="E8" s="5"/>
      <c r="F8" s="5" t="s">
        <v>2089</v>
      </c>
      <c r="G8" s="5"/>
      <c r="H8" s="5" t="s">
        <v>2089</v>
      </c>
      <c r="I8" s="5"/>
      <c r="J8" s="5" t="s">
        <v>2087</v>
      </c>
      <c r="K8" s="5"/>
      <c r="L8" s="5" t="s">
        <v>1503</v>
      </c>
      <c r="M8" s="5"/>
      <c r="N8" s="5" t="s">
        <v>1615</v>
      </c>
      <c r="O8" s="5"/>
      <c r="P8" s="5" t="s">
        <v>2087</v>
      </c>
      <c r="Q8" s="5"/>
      <c r="R8" s="5" t="s">
        <v>2087</v>
      </c>
      <c r="S8" s="5"/>
      <c r="T8" s="5" t="s">
        <v>2087</v>
      </c>
      <c r="U8" s="5"/>
      <c r="V8" s="5" t="s">
        <v>2684</v>
      </c>
      <c r="W8" s="5"/>
      <c r="X8" s="5" t="s">
        <v>2087</v>
      </c>
      <c r="Y8" s="5"/>
      <c r="Z8" s="5" t="s">
        <v>2153</v>
      </c>
      <c r="AA8" s="5"/>
      <c r="AB8" s="5" t="s">
        <v>750</v>
      </c>
      <c r="AC8" s="5"/>
      <c r="AD8" s="5" t="s">
        <v>1778</v>
      </c>
      <c r="AE8" s="5"/>
      <c r="AF8" s="5" t="s">
        <v>2087</v>
      </c>
      <c r="AG8" s="5"/>
      <c r="AH8" s="5" t="s">
        <v>751</v>
      </c>
      <c r="AI8" s="5"/>
      <c r="AJ8" s="5" t="s">
        <v>728</v>
      </c>
      <c r="AK8" s="5"/>
      <c r="AL8" s="5" t="s">
        <v>723</v>
      </c>
      <c r="AM8" s="5"/>
      <c r="AN8" s="5" t="s">
        <v>726</v>
      </c>
      <c r="AO8" s="5"/>
      <c r="AP8" s="5" t="s">
        <v>759</v>
      </c>
      <c r="AQ8" s="5"/>
      <c r="AR8" s="5" t="s">
        <v>1621</v>
      </c>
      <c r="AS8" s="5"/>
      <c r="AT8" s="5" t="s">
        <v>2087</v>
      </c>
      <c r="AU8" s="5"/>
      <c r="AV8" s="5" t="s">
        <v>2275</v>
      </c>
      <c r="AW8" s="5"/>
      <c r="AX8" s="5" t="s">
        <v>2087</v>
      </c>
      <c r="AY8" s="5"/>
      <c r="AZ8" s="5" t="s">
        <v>2128</v>
      </c>
      <c r="BA8" s="5"/>
      <c r="BB8" s="5" t="s">
        <v>2087</v>
      </c>
      <c r="BC8" s="5"/>
      <c r="BD8" s="5" t="s">
        <v>738</v>
      </c>
      <c r="BE8" s="5"/>
      <c r="BF8" s="5" t="s">
        <v>1072</v>
      </c>
      <c r="BG8" s="5"/>
      <c r="BH8" s="5" t="s">
        <v>2128</v>
      </c>
      <c r="BI8" s="5"/>
      <c r="BJ8" s="5" t="s">
        <v>2087</v>
      </c>
      <c r="BK8" s="5"/>
      <c r="BL8" s="5" t="s">
        <v>2087</v>
      </c>
      <c r="BM8" s="5"/>
      <c r="BN8" s="5" t="str">
        <f xml:space="preserve"> "stroke-width='" &amp; _xlfn.SINGLE(Simple.SVG_borderWidth) &amp; "' stroke-linejoin='round' stroke='#1B618C' fill='none' "</f>
        <v xml:space="preserve">stroke-width='44' stroke-linejoin='round' stroke='#1B618C' fill='none' </v>
      </c>
      <c r="BO8" s="5"/>
      <c r="BP8" s="5" t="s">
        <v>2087</v>
      </c>
      <c r="BQ8" s="5"/>
      <c r="BR8" s="5" t="s">
        <v>1706</v>
      </c>
      <c r="BS8" s="5"/>
      <c r="BT8" s="5" t="s">
        <v>931</v>
      </c>
      <c r="BU8" s="5"/>
      <c r="BV8" s="5" t="s">
        <v>2443</v>
      </c>
      <c r="BW8" s="5"/>
      <c r="BX8" s="5" t="s">
        <v>2046</v>
      </c>
      <c r="BY8" s="5"/>
      <c r="BZ8" s="5" t="s">
        <v>2316</v>
      </c>
      <c r="CA8" s="5"/>
      <c r="CB8" s="5"/>
      <c r="CC8" s="5"/>
      <c r="CD8" s="5"/>
      <c r="CE8" s="5"/>
    </row>
    <row r="9" spans="2:83">
      <c r="B9" s="4" t="s">
        <v>375</v>
      </c>
      <c r="C9" s="5"/>
      <c r="D9" s="5"/>
      <c r="E9" s="5"/>
      <c r="F9" s="5"/>
      <c r="G9" s="5"/>
      <c r="H9" s="5"/>
      <c r="I9" s="5"/>
      <c r="J9" s="5"/>
      <c r="K9" s="5"/>
      <c r="L9" s="5"/>
      <c r="M9" s="5"/>
      <c r="N9" s="5"/>
      <c r="O9" s="5"/>
      <c r="P9" s="5" t="s">
        <v>752</v>
      </c>
      <c r="Q9" s="5"/>
      <c r="R9" s="5"/>
      <c r="S9" s="5"/>
      <c r="T9" s="5"/>
      <c r="U9" s="5"/>
      <c r="V9" s="5" t="s">
        <v>2087</v>
      </c>
      <c r="W9" s="5"/>
      <c r="X9" s="5" t="s">
        <v>753</v>
      </c>
      <c r="Y9" s="5"/>
      <c r="Z9" s="5" t="s">
        <v>726</v>
      </c>
      <c r="AA9" s="5"/>
      <c r="AB9" s="5"/>
      <c r="AC9" s="5"/>
      <c r="AD9" s="5" t="s">
        <v>726</v>
      </c>
      <c r="AE9" s="5"/>
      <c r="AF9" s="5"/>
      <c r="AG9" s="5"/>
      <c r="AH9" s="5" t="s">
        <v>754</v>
      </c>
      <c r="AI9" s="5"/>
      <c r="AJ9" s="5" t="s">
        <v>726</v>
      </c>
      <c r="AK9" s="5"/>
      <c r="AL9" s="5" t="s">
        <v>726</v>
      </c>
      <c r="AM9" s="5"/>
      <c r="AN9" s="5" t="s">
        <v>2087</v>
      </c>
      <c r="AO9" s="5"/>
      <c r="AP9" s="5" t="s">
        <v>726</v>
      </c>
      <c r="AQ9" s="5"/>
      <c r="AR9" s="5" t="s">
        <v>1622</v>
      </c>
      <c r="AS9" s="5"/>
      <c r="AT9" s="5"/>
      <c r="AU9" s="5"/>
      <c r="AV9" s="5"/>
      <c r="AW9" s="5"/>
      <c r="AX9" s="5"/>
      <c r="AY9" s="5"/>
      <c r="AZ9" s="5"/>
      <c r="BA9" s="5"/>
      <c r="BB9" s="5" t="s">
        <v>733</v>
      </c>
      <c r="BC9" s="5"/>
      <c r="BD9" s="5"/>
      <c r="BE9" s="5"/>
      <c r="BF9" s="5" t="s">
        <v>2087</v>
      </c>
      <c r="BG9" s="5"/>
      <c r="BH9" s="5" t="s">
        <v>2307</v>
      </c>
      <c r="BI9" s="5"/>
      <c r="BJ9" s="5" t="s">
        <v>797</v>
      </c>
      <c r="BK9" s="5"/>
      <c r="BL9" s="5" t="str">
        <f xml:space="preserve"> $BB$7</f>
        <v>fill='#EF3340'</v>
      </c>
      <c r="BM9" s="5"/>
      <c r="BN9" s="5"/>
      <c r="BO9" s="5"/>
      <c r="BP9" s="5" t="s">
        <v>2034</v>
      </c>
      <c r="BQ9" s="5"/>
      <c r="BR9" s="5"/>
      <c r="BS9" s="5"/>
      <c r="BT9" s="5"/>
      <c r="BU9" s="5"/>
      <c r="BV9" s="5"/>
      <c r="BW9" s="5"/>
      <c r="BX9" s="5" t="s">
        <v>2087</v>
      </c>
      <c r="BY9" s="5"/>
      <c r="BZ9" s="5" t="s">
        <v>2317</v>
      </c>
      <c r="CA9" s="5"/>
      <c r="CB9" s="5"/>
      <c r="CC9" s="5"/>
      <c r="CD9" s="5"/>
      <c r="CE9" s="5"/>
    </row>
    <row r="10" spans="2:83">
      <c r="AA10" s="5"/>
      <c r="AD10" s="5"/>
      <c r="AH10" s="5"/>
      <c r="AJ10" s="5"/>
    </row>
    <row r="11" spans="2:83">
      <c r="B11" s="4" t="s">
        <v>365</v>
      </c>
      <c r="D11">
        <v>10</v>
      </c>
      <c r="F11">
        <v>10</v>
      </c>
      <c r="H11">
        <f xml:space="preserve"> $D11</f>
        <v>10</v>
      </c>
      <c r="J11">
        <f xml:space="preserve"> 2 * 2</f>
        <v>4</v>
      </c>
      <c r="L11">
        <f xml:space="preserve"> $J11</f>
        <v>4</v>
      </c>
      <c r="N11">
        <v>11</v>
      </c>
      <c r="P11">
        <v>27</v>
      </c>
      <c r="R11">
        <v>6</v>
      </c>
      <c r="T11">
        <v>5</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row>
    <row r="12" spans="2:83">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3</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row>
    <row r="13" spans="2:83">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-5</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row>
    <row r="14" spans="2:83">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-3</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row>
    <row r="17" spans="2:83">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0.6</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row>
    <row r="18" spans="2:83">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10.7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row>
    <row r="19" spans="2:83">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17.833333333333332</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191</v>
      </c>
      <c r="V22" cm="1">
        <f t="array" ref="V22" xml:space="preserve"> SVG_length(V$24:V$29)</f>
        <v>246</v>
      </c>
      <c r="X22" cm="1">
        <f t="array" ref="X22" xml:space="preserve"> SVG_length(X$24:X$29)</f>
        <v>347</v>
      </c>
      <c r="Z22" cm="1">
        <f t="array" ref="Z22" xml:space="preserve"> SVG_length(Z$24:Z$29)</f>
        <v>283</v>
      </c>
      <c r="AB22" cm="1">
        <f t="array" ref="AB22" xml:space="preserve"> SVG_length(AB$24:AB$29)</f>
        <v>246</v>
      </c>
      <c r="AD22" cm="1">
        <f t="array" ref="AD22" xml:space="preserve"> SVG_length(AD$24:AD$29)</f>
        <v>329</v>
      </c>
      <c r="AF22" cm="1">
        <f t="array" ref="AF22" xml:space="preserve"> SVG_length(AF$24:AF$29)</f>
        <v>207</v>
      </c>
      <c r="AH22" cm="1">
        <f t="array" ref="AH22" xml:space="preserve"> SVG_length(AH$24:AH$29)</f>
        <v>218</v>
      </c>
      <c r="AJ22" cm="1">
        <f t="array" ref="AJ22" xml:space="preserve"> SVG_length(AJ$24:AJ$29)</f>
        <v>207</v>
      </c>
      <c r="AL22" cm="1">
        <f t="array" ref="AL22" xml:space="preserve"> SVG_length(AL$24:AL$29)</f>
        <v>208</v>
      </c>
      <c r="AN22" cm="1">
        <f t="array" ref="AN22" xml:space="preserve"> SVG_length(AN$24:AN$29)</f>
        <v>430</v>
      </c>
      <c r="AP22" cm="1">
        <f t="array" ref="AP22" xml:space="preserve"> SVG_length(AP$24:AP$29)</f>
        <v>203</v>
      </c>
      <c r="AR22" cm="1">
        <f t="array" ref="AR22" xml:space="preserve"> SVG_length(AR$24:AR$29)</f>
        <v>213</v>
      </c>
      <c r="AT22" cm="1">
        <f t="array" ref="AT22" xml:space="preserve"> SVG_length(AT$24:AT$29)</f>
        <v>207</v>
      </c>
      <c r="AV22" cm="1">
        <f t="array" ref="AV22" xml:space="preserve"> SVG_length(AV$24:AV$29)</f>
        <v>207</v>
      </c>
      <c r="AX22" cm="1">
        <f t="array" ref="AX22" xml:space="preserve"> SVG_length(AX$24:AX$29)</f>
        <v>206</v>
      </c>
      <c r="AZ22" cm="1">
        <f t="array" ref="AZ22" xml:space="preserve"> SVG_length(AZ$24:AZ$29)</f>
        <v>194</v>
      </c>
      <c r="BB22" cm="1">
        <f t="array" ref="BB22" xml:space="preserve"> SVG_length(BB$24:BB$29)</f>
        <v>280</v>
      </c>
      <c r="BD22" cm="1">
        <f t="array" ref="BD22" xml:space="preserve"> SVG_length(BD$24:BD$29)</f>
        <v>237</v>
      </c>
      <c r="BF22" cm="1">
        <f t="array" ref="BF22" xml:space="preserve"> SVG_length(BF$24:BF$29)</f>
        <v>282</v>
      </c>
      <c r="BH22" cm="1">
        <f t="array" ref="BH22" xml:space="preserve"> SVG_length(BH$24:BH$29)</f>
        <v>330</v>
      </c>
      <c r="BJ22" cm="1">
        <f t="array" ref="BJ22" xml:space="preserve"> SVG_length(BJ$24:BJ$29)</f>
        <v>285</v>
      </c>
      <c r="BL22" cm="1">
        <f t="array" ref="BL22" xml:space="preserve"> SVG_length(BL$24:BL$29)</f>
        <v>285</v>
      </c>
      <c r="BN22" cm="1">
        <f t="array" ref="BN22" xml:space="preserve"> SVG_length(BN$24:BN$29)</f>
        <v>307</v>
      </c>
      <c r="BP22" cm="1">
        <f t="array" ref="BP22" xml:space="preserve"> SVG_length(BP$24:BP$29)</f>
        <v>309</v>
      </c>
      <c r="BR22" cm="1">
        <f t="array" ref="BR22" xml:space="preserve"> SVG_length(BR$24:BR$29)</f>
        <v>218</v>
      </c>
      <c r="BT22" cm="1">
        <f t="array" ref="BT22" xml:space="preserve"> SVG_length(BT$24:BT$29)</f>
        <v>272</v>
      </c>
      <c r="BV22" cm="1">
        <f t="array" ref="BV22" xml:space="preserve"> SVG_length(BV$24:BV$29)</f>
        <v>371</v>
      </c>
      <c r="BX22" cm="1">
        <f t="array" ref="BX22" xml:space="preserve"> SVG_length(BX$24:BX$29)</f>
        <v>238</v>
      </c>
      <c r="BZ22" cm="1">
        <f t="array" ref="BZ22" xml:space="preserve"> SVG_length(BZ$24:BZ$29)</f>
        <v>237</v>
      </c>
    </row>
    <row r="23" spans="2:83">
      <c r="B23" s="4" t="s">
        <v>371</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viewBox='-8.13489 -4.88094 16.26978 9.76188'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viewBox='-6.50791 -4.88094 13.01582 9.76188'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CA24" s="7" t="str">
        <f xml:space="preserve"> ""</f>
        <v/>
      </c>
      <c r="CB24" s="7" t="str">
        <f xml:space="preserve"> ""</f>
        <v/>
      </c>
      <c r="CC24" s="16"/>
      <c r="CD24" s="16"/>
      <c r="CE24" s="8"/>
    </row>
    <row r="25" spans="2:83">
      <c r="C25" t="str">
        <f t="shared" ref="C25:CB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fill='#039'  r='10'/&gt;</v>
      </c>
      <c r="G25" t="str">
        <f t="shared" si="0"/>
        <v/>
      </c>
      <c r="H25" s="21" t="str">
        <f xml:space="preserve"> IF(_xlfn.SINGLE(Simple.MaxX)&lt;&gt;0, "&lt;circle " &amp; _xlfn.SINGLE(Simple.SVG_painting_2) &amp; " r='" &amp; ROUND(_xlfn.SINGLE(Simple.MaxY), DecimalPlaces) &amp; "'/&gt;", "")</f>
        <v>&lt;circle  fill='#FF33FF' r='10'/&gt;</v>
      </c>
      <c r="I25" t="str">
        <f t="shared" si="0"/>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0"/>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0"/>
        <v/>
      </c>
      <c r="N25" s="5" t="str">
        <f xml:space="preserve"> "&lt;ellipse " &amp; _xlfn.SINGLE(Simple.SVG_painting_1) &amp; " ry='14' rx='11'/&gt;"</f>
        <v>&lt;ellipse fill='#C4272F' ry='14' rx='11'/&gt;</v>
      </c>
      <c r="O25" t="str">
        <f t="shared" si="0"/>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0"/>
        <v/>
      </c>
      <c r="R25" s="21" t="str" cm="1">
        <f t="array" ref="R25" xml:space="preserve"> svgPathRect(DecimalPlaces, _xlfn.SINGLE(Simple.SVG_painting_2), _xlfn.SINGLE(Simple.MaxX), _xlfn.SINGLE(Simple.MaxY))</f>
        <v>&lt;path fill='#009639' d='M6 5V-5H-6V5Z'/&gt;</v>
      </c>
      <c r="S25" t="str">
        <f t="shared" si="0"/>
        <v/>
      </c>
      <c r="T25" s="21" t="str" cm="1">
        <f t="array" ref="T25" xml:space="preserve"> svgPathRect(DecimalPlaces, _xlfn.SINGLE(Simple.SVG_painting_2), _xlfn.SINGLE(Simple.MaxX), _xlfn.SINGLE(Simple.MaxY))</f>
        <v>&lt;path fill='#000' d='M5 3V-3H-5V3Z'/&gt;</v>
      </c>
      <c r="U25" t="str">
        <f t="shared" si="0"/>
        <v/>
      </c>
      <c r="V25" s="21" t="str" cm="1">
        <f t="array" ref="V25" xml:space="preserve"> svgPathRect(DecimalPlaces, _xlfn.SINGLE(Simple.SVG_painting_2), _xlfn.SINGLE(Simple.MaxX), _xlfn.SINGLE(Simple.MaxY))</f>
        <v>&lt;path fill='#00843D' d='M4 3V-3H-4V3Z'/&gt;</v>
      </c>
      <c r="W25" t="str">
        <f t="shared" si="0"/>
        <v/>
      </c>
      <c r="X25" s="21" t="str">
        <f xml:space="preserve"> "&lt;defs&gt;&lt;path id='" &amp; _xlfn.SINGLE(Simple.ID) &amp; "-m' d='M56 -47L-67 -80 -56 47 67 80Z'/&gt;&lt;/defs&gt;"</f>
        <v>&lt;defs&gt;&lt;path id='IRR-m' d='M56 -47L-67 -80 -56 47 67 80Z'/&gt;&lt;/defs&gt;</v>
      </c>
      <c r="Y25" t="str">
        <f t="shared" si="0"/>
        <v/>
      </c>
      <c r="Z25" s="21" t="str">
        <f xml:space="preserve"> "&lt;circle " &amp; _xlfn.SINGLE(Simple.SVG_painting_2) &amp; " r='7'/&gt;"</f>
        <v>&lt;circle fill='#C8102E'  r='7'/&gt;</v>
      </c>
      <c r="AA25" t="str">
        <f t="shared" si="0"/>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0"/>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0"/>
        <v/>
      </c>
      <c r="AF25" s="21" t="str" cm="1">
        <f t="array" ref="AF25" xml:space="preserve"> svgPathRect(DecimalPlaces, _xlfn.SINGLE(Simple.SVG_painting_2), _xlfn.SINGLE(Simple.MaxX), _xlfn.SINGLE(Simple.MaxY))</f>
        <v>&lt;path fill='#009639' d='M6 6V-6H-6V6Z'/&gt;</v>
      </c>
      <c r="AG25" t="str">
        <f t="shared" si="0"/>
        <v/>
      </c>
      <c r="AH25" s="21"/>
      <c r="AI25" t="str">
        <f t="shared" si="0"/>
        <v/>
      </c>
      <c r="AJ25" s="21"/>
      <c r="AK25" t="str">
        <f t="shared" si="0"/>
        <v/>
      </c>
      <c r="AL25" s="21"/>
      <c r="AM25" t="str">
        <f t="shared" si="0"/>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0"/>
        <v/>
      </c>
      <c r="AP25" s="21"/>
      <c r="AQ25" t="str">
        <f t="shared" si="0"/>
        <v/>
      </c>
      <c r="AR25" s="21"/>
      <c r="AS25" t="str">
        <f t="shared" si="0"/>
        <v/>
      </c>
      <c r="AT25" s="21" t="str" cm="1">
        <f t="array" ref="AT25" xml:space="preserve"> svgPathRect(DecimalPlaces, _xlfn.SINGLE(Simple.SVG_painting_2), _xlfn.SINGLE(Simple.MaxX), _xlfn.SINGLE(Simple.MaxY))</f>
        <v>&lt;path fill='black' d='M11 8V-8H-11V8Z'/&gt;</v>
      </c>
      <c r="AU25" t="str">
        <f t="shared" si="0"/>
        <v/>
      </c>
      <c r="AV25" s="21" t="str" cm="1">
        <f t="array" ref="AV25" xml:space="preserve"> svgPathRect(DecimalPlaces, _xlfn.SINGLE(Simple.SVG_painting_2), _xlfn.SINGLE(Simple.MaxX), _xlfn.SINGLE(Simple.MaxY))</f>
        <v>&lt;path fill='black' d='M11 8V-8H-11V8Z'/&gt;</v>
      </c>
      <c r="AW25" t="str">
        <f t="shared" si="0"/>
        <v/>
      </c>
      <c r="AX25" s="21" t="str" cm="1">
        <f t="array" ref="AX25" xml:space="preserve"> svgPathRect(DecimalPlaces, _xlfn.SINGLE(Simple.SVG_painting_2), _xlfn.SINGLE(Simple.MaxX), _xlfn.SINGLE(Simple.MaxY))</f>
        <v>&lt;path fill='#C8102E' d='M9 6V-6H-9V6Z'/&gt;</v>
      </c>
      <c r="AY25" t="str">
        <f t="shared" si="0"/>
        <v/>
      </c>
      <c r="AZ25" s="21" t="str" cm="1">
        <f t="array" ref="AZ25" xml:space="preserve"> svgPathRect(DecimalPlaces, _xlfn.SINGLE(Simple.SVG_painting_2), _xlfn.SINGLE(Simple.MaxX), _xlfn.SINGLE(Simple.MaxY))</f>
        <v>&lt;path fill='#C8102E' d='M9 6V-6H-9V6Z'/&gt;</v>
      </c>
      <c r="BA25" t="str">
        <f t="shared" si="0"/>
        <v/>
      </c>
      <c r="BB25" s="5" t="str">
        <f xml:space="preserve"> "&lt;path " &amp; _xlfn.SINGLE(Simple.SVG_painting_2) &amp; " d='M" &amp; (2*Thirds_O) &amp; " 0L0 " &amp; (Thirds_O) &amp; "L" &amp; (-2*Thirds_O) &amp; " 0L0 " &amp; (-Thirds_O) &amp; "Z'/&gt;"</f>
        <v>&lt;path fill='#EF3340' d='M54 0L0 27L-54 0L0 -27Z'/&gt;</v>
      </c>
      <c r="BC25" t="str">
        <f t="shared" si="0"/>
        <v/>
      </c>
      <c r="BD25" s="5" t="str">
        <f xml:space="preserve"> "&lt;path " &amp; _xlfn.SINGLE(Simple.SVG_painting_2) &amp; " d='M1 3H-1L-3 1V-1L-1 -3H1L3 -1V1Z'/&gt;"</f>
        <v>&lt;path fill='#FFF' d='M1 3H-1L-3 1V-1L-1 -3H1L3 -1V1Z'/&gt;</v>
      </c>
      <c r="BE25" t="str">
        <f t="shared" si="0"/>
        <v/>
      </c>
      <c r="BF25" s="5" t="str">
        <f xml:space="preserve"> "&lt;path " &amp; _xlfn.SINGLE(Simple.SVG_painting_2) &amp; " d='M" &amp; (3*Thirds_O) &amp; " 0L0 " &amp; (2*Thirds_O) &amp; "L" &amp; (-3*Thirds_O) &amp; " 0L0 " &amp; (-2*Thirds_O) &amp; "Z'/&gt;"</f>
        <v>&lt;path fill='#11457E' d='M81 0L0 54L-81 0L0 -54Z'/&gt;</v>
      </c>
      <c r="BG25" t="str">
        <f t="shared" si="0"/>
        <v/>
      </c>
      <c r="BH25" s="5" t="str">
        <f xml:space="preserve"> _xlfn.LET(_xlpm.f,90,   "&lt;path " &amp; _xlfn.SINGLE(Simple.SVG_painting_3) &amp; " d='M" &amp; (4*_xlpm.f) &amp; " 0L0 " &amp; (3*_xlpm.f) &amp; "L" &amp; (-4*_xlpm.f) &amp; " 0L0 " &amp; (-3*_xlpm.f) &amp; "Z'/&gt;")</f>
        <v>&lt;path fill='#009736' d='M360 0L0 270L-360 0L0 -270Z'/&gt;</v>
      </c>
      <c r="BI25" t="str">
        <f t="shared" si="0"/>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0"/>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0"/>
        <v/>
      </c>
      <c r="BN25" s="5" t="str">
        <f xml:space="preserve"> "&lt;path " &amp; _xlfn.SINGLE(Simple.SVG_painting_2) &amp; " d='M0 -187L136 0 0 187 -136 0Z'/&gt;"</f>
        <v>&lt;path fill='#FFF' d='M0 -187L136 0 0 187 -136 0Z'/&gt;</v>
      </c>
      <c r="BO25" t="str">
        <f t="shared" si="0"/>
        <v/>
      </c>
      <c r="BP25" s="21" t="str" cm="1">
        <f t="array" ref="BP25" xml:space="preserve"> svgPathRect(DecimalPlaces, _xlfn.SINGLE(Simple.SVG_painting_2), _xlfn.SINGLE(Simple.MaxX), _xlfn.SINGLE(Simple.MaxY))</f>
        <v>&lt;path fill='#2BCE75' d='M8 8V-8H-8V8Z'/&gt;</v>
      </c>
      <c r="BQ25" t="str">
        <f t="shared" si="0"/>
        <v/>
      </c>
      <c r="BR25" s="21" t="str" cm="1">
        <f t="array" ref="BR25" xml:space="preserve"> svgPathRect(DecimalPlaces, _xlfn.SINGLE(Simple.SVG_painting_2), _xlfn.SINGLE(Simple.MaxX), _xlfn.SINGLE(Simple.MaxY))</f>
        <v>&lt;path fill='#244AA5' d='M5 5V-5H-5V5Z'/&gt;</v>
      </c>
      <c r="BS25" t="str">
        <f t="shared" si="0"/>
        <v/>
      </c>
      <c r="BT25" s="5" t="str">
        <f xml:space="preserve"> "&lt;rect " &amp; _xlfn.SINGLE(Simple.SVG_painting_2) &amp; " x='-20' y='-39.5' width='40' height='79' rx='6'/&gt;"</f>
        <v>&lt;rect fill='#D95B14' x='-20' y='-39.5' width='40' height='79' rx='6'/&gt;</v>
      </c>
      <c r="BU25" t="str">
        <f t="shared" si="0"/>
        <v/>
      </c>
      <c r="BV25" s="21" t="str">
        <f xml:space="preserve"> "&lt;ellipse rx='" &amp; _xlfn.SINGLE(Simple.MaxX) &amp; "' ry='" &amp; _xlfn.SINGLE(Simple.MaxY) &amp; "' " &amp; _xlfn.SINGLE(Simple.SVG_painting_2) &amp; "/&gt;"</f>
        <v>&lt;ellipse rx='40' ry='32' fill='#003399'/&gt;</v>
      </c>
      <c r="BW25" t="str">
        <f t="shared" si="0"/>
        <v/>
      </c>
      <c r="BX25" s="21" t="str">
        <f xml:space="preserve"> "&lt;path " &amp; _xlfn.SINGLE(Simple.SVG_painting_2) &amp; " d='M-4 0A4 4 0 0 1 0 -4L4 0A4 4 0 0 1 0 4Z'/&gt;"</f>
        <v>&lt;path fill='#198D66' d='M-4 0A4 4 0 0 1 0 -4L4 0A4 4 0 0 1 0 4Z'/&gt;</v>
      </c>
      <c r="BY25" t="str">
        <f t="shared" si="0"/>
        <v/>
      </c>
      <c r="BZ25" s="21" t="str">
        <f xml:space="preserve"> "&lt;ellipse rx='" &amp; _xlfn.SINGLE(Simple.MaxX) &amp; "' ry='" &amp; _xlfn.SINGLE(Simple.MaxY) &amp; "' " &amp; _xlfn.SINGLE(Simple.SVG_painting_2) &amp; "/&gt;"</f>
        <v>&lt;ellipse rx='2' ry='1' fill='#2A936A'/&gt;</v>
      </c>
      <c r="CA25" t="str">
        <f t="shared" si="0"/>
        <v/>
      </c>
      <c r="CB25" t="str">
        <f t="shared" si="0"/>
        <v/>
      </c>
      <c r="CC25" s="21"/>
      <c r="CD25" s="21"/>
      <c r="CE25" s="9"/>
    </row>
    <row r="26" spans="2:83">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21" t="str">
        <f xml:space="preserve"> IF(_xlfn.SINGLE(Simple.MaxX)&lt;&gt;0, "&lt;circle " &amp; _xlfn.SINGLE(Simple.SVG_painting_1) &amp; " r='" &amp; ROUND(_xlfn.SINGLE(Simple.MaxY) - 2, DecimalPlaces) &amp; "'/&gt;", "")</f>
        <v>&lt;circle  fill='#FFF'  r='8'/&gt;</v>
      </c>
      <c r="I26" t="str">
        <f t="shared" si="0"/>
        <v/>
      </c>
      <c r="J26" s="5" t="str">
        <f xml:space="preserve"> "&lt;circle " &amp; _xlfn.SINGLE(Simple.SVG_painting_1) &amp; " r='" &amp; (_xlfn.SINGLE(Simple.MaxX) / 2) &amp; "'/&gt;"</f>
        <v>&lt;circle fill='#FFF' r='2'/&gt;</v>
      </c>
      <c r="K26" t="str">
        <f t="shared" si="0"/>
        <v/>
      </c>
      <c r="L26" s="5" t="str">
        <f xml:space="preserve"> "&lt;circle " &amp; _xlfn.SINGLE(Simple.SVG_painting_1) &amp; " r='" &amp; (_xlfn.SINGLE(Simple.MaxX) / 2) &amp; "'/&gt;"</f>
        <v>&lt;circle fill='#0C4077' r='2'/&gt;</v>
      </c>
      <c r="M26" t="str">
        <f t="shared" si="0"/>
        <v/>
      </c>
      <c r="N26" s="5" t="str">
        <f xml:space="preserve"> "&lt;circle " &amp; _xlfn.SINGLE(Simple.SVG_painting_2) &amp; " r='8'/&gt;"</f>
        <v>&lt;circle fill='#F9CF02' r='8'/&gt;</v>
      </c>
      <c r="O26" t="str">
        <f t="shared" si="0"/>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0"/>
        <v/>
      </c>
      <c r="R26" s="21" t="str">
        <f xml:space="preserve"> "&lt;path " &amp; _xlfn.SINGLE(Simple.SVG_painting_1) &amp; " d='M -4 -3 H4 v2 H-4 Z   M -4 1 H4 v2 H-4 Z'/&gt;"</f>
        <v>&lt;path fill='#FFF' d='M -4 -3 H4 v2 H-4 Z   M -4 1 H4 v2 H-4 Z'/&gt;</v>
      </c>
      <c r="S26" t="str">
        <f t="shared" si="0"/>
        <v/>
      </c>
      <c r="T26" s="21" t="str" cm="1">
        <f t="array" ref="T26" xml:space="preserve"> svgPathRect(DecimalPlaces, _xlfn.SINGLE(Simple.SVG_painting_1), _xlfn.SINGLE(Simple.MaxX) - 2, _xlfn.SINGLE(Simple.MaxY) - 2)</f>
        <v>&lt;path fill='#FFF' d='M3 1V-1H-3V1Z'/&gt;</v>
      </c>
      <c r="U26" t="str">
        <f t="shared" si="0"/>
        <v/>
      </c>
      <c r="V26" s="21" t="str" cm="1">
        <f t="array" ref="V26" xml:space="preserve"> svgPathRect(DecimalPlaces, _xlfn.SINGLE(Simple.SVG_painting_1), _xlfn.SINGLE(Simple.MaxX) - 1, _xlfn.SINGLE(Simple.MaxY) - 1)</f>
        <v>&lt;path fill='#F9423A' d='M3 2V-2H-3V2Z'/&gt;</v>
      </c>
      <c r="W26" t="str">
        <f t="shared" si="0"/>
        <v/>
      </c>
      <c r="X26" s="21" t="str">
        <f xml:space="preserve"> "&lt;use href='#" &amp; _xlfn.SINGLE(Simple.ID) &amp; "-m' " &amp; _xlfn.SINGLE(Simple.SVG_painting_2) &amp; "/&gt;"</f>
        <v>&lt;use href='#IRR-m' fill='#239F40'/&gt;</v>
      </c>
      <c r="Y26" t="str">
        <f t="shared" si="0"/>
        <v/>
      </c>
      <c r="Z26" s="21" t="str">
        <f xml:space="preserve"> "&lt;path " &amp; _xlfn.SINGLE(Simple.SVG_painting_1) &amp; " transform='rotate(36)' d='M7 1V-1H-7V1Z'/&gt;"</f>
        <v>&lt;path fill='#FFCD00'  transform='rotate(36)' d='M7 1V-1H-7V1Z'/&gt;</v>
      </c>
      <c r="AA26" t="str">
        <f t="shared" si="0"/>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0"/>
        <v/>
      </c>
      <c r="AD26" s="5" t="str">
        <f xml:space="preserve"> "&lt;use href='#" &amp; _xlfn.SINGLE(Simple.ID) &amp; "-h' " &amp; _xlfn.SINGLE(Simple.SVG_painting_2) &amp; "/&gt;"</f>
        <v>&lt;use href='#BSD-h' fill='#00778B'/&gt;</v>
      </c>
      <c r="AE26" t="str">
        <f t="shared" si="0"/>
        <v/>
      </c>
      <c r="AF26" s="21" t="str" cm="1">
        <f t="array" ref="AF26" xml:space="preserve"> svgPathRect(DecimalPlaces, _xlfn.SINGLE(Simple.SVG_painting_1), _xlfn.SINGLE(Simple.MaxX) / 3, _xlfn.SINGLE(Simple.MaxY) - 1)</f>
        <v>&lt;path fill='#FFF' d='M2 5V-5H-2V5Z'/&gt;</v>
      </c>
      <c r="AG26" t="str">
        <f t="shared" si="0"/>
        <v/>
      </c>
      <c r="AH26" s="5" t="str">
        <f xml:space="preserve"> "&lt;path " &amp; _xlfn.SINGLE(Simple.SVG_painting_1) &amp; " d='M1 0V1H0L-1 0V-1H0Z'/&gt;"</f>
        <v>&lt;path fill='#002D62' d='M1 0V1H0L-1 0V-1H0Z'/&gt;</v>
      </c>
      <c r="AI26" t="str">
        <f t="shared" si="0"/>
        <v/>
      </c>
      <c r="AJ26" s="5" t="str">
        <f xml:space="preserve"> "&lt;path " &amp; _xlfn.SINGLE(Simple.SVG_painting_1) &amp; " d='M1 2H-2V-2L2 2V-2H-1 -2Z'/&gt;"</f>
        <v>&lt;path fill='#C8102E' d='M1 2H-2V-2L2 2V-2H-1 -2Z'/&gt;</v>
      </c>
      <c r="AK26" t="str">
        <f t="shared" si="0"/>
        <v/>
      </c>
      <c r="AL26" s="5" t="str">
        <f xml:space="preserve"> "&lt;path " &amp; _xlfn.SINGLE(Simple.SVG_painting_1) &amp; " d='M1 0L2 2H-2L-1 0L-2 -2H2Z'/&gt;"</f>
        <v>&lt;path fill='#009639' d='M1 0L2 2H-2L-1 0L-2 -2H2Z'/&gt;</v>
      </c>
      <c r="AM26" t="str">
        <f t="shared" si="0"/>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0"/>
        <v/>
      </c>
      <c r="AP26" s="5" t="str" cm="1">
        <f t="array" ref="AP26" xml:space="preserve"> svgPathRect(DecimalPlaces, _xlfn.SINGLE(Simple.SVG_painting_1), _xlfn.SINGLE(Simple.MaxX), _xlfn.SINGLE(Simple.MaxY))</f>
        <v>&lt;path fill='#FCD116' d='M4 4V-4H-4V4Z'/&gt;</v>
      </c>
      <c r="AQ26" t="str">
        <f t="shared" si="0"/>
        <v/>
      </c>
      <c r="AR26" s="5" t="str" cm="1">
        <f t="array" ref="AR26" xml:space="preserve"> svgPathRect(DecimalPlaces, _xlfn.SINGLE(Simple.SVG_painting_1), _xlfn.SINGLE(Simple.MaxX), _xlfn.SINGLE(Simple.MaxY))</f>
        <v>&lt;path fill='#007FFF' d='M4 4V-4H-4V4Z'/&gt;</v>
      </c>
      <c r="AS26" t="str">
        <f t="shared" si="0"/>
        <v/>
      </c>
      <c r="AT26" s="21" t="str">
        <f xml:space="preserve"> "&lt;path " &amp; _xlfn.SINGLE(Simple.SVG_painting_1) &amp; " d='M -9 -7 h 4 v 14 h -4 Z   M 5 -7 h 4 v 14 h -4 Z   M -3 -7 h 6 v 14 h -6 Z'/&gt;"</f>
        <v>&lt;path fill='#FFF' d='M -9 -7 h 4 v 14 h -4 Z   M 5 -7 h 4 v 14 h -4 Z   M -3 -7 h 6 v 14 h -6 Z'/&gt;</v>
      </c>
      <c r="AU26" t="str">
        <f t="shared" si="0"/>
        <v/>
      </c>
      <c r="AV26" s="21" t="str">
        <f xml:space="preserve"> "&lt;path " &amp; _xlfn.SINGLE(Simple.SVG_painting_1) &amp; " d='M -9 -7 h 4 v 14 h -4 Z   M 5 -7 h 4 v 14 h -4 Z   M -3 -7 h 6 v 14 h -6 Z'/&gt;"</f>
        <v>&lt;path fill='#FF0000' d='M -9 -7 h 4 v 14 h -4 Z   M 5 -7 h 4 v 14 h -4 Z   M -3 -7 h 6 v 14 h -6 Z'/&gt;</v>
      </c>
      <c r="AW26" t="str">
        <f t="shared" si="0"/>
        <v/>
      </c>
      <c r="AX26" s="21" t="str" cm="1">
        <f t="array" ref="AX26" xml:space="preserve"> svgPathRect(DecimalPlaces, _xlfn.SINGLE(Simple.SVG_painting_1), 7, 2)</f>
        <v>&lt;path fill='#FFF' d='M7 2V-2H-7V2Z'/&gt;</v>
      </c>
      <c r="AY26" t="str">
        <f t="shared" si="0"/>
        <v/>
      </c>
      <c r="AZ26" s="21" t="str" cm="1">
        <f t="array" ref="AZ26" xml:space="preserve"> svgPathRect(DecimalPlaces, _xlfn.SINGLE(Simple.SVG_painting_1), 7, 2)</f>
        <v>&lt;path fill='#000' d='M7 2V-2H-7V2Z'/&gt;</v>
      </c>
      <c r="BA26" t="str">
        <f t="shared" si="0"/>
        <v/>
      </c>
      <c r="BB26" s="5" t="str">
        <f xml:space="preserve"> "&lt;path " &amp; _xlfn.SINGLE(Simple.SVG_painting_1) &amp; " d='M" &amp; (2*Thirds_M) &amp; " 0L0 " &amp; (Thirds_M) &amp; "L" &amp; (-2*Thirds_M) &amp; " 0L0 " &amp; (-Thirds_M) &amp; "Z'/&gt;"</f>
        <v>&lt;path fill='#FFF' d='M38 0L0 19L-38 0L0 -19Z'/&gt;</v>
      </c>
      <c r="BC26" t="str">
        <f t="shared" si="0"/>
        <v/>
      </c>
      <c r="BD26" s="5" t="str">
        <f xml:space="preserve"> "&lt;path " &amp; _xlfn.SINGLE(Simple.SVG_painting_1) &amp; " d='M3 1V3H1V-3H3v2H-3V-3h2V3H-3V1Z'/&gt;"</f>
        <v>&lt;path fill='red' d='M3 1V3H1V-3H3v2H-3V-3h2V3H-3V1Z'/&gt;</v>
      </c>
      <c r="BE26" t="str">
        <f t="shared" si="0"/>
        <v/>
      </c>
      <c r="BF26" s="5" t="str">
        <f xml:space="preserve"> "&lt;path " &amp; _xlfn.SINGLE(Simple.SVG_painting_1) &amp; " d='M" &amp; (3*Thirds_M) &amp; " 0L0 " &amp; (2*Thirds_M) &amp; "L" &amp; (-3*Thirds_M) &amp; " 0L0 " &amp; (-2*Thirds_M) &amp; "Z'/&gt;"</f>
        <v>&lt;path fill='#D7141A' d='M57 0L0 38L-57 0L0 -38Z'/&gt;</v>
      </c>
      <c r="BG26" t="str">
        <f t="shared" si="0"/>
        <v/>
      </c>
      <c r="BH26" s="5" t="str">
        <f xml:space="preserve"> _xlfn.LET(_xlpm.f,69,   "&lt;path " &amp; _xlfn.SINGLE(Simple.SVG_painting_2) &amp; " d='M" &amp; (4*_xlpm.f) &amp; " 0L0 " &amp; (3*_xlpm.f) &amp; "L" &amp; (-4*_xlpm.f) &amp; " 0L0 " &amp; (-3*_xlpm.f) &amp; "Z'/&gt;")</f>
        <v>&lt;path fill='#FFF' d='M276 0L0 207L-276 0L0 -207Z'/&gt;</v>
      </c>
      <c r="BI26" t="str">
        <f t="shared" si="0"/>
        <v/>
      </c>
      <c r="BJ26" s="5" t="str">
        <f xml:space="preserve"> "&lt;path " &amp; _xlfn.SINGLE(Simple.SVG_painting_1) &amp; " d='M3 1V3H-3V1L3 -1V-3H-3v2Z'/&gt;"</f>
        <v>&lt;path fill='#FFF' d='M3 1V3H-3V1L3 -1V-3H-3v2Z'/&gt;</v>
      </c>
      <c r="BK26" t="str">
        <f t="shared" si="0"/>
        <v/>
      </c>
      <c r="BL26" s="5" t="str">
        <f xml:space="preserve"> "&lt;path " &amp; _xlfn.SINGLE(Simple.SVG_painting_1) &amp; " d='M3 1V3H-3V1L3 -1V-3H-3v2Z'/&gt;"</f>
        <v>&lt;path fill='#FFF' d='M3 1V3H-3V1L3 -1V-3H-3v2Z'/&gt;</v>
      </c>
      <c r="BM26" t="str">
        <f t="shared" si="0"/>
        <v/>
      </c>
      <c r="BN26" s="5" t="str">
        <f xml:space="preserve"> "&lt;path " &amp; _xlfn.SINGLE(Simple.SVG_painting_1) &amp; " d='M0 -187L136 0L0 187L-136 0L0 -187V187'/&gt;"</f>
        <v>&lt;path stroke-width='44' stroke-linejoin='round' stroke='#1B618C' fill='none'  d='M0 -187L136 0L0 187L-136 0L0 -187V187'/&gt;</v>
      </c>
      <c r="BO26" t="str">
        <f t="shared" si="0"/>
        <v/>
      </c>
      <c r="BP26" s="5" t="str">
        <f xml:space="preserve"> "&lt;circle " &amp; _xlfn.SINGLE(Simple.SVG_painting_1) &amp; " r='" &amp; (_xlfn.SINGLE(Simple.MaxX) - 1) &amp; "'/&gt;"</f>
        <v>&lt;circle fill='#FFF' r='7'/&gt;</v>
      </c>
      <c r="BQ26" t="str">
        <f t="shared" si="0"/>
        <v/>
      </c>
      <c r="BR26" s="5" t="str">
        <f xml:space="preserve"> "&lt;path " &amp; _xlfn.SINGLE(Simple.SVG_painting_1) &amp; " d='M4 1L-1 4L-4 -1L1 -4Z'/&gt;"</f>
        <v>&lt;path fill='#D0A650' d='M4 1L-1 4L-4 -1L1 -4Z'/&gt;</v>
      </c>
      <c r="BS26" t="str">
        <f t="shared" si="0"/>
        <v/>
      </c>
      <c r="BT26" s="5" t="str">
        <f xml:space="preserve"> "&lt;rect " &amp; _xlfn.SINGLE(Simple.SVG_painting_1) &amp; " x='-16' y='-35.5' width='32' height='71' rx='2'/&gt;"</f>
        <v>&lt;rect fill='#C7C7C7' x='-16' y='-35.5' width='32' height='71' rx='2'/&gt;</v>
      </c>
      <c r="BU26" t="str">
        <f t="shared" si="0"/>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0"/>
        <v/>
      </c>
      <c r="BX26" s="21" t="str">
        <f xml:space="preserve"> "&lt;path " &amp; _xlfn.SINGLE(Simple.SVG_painting_1) &amp; " d='M0 -4A4 4 0 0 1 4 0L-4 0A4 4 0 0 0 0 4Z'/&gt;"</f>
        <v>&lt;path fill='#FCB90E' d='M0 -4A4 4 0 0 1 4 0L-4 0A4 4 0 0 0 0 4Z'/&gt;</v>
      </c>
      <c r="BY26" t="str">
        <f t="shared" si="0"/>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0"/>
        <v/>
      </c>
      <c r="CB26" t="str">
        <f t="shared" si="0"/>
        <v/>
      </c>
      <c r="CC26" s="21"/>
      <c r="CD26" s="21"/>
      <c r="CE26" s="9"/>
    </row>
    <row r="27" spans="2:83">
      <c r="C27" t="str">
        <f t="shared" si="0"/>
        <v/>
      </c>
      <c r="D27" s="21" t="str" cm="1">
        <f t="array" ref="D27" xml:space="preserve"> svgPathRect(DecimalPlaces, _xlfn.SINGLE(Simple.SVG_painting_2), D$36, 1)</f>
        <v>&lt;path fill='#FF33FF' d='M9 1V-1H-9V1Z'/&gt;</v>
      </c>
      <c r="E27" t="str">
        <f t="shared" si="0"/>
        <v/>
      </c>
      <c r="F27" s="21" t="str" cm="1">
        <f t="array" ref="F27" xml:space="preserve"> svgPathRect(DecimalPlaces, _xlfn.SINGLE(Simple.SVG_painting_2), F$36, 1)</f>
        <v>&lt;path fill='#039' d='M9 1V-1H-9V1Z'/&gt;</v>
      </c>
      <c r="G27" t="str">
        <f t="shared" si="0"/>
        <v/>
      </c>
      <c r="H27" s="21" t="str">
        <f xml:space="preserve"> "&lt;path " &amp; _xlfn.SINGLE(Simple.SVG_painting_2) &amp; " d='M" &amp; H$39 &amp; " 1V3H" &amp; (-H$39) &amp; "V1Z M" &amp; H$39 &amp; " -1V-3H" &amp; (-H$39) &amp; "V-1Z'/&gt;"</f>
        <v>&lt;path  fill='#FF33FF' d='M9 1V3H-9V1Z M9 -1V-3H-9V-1Z'/&gt;</v>
      </c>
      <c r="I27" t="str">
        <f t="shared" si="0"/>
        <v/>
      </c>
      <c r="J27" s="5"/>
      <c r="K27" t="str">
        <f t="shared" si="0"/>
        <v/>
      </c>
      <c r="L27" s="5"/>
      <c r="M27" t="str">
        <f t="shared" si="0"/>
        <v/>
      </c>
      <c r="N27" s="5" t="str">
        <f xml:space="preserve"> "&lt;circle " &amp; _xlfn.SINGLE(Simple.SVG_painting_1) &amp; " r='5'/&gt;"</f>
        <v>&lt;circle fill='#C4272F' r='5'/&gt;</v>
      </c>
      <c r="O27" t="str">
        <f t="shared" si="0"/>
        <v/>
      </c>
      <c r="P27" s="21" t="str" cm="1">
        <f t="array" ref="P27" xml:space="preserve"> svgPathRect(DecimalPlaces, _xlfn.SINGLE(Simple.SVG_painting_0), 3, 5)</f>
        <v>&lt;path fill='#CF101A' d='M3 5V-5H-3V5Z'/&gt;</v>
      </c>
      <c r="Q27" t="str">
        <f t="shared" si="0"/>
        <v/>
      </c>
      <c r="R27" s="21"/>
      <c r="S27" t="str">
        <f t="shared" si="0"/>
        <v/>
      </c>
      <c r="T27" s="21"/>
      <c r="U27" t="str">
        <f t="shared" si="0"/>
        <v/>
      </c>
      <c r="V27" s="21" t="str" cm="1">
        <f t="array" ref="V27" xml:space="preserve"> svgPathRect(DecimalPlaces, _xlfn.SINGLE(Simple.SVG_painting_0), _xlfn.SINGLE(Simple.MaxX) - 2, _xlfn.SINGLE(Simple.MaxY) - 2)</f>
        <v>&lt;path fill='#FFF' d='M2 1V-1H-2V1Z'/&gt;</v>
      </c>
      <c r="W27" t="str">
        <f t="shared" si="0"/>
        <v/>
      </c>
      <c r="X27" s="21" t="str">
        <f xml:space="preserve"> "&lt;use href='#" &amp; _xlfn.SINGLE(Simple.ID) &amp; "-m' " &amp; _xlfn.SINGLE(Simple.SVG_painting_1) &amp; " transform='scale(" &amp; ROUND(Thirds_M/Thirds_O,2) &amp; ")'/&gt;"</f>
        <v>&lt;use href='#IRR-m' fill='#FFF' transform='scale(0.7)'/&gt;</v>
      </c>
      <c r="Y27" t="str">
        <f t="shared" si="0"/>
        <v/>
      </c>
      <c r="Z27" s="21" t="str">
        <f xml:space="preserve"> "&lt;path " &amp; _xlfn.SINGLE(Simple.SVG_painting_0) &amp; " d='M0 -8A8 8 0 0 0 0 8 8 8 0 0 0 0 -8ZM0 -6A6 6 0 0 1 0 6 6 6 0 0 1 0 -6Z'/&gt;"</f>
        <v>&lt;path fill='black' d='M0 -8A8 8 0 0 0 0 8 8 8 0 0 0 0 -8ZM0 -6A6 6 0 0 1 0 6 6 6 0 0 1 0 -6Z'/&gt;</v>
      </c>
      <c r="AA27" t="str">
        <f t="shared" si="0"/>
        <v/>
      </c>
      <c r="AB27" s="5"/>
      <c r="AC27" t="str">
        <f t="shared" si="0"/>
        <v/>
      </c>
      <c r="AD27" s="5" t="str">
        <f xml:space="preserve"> "&lt;use href='#" &amp; _xlfn.SINGLE(Simple.ID) &amp; "-h' " &amp; _xlfn.SINGLE(Simple.SVG_painting_1) &amp; " transform='scale(" &amp; ROUND(Thirds_M / Thirds_O, 2) &amp; ")'/&gt;"</f>
        <v>&lt;use href='#BSD-h' fill='#FFC72C' transform='scale(0.7)'/&gt;</v>
      </c>
      <c r="AE27" t="str">
        <f t="shared" si="0"/>
        <v/>
      </c>
      <c r="AG27" t="str">
        <f t="shared" si="0"/>
        <v/>
      </c>
      <c r="AH27" s="5" t="str">
        <f xml:space="preserve"> "&lt;path " &amp; _xlfn.SINGLE(Simple.SVG_painting_0) &amp; " d='M1 0V-1H0V1H-1V0Z'/&gt;"</f>
        <v>&lt;path fill='#CE1126' d='M1 0V-1H0V1H-1V0Z'/&gt;</v>
      </c>
      <c r="AI27" t="str">
        <f t="shared" si="0"/>
        <v/>
      </c>
      <c r="AJ27" s="5" t="str">
        <f xml:space="preserve"> "&lt;path " &amp; _xlfn.SINGLE(Simple.SVG_painting_0) &amp; " d='M-2 -2H-1L2 2H1Z'/&gt;"</f>
        <v>&lt;path fill='black' d='M-2 -2H-1L2 2H1Z'/&gt;</v>
      </c>
      <c r="AK27" t="str">
        <f t="shared" si="0"/>
        <v/>
      </c>
      <c r="AL27" s="5" t="str">
        <f xml:space="preserve"> "&lt;path " &amp; _xlfn.SINGLE(Simple.SVG_painting_0) &amp; " d='M2 2V-2L-2 2V-2Z'/&gt;"</f>
        <v>&lt;path fill='black' d='M2 2V-2L-2 2V-2Z'/&gt;</v>
      </c>
      <c r="AM27" t="str">
        <f t="shared" si="0"/>
        <v/>
      </c>
      <c r="AN27" s="5" t="str">
        <f xml:space="preserve"> "&lt;use href='#" &amp; _xlfn.SINGLE(Simple.ID) &amp; "-m' transform='translate(-288,0)'/&gt;"</f>
        <v>&lt;use href='#KYS-m' transform='translate(-288,0)'/&gt;</v>
      </c>
      <c r="AO27" t="str">
        <f t="shared" si="0"/>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0"/>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0"/>
        <v/>
      </c>
      <c r="AT27" s="21"/>
      <c r="AU27" t="str">
        <f t="shared" si="0"/>
        <v/>
      </c>
      <c r="AV27" s="21"/>
      <c r="AW27" t="str">
        <f t="shared" si="0"/>
        <v/>
      </c>
      <c r="AY27" t="str">
        <f t="shared" si="0"/>
        <v/>
      </c>
      <c r="BA27" t="str">
        <f t="shared" si="0"/>
        <v/>
      </c>
      <c r="BB27" s="5" t="str">
        <f xml:space="preserve"> "&lt;path " &amp; _xlfn.SINGLE(Simple.SVG_painting_0) &amp; " d='M" &amp; (2*Thirds_I) &amp; " 0L0 " &amp; (Thirds_I) &amp; "L" &amp; (-2*Thirds_I) &amp; " 0L0 " &amp; (-Thirds_I) &amp; "Z'/&gt;"</f>
        <v>&lt;path fill='#00A3E0' d='M20 0L0 10L-20 0L0 -10Z'/&gt;</v>
      </c>
      <c r="BC27" t="str">
        <f t="shared" si="0"/>
        <v/>
      </c>
      <c r="BD27" s="5"/>
      <c r="BE27" t="str">
        <f t="shared" si="0"/>
        <v/>
      </c>
      <c r="BF27" s="5" t="str">
        <f xml:space="preserve"> "&lt;path " &amp; _xlfn.SINGLE(Simple.SVG_painting_0) &amp; " d='M" &amp; (3*Thirds_I) &amp; " 0L0 " &amp; (2*Thirds_I) &amp; "L" &amp; (-3*Thirds_I) &amp; " 0L0 " &amp; (-2*Thirds_I) &amp; "Z'/&gt;"</f>
        <v>&lt;path fill='#FFF' d='M30 0L0 20L-30 0L0 -20Z'/&gt;</v>
      </c>
      <c r="BG27" t="str">
        <f t="shared" si="0"/>
        <v/>
      </c>
      <c r="BH27" s="5" t="str">
        <f xml:space="preserve"> _xlfn.LET(_xlpm.f,47,   "&lt;path " &amp; _xlfn.SINGLE(Simple.SVG_painting_1) &amp; " d='M" &amp; (4*_xlpm.f) &amp; " 0L0 " &amp; (3*_xlpm.f) &amp; "L" &amp; (-4*_xlpm.f) &amp; " 0L0 " &amp; (-3*_xlpm.f) &amp; "Z'/&gt;")</f>
        <v>&lt;path fill='#000' d='M188 0L0 141L-188 0L0 -141Z'/&gt;</v>
      </c>
      <c r="BI27" t="str">
        <f t="shared" si="0"/>
        <v/>
      </c>
      <c r="BJ27" s="21" t="str" cm="1">
        <f t="array" ref="BJ27" xml:space="preserve"> svgPathRect(DecimalPlaces, _xlfn.SINGLE(Simple.SVG_painting_0), 3, 1)</f>
        <v>&lt;path fill='#FFD500' d='M3 1V-1H-3V1Z'/&gt;</v>
      </c>
      <c r="BK27" t="str">
        <f t="shared" si="0"/>
        <v/>
      </c>
      <c r="BL27" s="21" t="str" cm="1">
        <f t="array" ref="BL27" xml:space="preserve"> svgPathRect(DecimalPlaces, _xlfn.SINGLE(Simple.SVG_painting_0), 3, 1)</f>
        <v>&lt;path fill='#EF3340' d='M3 1V-1H-3V1Z'/&gt;</v>
      </c>
      <c r="BM27" t="str">
        <f t="shared" si="0"/>
        <v/>
      </c>
      <c r="BN27" s="5"/>
      <c r="BO27" t="str">
        <f t="shared" si="0"/>
        <v/>
      </c>
      <c r="BP27" s="5" t="str">
        <f xml:space="preserve"> "&lt;circle " &amp; _xlfn.SINGLE(Simple.SVG_painting_0) &amp; " r='" &amp; (_xlfn.SINGLE(Simple.MaxX) - 3) &amp; "'/&gt;"</f>
        <v>&lt;circle fill='#0046C2' r='5'/&gt;</v>
      </c>
      <c r="BQ27" t="str">
        <f t="shared" si="0"/>
        <v/>
      </c>
      <c r="BR27" s="5"/>
      <c r="BS27" t="str">
        <f t="shared" si="0"/>
        <v/>
      </c>
      <c r="BU27" t="str">
        <f t="shared" si="0"/>
        <v/>
      </c>
      <c r="BV27" s="5" t="str">
        <f xml:space="preserve"> "&lt;use href='#" &amp; _xlfn.SINGLE(Simple.ID) &amp; "-a' transform='rotate(180)'/&gt;"</f>
        <v>&lt;use href='#_EIB-a' transform='rotate(180)'/&gt;</v>
      </c>
      <c r="BW27" t="str">
        <f t="shared" si="0"/>
        <v/>
      </c>
      <c r="BX27" s="62" t="str" cm="1">
        <f t="array" ref="BX27" xml:space="preserve"> IF(FALSE, svgPathRect(DecimalPlaces, _xlfn.SINGLE(Simple.SVG_painting_0),  2,  1), "")</f>
        <v/>
      </c>
      <c r="BY27" t="str">
        <f t="shared" si="0"/>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0"/>
        <v/>
      </c>
      <c r="CB27" t="str">
        <f t="shared" si="0"/>
        <v/>
      </c>
      <c r="CC27" s="5"/>
      <c r="CD27" s="5"/>
      <c r="CE27" s="9"/>
    </row>
    <row r="28" spans="2:83">
      <c r="C28" t="str">
        <f t="shared" si="0"/>
        <v/>
      </c>
      <c r="D28" s="21"/>
      <c r="E28" t="str">
        <f t="shared" si="0"/>
        <v/>
      </c>
      <c r="F28" s="21"/>
      <c r="G28" t="str">
        <f t="shared" si="0"/>
        <v/>
      </c>
      <c r="H28" s="21"/>
      <c r="I28" t="str">
        <f t="shared" si="0"/>
        <v/>
      </c>
      <c r="J28" s="5"/>
      <c r="K28" t="str">
        <f t="shared" si="0"/>
        <v/>
      </c>
      <c r="L28" s="5"/>
      <c r="M28" t="str">
        <f t="shared" si="0"/>
        <v/>
      </c>
      <c r="N28" s="5"/>
      <c r="O28" t="str">
        <f t="shared" si="0"/>
        <v/>
      </c>
      <c r="P28" s="21"/>
      <c r="Q28" t="str">
        <f t="shared" si="0"/>
        <v/>
      </c>
      <c r="R28" s="21"/>
      <c r="S28" t="str">
        <f t="shared" si="0"/>
        <v/>
      </c>
      <c r="T28" s="21"/>
      <c r="U28" t="str">
        <f t="shared" si="0"/>
        <v/>
      </c>
      <c r="V28" s="21"/>
      <c r="W28" t="str">
        <f t="shared" si="0"/>
        <v/>
      </c>
      <c r="X28" s="21" t="str">
        <f xml:space="preserve"> "&lt;use href='#" &amp; _xlfn.SINGLE(Simple.ID) &amp; "-m' " &amp; _xlfn.SINGLE(Simple.SVG_painting_0) &amp; " transform='scale(" &amp; ROUND(Thirds_I/Thirds_O,2) &amp; ")'/&gt;"</f>
        <v>&lt;use href='#IRR-m' fill='#DA0000' transform='scale(0.37)'/&gt;</v>
      </c>
      <c r="Y28" t="str">
        <f t="shared" si="0"/>
        <v/>
      </c>
      <c r="Z28" s="21"/>
      <c r="AA28" t="str">
        <f t="shared" si="0"/>
        <v/>
      </c>
      <c r="AB28" s="5"/>
      <c r="AC28" t="str">
        <f t="shared" si="0"/>
        <v/>
      </c>
      <c r="AD28" s="5" t="str">
        <f xml:space="preserve"> "&lt;use href='#" &amp; _xlfn.SINGLE(Simple.ID) &amp; "-h' " &amp; _xlfn.SINGLE(Simple.SVG_painting_0) &amp; " transform='scale(" &amp; ROUND(Thirds_I / Thirds_O, 2) &amp; ")'/&gt;"</f>
        <v>&lt;use href='#BSD-h' fill='black' transform='scale(0.37)'/&gt;</v>
      </c>
      <c r="AE28" t="str">
        <f t="shared" si="0"/>
        <v/>
      </c>
      <c r="AG28" t="str">
        <f t="shared" si="0"/>
        <v/>
      </c>
      <c r="AH28" s="5"/>
      <c r="AI28" t="str">
        <f t="shared" si="0"/>
        <v/>
      </c>
      <c r="AJ28" s="5"/>
      <c r="AK28" t="str">
        <f t="shared" si="0"/>
        <v/>
      </c>
      <c r="AL28" s="5"/>
      <c r="AM28" t="str">
        <f t="shared" si="0"/>
        <v/>
      </c>
      <c r="AN28" s="5" t="str">
        <f xml:space="preserve"> "&lt;ellipse " &amp; _xlfn.SINGLE(Simple.SVG_painting_0) &amp; " rx='48' ry='72'/&gt;"</f>
        <v>&lt;ellipse fill='#FFF' rx='48' ry='72'/&gt;</v>
      </c>
      <c r="AO28" t="str">
        <f t="shared" si="0"/>
        <v/>
      </c>
      <c r="AP28" s="5"/>
      <c r="AQ28" t="str">
        <f t="shared" si="0"/>
        <v/>
      </c>
      <c r="AR28" s="5"/>
      <c r="AS28" t="str">
        <f t="shared" si="0"/>
        <v/>
      </c>
      <c r="AT28" s="21"/>
      <c r="AU28" t="str">
        <f t="shared" si="0"/>
        <v/>
      </c>
      <c r="AV28" s="21"/>
      <c r="AW28" t="str">
        <f t="shared" si="0"/>
        <v/>
      </c>
      <c r="AY28" t="str">
        <f t="shared" si="0"/>
        <v/>
      </c>
      <c r="BA28" t="str">
        <f t="shared" si="0"/>
        <v/>
      </c>
      <c r="BB28" s="5"/>
      <c r="BC28" t="str">
        <f t="shared" si="0"/>
        <v/>
      </c>
      <c r="BD28" s="5"/>
      <c r="BE28" t="str">
        <f t="shared" si="0"/>
        <v/>
      </c>
      <c r="BF28" s="5"/>
      <c r="BG28" t="str">
        <f t="shared" si="0"/>
        <v/>
      </c>
      <c r="BH28" s="5" t="str">
        <f xml:space="preserve"> _xlfn.LET(_xlpm.f,24,   "&lt;path " &amp; _xlfn.SINGLE(Simple.SVG_painting_0) &amp; " d='M" &amp; (4*_xlpm.f) &amp; " 0L0 " &amp; (3*_xlpm.f) &amp; "L" &amp; (-4*_xlpm.f) &amp; " 0L0 " &amp; (-3*_xlpm.f) &amp; "Z'/&gt;")</f>
        <v>&lt;path fill='#EE2A35' d='M96 0L0 72L-96 0L0 -72Z'/&gt;</v>
      </c>
      <c r="BI28" t="str">
        <f t="shared" si="0"/>
        <v/>
      </c>
      <c r="BJ28" s="21"/>
      <c r="BK28" t="str">
        <f t="shared" si="0"/>
        <v/>
      </c>
      <c r="BL28" s="21"/>
      <c r="BM28" t="str">
        <f t="shared" si="0"/>
        <v/>
      </c>
      <c r="BN28" s="5"/>
      <c r="BO28" t="str">
        <f t="shared" si="0"/>
        <v/>
      </c>
      <c r="BP28" s="5" t="str">
        <f xml:space="preserve"> "&lt;path transform='rotate(45)' " &amp; _xlfn.SINGLE(Simple.SVG_painting_1) &amp; " d='M1 6V-6L3 -5V5Z M-1 -6V6L-3 5V-5Z'/&gt;"</f>
        <v>&lt;path transform='rotate(45)' fill='#FFF' d='M1 6V-6L3 -5V5Z M-1 -6V6L-3 5V-5Z'/&gt;</v>
      </c>
      <c r="BQ28" t="str">
        <f t="shared" si="0"/>
        <v/>
      </c>
      <c r="BR28" s="5"/>
      <c r="BS28" t="str">
        <f t="shared" si="0"/>
        <v/>
      </c>
      <c r="BU28" t="str">
        <f t="shared" si="0"/>
        <v/>
      </c>
      <c r="BV28" s="5" t="str">
        <f xml:space="preserve"> "&lt;path " &amp; _xlfn.SINGLE(Simple.SVG_painting_2) &amp; " d='M31 17H-31L-34 13H34Z M-31 -17H31L34 -13H-34Z'/&gt;"</f>
        <v>&lt;path fill='#003399' d='M31 17H-31L-34 13H34Z M-31 -17H31L34 -13H-34Z'/&gt;</v>
      </c>
      <c r="BW28" t="str">
        <f t="shared" si="0"/>
        <v/>
      </c>
      <c r="BX28" s="5"/>
      <c r="BY28" t="str">
        <f t="shared" si="0"/>
        <v/>
      </c>
      <c r="BZ28" s="5"/>
      <c r="CA28" t="str">
        <f t="shared" si="0"/>
        <v/>
      </c>
      <c r="CB28" t="str">
        <f t="shared" si="0"/>
        <v/>
      </c>
      <c r="CC28" s="5"/>
      <c r="CD28" s="5"/>
      <c r="CE28" s="9"/>
    </row>
    <row r="29" spans="2:83">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15" t="s">
        <v>15</v>
      </c>
      <c r="S29" s="10" t="str">
        <f t="shared" si="0"/>
        <v/>
      </c>
      <c r="T29" s="15" t="s">
        <v>15</v>
      </c>
      <c r="U29" s="10" t="str">
        <f t="shared" si="0"/>
        <v/>
      </c>
      <c r="V29" s="15" t="s">
        <v>15</v>
      </c>
      <c r="W29" s="10" t="str">
        <f t="shared" si="0"/>
        <v/>
      </c>
      <c r="X29" s="24" t="s">
        <v>15</v>
      </c>
      <c r="Y29" s="10" t="str">
        <f t="shared" si="0"/>
        <v/>
      </c>
      <c r="Z29" s="24"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5" t="s">
        <v>15</v>
      </c>
      <c r="BW29" s="10" t="str">
        <f t="shared" si="0"/>
        <v/>
      </c>
      <c r="BX29" s="15" t="s">
        <v>15</v>
      </c>
      <c r="BY29" s="10" t="str">
        <f t="shared" si="0"/>
        <v/>
      </c>
      <c r="BZ29" s="15" t="s">
        <v>15</v>
      </c>
      <c r="CA29" s="10" t="str">
        <f t="shared" si="0"/>
        <v/>
      </c>
      <c r="CB29" s="10" t="str">
        <f t="shared" si="0"/>
        <v/>
      </c>
      <c r="CC29" s="15"/>
      <c r="CD29" s="15"/>
      <c r="CE29" s="11"/>
    </row>
    <row r="32" spans="2:83">
      <c r="D32" t="str">
        <f xml:space="preserve"> _xlfn.SINGLE(Simple.ID)</f>
        <v>EUR</v>
      </c>
      <c r="F32" t="str">
        <f xml:space="preserve"> _xlfn.SINGLE(Simple.ID)</f>
        <v>EUR_2</v>
      </c>
      <c r="H32" t="str">
        <f xml:space="preserve"> _xlfn.SINGLE(Simple.ID)</f>
        <v>_ECB</v>
      </c>
      <c r="J32" t="str">
        <f xml:space="preserve"> _xlfn.SINGLE(Simple.ID)</f>
        <v>BGN</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row>
    <row r="34" spans="4:61">
      <c r="D34">
        <f xml:space="preserve"> SQRT((Simple.MaxX - 2)^2 - 1^2)</f>
        <v>7.9372539331937721</v>
      </c>
      <c r="F34">
        <f xml:space="preserve"> SQRT((Simple.MaxX - 2)^2 - 1^2)</f>
        <v>7.9372539331937721</v>
      </c>
      <c r="H34">
        <f xml:space="preserve"> D34</f>
        <v>7.9372539331937721</v>
      </c>
    </row>
    <row r="35" spans="4:61">
      <c r="D35">
        <f xml:space="preserve"> SQRT((Simple.MaxX - 0)^2 - 1^2)</f>
        <v>9.9498743710661994</v>
      </c>
      <c r="F35">
        <f xml:space="preserve"> SQRT((Simple.MaxX - 0)^2 - 1^2)</f>
        <v>9.9498743710661994</v>
      </c>
      <c r="H35">
        <f xml:space="preserve"> D35</f>
        <v>9.9498743710661994</v>
      </c>
    </row>
    <row r="36" spans="4:61">
      <c r="D36">
        <f xml:space="preserve"> MROUND(AVERAGE(D34:D35), 0.2)</f>
        <v>9</v>
      </c>
      <c r="F36">
        <f xml:space="preserve"> MROUND(AVERAGE(F34:F35), 0.2)</f>
        <v>9</v>
      </c>
    </row>
    <row r="37" spans="4:61">
      <c r="H37">
        <f xml:space="preserve"> SQRT((Simple.MaxX - 2)^2 - 3^2)</f>
        <v>7.416198487095663</v>
      </c>
      <c r="BH37">
        <f xml:space="preserve"> 2 * BH38 - BH39 - 1</f>
        <v>66</v>
      </c>
      <c r="BI37">
        <f xml:space="preserve"> ($BH37 - $BH38) / $BH37</f>
        <v>0.22727272727272727</v>
      </c>
    </row>
    <row r="38" spans="4:61">
      <c r="H38">
        <f xml:space="preserve"> SQRT((Simple.MaxX - 0)^2 - 3^2)</f>
        <v>9.5393920141694561</v>
      </c>
      <c r="BH38">
        <f xml:space="preserve"> 2 * BH39 - BH40 - 1</f>
        <v>51</v>
      </c>
      <c r="BI38">
        <f xml:space="preserve"> ($BH38 - $BH39) / $BH37</f>
        <v>0.24242424242424243</v>
      </c>
    </row>
    <row r="39" spans="4:61">
      <c r="H39">
        <f xml:space="preserve"> MROUND(AVERAGE(MAX(H$34, H$37), MIN(H$35, H$38)), 1)</f>
        <v>9</v>
      </c>
      <c r="BH39">
        <f xml:space="preserve"> 2 * BH40 - BH41 - 1</f>
        <v>35</v>
      </c>
      <c r="BI39">
        <f xml:space="preserve"> ($BH39 - $BH40) / $BH37</f>
        <v>0.25757575757575757</v>
      </c>
    </row>
    <row r="40" spans="4:61">
      <c r="BD40" s="5"/>
      <c r="BH40">
        <v>18</v>
      </c>
      <c r="BI40">
        <f xml:space="preserve"> ($BH40 - $BH41) / $BH37</f>
        <v>0.27272727272727271</v>
      </c>
    </row>
    <row r="41" spans="4:61">
      <c r="BD41" s="5"/>
    </row>
    <row r="43" spans="4:61">
      <c r="BH43">
        <f xml:space="preserve"> 2 * BH44 - BH45 - 1</f>
        <v>90</v>
      </c>
      <c r="BI43">
        <f xml:space="preserve"> ($BH43 - $BH44) / $BH43</f>
        <v>0.23333333333333334</v>
      </c>
    </row>
    <row r="44" spans="4:61">
      <c r="BH44">
        <f xml:space="preserve"> 2 * BH45 - BH46 - 1</f>
        <v>69</v>
      </c>
      <c r="BI44">
        <f xml:space="preserve"> ($BH44 - $BH45) / $BH43</f>
        <v>0.24444444444444444</v>
      </c>
    </row>
    <row r="45" spans="4:61">
      <c r="BH45">
        <f xml:space="preserve"> 2 * BH46 - BH47 - 1</f>
        <v>47</v>
      </c>
      <c r="BI45">
        <f xml:space="preserve"> ($BH45 - $BH46) / $BH43</f>
        <v>0.25555555555555554</v>
      </c>
    </row>
    <row r="46" spans="4:61">
      <c r="BH46">
        <v>24</v>
      </c>
      <c r="BI46">
        <f xml:space="preserve"> ($BH46 - $BH47) / $BH43</f>
        <v>0.26666666666666666</v>
      </c>
    </row>
    <row r="48" spans="4:61">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-27.999999999999986</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2.45029690981724E-15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-1.3721662694976544E-14</v>
      </c>
      <c r="E23">
        <v>56</v>
      </c>
      <c r="G23" t="str">
        <v>L0 -56Z</v>
      </c>
    </row>
    <row r="26" spans="2:7">
      <c r="F26" s="4" t="s">
        <v>2230</v>
      </c>
      <c r="G26">
        <f xml:space="preserve"> _CoEDB.Radius_1</f>
        <v>64</v>
      </c>
    </row>
    <row r="27" spans="2:7">
      <c r="F27" s="4" t="s">
        <v>2232</v>
      </c>
      <c r="G27">
        <f xml:space="preserve"> _CoEDB.MaxX</f>
        <v>64</v>
      </c>
    </row>
    <row r="28" spans="2:7">
      <c r="F28" s="4" t="s">
        <v>2229</v>
      </c>
      <c r="G28">
        <f xml:space="preserve"> - G26</f>
        <v>-64</v>
      </c>
    </row>
    <row r="29" spans="2:7">
      <c r="F29" s="4" t="s">
        <v>2231</v>
      </c>
      <c r="G29">
        <f xml:space="preserve"> - G27</f>
        <v>-64</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62"/>
  <sheetViews>
    <sheetView workbookViewId="0">
      <pane ySplit="2" topLeftCell="A3" activePane="bottomLeft" state="frozenSplit"/>
      <selection pane="bottomLeft" activeCell="B2" sqref="B2"/>
    </sheetView>
  </sheetViews>
  <sheetFormatPr baseColWidth="10" defaultRowHeight="16"/>
  <sheetData>
    <row r="2" spans="2:19" ht="17" thickBot="1">
      <c r="B2" s="3" t="s">
        <v>1827</v>
      </c>
      <c r="C2" s="3" t="s">
        <v>1828</v>
      </c>
      <c r="E2" s="3" t="s">
        <v>1829</v>
      </c>
      <c r="F2" s="3" t="s">
        <v>1830</v>
      </c>
      <c r="G2" s="3" t="s">
        <v>1983</v>
      </c>
      <c r="H2" s="3" t="s">
        <v>1831</v>
      </c>
      <c r="I2" s="3" t="s">
        <v>1832</v>
      </c>
      <c r="J2" s="3" t="s">
        <v>1833</v>
      </c>
      <c r="K2" s="3" t="s">
        <v>1834</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62" xml:space="preserve"> _xlfn.BYROW(ChartLines.Hex6, _xlfn.LAMBDA(_xlpm.hex, IF(LEN(_xlpm.hex)=6, HEX2DEC(LEFT(_xlpm.hex, 2)), "·") ))</f>
        <v>0</v>
      </c>
      <c r="I3" cm="1">
        <f t="array" ref="I3:I362" xml:space="preserve"> _xlfn.BYROW(ChartLines.Hex6, _xlfn.LAMBDA(_xlpm.hex, IF(LEN(_xlpm.hex)=6, HEX2DEC(MID(_xlpm.hex, 3, 2)), "·") ))</f>
        <v>0</v>
      </c>
      <c r="J3" cm="1">
        <f t="array" ref="J3:J362" xml:space="preserve"> _xlfn.BYROW(ChartLines.Hex6, _xlfn.LAMBDA(_xlpm.hex, IF(LEN(_xlpm.hex)=6, HEX2DEC(RIGHT(_xlpm.hex, 2)), "·") ))</f>
        <v>0</v>
      </c>
      <c r="K3" cm="1">
        <f t="array" ref="K3:K362" xml:space="preserve"> _xlfn.SEQUENCE(ROWS(ChartLines.RowNum))</f>
        <v>1</v>
      </c>
    </row>
    <row r="4" spans="2:19">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1981</v>
      </c>
      <c r="P7" t="s">
        <v>23</v>
      </c>
      <c r="Q7" t="s">
        <v>24</v>
      </c>
      <c r="R7" t="s">
        <v>1985</v>
      </c>
      <c r="S7" t="s">
        <v>1986</v>
      </c>
    </row>
    <row r="8" spans="2:19">
      <c r="B8" t="s">
        <v>1835</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1982</v>
      </c>
      <c r="P8">
        <v>3.6</v>
      </c>
      <c r="Q8">
        <v>1.2</v>
      </c>
      <c r="R8">
        <f xml:space="preserve"> $P8 - $Q8</f>
        <v>2.4000000000000004</v>
      </c>
      <c r="S8">
        <f xml:space="preserve"> MAX($P8:$R8)</f>
        <v>3.6</v>
      </c>
    </row>
    <row r="9" spans="2:19">
      <c r="B9" t="s">
        <v>405</v>
      </c>
      <c r="C9" t="s">
        <v>1836</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1987</v>
      </c>
      <c r="P9">
        <v>3</v>
      </c>
      <c r="Q9">
        <v>1</v>
      </c>
      <c r="R9">
        <f xml:space="preserve"> $P9 - $Q9</f>
        <v>2</v>
      </c>
      <c r="S9">
        <f xml:space="preserve"> MAX($P9:$R9)</f>
        <v>3</v>
      </c>
    </row>
    <row r="10" spans="2:19">
      <c r="B10" t="s">
        <v>2673</v>
      </c>
      <c r="C10" t="s">
        <v>1836</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2673</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1984</v>
      </c>
      <c r="P11">
        <f xml:space="preserve"> _xlfn.MAXIFS(ChartLines_Thicknesses.StrokeWidth,   ChartLines_Thicknesses.StrokeWidth,"&gt;0")</f>
        <v>3.6</v>
      </c>
    </row>
    <row r="12" spans="2:19">
      <c r="B12" t="s">
        <v>1835</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1958</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1955</v>
      </c>
      <c r="P13" s="5" t="s">
        <v>1956</v>
      </c>
    </row>
    <row r="14" spans="2:19">
      <c r="B14" t="s">
        <v>1835</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1957</v>
      </c>
      <c r="P14" s="5" t="s">
        <v>15</v>
      </c>
    </row>
    <row r="15" spans="2:19">
      <c r="B15" t="s">
        <v>2254</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2254</v>
      </c>
      <c r="C16" t="s">
        <v>1839</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2255</v>
      </c>
      <c r="C17" t="s">
        <v>1857</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2255</v>
      </c>
      <c r="C18" t="s">
        <v>1940</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2256</v>
      </c>
      <c r="C19" t="s">
        <v>1844</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2256</v>
      </c>
      <c r="C20" t="s">
        <v>1839</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2257</v>
      </c>
      <c r="C21" t="s">
        <v>2253</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2257</v>
      </c>
      <c r="C22" t="s">
        <v>1844</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2258</v>
      </c>
      <c r="C23" t="s">
        <v>1844</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2258</v>
      </c>
      <c r="C24" t="s">
        <v>2253</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1837</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1835</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1539</v>
      </c>
      <c r="C27" t="s">
        <v>1838</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1539</v>
      </c>
      <c r="C28" t="s">
        <v>1839</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2281</v>
      </c>
      <c r="C29" t="s">
        <v>1838</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2281</v>
      </c>
      <c r="C30" t="s">
        <v>2288</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1840</v>
      </c>
      <c r="C31" t="s">
        <v>1838</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1840</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2299</v>
      </c>
      <c r="C33" t="s">
        <v>1838</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2299</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1841</v>
      </c>
      <c r="C35" t="s">
        <v>1842</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1841</v>
      </c>
      <c r="C36" t="s">
        <v>1843</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1844</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1845</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1846</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1847</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794</v>
      </c>
      <c r="C44" t="s">
        <v>1836</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794</v>
      </c>
      <c r="C45" t="s">
        <v>1839</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2652</v>
      </c>
      <c r="C46" t="s">
        <v>1836</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2652</v>
      </c>
      <c r="C47" t="s">
        <v>2660</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2653</v>
      </c>
      <c r="C48" t="s">
        <v>1836</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2653</v>
      </c>
      <c r="C49" t="s">
        <v>2661</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2654</v>
      </c>
      <c r="C50" t="s">
        <v>1836</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2654</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796</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796</v>
      </c>
      <c r="C53" t="s">
        <v>1836</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581</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581</v>
      </c>
      <c r="C55" t="s">
        <v>1839</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2274</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2274</v>
      </c>
      <c r="C57" t="s">
        <v>1838</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598</v>
      </c>
      <c r="C58" t="s">
        <v>1848</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598</v>
      </c>
      <c r="C59" t="s">
        <v>1849</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2276</v>
      </c>
      <c r="C60" t="s">
        <v>1848</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2276</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635</v>
      </c>
      <c r="C62" t="s">
        <v>1850</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635</v>
      </c>
      <c r="C63" t="s">
        <v>1851</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2277</v>
      </c>
      <c r="C64" t="s">
        <v>1850</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2277</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2147</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2148</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2278</v>
      </c>
      <c r="C68" t="s">
        <v>2147</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2278</v>
      </c>
      <c r="C69" t="s">
        <v>2288</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636</v>
      </c>
      <c r="C70" t="s">
        <v>1852</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636</v>
      </c>
      <c r="C71" t="s">
        <v>1853</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2289</v>
      </c>
      <c r="C72" t="s">
        <v>2290</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2289</v>
      </c>
      <c r="C73" t="s">
        <v>1853</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655</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655</v>
      </c>
      <c r="C75" t="s">
        <v>1854</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2291</v>
      </c>
      <c r="C76" t="s">
        <v>1854</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2291</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656</v>
      </c>
      <c r="C78" t="s">
        <v>1844</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656</v>
      </c>
      <c r="C79" t="s">
        <v>1839</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2280</v>
      </c>
      <c r="C80" t="s">
        <v>1844</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2280</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657</v>
      </c>
      <c r="C82" t="s">
        <v>1855</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1835</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2292</v>
      </c>
      <c r="C84" t="s">
        <v>1855</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2292</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1856</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1839</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2296</v>
      </c>
      <c r="C88" t="s">
        <v>1856</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2296</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1857</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1835</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2297</v>
      </c>
      <c r="C92" t="s">
        <v>1857</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2297</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675</v>
      </c>
      <c r="C94" t="s">
        <v>1858</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675</v>
      </c>
      <c r="C95" t="s">
        <v>1859</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2298</v>
      </c>
      <c r="C96" t="s">
        <v>1859</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2298</v>
      </c>
      <c r="C97" t="s">
        <v>1858</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1837</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1860</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2293</v>
      </c>
      <c r="C100" t="s">
        <v>1860</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2293</v>
      </c>
      <c r="C101" t="s">
        <v>1837</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614</v>
      </c>
      <c r="C102" t="s">
        <v>2162</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614</v>
      </c>
      <c r="C103" t="s">
        <v>1861</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1862</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1835</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1666</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1835</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1863</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1864</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676</v>
      </c>
      <c r="C110" t="s">
        <v>1865</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676</v>
      </c>
      <c r="C111" t="s">
        <v>1839</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1866</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694</v>
      </c>
      <c r="C114" t="s">
        <v>1867</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694</v>
      </c>
      <c r="C115" t="s">
        <v>1868</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714</v>
      </c>
      <c r="C116" t="s">
        <v>1869</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714</v>
      </c>
      <c r="C117" t="s">
        <v>2160</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715</v>
      </c>
      <c r="C118" t="s">
        <v>1870</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715</v>
      </c>
      <c r="C119" t="s">
        <v>1871</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1704</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1704</v>
      </c>
      <c r="C121" t="s">
        <v>1872</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795</v>
      </c>
      <c r="C122" t="s">
        <v>1873</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795</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2131</v>
      </c>
      <c r="C124" t="s">
        <v>1862</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2131</v>
      </c>
      <c r="C125" t="s">
        <v>1837</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1857</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1839</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1540</v>
      </c>
      <c r="C129" t="s">
        <v>1874</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1540</v>
      </c>
      <c r="C130" t="s">
        <v>1875</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1980</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1835</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1877</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1876</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1842</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1878</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1879</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1880</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393</v>
      </c>
      <c r="C139" t="s">
        <v>1881</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393</v>
      </c>
      <c r="C140" t="s">
        <v>1839</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1882</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1883</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1884</v>
      </c>
      <c r="C144" t="s">
        <v>1838</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1835</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1885</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1839</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1886</v>
      </c>
      <c r="C148" t="s">
        <v>1887</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1886</v>
      </c>
      <c r="C149" t="s">
        <v>1888</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1889</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1835</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1890</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1838</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1839</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1891</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2379</v>
      </c>
      <c r="C158" t="s">
        <v>2408</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2379</v>
      </c>
      <c r="C159" t="s">
        <v>2407</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1892</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1880</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1893</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1894</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1839</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1895</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1839</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1896</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1897</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1898</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1899</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1900</v>
      </c>
      <c r="C172" t="s">
        <v>1901</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1900</v>
      </c>
      <c r="C173" t="s">
        <v>1902</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2311</v>
      </c>
      <c r="C174" t="s">
        <v>2406</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2311</v>
      </c>
      <c r="C175" t="s">
        <v>2405</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2409</v>
      </c>
      <c r="C176" t="s">
        <v>1940</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2409</v>
      </c>
      <c r="C177" t="s">
        <v>2410</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1614</v>
      </c>
      <c r="C178" t="s">
        <v>1903</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1614</v>
      </c>
      <c r="C179" t="s">
        <v>1904</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2420</v>
      </c>
      <c r="C180" t="s">
        <v>2422</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2420</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2268</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2268</v>
      </c>
      <c r="C183" t="s">
        <v>2301</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2682</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1835</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879</v>
      </c>
      <c r="C187" t="s">
        <v>1905</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879</v>
      </c>
      <c r="C188" t="s">
        <v>1906</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394</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394</v>
      </c>
      <c r="C190" t="s">
        <v>1857</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406</v>
      </c>
      <c r="C191" t="s">
        <v>1907</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406</v>
      </c>
      <c r="C192" t="s">
        <v>1908</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1670</v>
      </c>
      <c r="C193" t="s">
        <v>1909</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1670</v>
      </c>
      <c r="C194" t="s">
        <v>1910</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1911</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1979</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1912</v>
      </c>
      <c r="C197" t="s">
        <v>1838</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1912</v>
      </c>
      <c r="C198" t="s">
        <v>1839</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2414</v>
      </c>
      <c r="C199" t="s">
        <v>2416</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2414</v>
      </c>
      <c r="C200" t="s">
        <v>1839</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2415</v>
      </c>
      <c r="C201" t="s">
        <v>1934</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2415</v>
      </c>
      <c r="C202" t="s">
        <v>2417</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2154</v>
      </c>
      <c r="C203" t="s">
        <v>1913</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2154</v>
      </c>
      <c r="C204" t="s">
        <v>1839</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407</v>
      </c>
      <c r="C205" t="s">
        <v>2077</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407</v>
      </c>
      <c r="C206" t="s">
        <v>2068</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1914</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1835</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1839</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459</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459</v>
      </c>
      <c r="C213" t="s">
        <v>1837</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1978</v>
      </c>
      <c r="C214" t="s">
        <v>1844</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1978</v>
      </c>
      <c r="C215" t="s">
        <v>1979</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473</v>
      </c>
      <c r="C216" t="s">
        <v>1915</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473</v>
      </c>
      <c r="C217" t="s">
        <v>1839</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2413</v>
      </c>
      <c r="C218" t="s">
        <v>1857</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1916</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1916</v>
      </c>
      <c r="C220" t="s">
        <v>1917</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2026</v>
      </c>
      <c r="C221" t="s">
        <v>2025</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2026</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2310</v>
      </c>
      <c r="C223" t="s">
        <v>2404</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2310</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491</v>
      </c>
      <c r="C225" t="s">
        <v>1917</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491</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1837</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2306</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2306</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1918</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1918</v>
      </c>
      <c r="C232" t="s">
        <v>1839</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1919</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1839</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1920</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1624</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1624</v>
      </c>
      <c r="C238" t="s">
        <v>1839</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492</v>
      </c>
      <c r="C239" t="s">
        <v>1921</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492</v>
      </c>
      <c r="C240" t="s">
        <v>1839</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900</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900</v>
      </c>
      <c r="C242" t="s">
        <v>1922</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510</v>
      </c>
      <c r="C243" t="s">
        <v>1923</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510</v>
      </c>
      <c r="C244" t="s">
        <v>1839</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433</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433</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1839</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1617</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1617</v>
      </c>
      <c r="C251" t="s">
        <v>1924</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2005</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2005</v>
      </c>
      <c r="C253" t="s">
        <v>1839</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1627</v>
      </c>
      <c r="C254" t="s">
        <v>1925</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1627</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1623</v>
      </c>
      <c r="C256" t="s">
        <v>1880</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1623</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1637</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1637</v>
      </c>
      <c r="C259" t="s">
        <v>1926</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1620</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1620</v>
      </c>
      <c r="C261" t="s">
        <v>1927</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1959</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1959</v>
      </c>
      <c r="C263" t="s">
        <v>1845</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1929</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1928</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1852</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1930</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1931</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2418</v>
      </c>
      <c r="C270" t="s">
        <v>1880</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2418</v>
      </c>
      <c r="C271" t="s">
        <v>1917</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2151</v>
      </c>
      <c r="C272" t="s">
        <v>1844</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2151</v>
      </c>
      <c r="C273" t="s">
        <v>1843</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2677</v>
      </c>
      <c r="C274" t="s">
        <v>2681</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1835</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2683</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2683</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526</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526</v>
      </c>
      <c r="C280" t="s">
        <v>1844</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528</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528</v>
      </c>
      <c r="C282" t="s">
        <v>1932</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1933</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1934</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1843</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1844</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1839</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544</v>
      </c>
      <c r="C289" t="s">
        <v>2161</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544</v>
      </c>
      <c r="C290" t="s">
        <v>1839</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1935</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1839</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1936</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1936</v>
      </c>
      <c r="C294" t="s">
        <v>1839</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560</v>
      </c>
      <c r="C295" t="s">
        <v>1937</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560</v>
      </c>
      <c r="C296" t="s">
        <v>1844</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563</v>
      </c>
      <c r="C297" t="s">
        <v>1866</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563</v>
      </c>
      <c r="C298" t="s">
        <v>1845</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2314</v>
      </c>
      <c r="C299" t="s">
        <v>2411</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2314</v>
      </c>
      <c r="C300" t="s">
        <v>2412</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2309</v>
      </c>
      <c r="C301" t="s">
        <v>1938</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2309</v>
      </c>
      <c r="C302" t="s">
        <v>1852</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1923</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1839</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2357</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2357</v>
      </c>
      <c r="C306" t="s">
        <v>1857</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2377</v>
      </c>
      <c r="C307" t="s">
        <v>2403</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2377</v>
      </c>
      <c r="C308" t="s">
        <v>1839</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1707</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1707</v>
      </c>
      <c r="C310" t="s">
        <v>1939</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578</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578</v>
      </c>
      <c r="C312" t="s">
        <v>1917</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579</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579</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580</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580</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1776</v>
      </c>
      <c r="C317" t="s">
        <v>1940</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1776</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2444</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971</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971</v>
      </c>
      <c r="C323" t="s">
        <v>1839</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2246</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2246</v>
      </c>
      <c r="C325" t="s">
        <v>1839</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1941</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1941</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798</v>
      </c>
      <c r="C328" t="s">
        <v>2130</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2247</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2247</v>
      </c>
      <c r="C330" t="s">
        <v>2250</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1835</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1942</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1835</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1943</v>
      </c>
      <c r="C334" t="s">
        <v>1944</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1943</v>
      </c>
      <c r="C335" t="s">
        <v>1839</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955</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955</v>
      </c>
      <c r="C337" t="s">
        <v>1839</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2042</v>
      </c>
      <c r="C340" t="s">
        <v>2043</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2042</v>
      </c>
      <c r="C341" t="s">
        <v>2044</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992</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992</v>
      </c>
      <c r="C343" t="s">
        <v>1839</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2032</v>
      </c>
      <c r="C344" t="s">
        <v>2035</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2032</v>
      </c>
      <c r="C345" t="s">
        <v>2036</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2037</v>
      </c>
      <c r="C346" t="s">
        <v>2040</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2037</v>
      </c>
      <c r="C347" t="s">
        <v>2041</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1050</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1050</v>
      </c>
      <c r="C349" t="s">
        <v>1945</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1946</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1946</v>
      </c>
      <c r="C351" t="s">
        <v>1839</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1947</v>
      </c>
      <c r="C352" t="s">
        <v>1948</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1835</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 si="424" xml:space="preserve"> IF(AND(LEN(ChartLines.ID)&gt;0,"Unused"&lt;&gt;ChartLines.ID), COUNTIFS(ChartLines.ID,ChartLines.ID), "·")</f>
        <v>·</v>
      </c>
      <c r="F354" t="str">
        <f t="shared" ref="F354"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1949</v>
      </c>
      <c r="C355" t="str">
        <f xml:space="preserve"> "996515"</f>
        <v>996515</v>
      </c>
      <c r="E355">
        <f t="shared" ref="E355" si="426" xml:space="preserve"> IF(AND(LEN(ChartLines.ID)&gt;0,"Unused"&lt;&gt;ChartLines.ID), COUNTIFS(ChartLines.ID,ChartLines.ID), "·")</f>
        <v>2</v>
      </c>
      <c r="F355">
        <f t="shared" ref="F355" si="427" xml:space="preserve"> IF(AND(LEN(ChartLines.ID)&gt;0,"Unused"&lt;&gt;ChartLines.ID), COUNTIFS(ChartLines.ID,ChartLines.ID,   ChartLines.RowNum,"&lt;="&amp;ChartLines.RowNum), "·")</f>
        <v>1</v>
      </c>
      <c r="G355" t="str" cm="1">
        <f t="array" ref="G355" xml:space="preserve"> _xlfn.IFS(OR(LEN(_xlfn.SINGLE(ChartLines.ID))=0,"Unused"=_xlfn.SINGLE(ChartLines.ID)), "·",   1=_xlfn.SINGLE(ChartLines.NumInstances), IF("USD"=_xlfn.SINGLE(ChartLines.ID), "SoleBig", "SoleOrdinary"),   1=_xlfn.SINGLE(ChartLines.InstanceNum), "Outer",   TRUE, "Inner")</f>
        <v>Outer</v>
      </c>
      <c r="H355">
        <v>153</v>
      </c>
      <c r="I355">
        <v>101</v>
      </c>
      <c r="J355">
        <v>21</v>
      </c>
      <c r="K355">
        <v>353</v>
      </c>
    </row>
    <row r="356" spans="2:11">
      <c r="B356" t="s">
        <v>1949</v>
      </c>
      <c r="C356" t="str">
        <f xml:space="preserve"> "D4AF37"</f>
        <v>D4AF37</v>
      </c>
      <c r="E356">
        <f t="shared" ref="E356" si="428" xml:space="preserve"> IF(AND(LEN(ChartLines.ID)&gt;0,"Unused"&lt;&gt;ChartLines.ID), COUNTIFS(ChartLines.ID,ChartLines.ID), "·")</f>
        <v>2</v>
      </c>
      <c r="F356">
        <f t="shared" ref="F356" si="429" xml:space="preserve"> IF(AND(LEN(ChartLines.ID)&gt;0,"Unused"&lt;&gt;ChartLines.ID), COUNTIFS(ChartLines.ID,ChartLines.ID,   ChartLines.RowNum,"&lt;="&amp;ChartLines.RowNum), "·")</f>
        <v>2</v>
      </c>
      <c r="G356" t="str" cm="1">
        <f t="array" ref="G356" xml:space="preserve"> _xlfn.IFS(OR(LEN(_xlfn.SINGLE(ChartLines.ID))=0,"Unused"=_xlfn.SINGLE(ChartLines.ID)), "·",   1=_xlfn.SINGLE(ChartLines.NumInstances), IF("USD"=_xlfn.SINGLE(ChartLines.ID), "SoleBig", "SoleOrdinary"),   1=_xlfn.SINGLE(ChartLines.InstanceNum), "Outer",   TRUE, "Inner")</f>
        <v>Inner</v>
      </c>
      <c r="H356">
        <v>212</v>
      </c>
      <c r="I356">
        <v>175</v>
      </c>
      <c r="J356">
        <v>55</v>
      </c>
      <c r="K356">
        <v>354</v>
      </c>
    </row>
    <row r="357" spans="2:11">
      <c r="B357" t="s">
        <v>1950</v>
      </c>
      <c r="C357" t="s">
        <v>1951</v>
      </c>
      <c r="E357">
        <f t="shared" ref="E357" si="430" xml:space="preserve"> IF(AND(LEN(ChartLines.ID)&gt;0,"Unused"&lt;&gt;ChartLines.ID), COUNTIFS(ChartLines.ID,ChartLines.ID), "·")</f>
        <v>2</v>
      </c>
      <c r="F357">
        <f t="shared" ref="F357" si="431" xml:space="preserve"> IF(AND(LEN(ChartLines.ID)&gt;0,"Unused"&lt;&gt;ChartLines.ID), COUNTIFS(ChartLines.ID,ChartLines.ID,   ChartLines.RowNum,"&lt;="&amp;ChartLines.RowNum), "·")</f>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92</v>
      </c>
      <c r="I357">
        <v>92</v>
      </c>
      <c r="J357">
        <v>92</v>
      </c>
      <c r="K357">
        <v>355</v>
      </c>
    </row>
    <row r="358" spans="2:11">
      <c r="B358" t="s">
        <v>1950</v>
      </c>
      <c r="C358" t="str">
        <f xml:space="preserve"> "C0C0C0"</f>
        <v>C0C0C0</v>
      </c>
      <c r="E358">
        <f t="shared" ref="E358" si="432" xml:space="preserve"> IF(AND(LEN(ChartLines.ID)&gt;0,"Unused"&lt;&gt;ChartLines.ID), COUNTIFS(ChartLines.ID,ChartLines.ID), "·")</f>
        <v>2</v>
      </c>
      <c r="F358">
        <f t="shared" ref="F358" si="433" xml:space="preserve"> IF(AND(LEN(ChartLines.ID)&gt;0,"Unused"&lt;&gt;ChartLines.ID), COUNTIFS(ChartLines.ID,ChartLines.ID,   ChartLines.RowNum,"&lt;="&amp;ChartLines.RowNum), "·")</f>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192</v>
      </c>
      <c r="I358">
        <v>192</v>
      </c>
      <c r="J358">
        <v>192</v>
      </c>
      <c r="K358">
        <v>356</v>
      </c>
    </row>
    <row r="359" spans="2:11">
      <c r="B359" t="s">
        <v>929</v>
      </c>
      <c r="C359" t="s">
        <v>1952</v>
      </c>
      <c r="E359">
        <f t="shared" ref="E359" si="434" xml:space="preserve"> IF(AND(LEN(ChartLines.ID)&gt;0,"Unused"&lt;&gt;ChartLines.ID), COUNTIFS(ChartLines.ID,ChartLines.ID), "·")</f>
        <v>2</v>
      </c>
      <c r="F359">
        <f t="shared" ref="F359" si="435" xml:space="preserve"> IF(AND(LEN(ChartLines.ID)&gt;0,"Unused"&lt;&gt;ChartLines.ID), COUNTIFS(ChartLines.ID,ChartLines.ID,   ChartLines.RowNum,"&lt;="&amp;ChartLines.RowNum), "·")</f>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217</v>
      </c>
      <c r="I359">
        <v>91</v>
      </c>
      <c r="J359">
        <v>20</v>
      </c>
      <c r="K359">
        <v>357</v>
      </c>
    </row>
    <row r="360" spans="2:11">
      <c r="B360" t="s">
        <v>929</v>
      </c>
      <c r="C360" t="s">
        <v>1953</v>
      </c>
      <c r="E360">
        <f t="shared" ref="E360:E362" si="436" xml:space="preserve"> IF(AND(LEN(ChartLines.ID)&gt;0,"Unused"&lt;&gt;ChartLines.ID), COUNTIFS(ChartLines.ID,ChartLines.ID), "·")</f>
        <v>2</v>
      </c>
      <c r="F360">
        <f t="shared" ref="F360:F362" si="437" xml:space="preserve"> IF(AND(LEN(ChartLines.ID)&gt;0,"Unused"&lt;&gt;ChartLines.ID), COUNTIFS(ChartLines.ID,ChartLines.ID,   ChartLines.RowNum,"&lt;="&amp;ChartLines.RowNum), "·")</f>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199</v>
      </c>
      <c r="I360">
        <v>199</v>
      </c>
      <c r="J360">
        <v>199</v>
      </c>
      <c r="K360">
        <v>358</v>
      </c>
    </row>
    <row r="361" spans="2:11">
      <c r="H361" t="str">
        <v>·</v>
      </c>
      <c r="I361" t="str">
        <v>·</v>
      </c>
      <c r="J361" t="str">
        <v>·</v>
      </c>
      <c r="K361">
        <v>359</v>
      </c>
    </row>
    <row r="362" spans="2:11">
      <c r="B362" t="s">
        <v>2617</v>
      </c>
      <c r="C362" t="s">
        <v>2617</v>
      </c>
      <c r="E362">
        <f t="shared" si="436"/>
        <v>1</v>
      </c>
      <c r="F362">
        <f t="shared" si="437"/>
        <v>1</v>
      </c>
      <c r="G362" t="str" cm="1">
        <f t="array" ref="G362" xml:space="preserve"> _xlfn.IFS(OR(LEN(_xlfn.SINGLE(ChartLines.ID))=0,"Unused"=_xlfn.SINGLE(ChartLines.ID)), "·",   1=_xlfn.SINGLE(ChartLines.NumInstances), IF("USD"=_xlfn.SINGLE(ChartLines.ID), "SoleBig", "SoleOrdinary"),   1=_xlfn.SINGLE(ChartLines.InstanceNum), "Outer",   TRUE, "Inner")</f>
        <v>SoleOrdinary</v>
      </c>
      <c r="H362" t="str">
        <v>·</v>
      </c>
      <c r="I362" t="str">
        <v>·</v>
      </c>
      <c r="J362" t="str">
        <v>·</v>
      </c>
      <c r="K362">
        <v>360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1"/>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2446</v>
      </c>
      <c r="C5" s="35" t="s">
        <v>2447</v>
      </c>
      <c r="D5" s="35" t="s">
        <v>2448</v>
      </c>
      <c r="E5" s="35" t="s">
        <v>2449</v>
      </c>
    </row>
    <row r="7" spans="2:5">
      <c r="B7" s="5" t="s">
        <v>2</v>
      </c>
      <c r="C7" s="5" t="s">
        <v>2640</v>
      </c>
      <c r="E7" s="5" t="s">
        <v>2641</v>
      </c>
    </row>
    <row r="8" spans="2:5">
      <c r="B8" s="5" t="s">
        <v>2648</v>
      </c>
      <c r="C8" s="5" t="s">
        <v>2662</v>
      </c>
      <c r="D8" s="5" t="s">
        <v>2664</v>
      </c>
    </row>
    <row r="9" spans="2:5">
      <c r="B9" s="5" t="s">
        <v>2651</v>
      </c>
      <c r="C9" s="5" t="s">
        <v>2663</v>
      </c>
      <c r="D9" s="5" t="s">
        <v>2665</v>
      </c>
    </row>
    <row r="10" spans="2:5">
      <c r="B10" s="5" t="s">
        <v>405</v>
      </c>
      <c r="C10" s="5" t="s">
        <v>2450</v>
      </c>
      <c r="D10" s="5" t="s">
        <v>2674</v>
      </c>
    </row>
    <row r="11" spans="2:5">
      <c r="B11" s="5" t="s">
        <v>2673</v>
      </c>
      <c r="C11" s="5" t="s">
        <v>2676</v>
      </c>
      <c r="D11" s="5" t="s">
        <v>2675</v>
      </c>
    </row>
    <row r="12" spans="2:5">
      <c r="B12" s="5" t="s">
        <v>0</v>
      </c>
      <c r="C12" s="5" t="s">
        <v>2451</v>
      </c>
      <c r="D12" s="5" t="s">
        <v>2452</v>
      </c>
    </row>
    <row r="13" spans="2:5">
      <c r="B13" s="5" t="s">
        <v>2256</v>
      </c>
      <c r="C13" s="5" t="s">
        <v>2453</v>
      </c>
    </row>
    <row r="14" spans="2:5">
      <c r="B14" s="5" t="s">
        <v>2254</v>
      </c>
      <c r="C14" s="5" t="s">
        <v>2454</v>
      </c>
    </row>
    <row r="15" spans="2:5">
      <c r="B15" s="5" t="s">
        <v>2257</v>
      </c>
      <c r="C15" s="5" t="s">
        <v>2455</v>
      </c>
    </row>
    <row r="16" spans="2:5">
      <c r="B16" s="5" t="s">
        <v>2255</v>
      </c>
      <c r="C16" s="5" t="s">
        <v>2456</v>
      </c>
    </row>
    <row r="17" spans="2:5">
      <c r="B17" s="5" t="s">
        <v>2258</v>
      </c>
      <c r="C17" s="5" t="s">
        <v>2457</v>
      </c>
      <c r="D17" s="5" t="s">
        <v>2626</v>
      </c>
    </row>
    <row r="18" spans="2:5">
      <c r="B18" s="5" t="s">
        <v>7</v>
      </c>
      <c r="C18" s="5" t="s">
        <v>2458</v>
      </c>
    </row>
    <row r="19" spans="2:5">
      <c r="B19" s="5" t="s">
        <v>1539</v>
      </c>
      <c r="C19" s="5" t="s">
        <v>2459</v>
      </c>
      <c r="D19" s="5" t="s">
        <v>2460</v>
      </c>
    </row>
    <row r="20" spans="2:5">
      <c r="B20" s="5" t="s">
        <v>2281</v>
      </c>
      <c r="C20" s="5" t="s">
        <v>2461</v>
      </c>
      <c r="D20" s="5" t="s">
        <v>2462</v>
      </c>
    </row>
    <row r="21" spans="2:5">
      <c r="B21" s="5" t="s">
        <v>1840</v>
      </c>
      <c r="C21" s="5" t="s">
        <v>2463</v>
      </c>
      <c r="D21" s="5" t="s">
        <v>2464</v>
      </c>
    </row>
    <row r="22" spans="2:5">
      <c r="B22" s="5" t="s">
        <v>2299</v>
      </c>
      <c r="C22" s="5" t="s">
        <v>2465</v>
      </c>
      <c r="D22" s="5" t="s">
        <v>2466</v>
      </c>
    </row>
    <row r="23" spans="2:5">
      <c r="B23" s="5" t="s">
        <v>1841</v>
      </c>
      <c r="C23" s="5" t="s">
        <v>2467</v>
      </c>
    </row>
    <row r="24" spans="2:5">
      <c r="B24" s="5" t="s">
        <v>122</v>
      </c>
      <c r="C24" s="5" t="s">
        <v>2468</v>
      </c>
    </row>
    <row r="25" spans="2:5">
      <c r="B25" s="5" t="s">
        <v>126</v>
      </c>
      <c r="C25" s="5" t="s">
        <v>2469</v>
      </c>
    </row>
    <row r="26" spans="2:5">
      <c r="B26" s="5" t="s">
        <v>128</v>
      </c>
      <c r="C26" s="5" t="s">
        <v>2470</v>
      </c>
    </row>
    <row r="27" spans="2:5">
      <c r="B27" s="5" t="s">
        <v>133</v>
      </c>
      <c r="C27" s="5" t="s">
        <v>2471</v>
      </c>
    </row>
    <row r="28" spans="2:5">
      <c r="B28" s="5" t="s">
        <v>1884</v>
      </c>
      <c r="C28" s="5" t="s">
        <v>2647</v>
      </c>
    </row>
    <row r="29" spans="2:5">
      <c r="B29" s="5" t="s">
        <v>203</v>
      </c>
      <c r="C29" s="5" t="s">
        <v>2472</v>
      </c>
    </row>
    <row r="30" spans="2:5">
      <c r="B30" s="5" t="s">
        <v>1886</v>
      </c>
      <c r="C30" s="5" t="s">
        <v>2630</v>
      </c>
      <c r="E30" s="5" t="s">
        <v>2631</v>
      </c>
    </row>
    <row r="31" spans="2:5">
      <c r="B31" s="5" t="s">
        <v>136</v>
      </c>
      <c r="C31" s="5" t="s">
        <v>2473</v>
      </c>
    </row>
    <row r="32" spans="2:5">
      <c r="B32" s="5" t="s">
        <v>235</v>
      </c>
      <c r="C32" s="5" t="s">
        <v>2632</v>
      </c>
      <c r="E32" s="5" t="s">
        <v>2633</v>
      </c>
    </row>
    <row r="33" spans="2:3">
      <c r="B33" s="5" t="s">
        <v>162</v>
      </c>
      <c r="C33" s="5" t="s">
        <v>2474</v>
      </c>
    </row>
    <row r="34" spans="2:3">
      <c r="B34" s="5" t="s">
        <v>163</v>
      </c>
      <c r="C34" s="5" t="s">
        <v>2475</v>
      </c>
    </row>
    <row r="35" spans="2:3">
      <c r="B35" s="5" t="s">
        <v>2379</v>
      </c>
      <c r="C35" s="5" t="s">
        <v>2476</v>
      </c>
    </row>
    <row r="36" spans="2:3">
      <c r="B36" s="5" t="s">
        <v>248</v>
      </c>
      <c r="C36" s="5" t="s">
        <v>2477</v>
      </c>
    </row>
    <row r="37" spans="2:3">
      <c r="B37" s="5" t="s">
        <v>261</v>
      </c>
      <c r="C37" s="5" t="s">
        <v>2478</v>
      </c>
    </row>
    <row r="38" spans="2:3">
      <c r="B38" s="5" t="s">
        <v>296</v>
      </c>
      <c r="C38" s="5" t="s">
        <v>2479</v>
      </c>
    </row>
    <row r="39" spans="2:3">
      <c r="B39" s="5" t="s">
        <v>135</v>
      </c>
      <c r="C39" s="5" t="s">
        <v>2480</v>
      </c>
    </row>
    <row r="40" spans="2:3">
      <c r="B40" s="5" t="s">
        <v>97</v>
      </c>
      <c r="C40" s="5" t="s">
        <v>2481</v>
      </c>
    </row>
    <row r="41" spans="2:3">
      <c r="B41" s="5" t="s">
        <v>164</v>
      </c>
      <c r="C41" s="5" t="s">
        <v>2482</v>
      </c>
    </row>
    <row r="42" spans="2:3">
      <c r="B42" s="5" t="s">
        <v>2420</v>
      </c>
      <c r="C42" s="5" t="s">
        <v>2625</v>
      </c>
    </row>
    <row r="43" spans="2:3">
      <c r="B43" s="5" t="s">
        <v>1900</v>
      </c>
      <c r="C43" s="5" t="s">
        <v>2483</v>
      </c>
    </row>
    <row r="44" spans="2:3">
      <c r="B44" s="5" t="s">
        <v>2311</v>
      </c>
      <c r="C44" s="5" t="s">
        <v>2484</v>
      </c>
    </row>
    <row r="45" spans="2:3">
      <c r="B45" s="5" t="s">
        <v>2409</v>
      </c>
      <c r="C45" s="5" t="s">
        <v>2485</v>
      </c>
    </row>
    <row r="46" spans="2:3">
      <c r="B46" s="5" t="s">
        <v>1614</v>
      </c>
      <c r="C46" s="5" t="s">
        <v>2486</v>
      </c>
    </row>
    <row r="47" spans="2:3">
      <c r="B47" s="5" t="s">
        <v>2268</v>
      </c>
      <c r="C47" s="5" t="s">
        <v>2487</v>
      </c>
    </row>
    <row r="48" spans="2:3">
      <c r="B48" s="5" t="s">
        <v>2682</v>
      </c>
      <c r="C48" s="5" t="s">
        <v>2686</v>
      </c>
    </row>
    <row r="49" spans="2:5">
      <c r="B49" s="5" t="s">
        <v>132</v>
      </c>
      <c r="C49" s="5" t="s">
        <v>2488</v>
      </c>
    </row>
    <row r="50" spans="2:5">
      <c r="B50" s="5" t="s">
        <v>1540</v>
      </c>
      <c r="C50" s="5" t="s">
        <v>2489</v>
      </c>
    </row>
    <row r="51" spans="2:5">
      <c r="B51" s="5" t="s">
        <v>326</v>
      </c>
      <c r="C51" s="5" t="s">
        <v>2490</v>
      </c>
    </row>
    <row r="52" spans="2:5">
      <c r="B52" s="5" t="s">
        <v>372</v>
      </c>
      <c r="C52" s="5" t="s">
        <v>2491</v>
      </c>
    </row>
    <row r="53" spans="2:5">
      <c r="B53" s="5" t="s">
        <v>357</v>
      </c>
      <c r="C53" s="5" t="s">
        <v>2638</v>
      </c>
    </row>
    <row r="54" spans="2:5">
      <c r="B54" s="5" t="s">
        <v>376</v>
      </c>
      <c r="C54" s="5" t="s">
        <v>2492</v>
      </c>
    </row>
    <row r="55" spans="2:5">
      <c r="B55" s="5" t="s">
        <v>393</v>
      </c>
      <c r="C55" s="5" t="s">
        <v>2493</v>
      </c>
    </row>
    <row r="56" spans="2:5">
      <c r="B56" s="5" t="s">
        <v>879</v>
      </c>
      <c r="C56" s="5" t="s">
        <v>2494</v>
      </c>
    </row>
    <row r="57" spans="2:5">
      <c r="B57" s="5" t="s">
        <v>394</v>
      </c>
      <c r="C57" s="5" t="s">
        <v>2495</v>
      </c>
    </row>
    <row r="58" spans="2:5">
      <c r="B58" s="5" t="s">
        <v>406</v>
      </c>
      <c r="C58" s="5" t="s">
        <v>2496</v>
      </c>
    </row>
    <row r="59" spans="2:5">
      <c r="B59" s="5" t="s">
        <v>1670</v>
      </c>
      <c r="C59" s="5" t="s">
        <v>2497</v>
      </c>
    </row>
    <row r="60" spans="2:5">
      <c r="B60" s="5" t="s">
        <v>165</v>
      </c>
      <c r="C60" s="5" t="s">
        <v>2498</v>
      </c>
    </row>
    <row r="61" spans="2:5">
      <c r="B61" s="5" t="s">
        <v>1912</v>
      </c>
      <c r="C61" s="5" t="s">
        <v>2499</v>
      </c>
      <c r="E61" s="5" t="s">
        <v>2500</v>
      </c>
    </row>
    <row r="62" spans="2:5">
      <c r="B62" s="5" t="s">
        <v>2414</v>
      </c>
      <c r="C62" s="5" t="s">
        <v>2501</v>
      </c>
    </row>
    <row r="63" spans="2:5">
      <c r="B63" s="5" t="s">
        <v>2415</v>
      </c>
      <c r="C63" s="5" t="s">
        <v>2502</v>
      </c>
    </row>
    <row r="64" spans="2:5">
      <c r="B64" s="5" t="s">
        <v>2154</v>
      </c>
      <c r="C64" s="5" t="s">
        <v>2503</v>
      </c>
    </row>
    <row r="65" spans="2:5">
      <c r="B65" s="5" t="s">
        <v>407</v>
      </c>
      <c r="C65" s="5" t="s">
        <v>2634</v>
      </c>
      <c r="E65" s="5" t="s">
        <v>2635</v>
      </c>
    </row>
    <row r="66" spans="2:5">
      <c r="B66" s="5" t="s">
        <v>134</v>
      </c>
      <c r="C66" s="5" t="s">
        <v>2642</v>
      </c>
    </row>
    <row r="67" spans="2:5">
      <c r="B67" s="5" t="s">
        <v>166</v>
      </c>
      <c r="C67" s="5" t="s">
        <v>2504</v>
      </c>
    </row>
    <row r="68" spans="2:5">
      <c r="B68" s="5" t="s">
        <v>459</v>
      </c>
      <c r="C68" s="5" t="s">
        <v>2505</v>
      </c>
    </row>
    <row r="69" spans="2:5">
      <c r="B69" s="5" t="s">
        <v>1978</v>
      </c>
      <c r="C69" s="5" t="s">
        <v>2506</v>
      </c>
    </row>
    <row r="70" spans="2:5">
      <c r="B70" s="5" t="s">
        <v>473</v>
      </c>
      <c r="C70" s="5" t="s">
        <v>2507</v>
      </c>
    </row>
    <row r="71" spans="2:5">
      <c r="B71" s="5" t="s">
        <v>2413</v>
      </c>
      <c r="C71" s="5" t="s">
        <v>2508</v>
      </c>
    </row>
    <row r="72" spans="2:5">
      <c r="B72" s="5" t="s">
        <v>1916</v>
      </c>
      <c r="C72" s="5" t="s">
        <v>2509</v>
      </c>
    </row>
    <row r="73" spans="2:5">
      <c r="B73" s="5" t="s">
        <v>2026</v>
      </c>
      <c r="C73" s="5" t="s">
        <v>2510</v>
      </c>
    </row>
    <row r="74" spans="2:5">
      <c r="B74" s="5" t="s">
        <v>491</v>
      </c>
      <c r="C74" s="5" t="s">
        <v>2511</v>
      </c>
    </row>
    <row r="75" spans="2:5">
      <c r="B75" s="5" t="s">
        <v>167</v>
      </c>
      <c r="C75" s="5" t="s">
        <v>2512</v>
      </c>
    </row>
    <row r="76" spans="2:5">
      <c r="B76" s="5" t="s">
        <v>2310</v>
      </c>
      <c r="C76" s="5" t="s">
        <v>2644</v>
      </c>
    </row>
    <row r="77" spans="2:5">
      <c r="B77" s="5" t="s">
        <v>2306</v>
      </c>
      <c r="C77" s="5" t="s">
        <v>2513</v>
      </c>
    </row>
    <row r="78" spans="2:5">
      <c r="B78" s="5" t="s">
        <v>1918</v>
      </c>
      <c r="C78" s="5" t="s">
        <v>2514</v>
      </c>
    </row>
    <row r="79" spans="2:5">
      <c r="B79" s="5" t="s">
        <v>137</v>
      </c>
      <c r="C79" s="5" t="s">
        <v>2515</v>
      </c>
    </row>
    <row r="80" spans="2:5">
      <c r="B80" s="5" t="s">
        <v>138</v>
      </c>
      <c r="C80" s="5" t="s">
        <v>2516</v>
      </c>
    </row>
    <row r="81" spans="2:5">
      <c r="B81" s="5" t="s">
        <v>1624</v>
      </c>
      <c r="C81" s="5" t="s">
        <v>2517</v>
      </c>
      <c r="E81" s="5" t="s">
        <v>2643</v>
      </c>
    </row>
    <row r="82" spans="2:5">
      <c r="B82" s="5" t="s">
        <v>492</v>
      </c>
      <c r="C82" s="5" t="s">
        <v>2518</v>
      </c>
    </row>
    <row r="83" spans="2:5">
      <c r="B83" s="5" t="s">
        <v>900</v>
      </c>
      <c r="C83" s="5" t="s">
        <v>2519</v>
      </c>
    </row>
    <row r="84" spans="2:5">
      <c r="B84" s="5" t="s">
        <v>510</v>
      </c>
      <c r="C84" s="5" t="s">
        <v>2628</v>
      </c>
      <c r="E84" s="5" t="s">
        <v>2629</v>
      </c>
    </row>
    <row r="85" spans="2:5">
      <c r="B85" s="5" t="s">
        <v>433</v>
      </c>
      <c r="C85" s="5" t="s">
        <v>2520</v>
      </c>
    </row>
    <row r="86" spans="2:5">
      <c r="B86" s="5" t="s">
        <v>168</v>
      </c>
      <c r="C86" s="5" t="s">
        <v>2521</v>
      </c>
    </row>
    <row r="87" spans="2:5">
      <c r="B87" s="5" t="s">
        <v>1617</v>
      </c>
      <c r="C87" s="5" t="s">
        <v>2522</v>
      </c>
    </row>
    <row r="88" spans="2:5">
      <c r="B88" s="5" t="s">
        <v>2005</v>
      </c>
      <c r="C88" s="5" t="s">
        <v>2523</v>
      </c>
    </row>
    <row r="89" spans="2:5">
      <c r="B89" s="5" t="s">
        <v>1627</v>
      </c>
      <c r="C89" s="5" t="s">
        <v>2524</v>
      </c>
    </row>
    <row r="90" spans="2:5">
      <c r="B90" s="5" t="s">
        <v>1623</v>
      </c>
      <c r="C90" s="5" t="s">
        <v>2525</v>
      </c>
    </row>
    <row r="91" spans="2:5">
      <c r="B91" s="5" t="s">
        <v>1637</v>
      </c>
      <c r="C91" s="5" t="s">
        <v>2526</v>
      </c>
    </row>
    <row r="92" spans="2:5">
      <c r="B92" s="5" t="s">
        <v>1620</v>
      </c>
      <c r="C92" s="5" t="s">
        <v>2527</v>
      </c>
    </row>
    <row r="93" spans="2:5">
      <c r="B93" s="5" t="s">
        <v>1959</v>
      </c>
      <c r="C93" s="5" t="s">
        <v>2528</v>
      </c>
    </row>
    <row r="94" spans="2:5">
      <c r="B94" s="5" t="s">
        <v>139</v>
      </c>
      <c r="C94" s="5" t="s">
        <v>2529</v>
      </c>
    </row>
    <row r="95" spans="2:5">
      <c r="B95" s="5" t="s">
        <v>99</v>
      </c>
      <c r="C95" s="5" t="s">
        <v>2530</v>
      </c>
    </row>
    <row r="96" spans="2:5">
      <c r="B96" s="5" t="s">
        <v>98</v>
      </c>
      <c r="C96" s="5" t="s">
        <v>2531</v>
      </c>
    </row>
    <row r="97" spans="2:5">
      <c r="B97" s="5" t="s">
        <v>2418</v>
      </c>
      <c r="C97" s="5" t="s">
        <v>2532</v>
      </c>
    </row>
    <row r="98" spans="2:5">
      <c r="B98" s="5" t="s">
        <v>2151</v>
      </c>
      <c r="C98" s="5" t="s">
        <v>2533</v>
      </c>
    </row>
    <row r="99" spans="2:5">
      <c r="B99" s="5" t="s">
        <v>2677</v>
      </c>
      <c r="C99" s="5" t="s">
        <v>2680</v>
      </c>
    </row>
    <row r="100" spans="2:5">
      <c r="B100" s="5" t="s">
        <v>2683</v>
      </c>
      <c r="C100" s="5" t="s">
        <v>2685</v>
      </c>
      <c r="E100" s="5" t="s">
        <v>2687</v>
      </c>
    </row>
    <row r="101" spans="2:5">
      <c r="B101" s="5" t="s">
        <v>526</v>
      </c>
      <c r="C101" s="5" t="s">
        <v>2534</v>
      </c>
    </row>
    <row r="102" spans="2:5">
      <c r="B102" s="5" t="s">
        <v>528</v>
      </c>
      <c r="C102" s="5" t="s">
        <v>2535</v>
      </c>
    </row>
    <row r="103" spans="2:5">
      <c r="B103" s="5" t="s">
        <v>140</v>
      </c>
      <c r="C103" s="5" t="s">
        <v>2536</v>
      </c>
      <c r="E103" s="5" t="s">
        <v>2537</v>
      </c>
    </row>
    <row r="104" spans="2:5">
      <c r="B104" s="5" t="s">
        <v>100</v>
      </c>
      <c r="C104" s="5" t="s">
        <v>2538</v>
      </c>
    </row>
    <row r="105" spans="2:5">
      <c r="B105" s="5" t="s">
        <v>101</v>
      </c>
      <c r="C105" s="5" t="s">
        <v>2539</v>
      </c>
    </row>
    <row r="106" spans="2:5">
      <c r="B106" s="5" t="s">
        <v>544</v>
      </c>
      <c r="C106" s="5" t="s">
        <v>2540</v>
      </c>
    </row>
    <row r="107" spans="2:5">
      <c r="B107" s="5" t="s">
        <v>102</v>
      </c>
      <c r="C107" s="5" t="s">
        <v>2541</v>
      </c>
    </row>
    <row r="108" spans="2:5">
      <c r="B108" s="5" t="s">
        <v>1936</v>
      </c>
      <c r="C108" s="5" t="s">
        <v>2542</v>
      </c>
    </row>
    <row r="109" spans="2:5">
      <c r="B109" s="5" t="s">
        <v>560</v>
      </c>
      <c r="C109" s="5" t="s">
        <v>2543</v>
      </c>
    </row>
    <row r="110" spans="2:5">
      <c r="B110" s="5" t="s">
        <v>563</v>
      </c>
      <c r="C110" s="5" t="s">
        <v>2544</v>
      </c>
    </row>
    <row r="111" spans="2:5">
      <c r="B111" s="5" t="s">
        <v>2314</v>
      </c>
      <c r="C111" s="5" t="s">
        <v>2545</v>
      </c>
    </row>
    <row r="112" spans="2:5">
      <c r="B112" s="5" t="s">
        <v>2309</v>
      </c>
      <c r="C112" s="5" t="s">
        <v>2546</v>
      </c>
    </row>
    <row r="113" spans="2:5">
      <c r="B113" s="5" t="s">
        <v>169</v>
      </c>
      <c r="C113" s="5" t="s">
        <v>2547</v>
      </c>
    </row>
    <row r="114" spans="2:5">
      <c r="B114" s="5" t="s">
        <v>2357</v>
      </c>
      <c r="C114" s="5" t="s">
        <v>2548</v>
      </c>
    </row>
    <row r="115" spans="2:5">
      <c r="B115" s="5" t="s">
        <v>2377</v>
      </c>
      <c r="C115" s="5" t="s">
        <v>2549</v>
      </c>
    </row>
    <row r="116" spans="2:5">
      <c r="B116" s="5" t="s">
        <v>1707</v>
      </c>
      <c r="C116" s="5" t="s">
        <v>2550</v>
      </c>
      <c r="E116" s="5" t="s">
        <v>2537</v>
      </c>
    </row>
    <row r="117" spans="2:5">
      <c r="B117" s="5" t="s">
        <v>578</v>
      </c>
      <c r="C117" s="5" t="s">
        <v>2551</v>
      </c>
    </row>
    <row r="118" spans="2:5">
      <c r="B118" s="5" t="s">
        <v>579</v>
      </c>
      <c r="C118" s="5" t="s">
        <v>2552</v>
      </c>
    </row>
    <row r="119" spans="2:5">
      <c r="B119" s="5" t="s">
        <v>580</v>
      </c>
      <c r="C119" s="5" t="s">
        <v>2553</v>
      </c>
    </row>
    <row r="120" spans="2:5">
      <c r="B120" s="5" t="s">
        <v>1776</v>
      </c>
      <c r="C120" s="5" t="s">
        <v>2554</v>
      </c>
    </row>
    <row r="121" spans="2:5">
      <c r="B121" s="5" t="s">
        <v>794</v>
      </c>
      <c r="C121" s="5" t="s">
        <v>2555</v>
      </c>
      <c r="D121" s="5" t="s">
        <v>2668</v>
      </c>
    </row>
    <row r="122" spans="2:5">
      <c r="B122" s="5" t="s">
        <v>2652</v>
      </c>
      <c r="C122" s="5" t="str">
        <f xml:space="preserve"> "Shape from `" &amp; $B$121 &amp; "` marker; with green."</f>
        <v>Shape from `EU` marker; with green.</v>
      </c>
      <c r="D122" s="5" t="s">
        <v>2666</v>
      </c>
    </row>
    <row r="123" spans="2:5">
      <c r="B123" s="5" t="s">
        <v>2653</v>
      </c>
      <c r="C123" s="5" t="str">
        <f xml:space="preserve"> "Shape from `" &amp; $B$121 &amp; "` marker; with blue and yellow from the [flag of Europe](http://en.wikipedia.org/wiki/Flag_of_Europe)."</f>
        <v>Shape from `EU` marker; with blue and yellow from the [flag of Europe](http://en.wikipedia.org/wiki/Flag_of_Europe).</v>
      </c>
      <c r="D123" s="5" t="s">
        <v>2667</v>
      </c>
    </row>
    <row r="124" spans="2:5">
      <c r="B124" s="5" t="s">
        <v>2654</v>
      </c>
      <c r="C124" s="5" t="str">
        <f xml:space="preserve"> "Shape from `" &amp; $B$121 &amp; "` marker; with blue from the [flag of Europe](http://en.wikipedia.org/wiki/Flag_of_Europe)."</f>
        <v>Shape from `EU` marker; with blue from the [flag of Europe](http://en.wikipedia.org/wiki/Flag_of_Europe).</v>
      </c>
      <c r="D124" s="5" t="s">
        <v>2669</v>
      </c>
    </row>
    <row r="125" spans="2:5">
      <c r="B125" s="5" t="s">
        <v>796</v>
      </c>
      <c r="C125" s="5" t="s">
        <v>2556</v>
      </c>
    </row>
    <row r="126" spans="2:5">
      <c r="B126" s="5" t="s">
        <v>581</v>
      </c>
      <c r="C126" s="5" t="s">
        <v>2557</v>
      </c>
      <c r="D126" s="5" t="s">
        <v>2558</v>
      </c>
    </row>
    <row r="127" spans="2:5">
      <c r="B127" s="5" t="str">
        <f xml:space="preserve"> B126&amp;"_2"</f>
        <v>DE_2</v>
      </c>
      <c r="C127" s="5" t="str">
        <f xml:space="preserve"> "Shape from `" &amp; $B126 &amp; "` marker; red replacing white."</f>
        <v>Shape from `DE` marker; red replacing white.</v>
      </c>
      <c r="D127" s="5" t="s">
        <v>2559</v>
      </c>
    </row>
    <row r="128" spans="2:5">
      <c r="B128" s="5" t="s">
        <v>598</v>
      </c>
      <c r="C128" s="5" t="s">
        <v>2560</v>
      </c>
      <c r="D128" s="5" t="s">
        <v>2561</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2624</v>
      </c>
    </row>
    <row r="130" spans="2:4">
      <c r="B130" s="5" t="s">
        <v>635</v>
      </c>
      <c r="C130" s="5" t="s">
        <v>2562</v>
      </c>
      <c r="D130" s="5" t="s">
        <v>2563</v>
      </c>
    </row>
    <row r="131" spans="2:4">
      <c r="B131" s="5" t="str">
        <f xml:space="preserve"> B130&amp;"_2"</f>
        <v>IT_2</v>
      </c>
      <c r="C131" s="5" t="str">
        <f xml:space="preserve"> "Shape from `" &amp; $B130 &amp; "` marker; black replacing white."</f>
        <v>Shape from `IT` marker; black replacing white.</v>
      </c>
      <c r="D131" s="5" t="s">
        <v>2564</v>
      </c>
    </row>
    <row r="132" spans="2:4">
      <c r="B132" s="5" t="s">
        <v>170</v>
      </c>
      <c r="C132" s="5" t="s">
        <v>2565</v>
      </c>
      <c r="D132" s="5" t="s">
        <v>2639</v>
      </c>
    </row>
    <row r="133" spans="2:4">
      <c r="B133" s="5" t="str">
        <f xml:space="preserve"> B132&amp;"_2"</f>
        <v>ES_2</v>
      </c>
      <c r="C133" s="5" t="str">
        <f xml:space="preserve"> "Shape from `" &amp; $B132 &amp; "` marker; green replacing gold."</f>
        <v>Shape from `ES` marker; green replacing gold.</v>
      </c>
      <c r="D133" s="5" t="s">
        <v>2566</v>
      </c>
    </row>
    <row r="134" spans="2:4">
      <c r="B134" s="5" t="s">
        <v>636</v>
      </c>
      <c r="C134" s="5" t="s">
        <v>2567</v>
      </c>
      <c r="D134" s="5" t="s">
        <v>2568</v>
      </c>
    </row>
    <row r="135" spans="2:4">
      <c r="B135" s="5" t="str">
        <f xml:space="preserve"> B134&amp;"_2"</f>
        <v>NL_2</v>
      </c>
      <c r="C135" s="5" t="str">
        <f xml:space="preserve"> "Shape from `" &amp; $B134 &amp; "` marker; the colours switched."</f>
        <v>Shape from `NL` marker; the colours switched.</v>
      </c>
      <c r="D135" s="5" t="s">
        <v>2569</v>
      </c>
    </row>
    <row r="136" spans="2:4">
      <c r="B136" s="5" t="s">
        <v>655</v>
      </c>
      <c r="C136" s="5" t="s">
        <v>2570</v>
      </c>
      <c r="D136" s="5" t="s">
        <v>2618</v>
      </c>
    </row>
    <row r="137" spans="2:4">
      <c r="B137" s="5" t="str">
        <f xml:space="preserve"> B136&amp;"_2"</f>
        <v>BE_2</v>
      </c>
      <c r="C137" s="5" t="str">
        <f xml:space="preserve"> "Shape from `" &amp; $B136 &amp; "` marker; the colours switched."</f>
        <v>Shape from `BE` marker; the colours switched.</v>
      </c>
      <c r="D137" s="5" t="s">
        <v>2571</v>
      </c>
    </row>
    <row r="138" spans="2:4">
      <c r="B138" s="5" t="s">
        <v>656</v>
      </c>
      <c r="C138" s="5" t="s">
        <v>2572</v>
      </c>
      <c r="D138" s="5" t="s">
        <v>2573</v>
      </c>
    </row>
    <row r="139" spans="2:4">
      <c r="B139" s="5" t="str">
        <f xml:space="preserve"> B138&amp;"_2"</f>
        <v>AT_2</v>
      </c>
      <c r="C139" s="5" t="str">
        <f xml:space="preserve"> "Shape from `" &amp; $B138 &amp; "` marker; black replacing white."</f>
        <v>Shape from `AT` marker; black replacing white.</v>
      </c>
      <c r="D139" s="5" t="s">
        <v>2574</v>
      </c>
    </row>
    <row r="140" spans="2:4">
      <c r="B140" s="5" t="s">
        <v>103</v>
      </c>
      <c r="C140" s="5" t="s">
        <v>2575</v>
      </c>
      <c r="D140" s="5" t="s">
        <v>2576</v>
      </c>
    </row>
    <row r="141" spans="2:4">
      <c r="B141" s="5" t="str">
        <f xml:space="preserve"> B140&amp;"_2"</f>
        <v>PT_2</v>
      </c>
      <c r="C141" s="5" t="str">
        <f xml:space="preserve"> "Shape from `" &amp; $B140 &amp; "` marker; bright green replacing dark green."</f>
        <v>Shape from `PT` marker; bright green replacing dark green.</v>
      </c>
      <c r="D141" s="5" t="s">
        <v>2577</v>
      </c>
    </row>
    <row r="142" spans="2:4">
      <c r="B142" s="5" t="s">
        <v>171</v>
      </c>
      <c r="C142" s="5" t="s">
        <v>2578</v>
      </c>
      <c r="D142" s="5" t="s">
        <v>2579</v>
      </c>
    </row>
    <row r="143" spans="2:4">
      <c r="B143" s="5" t="str">
        <f xml:space="preserve"> B142&amp;"_2"</f>
        <v>GR_2</v>
      </c>
      <c r="C143" s="5" t="str">
        <f xml:space="preserve"> "Shape from `" &amp; $B142 &amp; "` marker; green replacing white."</f>
        <v>Shape from `GR` marker; green replacing white.</v>
      </c>
      <c r="D143" s="5" t="s">
        <v>2580</v>
      </c>
    </row>
    <row r="144" spans="2:4">
      <c r="B144" s="5" t="s">
        <v>675</v>
      </c>
      <c r="C144" s="5" t="s">
        <v>2627</v>
      </c>
      <c r="D144" s="5" t="s">
        <v>2581</v>
      </c>
    </row>
    <row r="145" spans="2:5">
      <c r="B145" s="5" t="str">
        <f xml:space="preserve"> B144&amp;"_2"</f>
        <v>IE_2</v>
      </c>
      <c r="C145" s="5" t="str">
        <f xml:space="preserve"> "Shape from `" &amp; $B144 &amp; "` marker; the colours switched."</f>
        <v>Shape from `IE` marker; the colours switched.</v>
      </c>
      <c r="D145" s="5" t="s">
        <v>2582</v>
      </c>
    </row>
    <row r="146" spans="2:5">
      <c r="B146" s="5" t="s">
        <v>657</v>
      </c>
      <c r="C146" s="5" t="s">
        <v>2583</v>
      </c>
      <c r="D146" s="5" t="s">
        <v>2584</v>
      </c>
    </row>
    <row r="147" spans="2:5">
      <c r="B147" s="5" t="str">
        <f xml:space="preserve"> B146&amp;"_2"</f>
        <v>FI_2</v>
      </c>
      <c r="C147" s="5" t="str">
        <f xml:space="preserve"> "Shape from `" &amp; $B146 &amp; "` marker; green replacing white."</f>
        <v>Shape from `FI` marker; green replacing white.</v>
      </c>
      <c r="D147" s="5" t="s">
        <v>2585</v>
      </c>
    </row>
    <row r="148" spans="2:5">
      <c r="B148" s="5" t="s">
        <v>358</v>
      </c>
      <c r="C148" s="5" t="s">
        <v>2586</v>
      </c>
      <c r="D148" s="5" t="s">
        <v>2587</v>
      </c>
    </row>
    <row r="149" spans="2:5">
      <c r="B149" s="5" t="str">
        <f xml:space="preserve"> B148&amp;"_2"</f>
        <v>SK_2</v>
      </c>
      <c r="C149" s="5" t="str">
        <f xml:space="preserve"> "Shape from `" &amp; $B148 &amp; "` marker; the colours switched."</f>
        <v>Shape from `SK` marker; the colours switched.</v>
      </c>
      <c r="D149" s="5" t="s">
        <v>2588</v>
      </c>
    </row>
    <row r="150" spans="2:5">
      <c r="B150" s="5" t="s">
        <v>1666</v>
      </c>
      <c r="C150" s="5" t="s">
        <v>2589</v>
      </c>
    </row>
    <row r="151" spans="2:5">
      <c r="B151" s="5" t="s">
        <v>359</v>
      </c>
      <c r="C151" s="5" t="s">
        <v>2590</v>
      </c>
    </row>
    <row r="152" spans="2:5">
      <c r="B152" s="5" t="s">
        <v>614</v>
      </c>
      <c r="C152" s="5" t="s">
        <v>2591</v>
      </c>
      <c r="E152" s="5" t="s">
        <v>2592</v>
      </c>
    </row>
    <row r="153" spans="2:5">
      <c r="B153" s="5" t="s">
        <v>676</v>
      </c>
      <c r="C153" s="5" t="s">
        <v>2593</v>
      </c>
    </row>
    <row r="154" spans="2:5">
      <c r="B154" s="5" t="s">
        <v>104</v>
      </c>
      <c r="C154" s="5" t="s">
        <v>2594</v>
      </c>
      <c r="E154" s="5" t="s">
        <v>2636</v>
      </c>
    </row>
    <row r="155" spans="2:5">
      <c r="B155" s="5" t="s">
        <v>105</v>
      </c>
      <c r="C155" s="5" t="s">
        <v>2595</v>
      </c>
    </row>
    <row r="156" spans="2:5">
      <c r="B156" s="5" t="s">
        <v>694</v>
      </c>
      <c r="C156" s="5" t="s">
        <v>2596</v>
      </c>
    </row>
    <row r="157" spans="2:5">
      <c r="B157" s="5" t="s">
        <v>714</v>
      </c>
      <c r="C157" s="5" t="s">
        <v>2597</v>
      </c>
    </row>
    <row r="158" spans="2:5">
      <c r="B158" s="5" t="s">
        <v>1704</v>
      </c>
      <c r="C158" s="5" t="s">
        <v>2598</v>
      </c>
      <c r="E158" s="5" t="s">
        <v>2599</v>
      </c>
    </row>
    <row r="159" spans="2:5">
      <c r="B159" s="5" t="s">
        <v>715</v>
      </c>
      <c r="C159" s="5" t="s">
        <v>2600</v>
      </c>
    </row>
    <row r="160" spans="2:5">
      <c r="B160" s="5" t="s">
        <v>795</v>
      </c>
      <c r="C160" s="5" t="s">
        <v>2601</v>
      </c>
    </row>
    <row r="161" spans="2:3">
      <c r="B161" s="5" t="s">
        <v>2131</v>
      </c>
      <c r="C161" s="5" t="s">
        <v>2637</v>
      </c>
    </row>
    <row r="162" spans="2:3">
      <c r="B162" s="5" t="s">
        <v>172</v>
      </c>
      <c r="C162" s="5" t="s">
        <v>2646</v>
      </c>
    </row>
    <row r="163" spans="2:3">
      <c r="B163" s="5" t="s">
        <v>971</v>
      </c>
      <c r="C163" s="5" t="s">
        <v>2602</v>
      </c>
    </row>
    <row r="164" spans="2:3">
      <c r="B164" s="5" t="s">
        <v>2246</v>
      </c>
      <c r="C164" s="5" t="s">
        <v>2603</v>
      </c>
    </row>
    <row r="165" spans="2:3">
      <c r="B165" s="5" t="s">
        <v>1941</v>
      </c>
      <c r="C165" s="5" t="s">
        <v>2604</v>
      </c>
    </row>
    <row r="166" spans="2:3">
      <c r="B166" s="5" t="s">
        <v>798</v>
      </c>
      <c r="C166" s="5" t="s">
        <v>2605</v>
      </c>
    </row>
    <row r="167" spans="2:3">
      <c r="B167" s="5" t="s">
        <v>2247</v>
      </c>
      <c r="C167" s="5" t="s">
        <v>2623</v>
      </c>
    </row>
    <row r="168" spans="2:3">
      <c r="B168" s="5" t="s">
        <v>173</v>
      </c>
      <c r="C168" s="5" t="s">
        <v>2606</v>
      </c>
    </row>
    <row r="169" spans="2:3">
      <c r="B169" s="5" t="s">
        <v>1943</v>
      </c>
      <c r="C169" s="5" t="s">
        <v>2607</v>
      </c>
    </row>
    <row r="170" spans="2:3">
      <c r="B170" s="5" t="s">
        <v>955</v>
      </c>
      <c r="C170" s="5" t="s">
        <v>2608</v>
      </c>
    </row>
    <row r="171" spans="2:3">
      <c r="B171" s="5" t="s">
        <v>106</v>
      </c>
      <c r="C171" s="5" t="s">
        <v>2609</v>
      </c>
    </row>
    <row r="172" spans="2:3">
      <c r="B172" s="5" t="s">
        <v>2042</v>
      </c>
      <c r="C172" s="5" t="s">
        <v>2645</v>
      </c>
    </row>
    <row r="173" spans="2:3">
      <c r="B173" s="5" t="s">
        <v>992</v>
      </c>
      <c r="C173" s="5" t="s">
        <v>2610</v>
      </c>
    </row>
    <row r="174" spans="2:3">
      <c r="B174" s="5" t="s">
        <v>2032</v>
      </c>
      <c r="C174" s="5" t="s">
        <v>2611</v>
      </c>
    </row>
    <row r="175" spans="2:3">
      <c r="B175" s="5" t="s">
        <v>2037</v>
      </c>
      <c r="C175" s="5" t="s">
        <v>2612</v>
      </c>
    </row>
    <row r="176" spans="2:3">
      <c r="B176" s="5" t="s">
        <v>1050</v>
      </c>
      <c r="C176" s="5" t="s">
        <v>2613</v>
      </c>
    </row>
    <row r="177" spans="2:5">
      <c r="B177" s="5" t="s">
        <v>1946</v>
      </c>
      <c r="C177" s="5" t="s">
        <v>2621</v>
      </c>
      <c r="E177" s="5" t="s">
        <v>2622</v>
      </c>
    </row>
    <row r="178" spans="2:5">
      <c r="B178" s="5" t="s">
        <v>1947</v>
      </c>
      <c r="C178" s="5" t="s">
        <v>2619</v>
      </c>
      <c r="D178" s="5" t="s">
        <v>2620</v>
      </c>
    </row>
    <row r="179" spans="2:5">
      <c r="B179" s="5" t="s">
        <v>1949</v>
      </c>
      <c r="C179" s="5" t="s">
        <v>2614</v>
      </c>
    </row>
    <row r="180" spans="2:5">
      <c r="B180" s="5" t="s">
        <v>1950</v>
      </c>
      <c r="C180" s="5" t="s">
        <v>2615</v>
      </c>
    </row>
    <row r="181" spans="2:5">
      <c r="B181" s="5" t="s">
        <v>929</v>
      </c>
      <c r="C181" s="5"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topLeftCell="B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45948.074728009262</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45948</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187</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125736</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2688</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45948.07435185185</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2670</v>
      </c>
      <c r="C54" s="64" t="str">
        <f xml:space="preserve"> " BSD NE MGA AFN "</f>
        <v xml:space="preserve"> BSD NE MGA AFN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2671</v>
      </c>
      <c r="C55" s="67">
        <f xml:space="preserve"> DATE(2025,10,18) + TIME(23, 45, 0)</f>
        <v>45948.989583333336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1333</vt:i4>
      </vt:variant>
    </vt:vector>
  </HeadingPairs>
  <TitlesOfParts>
    <vt:vector size="1395"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2025-10-18T00:47:50Z</dcterms:modified>
</cp:coreProperties>
</file>